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79\Desktop\TC-Page\DB\"/>
    </mc:Choice>
  </mc:AlternateContent>
  <xr:revisionPtr revIDLastSave="0" documentId="13_ncr:1_{2CEDB52F-23B0-4F80-86BA-59E4FF2A48AC}" xr6:coauthVersionLast="47" xr6:coauthVersionMax="47" xr10:uidLastSave="{00000000-0000-0000-0000-000000000000}"/>
  <bookViews>
    <workbookView xWindow="-120" yWindow="-120" windowWidth="29040" windowHeight="15840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3" i="152" l="1"/>
  <c r="F330" i="152"/>
  <c r="H113" i="152"/>
  <c r="H330" i="152"/>
  <c r="I113" i="152"/>
  <c r="I330" i="152"/>
  <c r="M74" i="152"/>
  <c r="M80" i="152"/>
  <c r="M77" i="152"/>
  <c r="M79" i="152"/>
  <c r="M78" i="152"/>
  <c r="M81" i="152"/>
  <c r="M127" i="152"/>
  <c r="M28" i="152"/>
  <c r="M27" i="152"/>
  <c r="M26" i="152"/>
  <c r="M23" i="152"/>
  <c r="M24" i="152"/>
  <c r="M25" i="152"/>
  <c r="M17" i="152"/>
  <c r="M30" i="152"/>
  <c r="M29" i="152"/>
  <c r="M97" i="152"/>
  <c r="M96" i="152"/>
  <c r="M91" i="152"/>
  <c r="M92" i="152"/>
  <c r="M86" i="152"/>
  <c r="M73" i="152"/>
  <c r="M68" i="152"/>
  <c r="M99" i="152"/>
  <c r="M72" i="152"/>
  <c r="M19" i="152"/>
  <c r="M22" i="152"/>
  <c r="M20" i="152"/>
  <c r="M12" i="152"/>
  <c r="M15" i="152"/>
  <c r="M14" i="152"/>
  <c r="M98" i="152"/>
  <c r="M100" i="152"/>
  <c r="M21" i="152"/>
  <c r="M18" i="152"/>
  <c r="M16" i="152"/>
  <c r="M13" i="152"/>
  <c r="M11" i="152"/>
  <c r="M164" i="152"/>
  <c r="M34" i="152"/>
  <c r="M32" i="152"/>
  <c r="M33" i="152"/>
  <c r="M31" i="152"/>
  <c r="M161" i="152"/>
  <c r="M140" i="152"/>
  <c r="M141" i="152"/>
  <c r="M159" i="152"/>
  <c r="M150" i="152"/>
  <c r="M10" i="152"/>
  <c r="M9" i="152"/>
  <c r="M160" i="152"/>
  <c r="M158" i="152"/>
  <c r="M8" i="152"/>
  <c r="M162" i="152"/>
  <c r="M6" i="152"/>
  <c r="M7" i="152"/>
  <c r="M149" i="152"/>
  <c r="M148" i="152"/>
  <c r="M112" i="152"/>
  <c r="M111" i="152"/>
  <c r="M113" i="152"/>
  <c r="M110" i="152"/>
  <c r="M39" i="152"/>
  <c r="M43" i="152"/>
  <c r="M44" i="152"/>
  <c r="M46" i="152"/>
  <c r="M85" i="152"/>
  <c r="M40" i="152"/>
  <c r="M109" i="152"/>
  <c r="M59" i="152"/>
  <c r="M58" i="152"/>
  <c r="M61" i="152"/>
  <c r="M60" i="152"/>
  <c r="M67" i="152"/>
  <c r="M66" i="152"/>
  <c r="M65" i="152"/>
  <c r="M64" i="152"/>
  <c r="M63" i="152"/>
  <c r="M49" i="152"/>
  <c r="M48" i="152"/>
  <c r="M47" i="152"/>
  <c r="M116" i="152"/>
  <c r="M119" i="152"/>
  <c r="M115" i="152"/>
  <c r="M117" i="152"/>
  <c r="M118" i="152"/>
  <c r="M45" i="152"/>
  <c r="M84" i="152"/>
  <c r="M41" i="152"/>
  <c r="M108" i="152"/>
  <c r="M4" i="152"/>
  <c r="M122" i="152"/>
  <c r="M5" i="152"/>
  <c r="M38" i="152"/>
  <c r="M37" i="152"/>
  <c r="M35" i="152"/>
  <c r="M36" i="152"/>
  <c r="M106" i="152"/>
  <c r="M105" i="152"/>
  <c r="M62" i="152"/>
  <c r="M54" i="152"/>
  <c r="M3" i="152"/>
  <c r="M120" i="152"/>
  <c r="M42" i="152"/>
  <c r="M146" i="152"/>
  <c r="M145" i="152"/>
  <c r="M51" i="152"/>
  <c r="M53" i="152"/>
  <c r="M50" i="152"/>
  <c r="M52" i="152"/>
  <c r="M121" i="152"/>
  <c r="M114" i="152"/>
  <c r="M107" i="152"/>
  <c r="M57" i="152"/>
  <c r="M56" i="152"/>
  <c r="M55" i="152"/>
  <c r="M75" i="152"/>
  <c r="M76" i="152"/>
  <c r="M82" i="152"/>
  <c r="M94" i="152"/>
  <c r="M93" i="152"/>
  <c r="M95" i="152"/>
  <c r="M128" i="152"/>
  <c r="M131" i="152"/>
  <c r="M123" i="152"/>
  <c r="M130" i="152"/>
  <c r="M132" i="152"/>
  <c r="M126" i="152"/>
  <c r="M129" i="152"/>
  <c r="M101" i="152"/>
  <c r="M102" i="152"/>
  <c r="M103" i="152"/>
  <c r="M143" i="152"/>
  <c r="M90" i="152"/>
  <c r="M89" i="152"/>
  <c r="M83" i="152"/>
  <c r="M154" i="152"/>
  <c r="M152" i="152"/>
  <c r="M151" i="152"/>
  <c r="M134" i="152"/>
  <c r="M137" i="152"/>
  <c r="M71" i="152"/>
  <c r="M156" i="152"/>
  <c r="M163" i="152"/>
  <c r="M155" i="152"/>
  <c r="M139" i="152"/>
  <c r="M157" i="152"/>
  <c r="M153" i="152"/>
  <c r="M133" i="152"/>
  <c r="M69" i="152"/>
  <c r="M125" i="152"/>
  <c r="M136" i="152"/>
  <c r="M135" i="152"/>
  <c r="M138" i="152"/>
  <c r="M104" i="152"/>
  <c r="M70" i="152"/>
  <c r="M165" i="152"/>
  <c r="M144" i="152"/>
  <c r="M124" i="152"/>
  <c r="M142" i="152"/>
  <c r="M88" i="152"/>
  <c r="M87" i="152"/>
  <c r="F4" i="152" l="1"/>
  <c r="F194" i="152"/>
  <c r="F201" i="152"/>
  <c r="F210" i="152"/>
  <c r="F211" i="152"/>
  <c r="F251" i="152"/>
  <c r="F281" i="152"/>
  <c r="F307" i="152"/>
  <c r="F375" i="152"/>
  <c r="F383" i="152"/>
  <c r="H4" i="152"/>
  <c r="H194" i="152"/>
  <c r="H201" i="152"/>
  <c r="H210" i="152"/>
  <c r="H211" i="152"/>
  <c r="H251" i="152"/>
  <c r="H281" i="152"/>
  <c r="H307" i="152"/>
  <c r="H375" i="152"/>
  <c r="H383" i="152"/>
  <c r="I4" i="152"/>
  <c r="I194" i="152"/>
  <c r="I201" i="152"/>
  <c r="I210" i="152"/>
  <c r="I211" i="152"/>
  <c r="I251" i="152"/>
  <c r="I281" i="152"/>
  <c r="I307" i="152"/>
  <c r="I375" i="152"/>
  <c r="I383" i="152"/>
  <c r="D11" i="1"/>
  <c r="E11" i="1"/>
  <c r="E12" i="1"/>
  <c r="F11" i="1"/>
  <c r="F12" i="1"/>
  <c r="G11" i="1"/>
  <c r="G12" i="1"/>
  <c r="H11" i="1"/>
  <c r="H12" i="1"/>
  <c r="I11" i="1"/>
  <c r="I12" i="1"/>
  <c r="J11" i="1"/>
  <c r="J12" i="1"/>
  <c r="K11" i="1"/>
  <c r="K12" i="1"/>
  <c r="L11" i="1"/>
  <c r="L12" i="1"/>
  <c r="M11" i="1"/>
  <c r="M12" i="1"/>
  <c r="N11" i="1"/>
  <c r="N12" i="1"/>
  <c r="O11" i="1"/>
  <c r="O12" i="1"/>
  <c r="P11" i="1"/>
  <c r="P12" i="1"/>
  <c r="Q11" i="1"/>
  <c r="Q12" i="1"/>
  <c r="R11" i="1"/>
  <c r="R12" i="1"/>
  <c r="S11" i="1"/>
  <c r="S12" i="1"/>
  <c r="T11" i="1"/>
  <c r="T12" i="1"/>
  <c r="U11" i="1"/>
  <c r="U12" i="1"/>
  <c r="V11" i="1"/>
  <c r="V12" i="1"/>
  <c r="W11" i="1"/>
  <c r="W12" i="1"/>
  <c r="X11" i="1"/>
  <c r="X12" i="1"/>
  <c r="Y11" i="1"/>
  <c r="Y12" i="1"/>
  <c r="Z11" i="1"/>
  <c r="Z12" i="1"/>
  <c r="AA11" i="1"/>
  <c r="AA12" i="1"/>
  <c r="AB11" i="1"/>
  <c r="AB12" i="1"/>
  <c r="AC11" i="1"/>
  <c r="AC12" i="1"/>
  <c r="AD11" i="1"/>
  <c r="AD12" i="1"/>
  <c r="AE11" i="1"/>
  <c r="AE12" i="1"/>
  <c r="AF11" i="1"/>
  <c r="AF12" i="1"/>
  <c r="AG11" i="1"/>
  <c r="AG12" i="1"/>
  <c r="AH11" i="1"/>
  <c r="AH12" i="1"/>
  <c r="AJ11" i="1"/>
  <c r="AI11" i="1" s="1"/>
  <c r="AJ12" i="1"/>
  <c r="AI12" i="1" s="1"/>
  <c r="AL11" i="1"/>
  <c r="AK11" i="1" s="1"/>
  <c r="AL12" i="1"/>
  <c r="AK12" i="1" s="1"/>
  <c r="AN11" i="1"/>
  <c r="AM11" i="1" s="1"/>
  <c r="AN12" i="1"/>
  <c r="AM12" i="1" s="1"/>
  <c r="AP11" i="1"/>
  <c r="AO11" i="1" s="1"/>
  <c r="AP12" i="1"/>
  <c r="AO12" i="1" s="1"/>
  <c r="AR11" i="1"/>
  <c r="AQ11" i="1" s="1"/>
  <c r="AR12" i="1"/>
  <c r="AQ12" i="1" s="1"/>
  <c r="AT11" i="1"/>
  <c r="AS11" i="1" s="1"/>
  <c r="AT12" i="1"/>
  <c r="AS12" i="1" s="1"/>
  <c r="AV11" i="1"/>
  <c r="AU11" i="1" s="1"/>
  <c r="AV12" i="1"/>
  <c r="AU12" i="1" s="1"/>
  <c r="AX11" i="1"/>
  <c r="AW11" i="1" s="1"/>
  <c r="AX12" i="1"/>
  <c r="AW12" i="1" s="1"/>
  <c r="AZ11" i="1"/>
  <c r="AY11" i="1" s="1"/>
  <c r="AZ12" i="1"/>
  <c r="AY12" i="1" s="1"/>
  <c r="BB11" i="1"/>
  <c r="BA11" i="1" s="1"/>
  <c r="BB12" i="1"/>
  <c r="BA12" i="1" s="1"/>
  <c r="BD11" i="1"/>
  <c r="BC11" i="1" s="1"/>
  <c r="BD12" i="1"/>
  <c r="BC12" i="1" s="1"/>
  <c r="BF11" i="1"/>
  <c r="BE11" i="1" s="1"/>
  <c r="BF12" i="1"/>
  <c r="BE12" i="1" s="1"/>
  <c r="BH11" i="1"/>
  <c r="BG11" i="1" s="1"/>
  <c r="BH12" i="1"/>
  <c r="BG12" i="1" s="1"/>
  <c r="BJ11" i="1"/>
  <c r="BI11" i="1" s="1"/>
  <c r="BJ12" i="1"/>
  <c r="BI12" i="1" s="1"/>
  <c r="BL11" i="1"/>
  <c r="BK11" i="1" s="1"/>
  <c r="BL12" i="1"/>
  <c r="BK12" i="1" s="1"/>
  <c r="BN11" i="1"/>
  <c r="BM11" i="1" s="1"/>
  <c r="BN12" i="1"/>
  <c r="BM12" i="1" s="1"/>
  <c r="BP11" i="1"/>
  <c r="BO11" i="1" s="1"/>
  <c r="BP12" i="1"/>
  <c r="BO12" i="1" s="1"/>
  <c r="BR11" i="1"/>
  <c r="BQ11" i="1" s="1"/>
  <c r="BR12" i="1"/>
  <c r="BQ12" i="1" s="1"/>
  <c r="BT11" i="1"/>
  <c r="BS11" i="1" s="1"/>
  <c r="BT12" i="1"/>
  <c r="BS12" i="1" s="1"/>
  <c r="BV11" i="1"/>
  <c r="BU11" i="1" s="1"/>
  <c r="BV12" i="1"/>
  <c r="BU12" i="1" s="1"/>
  <c r="BX11" i="1"/>
  <c r="BW11" i="1" s="1"/>
  <c r="BX12" i="1"/>
  <c r="BW12" i="1" s="1"/>
  <c r="BZ11" i="1"/>
  <c r="BY11" i="1" s="1"/>
  <c r="BZ12" i="1"/>
  <c r="BY12" i="1" s="1"/>
  <c r="CA11" i="1"/>
  <c r="CA12" i="1"/>
  <c r="CB11" i="1"/>
  <c r="CB12" i="1"/>
  <c r="CC11" i="1"/>
  <c r="CC12" i="1"/>
  <c r="CD11" i="1"/>
  <c r="CD12" i="1"/>
  <c r="CE11" i="1"/>
  <c r="CE12" i="1"/>
  <c r="CF11" i="1"/>
  <c r="CF12" i="1"/>
  <c r="CG11" i="1"/>
  <c r="CG12" i="1"/>
  <c r="CH11" i="1"/>
  <c r="CH12" i="1"/>
  <c r="CI11" i="1"/>
  <c r="CI12" i="1"/>
  <c r="CJ11" i="1"/>
  <c r="CJ12" i="1"/>
  <c r="CK11" i="1"/>
  <c r="CK12" i="1"/>
  <c r="CL11" i="1"/>
  <c r="CL12" i="1"/>
  <c r="CM11" i="1"/>
  <c r="CM12" i="1"/>
  <c r="CN11" i="1"/>
  <c r="CN12" i="1"/>
  <c r="CO11" i="1"/>
  <c r="CO12" i="1"/>
  <c r="CP11" i="1"/>
  <c r="CP12" i="1"/>
  <c r="CQ11" i="1"/>
  <c r="CQ12" i="1"/>
  <c r="CR11" i="1"/>
  <c r="CR12" i="1"/>
  <c r="CS11" i="1"/>
  <c r="CS12" i="1"/>
  <c r="CT11" i="1"/>
  <c r="CT12" i="1"/>
  <c r="CU11" i="1"/>
  <c r="CU12" i="1"/>
  <c r="CV11" i="1"/>
  <c r="CV12" i="1"/>
  <c r="CX11" i="1"/>
  <c r="CW11" i="1" s="1"/>
  <c r="CX12" i="1"/>
  <c r="CW12" i="1" s="1"/>
  <c r="CZ11" i="1"/>
  <c r="CY11" i="1" s="1"/>
  <c r="CZ12" i="1"/>
  <c r="CY12" i="1" s="1"/>
  <c r="DB11" i="1"/>
  <c r="DA11" i="1" s="1"/>
  <c r="DB12" i="1"/>
  <c r="DA12" i="1" s="1"/>
  <c r="DD11" i="1"/>
  <c r="DC11" i="1" s="1"/>
  <c r="DD12" i="1"/>
  <c r="DC12" i="1" s="1"/>
  <c r="DF11" i="1"/>
  <c r="DE11" i="1" s="1"/>
  <c r="DF12" i="1"/>
  <c r="DE12" i="1" s="1"/>
  <c r="DH11" i="1"/>
  <c r="DG11" i="1" s="1"/>
  <c r="DH12" i="1"/>
  <c r="DG12" i="1" s="1"/>
  <c r="DJ11" i="1"/>
  <c r="DI11" i="1" s="1"/>
  <c r="DJ12" i="1"/>
  <c r="DI12" i="1" s="1"/>
  <c r="DL11" i="1"/>
  <c r="DK11" i="1" s="1"/>
  <c r="DL12" i="1"/>
  <c r="DK12" i="1" s="1"/>
  <c r="DN11" i="1"/>
  <c r="DM11" i="1" s="1"/>
  <c r="DN12" i="1"/>
  <c r="DM12" i="1" s="1"/>
  <c r="DP11" i="1"/>
  <c r="DO11" i="1" s="1"/>
  <c r="DP12" i="1"/>
  <c r="DO12" i="1" s="1"/>
  <c r="DR11" i="1"/>
  <c r="DQ11" i="1" s="1"/>
  <c r="DR12" i="1"/>
  <c r="DQ12" i="1" s="1"/>
  <c r="DT11" i="1"/>
  <c r="DS11" i="1" s="1"/>
  <c r="DT12" i="1"/>
  <c r="DS12" i="1" s="1"/>
  <c r="DV11" i="1"/>
  <c r="DU11" i="1" s="1"/>
  <c r="DV12" i="1"/>
  <c r="DU12" i="1" s="1"/>
  <c r="DX11" i="1"/>
  <c r="DW11" i="1" s="1"/>
  <c r="DX12" i="1"/>
  <c r="DW12" i="1" s="1"/>
  <c r="DZ11" i="1"/>
  <c r="DY11" i="1" s="1"/>
  <c r="DZ12" i="1"/>
  <c r="DY12" i="1" s="1"/>
  <c r="EB11" i="1"/>
  <c r="EA11" i="1" s="1"/>
  <c r="EB12" i="1"/>
  <c r="EA12" i="1" s="1"/>
  <c r="ED11" i="1"/>
  <c r="EC11" i="1" s="1"/>
  <c r="ED12" i="1"/>
  <c r="EC12" i="1" s="1"/>
  <c r="EF11" i="1"/>
  <c r="EE11" i="1" s="1"/>
  <c r="EF12" i="1"/>
  <c r="EE12" i="1" s="1"/>
  <c r="EH11" i="1"/>
  <c r="EG11" i="1" s="1"/>
  <c r="EH12" i="1"/>
  <c r="EG12" i="1" s="1"/>
  <c r="EJ11" i="1"/>
  <c r="EI11" i="1" s="1"/>
  <c r="EJ12" i="1"/>
  <c r="EI12" i="1" s="1"/>
  <c r="EL11" i="1"/>
  <c r="EK11" i="1" s="1"/>
  <c r="EL12" i="1"/>
  <c r="EK12" i="1" s="1"/>
  <c r="EN11" i="1"/>
  <c r="EM11" i="1" s="1"/>
  <c r="EN12" i="1"/>
  <c r="EM12" i="1" s="1"/>
  <c r="EO11" i="1"/>
  <c r="EO12" i="1"/>
  <c r="EP11" i="1"/>
  <c r="EP12" i="1"/>
  <c r="EQ11" i="1"/>
  <c r="EQ12" i="1"/>
  <c r="ER11" i="1"/>
  <c r="ER12" i="1"/>
  <c r="ES11" i="1"/>
  <c r="ES12" i="1"/>
  <c r="ET11" i="1"/>
  <c r="ET12" i="1"/>
  <c r="EU11" i="1"/>
  <c r="EU12" i="1"/>
  <c r="EV11" i="1"/>
  <c r="EV12" i="1"/>
  <c r="EW11" i="1"/>
  <c r="EW12" i="1"/>
  <c r="EX11" i="1"/>
  <c r="EX12" i="1"/>
  <c r="EY11" i="1"/>
  <c r="EY12" i="1"/>
  <c r="EZ11" i="1"/>
  <c r="EZ12" i="1"/>
  <c r="FA11" i="1"/>
  <c r="FA12" i="1"/>
  <c r="FB11" i="1"/>
  <c r="FB12" i="1"/>
  <c r="FC11" i="1"/>
  <c r="FC12" i="1"/>
  <c r="FD11" i="1"/>
  <c r="FD12" i="1"/>
  <c r="FE11" i="1"/>
  <c r="FE12" i="1"/>
  <c r="FF11" i="1"/>
  <c r="FF12" i="1"/>
  <c r="FG11" i="1"/>
  <c r="FG12" i="1"/>
  <c r="FH11" i="1"/>
  <c r="FH12" i="1"/>
  <c r="FI11" i="1"/>
  <c r="FI12" i="1"/>
  <c r="FJ11" i="1"/>
  <c r="FJ12" i="1"/>
  <c r="FK11" i="1"/>
  <c r="FK12" i="1"/>
  <c r="FL11" i="1"/>
  <c r="FL12" i="1"/>
  <c r="FM11" i="1"/>
  <c r="FM12" i="1"/>
  <c r="FN11" i="1"/>
  <c r="FN12" i="1"/>
  <c r="FO11" i="1"/>
  <c r="FO12" i="1"/>
  <c r="FP11" i="1"/>
  <c r="FP12" i="1"/>
  <c r="FQ11" i="1"/>
  <c r="FQ12" i="1"/>
  <c r="FR11" i="1"/>
  <c r="FR12" i="1"/>
  <c r="FS11" i="1"/>
  <c r="FS12" i="1"/>
  <c r="FT11" i="1"/>
  <c r="FT12" i="1"/>
  <c r="FU11" i="1"/>
  <c r="FU12" i="1"/>
  <c r="FW11" i="1"/>
  <c r="FV11" i="1" s="1"/>
  <c r="FW12" i="1"/>
  <c r="FV12" i="1" s="1"/>
  <c r="FY11" i="1"/>
  <c r="FX11" i="1" s="1"/>
  <c r="FY12" i="1"/>
  <c r="FX12" i="1" s="1"/>
  <c r="GA11" i="1"/>
  <c r="FZ11" i="1" s="1"/>
  <c r="GA12" i="1"/>
  <c r="FZ12" i="1" s="1"/>
  <c r="GC11" i="1"/>
  <c r="GB11" i="1" s="1"/>
  <c r="GC12" i="1"/>
  <c r="GB12" i="1" s="1"/>
  <c r="GE11" i="1"/>
  <c r="GD11" i="1" s="1"/>
  <c r="GE12" i="1"/>
  <c r="GD12" i="1" s="1"/>
  <c r="GG11" i="1"/>
  <c r="GF11" i="1" s="1"/>
  <c r="GG12" i="1"/>
  <c r="GF12" i="1" s="1"/>
  <c r="GI11" i="1"/>
  <c r="GH11" i="1" s="1"/>
  <c r="GI12" i="1"/>
  <c r="GH12" i="1" s="1"/>
  <c r="GK11" i="1"/>
  <c r="GJ11" i="1" s="1"/>
  <c r="GK12" i="1"/>
  <c r="GJ12" i="1" s="1"/>
  <c r="GM11" i="1"/>
  <c r="GL11" i="1" s="1"/>
  <c r="GM12" i="1"/>
  <c r="GL12" i="1" s="1"/>
  <c r="GO11" i="1"/>
  <c r="GN11" i="1" s="1"/>
  <c r="GO12" i="1"/>
  <c r="GN12" i="1" s="1"/>
  <c r="GQ11" i="1"/>
  <c r="GP11" i="1" s="1"/>
  <c r="GQ12" i="1"/>
  <c r="GP12" i="1" s="1"/>
  <c r="GS11" i="1"/>
  <c r="GR11" i="1" s="1"/>
  <c r="GS12" i="1"/>
  <c r="GR12" i="1" s="1"/>
  <c r="GU11" i="1"/>
  <c r="GT11" i="1" s="1"/>
  <c r="GU12" i="1"/>
  <c r="GT12" i="1" s="1"/>
  <c r="GW11" i="1"/>
  <c r="GV11" i="1" s="1"/>
  <c r="GW12" i="1"/>
  <c r="GV12" i="1" s="1"/>
  <c r="GY11" i="1"/>
  <c r="GX11" i="1" s="1"/>
  <c r="GY12" i="1"/>
  <c r="GX12" i="1" s="1"/>
  <c r="HA11" i="1"/>
  <c r="GZ11" i="1" s="1"/>
  <c r="HA12" i="1"/>
  <c r="GZ12" i="1" s="1"/>
  <c r="HC11" i="1"/>
  <c r="HB11" i="1" s="1"/>
  <c r="HC12" i="1"/>
  <c r="HB12" i="1" s="1"/>
  <c r="HE11" i="1"/>
  <c r="HD11" i="1" s="1"/>
  <c r="HE12" i="1"/>
  <c r="HD12" i="1" s="1"/>
  <c r="HG11" i="1"/>
  <c r="HF11" i="1" s="1"/>
  <c r="HG12" i="1"/>
  <c r="HF12" i="1" s="1"/>
  <c r="HI11" i="1"/>
  <c r="HH11" i="1" s="1"/>
  <c r="HI12" i="1"/>
  <c r="HH12" i="1" s="1"/>
  <c r="HK11" i="1"/>
  <c r="HJ11" i="1" s="1"/>
  <c r="HK12" i="1"/>
  <c r="HJ12" i="1" s="1"/>
  <c r="HM11" i="1"/>
  <c r="HL11" i="1" s="1"/>
  <c r="HM12" i="1"/>
  <c r="HL12" i="1" s="1"/>
  <c r="HO11" i="1"/>
  <c r="HN11" i="1" s="1"/>
  <c r="HO12" i="1"/>
  <c r="HN12" i="1" s="1"/>
  <c r="HQ11" i="1"/>
  <c r="HP11" i="1" s="1"/>
  <c r="HQ12" i="1"/>
  <c r="HP12" i="1" s="1"/>
  <c r="HS11" i="1"/>
  <c r="HR11" i="1" s="1"/>
  <c r="HS12" i="1"/>
  <c r="HR12" i="1" s="1"/>
  <c r="HU11" i="1"/>
  <c r="HT11" i="1" s="1"/>
  <c r="HU12" i="1"/>
  <c r="HT12" i="1" s="1"/>
  <c r="HW11" i="1"/>
  <c r="HV11" i="1" s="1"/>
  <c r="HW12" i="1"/>
  <c r="HV12" i="1" s="1"/>
  <c r="HY11" i="1"/>
  <c r="HX11" i="1" s="1"/>
  <c r="HY12" i="1"/>
  <c r="HX12" i="1" s="1"/>
  <c r="IA11" i="1"/>
  <c r="HZ11" i="1" s="1"/>
  <c r="IA12" i="1"/>
  <c r="HZ12" i="1" s="1"/>
  <c r="IC11" i="1"/>
  <c r="IB11" i="1" s="1"/>
  <c r="IC12" i="1"/>
  <c r="IB12" i="1" s="1"/>
  <c r="IE11" i="1"/>
  <c r="ID11" i="1" s="1"/>
  <c r="IE12" i="1"/>
  <c r="ID12" i="1" s="1"/>
  <c r="IG11" i="1"/>
  <c r="IF11" i="1" s="1"/>
  <c r="IG12" i="1"/>
  <c r="IF12" i="1" s="1"/>
  <c r="II11" i="1"/>
  <c r="IH11" i="1" s="1"/>
  <c r="II12" i="1"/>
  <c r="IH12" i="1" s="1"/>
  <c r="M147" i="152" l="1"/>
  <c r="F125" i="152" l="1"/>
  <c r="F116" i="152"/>
  <c r="F503" i="152"/>
  <c r="F323" i="152"/>
  <c r="F313" i="152"/>
  <c r="F327" i="152"/>
  <c r="F311" i="152"/>
  <c r="F215" i="152"/>
  <c r="F213" i="152"/>
  <c r="H125" i="152"/>
  <c r="H116" i="152"/>
  <c r="H503" i="152"/>
  <c r="H323" i="152"/>
  <c r="H313" i="152"/>
  <c r="H327" i="152"/>
  <c r="H311" i="152"/>
  <c r="H215" i="152"/>
  <c r="H213" i="152"/>
  <c r="I125" i="152"/>
  <c r="I116" i="152"/>
  <c r="I503" i="152"/>
  <c r="I323" i="152"/>
  <c r="I313" i="152"/>
  <c r="I327" i="152"/>
  <c r="I311" i="152"/>
  <c r="I215" i="152"/>
  <c r="I213" i="152"/>
  <c r="F284" i="152" l="1"/>
  <c r="F285" i="152"/>
  <c r="F289" i="152"/>
  <c r="F287" i="152"/>
  <c r="F288" i="152"/>
  <c r="F107" i="152"/>
  <c r="H284" i="152"/>
  <c r="H285" i="152"/>
  <c r="H289" i="152"/>
  <c r="H287" i="152"/>
  <c r="H288" i="152"/>
  <c r="H107" i="152"/>
  <c r="I284" i="152"/>
  <c r="I285" i="152"/>
  <c r="I289" i="152"/>
  <c r="I287" i="152"/>
  <c r="I288" i="152"/>
  <c r="I107" i="152"/>
  <c r="F128" i="152" l="1"/>
  <c r="F437" i="152"/>
  <c r="F166" i="152"/>
  <c r="F328" i="152"/>
  <c r="F331" i="152"/>
  <c r="F276" i="152"/>
  <c r="F167" i="152"/>
  <c r="F364" i="152"/>
  <c r="F348" i="152"/>
  <c r="H128" i="152"/>
  <c r="H437" i="152"/>
  <c r="H166" i="152"/>
  <c r="H328" i="152"/>
  <c r="H331" i="152"/>
  <c r="H276" i="152"/>
  <c r="H167" i="152"/>
  <c r="H364" i="152"/>
  <c r="H348" i="152"/>
  <c r="I128" i="152"/>
  <c r="I437" i="152"/>
  <c r="I166" i="152"/>
  <c r="I328" i="152"/>
  <c r="I331" i="152"/>
  <c r="I276" i="152"/>
  <c r="I167" i="152"/>
  <c r="I364" i="152"/>
  <c r="I348" i="152"/>
  <c r="F82" i="152" l="1"/>
  <c r="F216" i="152"/>
  <c r="F454" i="152"/>
  <c r="H82" i="152"/>
  <c r="H216" i="152"/>
  <c r="H454" i="152"/>
  <c r="I82" i="152"/>
  <c r="I216" i="152"/>
  <c r="I454" i="152"/>
  <c r="D180" i="1" l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J180" i="1"/>
  <c r="AI180" i="1" s="1"/>
  <c r="AL180" i="1"/>
  <c r="AK180" i="1" s="1"/>
  <c r="AN180" i="1"/>
  <c r="AM180" i="1" s="1"/>
  <c r="AP180" i="1"/>
  <c r="AO180" i="1" s="1"/>
  <c r="AR180" i="1"/>
  <c r="AQ180" i="1" s="1"/>
  <c r="AT180" i="1"/>
  <c r="AS180" i="1" s="1"/>
  <c r="AV180" i="1"/>
  <c r="AU180" i="1" s="1"/>
  <c r="AX180" i="1"/>
  <c r="AW180" i="1" s="1"/>
  <c r="AZ180" i="1"/>
  <c r="AY180" i="1" s="1"/>
  <c r="BB180" i="1"/>
  <c r="BA180" i="1" s="1"/>
  <c r="BD180" i="1"/>
  <c r="BC180" i="1" s="1"/>
  <c r="BF180" i="1"/>
  <c r="BE180" i="1" s="1"/>
  <c r="BH180" i="1"/>
  <c r="BG180" i="1" s="1"/>
  <c r="BJ180" i="1"/>
  <c r="BI180" i="1" s="1"/>
  <c r="BL180" i="1"/>
  <c r="BK180" i="1" s="1"/>
  <c r="BN180" i="1"/>
  <c r="BM180" i="1" s="1"/>
  <c r="BP180" i="1"/>
  <c r="BO180" i="1" s="1"/>
  <c r="BR180" i="1"/>
  <c r="BQ180" i="1" s="1"/>
  <c r="BT180" i="1"/>
  <c r="BS180" i="1" s="1"/>
  <c r="BV180" i="1"/>
  <c r="BU180" i="1" s="1"/>
  <c r="BX180" i="1"/>
  <c r="BW180" i="1" s="1"/>
  <c r="BZ180" i="1"/>
  <c r="BY180" i="1" s="1"/>
  <c r="CA180" i="1"/>
  <c r="CB180" i="1"/>
  <c r="CC180" i="1"/>
  <c r="CD180" i="1"/>
  <c r="CE180" i="1"/>
  <c r="CF180" i="1"/>
  <c r="CG180" i="1"/>
  <c r="CH180" i="1"/>
  <c r="CI180" i="1"/>
  <c r="CJ180" i="1"/>
  <c r="CK180" i="1"/>
  <c r="CL180" i="1"/>
  <c r="CM180" i="1"/>
  <c r="CN180" i="1"/>
  <c r="CO180" i="1"/>
  <c r="CP180" i="1"/>
  <c r="CQ180" i="1"/>
  <c r="CR180" i="1"/>
  <c r="CS180" i="1"/>
  <c r="CT180" i="1"/>
  <c r="CU180" i="1"/>
  <c r="CV180" i="1"/>
  <c r="CX180" i="1"/>
  <c r="CW180" i="1" s="1"/>
  <c r="CZ180" i="1"/>
  <c r="CY180" i="1" s="1"/>
  <c r="DB180" i="1"/>
  <c r="DA180" i="1" s="1"/>
  <c r="DD180" i="1"/>
  <c r="DC180" i="1" s="1"/>
  <c r="DF180" i="1"/>
  <c r="DE180" i="1" s="1"/>
  <c r="DH180" i="1"/>
  <c r="DG180" i="1" s="1"/>
  <c r="DJ180" i="1"/>
  <c r="DI180" i="1" s="1"/>
  <c r="DL180" i="1"/>
  <c r="DK180" i="1" s="1"/>
  <c r="DN180" i="1"/>
  <c r="DM180" i="1" s="1"/>
  <c r="DP180" i="1"/>
  <c r="DO180" i="1" s="1"/>
  <c r="DR180" i="1"/>
  <c r="DQ180" i="1" s="1"/>
  <c r="DT180" i="1"/>
  <c r="DS180" i="1" s="1"/>
  <c r="DV180" i="1"/>
  <c r="DU180" i="1" s="1"/>
  <c r="DX180" i="1"/>
  <c r="DW180" i="1" s="1"/>
  <c r="DZ180" i="1"/>
  <c r="DY180" i="1" s="1"/>
  <c r="EB180" i="1"/>
  <c r="EA180" i="1" s="1"/>
  <c r="ED180" i="1"/>
  <c r="EC180" i="1" s="1"/>
  <c r="EF180" i="1"/>
  <c r="EE180" i="1" s="1"/>
  <c r="EH180" i="1"/>
  <c r="EG180" i="1" s="1"/>
  <c r="EJ180" i="1"/>
  <c r="EI180" i="1" s="1"/>
  <c r="EL180" i="1"/>
  <c r="EK180" i="1" s="1"/>
  <c r="EN180" i="1"/>
  <c r="EM180" i="1" s="1"/>
  <c r="EO180" i="1"/>
  <c r="EP180" i="1"/>
  <c r="EQ180" i="1"/>
  <c r="ER180" i="1"/>
  <c r="ES180" i="1"/>
  <c r="ET180" i="1"/>
  <c r="EU180" i="1"/>
  <c r="EV180" i="1"/>
  <c r="EW180" i="1"/>
  <c r="EX180" i="1"/>
  <c r="EY180" i="1"/>
  <c r="EZ180" i="1"/>
  <c r="FA180" i="1"/>
  <c r="FB180" i="1"/>
  <c r="FC180" i="1"/>
  <c r="FD180" i="1"/>
  <c r="FE180" i="1"/>
  <c r="FF180" i="1"/>
  <c r="FG180" i="1"/>
  <c r="FH180" i="1"/>
  <c r="FI180" i="1"/>
  <c r="FJ180" i="1"/>
  <c r="FK180" i="1"/>
  <c r="FL180" i="1"/>
  <c r="FM180" i="1"/>
  <c r="FN180" i="1"/>
  <c r="FO180" i="1"/>
  <c r="FP180" i="1"/>
  <c r="FQ180" i="1"/>
  <c r="FR180" i="1"/>
  <c r="FS180" i="1"/>
  <c r="FT180" i="1"/>
  <c r="FU180" i="1"/>
  <c r="FW180" i="1"/>
  <c r="FV180" i="1" s="1"/>
  <c r="FY180" i="1"/>
  <c r="FX180" i="1" s="1"/>
  <c r="GA180" i="1"/>
  <c r="FZ180" i="1" s="1"/>
  <c r="GC180" i="1"/>
  <c r="GB180" i="1" s="1"/>
  <c r="GE180" i="1"/>
  <c r="GD180" i="1" s="1"/>
  <c r="GG180" i="1"/>
  <c r="GF180" i="1" s="1"/>
  <c r="GI180" i="1"/>
  <c r="GH180" i="1" s="1"/>
  <c r="GK180" i="1"/>
  <c r="GJ180" i="1" s="1"/>
  <c r="GM180" i="1"/>
  <c r="GL180" i="1" s="1"/>
  <c r="GO180" i="1"/>
  <c r="GN180" i="1" s="1"/>
  <c r="GQ180" i="1"/>
  <c r="GP180" i="1" s="1"/>
  <c r="GS180" i="1"/>
  <c r="GR180" i="1" s="1"/>
  <c r="GU180" i="1"/>
  <c r="GT180" i="1" s="1"/>
  <c r="GW180" i="1"/>
  <c r="GV180" i="1" s="1"/>
  <c r="GY180" i="1"/>
  <c r="GX180" i="1" s="1"/>
  <c r="HA180" i="1"/>
  <c r="GZ180" i="1" s="1"/>
  <c r="HC180" i="1"/>
  <c r="HB180" i="1" s="1"/>
  <c r="HE180" i="1"/>
  <c r="HD180" i="1" s="1"/>
  <c r="HG180" i="1"/>
  <c r="HF180" i="1" s="1"/>
  <c r="HI180" i="1"/>
  <c r="HH180" i="1" s="1"/>
  <c r="HK180" i="1"/>
  <c r="HJ180" i="1" s="1"/>
  <c r="HM180" i="1"/>
  <c r="HL180" i="1" s="1"/>
  <c r="HO180" i="1"/>
  <c r="HN180" i="1" s="1"/>
  <c r="HQ180" i="1"/>
  <c r="HP180" i="1" s="1"/>
  <c r="HS180" i="1"/>
  <c r="HR180" i="1" s="1"/>
  <c r="HU180" i="1"/>
  <c r="HT180" i="1" s="1"/>
  <c r="HW180" i="1"/>
  <c r="HV180" i="1" s="1"/>
  <c r="HY180" i="1"/>
  <c r="HX180" i="1" s="1"/>
  <c r="IA180" i="1"/>
  <c r="HZ180" i="1" s="1"/>
  <c r="IC180" i="1"/>
  <c r="IB180" i="1" s="1"/>
  <c r="IE180" i="1"/>
  <c r="ID180" i="1" s="1"/>
  <c r="IG180" i="1"/>
  <c r="IF180" i="1" s="1"/>
  <c r="II180" i="1"/>
  <c r="IH180" i="1" s="1"/>
  <c r="E140" i="1" l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J140" i="1"/>
  <c r="AI140" i="1" s="1"/>
  <c r="AL140" i="1"/>
  <c r="AK140" i="1" s="1"/>
  <c r="AN140" i="1"/>
  <c r="AM140" i="1" s="1"/>
  <c r="AP140" i="1"/>
  <c r="AO140" i="1" s="1"/>
  <c r="AR140" i="1"/>
  <c r="AQ140" i="1" s="1"/>
  <c r="AT140" i="1"/>
  <c r="AS140" i="1" s="1"/>
  <c r="AV140" i="1"/>
  <c r="AU140" i="1" s="1"/>
  <c r="AX140" i="1"/>
  <c r="AW140" i="1" s="1"/>
  <c r="AZ140" i="1"/>
  <c r="AY140" i="1" s="1"/>
  <c r="BB140" i="1"/>
  <c r="BA140" i="1" s="1"/>
  <c r="BD140" i="1"/>
  <c r="BC140" i="1" s="1"/>
  <c r="BF140" i="1"/>
  <c r="BE140" i="1" s="1"/>
  <c r="BH140" i="1"/>
  <c r="BG140" i="1" s="1"/>
  <c r="BJ140" i="1"/>
  <c r="BI140" i="1" s="1"/>
  <c r="BL140" i="1"/>
  <c r="BK140" i="1" s="1"/>
  <c r="BN140" i="1"/>
  <c r="BM140" i="1" s="1"/>
  <c r="BP140" i="1"/>
  <c r="BO140" i="1" s="1"/>
  <c r="BR140" i="1"/>
  <c r="BQ140" i="1" s="1"/>
  <c r="BT140" i="1"/>
  <c r="BS140" i="1" s="1"/>
  <c r="BV140" i="1"/>
  <c r="BU140" i="1" s="1"/>
  <c r="BX140" i="1"/>
  <c r="BW140" i="1" s="1"/>
  <c r="BZ140" i="1"/>
  <c r="BY140" i="1" s="1"/>
  <c r="CA140" i="1"/>
  <c r="CB140" i="1"/>
  <c r="CC140" i="1"/>
  <c r="CD140" i="1"/>
  <c r="CE140" i="1"/>
  <c r="CF140" i="1"/>
  <c r="CG140" i="1"/>
  <c r="CH140" i="1"/>
  <c r="CI140" i="1"/>
  <c r="CJ140" i="1"/>
  <c r="CK140" i="1"/>
  <c r="CL140" i="1"/>
  <c r="CM140" i="1"/>
  <c r="CN140" i="1"/>
  <c r="CO140" i="1"/>
  <c r="CP140" i="1"/>
  <c r="CQ140" i="1"/>
  <c r="CR140" i="1"/>
  <c r="CS140" i="1"/>
  <c r="CT140" i="1"/>
  <c r="CU140" i="1"/>
  <c r="CV140" i="1"/>
  <c r="CX140" i="1"/>
  <c r="CW140" i="1" s="1"/>
  <c r="CZ140" i="1"/>
  <c r="CY140" i="1" s="1"/>
  <c r="DB140" i="1"/>
  <c r="DA140" i="1" s="1"/>
  <c r="DD140" i="1"/>
  <c r="DC140" i="1" s="1"/>
  <c r="DF140" i="1"/>
  <c r="DE140" i="1" s="1"/>
  <c r="DH140" i="1"/>
  <c r="DG140" i="1" s="1"/>
  <c r="DJ140" i="1"/>
  <c r="DI140" i="1" s="1"/>
  <c r="DL140" i="1"/>
  <c r="DK140" i="1" s="1"/>
  <c r="DN140" i="1"/>
  <c r="DM140" i="1" s="1"/>
  <c r="DP140" i="1"/>
  <c r="DO140" i="1" s="1"/>
  <c r="DR140" i="1"/>
  <c r="DQ140" i="1" s="1"/>
  <c r="DT140" i="1"/>
  <c r="DS140" i="1" s="1"/>
  <c r="DV140" i="1"/>
  <c r="DU140" i="1" s="1"/>
  <c r="DX140" i="1"/>
  <c r="DW140" i="1" s="1"/>
  <c r="DZ140" i="1"/>
  <c r="DY140" i="1" s="1"/>
  <c r="EB140" i="1"/>
  <c r="EA140" i="1" s="1"/>
  <c r="ED140" i="1"/>
  <c r="EC140" i="1" s="1"/>
  <c r="EF140" i="1"/>
  <c r="EE140" i="1" s="1"/>
  <c r="EH140" i="1"/>
  <c r="EG140" i="1" s="1"/>
  <c r="EJ140" i="1"/>
  <c r="EI140" i="1" s="1"/>
  <c r="EL140" i="1"/>
  <c r="EK140" i="1" s="1"/>
  <c r="EN140" i="1"/>
  <c r="EM140" i="1" s="1"/>
  <c r="EO140" i="1"/>
  <c r="EP140" i="1"/>
  <c r="EQ140" i="1"/>
  <c r="ER140" i="1"/>
  <c r="ES140" i="1"/>
  <c r="ET140" i="1"/>
  <c r="EU140" i="1"/>
  <c r="EV140" i="1"/>
  <c r="EW140" i="1"/>
  <c r="EX140" i="1"/>
  <c r="EY140" i="1"/>
  <c r="EZ140" i="1"/>
  <c r="FA140" i="1"/>
  <c r="FB140" i="1"/>
  <c r="FC140" i="1"/>
  <c r="FD140" i="1"/>
  <c r="FE140" i="1"/>
  <c r="FF140" i="1"/>
  <c r="FG140" i="1"/>
  <c r="FH140" i="1"/>
  <c r="FI140" i="1"/>
  <c r="FJ140" i="1"/>
  <c r="FK140" i="1"/>
  <c r="FL140" i="1"/>
  <c r="FM140" i="1"/>
  <c r="FN140" i="1"/>
  <c r="FO140" i="1"/>
  <c r="FP140" i="1"/>
  <c r="FQ140" i="1"/>
  <c r="FR140" i="1"/>
  <c r="FS140" i="1"/>
  <c r="FT140" i="1"/>
  <c r="FU140" i="1"/>
  <c r="FW140" i="1"/>
  <c r="FV140" i="1" s="1"/>
  <c r="FY140" i="1"/>
  <c r="FX140" i="1" s="1"/>
  <c r="GA140" i="1"/>
  <c r="FZ140" i="1" s="1"/>
  <c r="GC140" i="1"/>
  <c r="GB140" i="1" s="1"/>
  <c r="GE140" i="1"/>
  <c r="GD140" i="1" s="1"/>
  <c r="GG140" i="1"/>
  <c r="GF140" i="1" s="1"/>
  <c r="GI140" i="1"/>
  <c r="GH140" i="1" s="1"/>
  <c r="GK140" i="1"/>
  <c r="GJ140" i="1" s="1"/>
  <c r="GM140" i="1"/>
  <c r="GL140" i="1" s="1"/>
  <c r="GO140" i="1"/>
  <c r="GN140" i="1" s="1"/>
  <c r="GQ140" i="1"/>
  <c r="GP140" i="1" s="1"/>
  <c r="GS140" i="1"/>
  <c r="GR140" i="1" s="1"/>
  <c r="GU140" i="1"/>
  <c r="GT140" i="1" s="1"/>
  <c r="GW140" i="1"/>
  <c r="GV140" i="1" s="1"/>
  <c r="GY140" i="1"/>
  <c r="GX140" i="1" s="1"/>
  <c r="HA140" i="1"/>
  <c r="GZ140" i="1" s="1"/>
  <c r="HC140" i="1"/>
  <c r="HB140" i="1" s="1"/>
  <c r="HE140" i="1"/>
  <c r="HD140" i="1" s="1"/>
  <c r="HG140" i="1"/>
  <c r="HF140" i="1" s="1"/>
  <c r="HI140" i="1"/>
  <c r="HH140" i="1" s="1"/>
  <c r="HK140" i="1"/>
  <c r="HJ140" i="1" s="1"/>
  <c r="HM140" i="1"/>
  <c r="HL140" i="1" s="1"/>
  <c r="HO140" i="1"/>
  <c r="HN140" i="1" s="1"/>
  <c r="HQ140" i="1"/>
  <c r="HP140" i="1" s="1"/>
  <c r="HS140" i="1"/>
  <c r="HR140" i="1" s="1"/>
  <c r="HU140" i="1"/>
  <c r="HT140" i="1" s="1"/>
  <c r="HW140" i="1"/>
  <c r="HV140" i="1" s="1"/>
  <c r="HY140" i="1"/>
  <c r="HX140" i="1" s="1"/>
  <c r="IA140" i="1"/>
  <c r="HZ140" i="1" s="1"/>
  <c r="IC140" i="1"/>
  <c r="IB140" i="1" s="1"/>
  <c r="IE140" i="1"/>
  <c r="ID140" i="1" s="1"/>
  <c r="IG140" i="1"/>
  <c r="IF140" i="1" s="1"/>
  <c r="II140" i="1"/>
  <c r="IH140" i="1" s="1"/>
  <c r="B127" i="119"/>
  <c r="B111" i="119" l="1"/>
  <c r="B128" i="119"/>
  <c r="B74" i="119"/>
  <c r="F120" i="152" l="1"/>
  <c r="F283" i="152"/>
  <c r="F100" i="152"/>
  <c r="H120" i="152"/>
  <c r="H283" i="152"/>
  <c r="H100" i="152"/>
  <c r="I120" i="152"/>
  <c r="I283" i="152"/>
  <c r="I100" i="152"/>
  <c r="F297" i="152" l="1"/>
  <c r="F325" i="152"/>
  <c r="H297" i="152"/>
  <c r="H325" i="152"/>
  <c r="I297" i="152"/>
  <c r="I325" i="152"/>
  <c r="F293" i="152" l="1"/>
  <c r="F129" i="152"/>
  <c r="F131" i="152"/>
  <c r="F450" i="152"/>
  <c r="H293" i="152"/>
  <c r="H129" i="152"/>
  <c r="H131" i="152"/>
  <c r="H450" i="152"/>
  <c r="I293" i="152"/>
  <c r="I129" i="152"/>
  <c r="I131" i="152"/>
  <c r="I450" i="152"/>
  <c r="B66" i="119" l="1"/>
  <c r="F209" i="152"/>
  <c r="F445" i="152"/>
  <c r="F439" i="152"/>
  <c r="F436" i="152"/>
  <c r="H209" i="152"/>
  <c r="H445" i="152"/>
  <c r="H439" i="152"/>
  <c r="H436" i="152"/>
  <c r="I209" i="152"/>
  <c r="I445" i="152"/>
  <c r="I439" i="152"/>
  <c r="I436" i="152"/>
  <c r="D179" i="1" l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J179" i="1"/>
  <c r="AI179" i="1" s="1"/>
  <c r="AL179" i="1"/>
  <c r="AK179" i="1" s="1"/>
  <c r="AN179" i="1"/>
  <c r="AM179" i="1" s="1"/>
  <c r="AP179" i="1"/>
  <c r="AO179" i="1" s="1"/>
  <c r="AR179" i="1"/>
  <c r="AQ179" i="1" s="1"/>
  <c r="AT179" i="1"/>
  <c r="AS179" i="1" s="1"/>
  <c r="AV179" i="1"/>
  <c r="AU179" i="1" s="1"/>
  <c r="AX179" i="1"/>
  <c r="AW179" i="1" s="1"/>
  <c r="AZ179" i="1"/>
  <c r="AY179" i="1" s="1"/>
  <c r="BB179" i="1"/>
  <c r="BA179" i="1" s="1"/>
  <c r="BD179" i="1"/>
  <c r="BC179" i="1" s="1"/>
  <c r="BF179" i="1"/>
  <c r="BE179" i="1" s="1"/>
  <c r="BH179" i="1"/>
  <c r="BG179" i="1" s="1"/>
  <c r="BJ179" i="1"/>
  <c r="BI179" i="1" s="1"/>
  <c r="BL179" i="1"/>
  <c r="BK179" i="1" s="1"/>
  <c r="BN179" i="1"/>
  <c r="BM179" i="1" s="1"/>
  <c r="BP179" i="1"/>
  <c r="BO179" i="1" s="1"/>
  <c r="BR179" i="1"/>
  <c r="BQ179" i="1" s="1"/>
  <c r="BT179" i="1"/>
  <c r="BS179" i="1" s="1"/>
  <c r="BV179" i="1"/>
  <c r="BU179" i="1" s="1"/>
  <c r="BX179" i="1"/>
  <c r="BW179" i="1" s="1"/>
  <c r="BZ179" i="1"/>
  <c r="BY179" i="1" s="1"/>
  <c r="CA179" i="1"/>
  <c r="CB179" i="1"/>
  <c r="CC179" i="1"/>
  <c r="CD179" i="1"/>
  <c r="CE179" i="1"/>
  <c r="CF179" i="1"/>
  <c r="CG179" i="1"/>
  <c r="CH179" i="1"/>
  <c r="CI179" i="1"/>
  <c r="CJ179" i="1"/>
  <c r="CK179" i="1"/>
  <c r="CL179" i="1"/>
  <c r="CM179" i="1"/>
  <c r="CN179" i="1"/>
  <c r="CO179" i="1"/>
  <c r="CP179" i="1"/>
  <c r="CQ179" i="1"/>
  <c r="CR179" i="1"/>
  <c r="CS179" i="1"/>
  <c r="CT179" i="1"/>
  <c r="CU179" i="1"/>
  <c r="CV179" i="1"/>
  <c r="CX179" i="1"/>
  <c r="CW179" i="1" s="1"/>
  <c r="CZ179" i="1"/>
  <c r="CY179" i="1" s="1"/>
  <c r="DB179" i="1"/>
  <c r="DA179" i="1" s="1"/>
  <c r="DD179" i="1"/>
  <c r="DC179" i="1" s="1"/>
  <c r="DF179" i="1"/>
  <c r="DE179" i="1" s="1"/>
  <c r="DH179" i="1"/>
  <c r="DG179" i="1" s="1"/>
  <c r="DJ179" i="1"/>
  <c r="DI179" i="1" s="1"/>
  <c r="DL179" i="1"/>
  <c r="DK179" i="1" s="1"/>
  <c r="DN179" i="1"/>
  <c r="DM179" i="1" s="1"/>
  <c r="DP179" i="1"/>
  <c r="DO179" i="1" s="1"/>
  <c r="DR179" i="1"/>
  <c r="DQ179" i="1" s="1"/>
  <c r="DT179" i="1"/>
  <c r="DS179" i="1" s="1"/>
  <c r="DV179" i="1"/>
  <c r="DU179" i="1" s="1"/>
  <c r="DX179" i="1"/>
  <c r="DW179" i="1" s="1"/>
  <c r="DZ179" i="1"/>
  <c r="DY179" i="1" s="1"/>
  <c r="EB179" i="1"/>
  <c r="EA179" i="1" s="1"/>
  <c r="ED179" i="1"/>
  <c r="EC179" i="1" s="1"/>
  <c r="EF179" i="1"/>
  <c r="EE179" i="1" s="1"/>
  <c r="EH179" i="1"/>
  <c r="EG179" i="1" s="1"/>
  <c r="EJ179" i="1"/>
  <c r="EI179" i="1" s="1"/>
  <c r="EL179" i="1"/>
  <c r="EK179" i="1" s="1"/>
  <c r="EN179" i="1"/>
  <c r="EM179" i="1" s="1"/>
  <c r="EO179" i="1"/>
  <c r="EP179" i="1"/>
  <c r="EQ179" i="1"/>
  <c r="ER179" i="1"/>
  <c r="ES179" i="1"/>
  <c r="ET179" i="1"/>
  <c r="EU179" i="1"/>
  <c r="EV179" i="1"/>
  <c r="EW179" i="1"/>
  <c r="EX179" i="1"/>
  <c r="EY179" i="1"/>
  <c r="EZ179" i="1"/>
  <c r="FA179" i="1"/>
  <c r="FB179" i="1"/>
  <c r="FC179" i="1"/>
  <c r="FD179" i="1"/>
  <c r="FE179" i="1"/>
  <c r="FF179" i="1"/>
  <c r="FG179" i="1"/>
  <c r="FH179" i="1"/>
  <c r="FI179" i="1"/>
  <c r="FJ179" i="1"/>
  <c r="FK179" i="1"/>
  <c r="FL179" i="1"/>
  <c r="FM179" i="1"/>
  <c r="FN179" i="1"/>
  <c r="FO179" i="1"/>
  <c r="FP179" i="1"/>
  <c r="FQ179" i="1"/>
  <c r="FR179" i="1"/>
  <c r="FS179" i="1"/>
  <c r="FT179" i="1"/>
  <c r="FU179" i="1"/>
  <c r="FW179" i="1"/>
  <c r="FV179" i="1" s="1"/>
  <c r="FY179" i="1"/>
  <c r="FX179" i="1" s="1"/>
  <c r="GA179" i="1"/>
  <c r="FZ179" i="1" s="1"/>
  <c r="GC179" i="1"/>
  <c r="GB179" i="1" s="1"/>
  <c r="GE179" i="1"/>
  <c r="GD179" i="1" s="1"/>
  <c r="GG179" i="1"/>
  <c r="GF179" i="1" s="1"/>
  <c r="GI179" i="1"/>
  <c r="GH179" i="1" s="1"/>
  <c r="GK179" i="1"/>
  <c r="GJ179" i="1" s="1"/>
  <c r="GM179" i="1"/>
  <c r="GL179" i="1" s="1"/>
  <c r="GO179" i="1"/>
  <c r="GN179" i="1" s="1"/>
  <c r="GQ179" i="1"/>
  <c r="GP179" i="1" s="1"/>
  <c r="GS179" i="1"/>
  <c r="GR179" i="1" s="1"/>
  <c r="GU179" i="1"/>
  <c r="GT179" i="1" s="1"/>
  <c r="GW179" i="1"/>
  <c r="GV179" i="1" s="1"/>
  <c r="GY179" i="1"/>
  <c r="GX179" i="1" s="1"/>
  <c r="HA179" i="1"/>
  <c r="GZ179" i="1" s="1"/>
  <c r="HC179" i="1"/>
  <c r="HB179" i="1" s="1"/>
  <c r="HE179" i="1"/>
  <c r="HD179" i="1" s="1"/>
  <c r="HG179" i="1"/>
  <c r="HF179" i="1" s="1"/>
  <c r="HI179" i="1"/>
  <c r="HH179" i="1" s="1"/>
  <c r="HK179" i="1"/>
  <c r="HJ179" i="1" s="1"/>
  <c r="HM179" i="1"/>
  <c r="HL179" i="1" s="1"/>
  <c r="HO179" i="1"/>
  <c r="HN179" i="1" s="1"/>
  <c r="HQ179" i="1"/>
  <c r="HP179" i="1" s="1"/>
  <c r="HS179" i="1"/>
  <c r="HR179" i="1" s="1"/>
  <c r="HU179" i="1"/>
  <c r="HT179" i="1" s="1"/>
  <c r="HW179" i="1"/>
  <c r="HV179" i="1" s="1"/>
  <c r="HY179" i="1"/>
  <c r="HX179" i="1" s="1"/>
  <c r="IA179" i="1"/>
  <c r="HZ179" i="1" s="1"/>
  <c r="IC179" i="1"/>
  <c r="IB179" i="1" s="1"/>
  <c r="IE179" i="1"/>
  <c r="ID179" i="1" s="1"/>
  <c r="IG179" i="1"/>
  <c r="IF179" i="1" s="1"/>
  <c r="II179" i="1"/>
  <c r="IH179" i="1" s="1"/>
  <c r="B84" i="119"/>
  <c r="B71" i="119"/>
  <c r="B92" i="119"/>
  <c r="B54" i="119"/>
  <c r="B103" i="119"/>
  <c r="F140" i="152"/>
  <c r="F136" i="152"/>
  <c r="F135" i="152"/>
  <c r="F453" i="152"/>
  <c r="F452" i="152"/>
  <c r="F455" i="152"/>
  <c r="H140" i="152"/>
  <c r="H136" i="152"/>
  <c r="H135" i="152"/>
  <c r="H453" i="152"/>
  <c r="H452" i="152"/>
  <c r="H455" i="152"/>
  <c r="I140" i="152"/>
  <c r="I136" i="152"/>
  <c r="I135" i="152"/>
  <c r="I453" i="152"/>
  <c r="I452" i="152"/>
  <c r="I455" i="152"/>
  <c r="F286" i="152" l="1"/>
  <c r="H286" i="152"/>
  <c r="I286" i="152"/>
  <c r="F502" i="152"/>
  <c r="H502" i="152"/>
  <c r="I502" i="152"/>
  <c r="F501" i="152"/>
  <c r="H501" i="152"/>
  <c r="I501" i="152"/>
  <c r="F377" i="152" l="1"/>
  <c r="F446" i="152"/>
  <c r="H377" i="152"/>
  <c r="H446" i="152"/>
  <c r="I377" i="152"/>
  <c r="I446" i="152"/>
  <c r="F90" i="152" l="1"/>
  <c r="F104" i="152"/>
  <c r="F260" i="152"/>
  <c r="F263" i="152"/>
  <c r="H90" i="152"/>
  <c r="H104" i="152"/>
  <c r="H260" i="152"/>
  <c r="H263" i="152"/>
  <c r="I90" i="152"/>
  <c r="I104" i="152"/>
  <c r="I260" i="152"/>
  <c r="I263" i="152"/>
  <c r="F130" i="152" l="1"/>
  <c r="F212" i="152"/>
  <c r="F379" i="152"/>
  <c r="H130" i="152"/>
  <c r="H212" i="152"/>
  <c r="H379" i="152"/>
  <c r="I130" i="152"/>
  <c r="I212" i="152"/>
  <c r="I379" i="152"/>
  <c r="B99" i="119" l="1"/>
  <c r="B83" i="119"/>
  <c r="B77" i="119" l="1"/>
  <c r="B126" i="119"/>
  <c r="B110" i="119" l="1"/>
  <c r="F292" i="152"/>
  <c r="F291" i="152"/>
  <c r="F235" i="152"/>
  <c r="F234" i="152"/>
  <c r="H292" i="152"/>
  <c r="H291" i="152"/>
  <c r="H235" i="152"/>
  <c r="H234" i="152"/>
  <c r="I292" i="152"/>
  <c r="I291" i="152"/>
  <c r="I235" i="152"/>
  <c r="I234" i="152"/>
  <c r="B4" i="119" l="1"/>
  <c r="F298" i="152"/>
  <c r="F295" i="152"/>
  <c r="F299" i="152"/>
  <c r="F296" i="152"/>
  <c r="H298" i="152"/>
  <c r="H295" i="152"/>
  <c r="H299" i="152"/>
  <c r="H296" i="152"/>
  <c r="I298" i="152"/>
  <c r="I295" i="152"/>
  <c r="I299" i="152"/>
  <c r="I296" i="152"/>
  <c r="D178" i="1" l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J178" i="1"/>
  <c r="AI178" i="1" s="1"/>
  <c r="AL178" i="1"/>
  <c r="AK178" i="1" s="1"/>
  <c r="AN178" i="1"/>
  <c r="AM178" i="1" s="1"/>
  <c r="AP178" i="1"/>
  <c r="AO178" i="1" s="1"/>
  <c r="AR178" i="1"/>
  <c r="AQ178" i="1" s="1"/>
  <c r="AT178" i="1"/>
  <c r="AS178" i="1" s="1"/>
  <c r="AV178" i="1"/>
  <c r="AU178" i="1" s="1"/>
  <c r="AX178" i="1"/>
  <c r="AW178" i="1" s="1"/>
  <c r="AZ178" i="1"/>
  <c r="AY178" i="1" s="1"/>
  <c r="BB178" i="1"/>
  <c r="BA178" i="1" s="1"/>
  <c r="BD178" i="1"/>
  <c r="BC178" i="1" s="1"/>
  <c r="BF178" i="1"/>
  <c r="BE178" i="1" s="1"/>
  <c r="BH178" i="1"/>
  <c r="BG178" i="1" s="1"/>
  <c r="BJ178" i="1"/>
  <c r="BI178" i="1" s="1"/>
  <c r="BL178" i="1"/>
  <c r="BK178" i="1" s="1"/>
  <c r="BN178" i="1"/>
  <c r="BM178" i="1" s="1"/>
  <c r="BP178" i="1"/>
  <c r="BO178" i="1" s="1"/>
  <c r="BR178" i="1"/>
  <c r="BQ178" i="1" s="1"/>
  <c r="BT178" i="1"/>
  <c r="BS178" i="1" s="1"/>
  <c r="BV178" i="1"/>
  <c r="BU178" i="1" s="1"/>
  <c r="BX178" i="1"/>
  <c r="BW178" i="1" s="1"/>
  <c r="BZ178" i="1"/>
  <c r="BY178" i="1" s="1"/>
  <c r="CA178" i="1"/>
  <c r="CB178" i="1"/>
  <c r="CC178" i="1"/>
  <c r="CD178" i="1"/>
  <c r="CE178" i="1"/>
  <c r="CF178" i="1"/>
  <c r="CG178" i="1"/>
  <c r="CH178" i="1"/>
  <c r="CI178" i="1"/>
  <c r="CJ178" i="1"/>
  <c r="CK178" i="1"/>
  <c r="CL178" i="1"/>
  <c r="CM178" i="1"/>
  <c r="CN178" i="1"/>
  <c r="CO178" i="1"/>
  <c r="CP178" i="1"/>
  <c r="CQ178" i="1"/>
  <c r="CR178" i="1"/>
  <c r="CS178" i="1"/>
  <c r="CT178" i="1"/>
  <c r="CU178" i="1"/>
  <c r="CV178" i="1"/>
  <c r="CX178" i="1"/>
  <c r="CW178" i="1" s="1"/>
  <c r="CZ178" i="1"/>
  <c r="CY178" i="1" s="1"/>
  <c r="DB178" i="1"/>
  <c r="DA178" i="1" s="1"/>
  <c r="DD178" i="1"/>
  <c r="DC178" i="1" s="1"/>
  <c r="DF178" i="1"/>
  <c r="DE178" i="1" s="1"/>
  <c r="DH178" i="1"/>
  <c r="DG178" i="1" s="1"/>
  <c r="DJ178" i="1"/>
  <c r="DI178" i="1" s="1"/>
  <c r="DL178" i="1"/>
  <c r="DK178" i="1" s="1"/>
  <c r="DN178" i="1"/>
  <c r="DM178" i="1" s="1"/>
  <c r="DP178" i="1"/>
  <c r="DO178" i="1" s="1"/>
  <c r="DR178" i="1"/>
  <c r="DQ178" i="1" s="1"/>
  <c r="DT178" i="1"/>
  <c r="DS178" i="1" s="1"/>
  <c r="DV178" i="1"/>
  <c r="DU178" i="1" s="1"/>
  <c r="DX178" i="1"/>
  <c r="DW178" i="1" s="1"/>
  <c r="DZ178" i="1"/>
  <c r="DY178" i="1" s="1"/>
  <c r="EB178" i="1"/>
  <c r="EA178" i="1" s="1"/>
  <c r="ED178" i="1"/>
  <c r="EC178" i="1" s="1"/>
  <c r="EF178" i="1"/>
  <c r="EE178" i="1" s="1"/>
  <c r="EH178" i="1"/>
  <c r="EG178" i="1" s="1"/>
  <c r="EJ178" i="1"/>
  <c r="EI178" i="1" s="1"/>
  <c r="EL178" i="1"/>
  <c r="EK178" i="1" s="1"/>
  <c r="EN178" i="1"/>
  <c r="EM178" i="1" s="1"/>
  <c r="EO178" i="1"/>
  <c r="EP178" i="1"/>
  <c r="EQ178" i="1"/>
  <c r="ER178" i="1"/>
  <c r="ES178" i="1"/>
  <c r="ET178" i="1"/>
  <c r="EU178" i="1"/>
  <c r="EV178" i="1"/>
  <c r="EW178" i="1"/>
  <c r="EX178" i="1"/>
  <c r="EY178" i="1"/>
  <c r="EZ178" i="1"/>
  <c r="FA178" i="1"/>
  <c r="FB178" i="1"/>
  <c r="FC178" i="1"/>
  <c r="FD178" i="1"/>
  <c r="FE178" i="1"/>
  <c r="FF178" i="1"/>
  <c r="FG178" i="1"/>
  <c r="FH178" i="1"/>
  <c r="FI178" i="1"/>
  <c r="FJ178" i="1"/>
  <c r="FK178" i="1"/>
  <c r="FL178" i="1"/>
  <c r="FM178" i="1"/>
  <c r="FN178" i="1"/>
  <c r="FO178" i="1"/>
  <c r="FP178" i="1"/>
  <c r="FQ178" i="1"/>
  <c r="FR178" i="1"/>
  <c r="FS178" i="1"/>
  <c r="FT178" i="1"/>
  <c r="FU178" i="1"/>
  <c r="FW178" i="1"/>
  <c r="FV178" i="1" s="1"/>
  <c r="FY178" i="1"/>
  <c r="FX178" i="1" s="1"/>
  <c r="GA178" i="1"/>
  <c r="FZ178" i="1" s="1"/>
  <c r="GC178" i="1"/>
  <c r="GB178" i="1" s="1"/>
  <c r="GE178" i="1"/>
  <c r="GD178" i="1" s="1"/>
  <c r="GG178" i="1"/>
  <c r="GF178" i="1" s="1"/>
  <c r="GI178" i="1"/>
  <c r="GH178" i="1" s="1"/>
  <c r="GK178" i="1"/>
  <c r="GJ178" i="1" s="1"/>
  <c r="GM178" i="1"/>
  <c r="GL178" i="1" s="1"/>
  <c r="GO178" i="1"/>
  <c r="GN178" i="1" s="1"/>
  <c r="GQ178" i="1"/>
  <c r="GP178" i="1" s="1"/>
  <c r="GS178" i="1"/>
  <c r="GR178" i="1" s="1"/>
  <c r="GU178" i="1"/>
  <c r="GT178" i="1" s="1"/>
  <c r="GW178" i="1"/>
  <c r="GV178" i="1" s="1"/>
  <c r="GY178" i="1"/>
  <c r="GX178" i="1" s="1"/>
  <c r="HA178" i="1"/>
  <c r="GZ178" i="1" s="1"/>
  <c r="HC178" i="1"/>
  <c r="HB178" i="1" s="1"/>
  <c r="HE178" i="1"/>
  <c r="HD178" i="1" s="1"/>
  <c r="HG178" i="1"/>
  <c r="HF178" i="1" s="1"/>
  <c r="HI178" i="1"/>
  <c r="HH178" i="1" s="1"/>
  <c r="HK178" i="1"/>
  <c r="HJ178" i="1" s="1"/>
  <c r="HM178" i="1"/>
  <c r="HL178" i="1" s="1"/>
  <c r="HO178" i="1"/>
  <c r="HN178" i="1" s="1"/>
  <c r="HQ178" i="1"/>
  <c r="HP178" i="1" s="1"/>
  <c r="HS178" i="1"/>
  <c r="HR178" i="1" s="1"/>
  <c r="HU178" i="1"/>
  <c r="HT178" i="1" s="1"/>
  <c r="HW178" i="1"/>
  <c r="HV178" i="1" s="1"/>
  <c r="HY178" i="1"/>
  <c r="HX178" i="1" s="1"/>
  <c r="IA178" i="1"/>
  <c r="HZ178" i="1" s="1"/>
  <c r="IC178" i="1"/>
  <c r="IB178" i="1" s="1"/>
  <c r="IE178" i="1"/>
  <c r="ID178" i="1" s="1"/>
  <c r="IG178" i="1"/>
  <c r="IF178" i="1" s="1"/>
  <c r="II178" i="1"/>
  <c r="IH178" i="1" s="1"/>
  <c r="U24" i="1"/>
  <c r="U26" i="1"/>
  <c r="U28" i="1"/>
  <c r="U30" i="1"/>
  <c r="U32" i="1"/>
  <c r="U21" i="1"/>
  <c r="U23" i="1"/>
  <c r="U25" i="1"/>
  <c r="U27" i="1"/>
  <c r="U29" i="1"/>
  <c r="U31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1" i="1"/>
  <c r="U142" i="1"/>
  <c r="U13" i="1"/>
  <c r="U14" i="1"/>
  <c r="U15" i="1"/>
  <c r="U16" i="1"/>
  <c r="U17" i="1"/>
  <c r="U19" i="1"/>
  <c r="U18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B100" i="119"/>
  <c r="B119" i="119"/>
  <c r="B114" i="119"/>
  <c r="B108" i="119"/>
  <c r="B3" i="119"/>
  <c r="B41" i="119"/>
  <c r="B52" i="119"/>
  <c r="B118" i="119"/>
  <c r="B81" i="119"/>
  <c r="B42" i="119"/>
  <c r="B22" i="119"/>
  <c r="B58" i="119"/>
  <c r="B56" i="119"/>
  <c r="B29" i="119"/>
  <c r="B17" i="119"/>
  <c r="B87" i="119"/>
  <c r="B55" i="119"/>
  <c r="B15" i="119"/>
  <c r="B53" i="119"/>
  <c r="B47" i="119"/>
  <c r="B34" i="119"/>
  <c r="B45" i="119"/>
  <c r="B61" i="119"/>
  <c r="B79" i="119"/>
  <c r="B124" i="119"/>
  <c r="B68" i="119"/>
  <c r="B94" i="119"/>
  <c r="B37" i="119"/>
  <c r="B65" i="119"/>
  <c r="B40" i="119"/>
  <c r="B95" i="119"/>
  <c r="B7" i="119"/>
  <c r="B112" i="119"/>
  <c r="B50" i="119"/>
  <c r="B75" i="119"/>
  <c r="B49" i="119"/>
  <c r="B73" i="119"/>
  <c r="B62" i="119"/>
  <c r="B106" i="119"/>
  <c r="B86" i="119"/>
  <c r="B8" i="119"/>
  <c r="B113" i="119"/>
  <c r="B117" i="119"/>
  <c r="B131" i="119"/>
  <c r="B46" i="119"/>
  <c r="B43" i="119"/>
  <c r="B59" i="119"/>
  <c r="B96" i="119"/>
  <c r="B85" i="119"/>
  <c r="B130" i="119"/>
  <c r="B91" i="119"/>
  <c r="B33" i="119"/>
  <c r="B76" i="119"/>
  <c r="B5" i="119"/>
  <c r="B24" i="119"/>
  <c r="B12" i="119"/>
  <c r="B39" i="119"/>
  <c r="B48" i="119"/>
  <c r="B102" i="119"/>
  <c r="B13" i="119"/>
  <c r="B60" i="119"/>
  <c r="B19" i="119"/>
  <c r="B101" i="119"/>
  <c r="B134" i="119"/>
  <c r="B80" i="119"/>
  <c r="B120" i="119"/>
  <c r="B26" i="119"/>
  <c r="B35" i="119"/>
  <c r="B36" i="119"/>
  <c r="B115" i="119"/>
  <c r="B23" i="119"/>
  <c r="B9" i="119"/>
  <c r="B125" i="119"/>
  <c r="B44" i="119"/>
  <c r="B30" i="119"/>
  <c r="B129" i="119"/>
  <c r="B69" i="119"/>
  <c r="B82" i="119"/>
  <c r="B31" i="119"/>
  <c r="B63" i="119"/>
  <c r="B11" i="119"/>
  <c r="B18" i="119"/>
  <c r="B28" i="119"/>
  <c r="B14" i="119"/>
  <c r="B51" i="119"/>
  <c r="B10" i="119"/>
  <c r="B116" i="119"/>
  <c r="B97" i="119"/>
  <c r="B21" i="119"/>
  <c r="B132" i="119"/>
  <c r="B104" i="119"/>
  <c r="B38" i="119"/>
  <c r="B121" i="119"/>
  <c r="B25" i="119"/>
  <c r="B109" i="119"/>
  <c r="B2" i="119"/>
  <c r="B6" i="119"/>
  <c r="B105" i="119"/>
  <c r="B98" i="119"/>
  <c r="B93" i="119"/>
  <c r="B72" i="119"/>
  <c r="B78" i="119"/>
  <c r="B122" i="119"/>
  <c r="B16" i="119"/>
  <c r="B67" i="119"/>
  <c r="B123" i="119"/>
  <c r="B133" i="119"/>
  <c r="B90" i="119"/>
  <c r="B57" i="119"/>
  <c r="B64" i="119"/>
  <c r="B27" i="119"/>
  <c r="B88" i="119"/>
  <c r="B89" i="119"/>
  <c r="B70" i="119"/>
  <c r="B107" i="119"/>
  <c r="B32" i="119"/>
  <c r="B20" i="119"/>
  <c r="U20" i="1" l="1"/>
  <c r="U22" i="1"/>
  <c r="F122" i="152"/>
  <c r="H122" i="152"/>
  <c r="I122" i="152"/>
  <c r="F370" i="152" l="1"/>
  <c r="F149" i="152"/>
  <c r="F150" i="152"/>
  <c r="F151" i="152"/>
  <c r="F280" i="152"/>
  <c r="F294" i="152"/>
  <c r="F306" i="152"/>
  <c r="F146" i="152"/>
  <c r="F144" i="152"/>
  <c r="F147" i="152"/>
  <c r="F145" i="152"/>
  <c r="F368" i="152"/>
  <c r="F369" i="152"/>
  <c r="F134" i="152"/>
  <c r="F305" i="152"/>
  <c r="F3" i="152"/>
  <c r="F137" i="152"/>
  <c r="F148" i="152"/>
  <c r="F156" i="152"/>
  <c r="F278" i="152"/>
  <c r="F279" i="152"/>
  <c r="F309" i="152"/>
  <c r="F123" i="152"/>
  <c r="F387" i="152"/>
  <c r="F386" i="152"/>
  <c r="F119" i="152"/>
  <c r="F118" i="152"/>
  <c r="F138" i="152"/>
  <c r="F282" i="152"/>
  <c r="F124" i="152"/>
  <c r="F127" i="152"/>
  <c r="F7" i="152"/>
  <c r="F126" i="152"/>
  <c r="F308" i="152"/>
  <c r="F5" i="152"/>
  <c r="F121" i="152"/>
  <c r="F133" i="152"/>
  <c r="F205" i="152"/>
  <c r="F139" i="152"/>
  <c r="F141" i="152"/>
  <c r="F142" i="152"/>
  <c r="F143" i="152"/>
  <c r="F157" i="152"/>
  <c r="F158" i="152"/>
  <c r="F159" i="152"/>
  <c r="F160" i="152"/>
  <c r="F161" i="152"/>
  <c r="F154" i="152"/>
  <c r="F155" i="152"/>
  <c r="F152" i="152"/>
  <c r="F153" i="152"/>
  <c r="F290" i="152"/>
  <c r="F132" i="152"/>
  <c r="F371" i="152"/>
  <c r="F372" i="152"/>
  <c r="F500" i="152"/>
  <c r="F499" i="152"/>
  <c r="F195" i="152"/>
  <c r="F172" i="152"/>
  <c r="F173" i="152"/>
  <c r="F262" i="152"/>
  <c r="F240" i="152"/>
  <c r="F456" i="152"/>
  <c r="H370" i="152"/>
  <c r="H149" i="152"/>
  <c r="H150" i="152"/>
  <c r="H151" i="152"/>
  <c r="H280" i="152"/>
  <c r="H294" i="152"/>
  <c r="H306" i="152"/>
  <c r="H146" i="152"/>
  <c r="H144" i="152"/>
  <c r="H147" i="152"/>
  <c r="H145" i="152"/>
  <c r="H368" i="152"/>
  <c r="H369" i="152"/>
  <c r="H134" i="152"/>
  <c r="H305" i="152"/>
  <c r="H3" i="152"/>
  <c r="H137" i="152"/>
  <c r="H148" i="152"/>
  <c r="H156" i="152"/>
  <c r="H278" i="152"/>
  <c r="H279" i="152"/>
  <c r="H309" i="152"/>
  <c r="H123" i="152"/>
  <c r="H387" i="152"/>
  <c r="H386" i="152"/>
  <c r="H119" i="152"/>
  <c r="H118" i="152"/>
  <c r="H138" i="152"/>
  <c r="H282" i="152"/>
  <c r="H124" i="152"/>
  <c r="H127" i="152"/>
  <c r="H7" i="152"/>
  <c r="H126" i="152"/>
  <c r="H308" i="152"/>
  <c r="H5" i="152"/>
  <c r="H121" i="152"/>
  <c r="H133" i="152"/>
  <c r="H205" i="152"/>
  <c r="H139" i="152"/>
  <c r="H141" i="152"/>
  <c r="H142" i="152"/>
  <c r="H143" i="152"/>
  <c r="H157" i="152"/>
  <c r="H158" i="152"/>
  <c r="H159" i="152"/>
  <c r="H160" i="152"/>
  <c r="H161" i="152"/>
  <c r="H154" i="152"/>
  <c r="H155" i="152"/>
  <c r="H152" i="152"/>
  <c r="H153" i="152"/>
  <c r="H290" i="152"/>
  <c r="H132" i="152"/>
  <c r="H371" i="152"/>
  <c r="H372" i="152"/>
  <c r="H500" i="152"/>
  <c r="H499" i="152"/>
  <c r="H195" i="152"/>
  <c r="H172" i="152"/>
  <c r="H173" i="152"/>
  <c r="H262" i="152"/>
  <c r="H240" i="152"/>
  <c r="H456" i="152"/>
  <c r="I370" i="152"/>
  <c r="I149" i="152"/>
  <c r="I150" i="152"/>
  <c r="I151" i="152"/>
  <c r="I280" i="152"/>
  <c r="I294" i="152"/>
  <c r="I306" i="152"/>
  <c r="I146" i="152"/>
  <c r="I144" i="152"/>
  <c r="I147" i="152"/>
  <c r="I145" i="152"/>
  <c r="I368" i="152"/>
  <c r="I369" i="152"/>
  <c r="I134" i="152"/>
  <c r="I305" i="152"/>
  <c r="I3" i="152"/>
  <c r="I137" i="152"/>
  <c r="I148" i="152"/>
  <c r="I156" i="152"/>
  <c r="I278" i="152"/>
  <c r="I279" i="152"/>
  <c r="I309" i="152"/>
  <c r="I123" i="152"/>
  <c r="I387" i="152"/>
  <c r="I386" i="152"/>
  <c r="I119" i="152"/>
  <c r="I118" i="152"/>
  <c r="I138" i="152"/>
  <c r="I282" i="152"/>
  <c r="I124" i="152"/>
  <c r="I127" i="152"/>
  <c r="I7" i="152"/>
  <c r="I126" i="152"/>
  <c r="I308" i="152"/>
  <c r="I5" i="152"/>
  <c r="I121" i="152"/>
  <c r="I133" i="152"/>
  <c r="I205" i="152"/>
  <c r="I139" i="152"/>
  <c r="I141" i="152"/>
  <c r="I142" i="152"/>
  <c r="I143" i="152"/>
  <c r="I157" i="152"/>
  <c r="I158" i="152"/>
  <c r="I159" i="152"/>
  <c r="I160" i="152"/>
  <c r="I161" i="152"/>
  <c r="I154" i="152"/>
  <c r="I155" i="152"/>
  <c r="I152" i="152"/>
  <c r="I153" i="152"/>
  <c r="I290" i="152"/>
  <c r="I132" i="152"/>
  <c r="I371" i="152"/>
  <c r="I372" i="152"/>
  <c r="I500" i="152"/>
  <c r="I499" i="152"/>
  <c r="I195" i="152"/>
  <c r="I172" i="152"/>
  <c r="I173" i="152"/>
  <c r="I262" i="152"/>
  <c r="I240" i="152"/>
  <c r="I456" i="152"/>
  <c r="D175" i="1" l="1"/>
  <c r="D176" i="1"/>
  <c r="D177" i="1"/>
  <c r="E175" i="1"/>
  <c r="E176" i="1"/>
  <c r="E177" i="1"/>
  <c r="F175" i="1"/>
  <c r="F176" i="1"/>
  <c r="F177" i="1"/>
  <c r="G175" i="1"/>
  <c r="G176" i="1"/>
  <c r="G177" i="1"/>
  <c r="H175" i="1"/>
  <c r="H176" i="1"/>
  <c r="H177" i="1"/>
  <c r="I175" i="1"/>
  <c r="I176" i="1"/>
  <c r="I177" i="1"/>
  <c r="J175" i="1"/>
  <c r="J176" i="1"/>
  <c r="J177" i="1"/>
  <c r="K175" i="1"/>
  <c r="K176" i="1"/>
  <c r="K177" i="1"/>
  <c r="L175" i="1"/>
  <c r="L176" i="1"/>
  <c r="L177" i="1"/>
  <c r="M175" i="1"/>
  <c r="M176" i="1"/>
  <c r="M177" i="1"/>
  <c r="N175" i="1"/>
  <c r="N176" i="1"/>
  <c r="N177" i="1"/>
  <c r="O175" i="1"/>
  <c r="O176" i="1"/>
  <c r="O177" i="1"/>
  <c r="P175" i="1"/>
  <c r="P176" i="1"/>
  <c r="P177" i="1"/>
  <c r="Q175" i="1"/>
  <c r="Q176" i="1"/>
  <c r="Q177" i="1"/>
  <c r="R175" i="1"/>
  <c r="R176" i="1"/>
  <c r="R177" i="1"/>
  <c r="S175" i="1"/>
  <c r="S176" i="1"/>
  <c r="S177" i="1"/>
  <c r="T175" i="1"/>
  <c r="T176" i="1"/>
  <c r="T177" i="1"/>
  <c r="V175" i="1"/>
  <c r="V176" i="1"/>
  <c r="V177" i="1"/>
  <c r="W175" i="1"/>
  <c r="W176" i="1"/>
  <c r="W177" i="1"/>
  <c r="X175" i="1"/>
  <c r="X176" i="1"/>
  <c r="X177" i="1"/>
  <c r="Y175" i="1"/>
  <c r="Y176" i="1"/>
  <c r="Y177" i="1"/>
  <c r="Z175" i="1"/>
  <c r="Z176" i="1"/>
  <c r="Z177" i="1"/>
  <c r="AA175" i="1"/>
  <c r="AA176" i="1"/>
  <c r="AA177" i="1"/>
  <c r="AB175" i="1"/>
  <c r="AB176" i="1"/>
  <c r="AB177" i="1"/>
  <c r="AC175" i="1"/>
  <c r="AC176" i="1"/>
  <c r="AC177" i="1"/>
  <c r="AD175" i="1"/>
  <c r="AD176" i="1"/>
  <c r="AD177" i="1"/>
  <c r="AE175" i="1"/>
  <c r="AE176" i="1"/>
  <c r="AE177" i="1"/>
  <c r="AF175" i="1"/>
  <c r="AF176" i="1"/>
  <c r="AF177" i="1"/>
  <c r="AG175" i="1"/>
  <c r="AG176" i="1"/>
  <c r="AG177" i="1"/>
  <c r="AH175" i="1"/>
  <c r="AH176" i="1"/>
  <c r="AH177" i="1"/>
  <c r="AJ175" i="1"/>
  <c r="AI175" i="1" s="1"/>
  <c r="AJ176" i="1"/>
  <c r="AI176" i="1" s="1"/>
  <c r="AJ177" i="1"/>
  <c r="AI177" i="1" s="1"/>
  <c r="AL175" i="1"/>
  <c r="AK175" i="1" s="1"/>
  <c r="AL176" i="1"/>
  <c r="AK176" i="1" s="1"/>
  <c r="AL177" i="1"/>
  <c r="AK177" i="1" s="1"/>
  <c r="AN175" i="1"/>
  <c r="AM175" i="1" s="1"/>
  <c r="AN176" i="1"/>
  <c r="AM176" i="1" s="1"/>
  <c r="AN177" i="1"/>
  <c r="AM177" i="1" s="1"/>
  <c r="AP175" i="1"/>
  <c r="AO175" i="1" s="1"/>
  <c r="AP176" i="1"/>
  <c r="AO176" i="1" s="1"/>
  <c r="AP177" i="1"/>
  <c r="AO177" i="1" s="1"/>
  <c r="AR175" i="1"/>
  <c r="AQ175" i="1" s="1"/>
  <c r="AR176" i="1"/>
  <c r="AQ176" i="1" s="1"/>
  <c r="AR177" i="1"/>
  <c r="AQ177" i="1" s="1"/>
  <c r="AT175" i="1"/>
  <c r="AS175" i="1" s="1"/>
  <c r="AT176" i="1"/>
  <c r="AS176" i="1" s="1"/>
  <c r="AT177" i="1"/>
  <c r="AS177" i="1" s="1"/>
  <c r="AV175" i="1"/>
  <c r="AU175" i="1" s="1"/>
  <c r="AV176" i="1"/>
  <c r="AU176" i="1" s="1"/>
  <c r="AV177" i="1"/>
  <c r="AU177" i="1" s="1"/>
  <c r="AX175" i="1"/>
  <c r="AW175" i="1" s="1"/>
  <c r="AX176" i="1"/>
  <c r="AW176" i="1" s="1"/>
  <c r="AX177" i="1"/>
  <c r="AW177" i="1" s="1"/>
  <c r="AZ175" i="1"/>
  <c r="AY175" i="1" s="1"/>
  <c r="AZ176" i="1"/>
  <c r="AY176" i="1" s="1"/>
  <c r="AZ177" i="1"/>
  <c r="AY177" i="1" s="1"/>
  <c r="BB175" i="1"/>
  <c r="BA175" i="1" s="1"/>
  <c r="BB176" i="1"/>
  <c r="BA176" i="1" s="1"/>
  <c r="BB177" i="1"/>
  <c r="BA177" i="1" s="1"/>
  <c r="BD175" i="1"/>
  <c r="BC175" i="1" s="1"/>
  <c r="BD176" i="1"/>
  <c r="BC176" i="1" s="1"/>
  <c r="BD177" i="1"/>
  <c r="BC177" i="1" s="1"/>
  <c r="BF175" i="1"/>
  <c r="BE175" i="1" s="1"/>
  <c r="BF176" i="1"/>
  <c r="BE176" i="1" s="1"/>
  <c r="BF177" i="1"/>
  <c r="BE177" i="1" s="1"/>
  <c r="BH175" i="1"/>
  <c r="BG175" i="1" s="1"/>
  <c r="BH176" i="1"/>
  <c r="BG176" i="1" s="1"/>
  <c r="BH177" i="1"/>
  <c r="BG177" i="1" s="1"/>
  <c r="BJ175" i="1"/>
  <c r="BI175" i="1" s="1"/>
  <c r="BJ176" i="1"/>
  <c r="BI176" i="1" s="1"/>
  <c r="BJ177" i="1"/>
  <c r="BI177" i="1" s="1"/>
  <c r="BL175" i="1"/>
  <c r="BK175" i="1" s="1"/>
  <c r="BL176" i="1"/>
  <c r="BK176" i="1" s="1"/>
  <c r="BL177" i="1"/>
  <c r="BK177" i="1" s="1"/>
  <c r="BN175" i="1"/>
  <c r="BM175" i="1" s="1"/>
  <c r="BN176" i="1"/>
  <c r="BM176" i="1" s="1"/>
  <c r="BN177" i="1"/>
  <c r="BM177" i="1" s="1"/>
  <c r="BP175" i="1"/>
  <c r="BO175" i="1" s="1"/>
  <c r="BP176" i="1"/>
  <c r="BO176" i="1" s="1"/>
  <c r="BP177" i="1"/>
  <c r="BO177" i="1" s="1"/>
  <c r="BR175" i="1"/>
  <c r="BQ175" i="1" s="1"/>
  <c r="BR176" i="1"/>
  <c r="BQ176" i="1" s="1"/>
  <c r="BR177" i="1"/>
  <c r="BQ177" i="1" s="1"/>
  <c r="BT175" i="1"/>
  <c r="BS175" i="1" s="1"/>
  <c r="BT176" i="1"/>
  <c r="BS176" i="1" s="1"/>
  <c r="BT177" i="1"/>
  <c r="BS177" i="1" s="1"/>
  <c r="BV175" i="1"/>
  <c r="BU175" i="1" s="1"/>
  <c r="BV176" i="1"/>
  <c r="BU176" i="1" s="1"/>
  <c r="BV177" i="1"/>
  <c r="BU177" i="1" s="1"/>
  <c r="BX175" i="1"/>
  <c r="BW175" i="1" s="1"/>
  <c r="BX176" i="1"/>
  <c r="BW176" i="1" s="1"/>
  <c r="BX177" i="1"/>
  <c r="BW177" i="1" s="1"/>
  <c r="BZ175" i="1"/>
  <c r="BY175" i="1" s="1"/>
  <c r="BZ176" i="1"/>
  <c r="BY176" i="1" s="1"/>
  <c r="BZ177" i="1"/>
  <c r="BY177" i="1" s="1"/>
  <c r="CA175" i="1"/>
  <c r="CA176" i="1"/>
  <c r="CA177" i="1"/>
  <c r="CB175" i="1"/>
  <c r="CB176" i="1"/>
  <c r="CB177" i="1"/>
  <c r="CC175" i="1"/>
  <c r="CC176" i="1"/>
  <c r="CC177" i="1"/>
  <c r="CD175" i="1"/>
  <c r="CD176" i="1"/>
  <c r="CD177" i="1"/>
  <c r="CE175" i="1"/>
  <c r="CE176" i="1"/>
  <c r="CE177" i="1"/>
  <c r="CF175" i="1"/>
  <c r="CF176" i="1"/>
  <c r="CF177" i="1"/>
  <c r="CG175" i="1"/>
  <c r="CG176" i="1"/>
  <c r="CG177" i="1"/>
  <c r="CH175" i="1"/>
  <c r="CH176" i="1"/>
  <c r="CH177" i="1"/>
  <c r="CI175" i="1"/>
  <c r="CI176" i="1"/>
  <c r="CI177" i="1"/>
  <c r="CJ175" i="1"/>
  <c r="CJ176" i="1"/>
  <c r="CJ177" i="1"/>
  <c r="CK175" i="1"/>
  <c r="CK176" i="1"/>
  <c r="CK177" i="1"/>
  <c r="CL175" i="1"/>
  <c r="CL176" i="1"/>
  <c r="CL177" i="1"/>
  <c r="CM175" i="1"/>
  <c r="CM176" i="1"/>
  <c r="CM177" i="1"/>
  <c r="CN175" i="1"/>
  <c r="CN176" i="1"/>
  <c r="CN177" i="1"/>
  <c r="CO175" i="1"/>
  <c r="CO176" i="1"/>
  <c r="CO177" i="1"/>
  <c r="CP175" i="1"/>
  <c r="CP176" i="1"/>
  <c r="CP177" i="1"/>
  <c r="CQ175" i="1"/>
  <c r="CQ176" i="1"/>
  <c r="CQ177" i="1"/>
  <c r="CR175" i="1"/>
  <c r="CR176" i="1"/>
  <c r="CR177" i="1"/>
  <c r="CS175" i="1"/>
  <c r="CS176" i="1"/>
  <c r="CS177" i="1"/>
  <c r="CT175" i="1"/>
  <c r="CT176" i="1"/>
  <c r="CT177" i="1"/>
  <c r="CU175" i="1"/>
  <c r="CU176" i="1"/>
  <c r="CU177" i="1"/>
  <c r="CV175" i="1"/>
  <c r="CV176" i="1"/>
  <c r="CV177" i="1"/>
  <c r="CX175" i="1"/>
  <c r="CW175" i="1" s="1"/>
  <c r="CX176" i="1"/>
  <c r="CW176" i="1" s="1"/>
  <c r="CX177" i="1"/>
  <c r="CW177" i="1" s="1"/>
  <c r="CZ175" i="1"/>
  <c r="CY175" i="1" s="1"/>
  <c r="CZ176" i="1"/>
  <c r="CY176" i="1" s="1"/>
  <c r="CZ177" i="1"/>
  <c r="CY177" i="1" s="1"/>
  <c r="DB175" i="1"/>
  <c r="DA175" i="1" s="1"/>
  <c r="DB176" i="1"/>
  <c r="DA176" i="1" s="1"/>
  <c r="DB177" i="1"/>
  <c r="DA177" i="1" s="1"/>
  <c r="DD175" i="1"/>
  <c r="DC175" i="1" s="1"/>
  <c r="DD176" i="1"/>
  <c r="DC176" i="1" s="1"/>
  <c r="DD177" i="1"/>
  <c r="DC177" i="1" s="1"/>
  <c r="DF175" i="1"/>
  <c r="DE175" i="1" s="1"/>
  <c r="DF176" i="1"/>
  <c r="DE176" i="1" s="1"/>
  <c r="DF177" i="1"/>
  <c r="DE177" i="1" s="1"/>
  <c r="DH175" i="1"/>
  <c r="DG175" i="1" s="1"/>
  <c r="DH176" i="1"/>
  <c r="DG176" i="1" s="1"/>
  <c r="DH177" i="1"/>
  <c r="DG177" i="1" s="1"/>
  <c r="DJ175" i="1"/>
  <c r="DI175" i="1" s="1"/>
  <c r="DJ176" i="1"/>
  <c r="DI176" i="1" s="1"/>
  <c r="DJ177" i="1"/>
  <c r="DI177" i="1" s="1"/>
  <c r="DL175" i="1"/>
  <c r="DK175" i="1" s="1"/>
  <c r="DL176" i="1"/>
  <c r="DK176" i="1" s="1"/>
  <c r="DL177" i="1"/>
  <c r="DK177" i="1" s="1"/>
  <c r="DN175" i="1"/>
  <c r="DM175" i="1" s="1"/>
  <c r="DN176" i="1"/>
  <c r="DM176" i="1" s="1"/>
  <c r="DN177" i="1"/>
  <c r="DM177" i="1" s="1"/>
  <c r="DP175" i="1"/>
  <c r="DO175" i="1" s="1"/>
  <c r="DP176" i="1"/>
  <c r="DO176" i="1" s="1"/>
  <c r="DP177" i="1"/>
  <c r="DO177" i="1" s="1"/>
  <c r="DR175" i="1"/>
  <c r="DQ175" i="1" s="1"/>
  <c r="DR176" i="1"/>
  <c r="DQ176" i="1" s="1"/>
  <c r="DR177" i="1"/>
  <c r="DQ177" i="1" s="1"/>
  <c r="DT175" i="1"/>
  <c r="DS175" i="1" s="1"/>
  <c r="DT176" i="1"/>
  <c r="DS176" i="1" s="1"/>
  <c r="DT177" i="1"/>
  <c r="DS177" i="1" s="1"/>
  <c r="DV175" i="1"/>
  <c r="DU175" i="1" s="1"/>
  <c r="DV176" i="1"/>
  <c r="DU176" i="1" s="1"/>
  <c r="DV177" i="1"/>
  <c r="DU177" i="1" s="1"/>
  <c r="DX175" i="1"/>
  <c r="DW175" i="1" s="1"/>
  <c r="DX176" i="1"/>
  <c r="DW176" i="1" s="1"/>
  <c r="DX177" i="1"/>
  <c r="DW177" i="1" s="1"/>
  <c r="DZ175" i="1"/>
  <c r="DY175" i="1" s="1"/>
  <c r="DZ176" i="1"/>
  <c r="DY176" i="1" s="1"/>
  <c r="DZ177" i="1"/>
  <c r="DY177" i="1" s="1"/>
  <c r="EB175" i="1"/>
  <c r="EA175" i="1" s="1"/>
  <c r="EB176" i="1"/>
  <c r="EA176" i="1" s="1"/>
  <c r="EB177" i="1"/>
  <c r="EA177" i="1" s="1"/>
  <c r="ED175" i="1"/>
  <c r="EC175" i="1" s="1"/>
  <c r="ED176" i="1"/>
  <c r="EC176" i="1" s="1"/>
  <c r="ED177" i="1"/>
  <c r="EC177" i="1" s="1"/>
  <c r="EF175" i="1"/>
  <c r="EE175" i="1" s="1"/>
  <c r="EF176" i="1"/>
  <c r="EE176" i="1" s="1"/>
  <c r="EF177" i="1"/>
  <c r="EE177" i="1" s="1"/>
  <c r="EH175" i="1"/>
  <c r="EG175" i="1" s="1"/>
  <c r="EH176" i="1"/>
  <c r="EG176" i="1" s="1"/>
  <c r="EH177" i="1"/>
  <c r="EG177" i="1" s="1"/>
  <c r="EJ175" i="1"/>
  <c r="EI175" i="1" s="1"/>
  <c r="EJ176" i="1"/>
  <c r="EI176" i="1" s="1"/>
  <c r="EJ177" i="1"/>
  <c r="EI177" i="1" s="1"/>
  <c r="EL175" i="1"/>
  <c r="EK175" i="1" s="1"/>
  <c r="EL176" i="1"/>
  <c r="EK176" i="1" s="1"/>
  <c r="EL177" i="1"/>
  <c r="EK177" i="1" s="1"/>
  <c r="EN175" i="1"/>
  <c r="EM175" i="1" s="1"/>
  <c r="EN176" i="1"/>
  <c r="EM176" i="1" s="1"/>
  <c r="EN177" i="1"/>
  <c r="EM177" i="1" s="1"/>
  <c r="EO175" i="1"/>
  <c r="EO176" i="1"/>
  <c r="EO177" i="1"/>
  <c r="EP175" i="1"/>
  <c r="EP176" i="1"/>
  <c r="EP177" i="1"/>
  <c r="EQ175" i="1"/>
  <c r="EQ176" i="1"/>
  <c r="EQ177" i="1"/>
  <c r="ER175" i="1"/>
  <c r="ER176" i="1"/>
  <c r="ER177" i="1"/>
  <c r="ES175" i="1"/>
  <c r="ES176" i="1"/>
  <c r="ES177" i="1"/>
  <c r="ET175" i="1"/>
  <c r="ET176" i="1"/>
  <c r="ET177" i="1"/>
  <c r="EU175" i="1"/>
  <c r="EU176" i="1"/>
  <c r="EU177" i="1"/>
  <c r="EV175" i="1"/>
  <c r="EV176" i="1"/>
  <c r="EV177" i="1"/>
  <c r="EW175" i="1"/>
  <c r="EW176" i="1"/>
  <c r="EW177" i="1"/>
  <c r="EX175" i="1"/>
  <c r="EX176" i="1"/>
  <c r="EX177" i="1"/>
  <c r="EY175" i="1"/>
  <c r="EY176" i="1"/>
  <c r="EY177" i="1"/>
  <c r="EZ175" i="1"/>
  <c r="EZ176" i="1"/>
  <c r="EZ177" i="1"/>
  <c r="FA175" i="1"/>
  <c r="FA176" i="1"/>
  <c r="FA177" i="1"/>
  <c r="FB175" i="1"/>
  <c r="FB176" i="1"/>
  <c r="FB177" i="1"/>
  <c r="FC175" i="1"/>
  <c r="FC176" i="1"/>
  <c r="FC177" i="1"/>
  <c r="FD175" i="1"/>
  <c r="FD176" i="1"/>
  <c r="FD177" i="1"/>
  <c r="FE175" i="1"/>
  <c r="FE176" i="1"/>
  <c r="FE177" i="1"/>
  <c r="FF175" i="1"/>
  <c r="FF176" i="1"/>
  <c r="FF177" i="1"/>
  <c r="FG175" i="1"/>
  <c r="FG176" i="1"/>
  <c r="FG177" i="1"/>
  <c r="FH175" i="1"/>
  <c r="FH176" i="1"/>
  <c r="FH177" i="1"/>
  <c r="FI175" i="1"/>
  <c r="FI176" i="1"/>
  <c r="FI177" i="1"/>
  <c r="FJ175" i="1"/>
  <c r="FJ176" i="1"/>
  <c r="FJ177" i="1"/>
  <c r="FK175" i="1"/>
  <c r="FK176" i="1"/>
  <c r="FK177" i="1"/>
  <c r="FL175" i="1"/>
  <c r="FL176" i="1"/>
  <c r="FL177" i="1"/>
  <c r="FM175" i="1"/>
  <c r="FM176" i="1"/>
  <c r="FM177" i="1"/>
  <c r="FN175" i="1"/>
  <c r="FN176" i="1"/>
  <c r="FN177" i="1"/>
  <c r="FO175" i="1"/>
  <c r="FO176" i="1"/>
  <c r="FO177" i="1"/>
  <c r="FP175" i="1"/>
  <c r="FP176" i="1"/>
  <c r="FP177" i="1"/>
  <c r="FQ175" i="1"/>
  <c r="FQ176" i="1"/>
  <c r="FQ177" i="1"/>
  <c r="FR175" i="1"/>
  <c r="FR176" i="1"/>
  <c r="FR177" i="1"/>
  <c r="FS175" i="1"/>
  <c r="FS176" i="1"/>
  <c r="FS177" i="1"/>
  <c r="FT175" i="1"/>
  <c r="FT176" i="1"/>
  <c r="FT177" i="1"/>
  <c r="FU175" i="1"/>
  <c r="FU176" i="1"/>
  <c r="FU177" i="1"/>
  <c r="FW175" i="1"/>
  <c r="FV175" i="1" s="1"/>
  <c r="FW176" i="1"/>
  <c r="FV176" i="1" s="1"/>
  <c r="FW177" i="1"/>
  <c r="FV177" i="1" s="1"/>
  <c r="FY175" i="1"/>
  <c r="FX175" i="1" s="1"/>
  <c r="FY176" i="1"/>
  <c r="FX176" i="1" s="1"/>
  <c r="FY177" i="1"/>
  <c r="FX177" i="1" s="1"/>
  <c r="GA175" i="1"/>
  <c r="FZ175" i="1" s="1"/>
  <c r="GA176" i="1"/>
  <c r="FZ176" i="1" s="1"/>
  <c r="GA177" i="1"/>
  <c r="FZ177" i="1" s="1"/>
  <c r="GC175" i="1"/>
  <c r="GB175" i="1" s="1"/>
  <c r="GC176" i="1"/>
  <c r="GB176" i="1" s="1"/>
  <c r="GC177" i="1"/>
  <c r="GB177" i="1" s="1"/>
  <c r="GE175" i="1"/>
  <c r="GD175" i="1" s="1"/>
  <c r="GE176" i="1"/>
  <c r="GD176" i="1" s="1"/>
  <c r="GE177" i="1"/>
  <c r="GD177" i="1" s="1"/>
  <c r="GG175" i="1"/>
  <c r="GF175" i="1" s="1"/>
  <c r="GG176" i="1"/>
  <c r="GF176" i="1" s="1"/>
  <c r="GG177" i="1"/>
  <c r="GF177" i="1" s="1"/>
  <c r="GI175" i="1"/>
  <c r="GH175" i="1" s="1"/>
  <c r="GI176" i="1"/>
  <c r="GH176" i="1" s="1"/>
  <c r="GI177" i="1"/>
  <c r="GH177" i="1" s="1"/>
  <c r="GK175" i="1"/>
  <c r="GJ175" i="1" s="1"/>
  <c r="GK176" i="1"/>
  <c r="GJ176" i="1" s="1"/>
  <c r="GK177" i="1"/>
  <c r="GJ177" i="1" s="1"/>
  <c r="GM175" i="1"/>
  <c r="GL175" i="1" s="1"/>
  <c r="GM176" i="1"/>
  <c r="GL176" i="1" s="1"/>
  <c r="GM177" i="1"/>
  <c r="GL177" i="1" s="1"/>
  <c r="GO175" i="1"/>
  <c r="GN175" i="1" s="1"/>
  <c r="GO176" i="1"/>
  <c r="GN176" i="1" s="1"/>
  <c r="GO177" i="1"/>
  <c r="GN177" i="1" s="1"/>
  <c r="GQ175" i="1"/>
  <c r="GP175" i="1" s="1"/>
  <c r="GQ176" i="1"/>
  <c r="GP176" i="1" s="1"/>
  <c r="GQ177" i="1"/>
  <c r="GP177" i="1" s="1"/>
  <c r="GS175" i="1"/>
  <c r="GR175" i="1" s="1"/>
  <c r="GS176" i="1"/>
  <c r="GR176" i="1" s="1"/>
  <c r="GS177" i="1"/>
  <c r="GR177" i="1" s="1"/>
  <c r="GU175" i="1"/>
  <c r="GT175" i="1" s="1"/>
  <c r="GU176" i="1"/>
  <c r="GT176" i="1" s="1"/>
  <c r="GU177" i="1"/>
  <c r="GT177" i="1" s="1"/>
  <c r="GW175" i="1"/>
  <c r="GV175" i="1" s="1"/>
  <c r="GW176" i="1"/>
  <c r="GV176" i="1" s="1"/>
  <c r="GW177" i="1"/>
  <c r="GV177" i="1" s="1"/>
  <c r="GY175" i="1"/>
  <c r="GX175" i="1" s="1"/>
  <c r="GY176" i="1"/>
  <c r="GX176" i="1" s="1"/>
  <c r="GY177" i="1"/>
  <c r="GX177" i="1" s="1"/>
  <c r="HA175" i="1"/>
  <c r="GZ175" i="1" s="1"/>
  <c r="HA176" i="1"/>
  <c r="GZ176" i="1" s="1"/>
  <c r="HA177" i="1"/>
  <c r="GZ177" i="1" s="1"/>
  <c r="HC175" i="1"/>
  <c r="HB175" i="1" s="1"/>
  <c r="HC176" i="1"/>
  <c r="HB176" i="1" s="1"/>
  <c r="HC177" i="1"/>
  <c r="HB177" i="1" s="1"/>
  <c r="HE175" i="1"/>
  <c r="HD175" i="1" s="1"/>
  <c r="HE176" i="1"/>
  <c r="HD176" i="1" s="1"/>
  <c r="HE177" i="1"/>
  <c r="HD177" i="1" s="1"/>
  <c r="HG175" i="1"/>
  <c r="HF175" i="1" s="1"/>
  <c r="HG176" i="1"/>
  <c r="HF176" i="1" s="1"/>
  <c r="HG177" i="1"/>
  <c r="HF177" i="1" s="1"/>
  <c r="HI175" i="1"/>
  <c r="HH175" i="1" s="1"/>
  <c r="HI176" i="1"/>
  <c r="HH176" i="1" s="1"/>
  <c r="HI177" i="1"/>
  <c r="HH177" i="1" s="1"/>
  <c r="HK175" i="1"/>
  <c r="HJ175" i="1" s="1"/>
  <c r="HK176" i="1"/>
  <c r="HJ176" i="1" s="1"/>
  <c r="HK177" i="1"/>
  <c r="HJ177" i="1" s="1"/>
  <c r="HM175" i="1"/>
  <c r="HL175" i="1" s="1"/>
  <c r="HM176" i="1"/>
  <c r="HL176" i="1" s="1"/>
  <c r="HM177" i="1"/>
  <c r="HL177" i="1" s="1"/>
  <c r="HO175" i="1"/>
  <c r="HN175" i="1" s="1"/>
  <c r="HO176" i="1"/>
  <c r="HN176" i="1" s="1"/>
  <c r="HO177" i="1"/>
  <c r="HN177" i="1" s="1"/>
  <c r="HQ175" i="1"/>
  <c r="HP175" i="1" s="1"/>
  <c r="HQ176" i="1"/>
  <c r="HP176" i="1" s="1"/>
  <c r="HQ177" i="1"/>
  <c r="HP177" i="1" s="1"/>
  <c r="HS175" i="1"/>
  <c r="HR175" i="1" s="1"/>
  <c r="HS176" i="1"/>
  <c r="HR176" i="1" s="1"/>
  <c r="HS177" i="1"/>
  <c r="HR177" i="1" s="1"/>
  <c r="HU175" i="1"/>
  <c r="HT175" i="1" s="1"/>
  <c r="HU176" i="1"/>
  <c r="HT176" i="1" s="1"/>
  <c r="HU177" i="1"/>
  <c r="HT177" i="1" s="1"/>
  <c r="HW175" i="1"/>
  <c r="HV175" i="1" s="1"/>
  <c r="HW176" i="1"/>
  <c r="HV176" i="1" s="1"/>
  <c r="HW177" i="1"/>
  <c r="HV177" i="1" s="1"/>
  <c r="HY175" i="1"/>
  <c r="HX175" i="1" s="1"/>
  <c r="HY176" i="1"/>
  <c r="HX176" i="1" s="1"/>
  <c r="HY177" i="1"/>
  <c r="HX177" i="1" s="1"/>
  <c r="IA175" i="1"/>
  <c r="HZ175" i="1" s="1"/>
  <c r="IA176" i="1"/>
  <c r="HZ176" i="1" s="1"/>
  <c r="IA177" i="1"/>
  <c r="HZ177" i="1" s="1"/>
  <c r="IC175" i="1"/>
  <c r="IB175" i="1" s="1"/>
  <c r="IC176" i="1"/>
  <c r="IB176" i="1" s="1"/>
  <c r="IC177" i="1"/>
  <c r="IB177" i="1" s="1"/>
  <c r="IE175" i="1"/>
  <c r="ID175" i="1" s="1"/>
  <c r="IE176" i="1"/>
  <c r="ID176" i="1" s="1"/>
  <c r="IE177" i="1"/>
  <c r="ID177" i="1" s="1"/>
  <c r="IG175" i="1"/>
  <c r="IF175" i="1" s="1"/>
  <c r="IG176" i="1"/>
  <c r="IF176" i="1" s="1"/>
  <c r="IG177" i="1"/>
  <c r="IF177" i="1" s="1"/>
  <c r="II175" i="1"/>
  <c r="IH175" i="1" s="1"/>
  <c r="II176" i="1"/>
  <c r="IH176" i="1" s="1"/>
  <c r="II177" i="1"/>
  <c r="IH177" i="1" s="1"/>
  <c r="F438" i="152" l="1"/>
  <c r="F441" i="152"/>
  <c r="F451" i="152"/>
  <c r="H438" i="152"/>
  <c r="H441" i="152"/>
  <c r="H451" i="152"/>
  <c r="I438" i="152"/>
  <c r="I441" i="152"/>
  <c r="I451" i="152"/>
  <c r="D140" i="1" s="1"/>
  <c r="F376" i="152"/>
  <c r="F378" i="152"/>
  <c r="F384" i="152"/>
  <c r="F385" i="152"/>
  <c r="H376" i="152"/>
  <c r="H378" i="152"/>
  <c r="H384" i="152"/>
  <c r="H385" i="152"/>
  <c r="I376" i="152"/>
  <c r="I378" i="152"/>
  <c r="I384" i="152"/>
  <c r="I385" i="152"/>
  <c r="F340" i="152"/>
  <c r="F365" i="152"/>
  <c r="H340" i="152"/>
  <c r="H365" i="152"/>
  <c r="I340" i="152"/>
  <c r="I365" i="152"/>
  <c r="F243" i="152"/>
  <c r="F265" i="152"/>
  <c r="H243" i="152"/>
  <c r="H265" i="152"/>
  <c r="I243" i="152"/>
  <c r="I265" i="152"/>
  <c r="F188" i="152"/>
  <c r="H188" i="152"/>
  <c r="I188" i="152"/>
  <c r="F162" i="152"/>
  <c r="F164" i="152"/>
  <c r="H162" i="152"/>
  <c r="H164" i="152"/>
  <c r="I162" i="152"/>
  <c r="I164" i="152"/>
  <c r="F87" i="152"/>
  <c r="F110" i="152"/>
  <c r="F114" i="152"/>
  <c r="F115" i="152"/>
  <c r="F117" i="152"/>
  <c r="H87" i="152"/>
  <c r="H110" i="152"/>
  <c r="H114" i="152"/>
  <c r="H115" i="152"/>
  <c r="H117" i="152"/>
  <c r="I87" i="152"/>
  <c r="I110" i="152"/>
  <c r="I114" i="152"/>
  <c r="I115" i="152"/>
  <c r="I117" i="152"/>
  <c r="F494" i="152" l="1"/>
  <c r="H494" i="152"/>
  <c r="I494" i="152"/>
  <c r="D12" i="1" s="1"/>
  <c r="F380" i="152"/>
  <c r="H380" i="152"/>
  <c r="I380" i="152"/>
  <c r="F273" i="152"/>
  <c r="H273" i="152"/>
  <c r="I273" i="152"/>
  <c r="F261" i="152"/>
  <c r="H261" i="152"/>
  <c r="I261" i="152"/>
  <c r="F169" i="152"/>
  <c r="H169" i="152"/>
  <c r="I169" i="152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F275" i="152"/>
  <c r="H275" i="152"/>
  <c r="I275" i="152"/>
  <c r="F192" i="152"/>
  <c r="H192" i="152"/>
  <c r="I192" i="152"/>
  <c r="F190" i="152"/>
  <c r="H190" i="152"/>
  <c r="I190" i="152"/>
  <c r="F484" i="152" l="1"/>
  <c r="H484" i="152"/>
  <c r="I484" i="152"/>
  <c r="F326" i="152"/>
  <c r="F329" i="152"/>
  <c r="H326" i="152"/>
  <c r="H329" i="152"/>
  <c r="I326" i="152"/>
  <c r="I329" i="152"/>
  <c r="F486" i="152" l="1"/>
  <c r="H486" i="152"/>
  <c r="I486" i="152"/>
  <c r="F475" i="152"/>
  <c r="H475" i="152"/>
  <c r="I475" i="152"/>
  <c r="F310" i="152"/>
  <c r="H310" i="152"/>
  <c r="I310" i="152"/>
  <c r="F214" i="152"/>
  <c r="F217" i="152"/>
  <c r="F218" i="152"/>
  <c r="F226" i="152"/>
  <c r="F230" i="152"/>
  <c r="H214" i="152"/>
  <c r="H217" i="152"/>
  <c r="H218" i="152"/>
  <c r="H226" i="152"/>
  <c r="H230" i="152"/>
  <c r="I214" i="152"/>
  <c r="I217" i="152"/>
  <c r="I218" i="152"/>
  <c r="I226" i="152"/>
  <c r="I230" i="152"/>
  <c r="F83" i="152"/>
  <c r="F179" i="152"/>
  <c r="F180" i="152"/>
  <c r="H83" i="152"/>
  <c r="H179" i="152"/>
  <c r="H180" i="152"/>
  <c r="I83" i="152"/>
  <c r="I179" i="152"/>
  <c r="I180" i="152"/>
  <c r="E168" i="1"/>
  <c r="E169" i="1"/>
  <c r="E170" i="1"/>
  <c r="E171" i="1"/>
  <c r="F168" i="1"/>
  <c r="F169" i="1"/>
  <c r="F170" i="1"/>
  <c r="F171" i="1"/>
  <c r="G168" i="1"/>
  <c r="G169" i="1"/>
  <c r="G170" i="1"/>
  <c r="G171" i="1"/>
  <c r="H168" i="1"/>
  <c r="H169" i="1"/>
  <c r="H170" i="1"/>
  <c r="H171" i="1"/>
  <c r="I168" i="1"/>
  <c r="I169" i="1"/>
  <c r="I170" i="1"/>
  <c r="I171" i="1"/>
  <c r="J168" i="1"/>
  <c r="J169" i="1"/>
  <c r="J170" i="1"/>
  <c r="J171" i="1"/>
  <c r="K168" i="1"/>
  <c r="K169" i="1"/>
  <c r="K170" i="1"/>
  <c r="K171" i="1"/>
  <c r="L168" i="1"/>
  <c r="L169" i="1"/>
  <c r="L170" i="1"/>
  <c r="L171" i="1"/>
  <c r="M168" i="1"/>
  <c r="M169" i="1"/>
  <c r="M170" i="1"/>
  <c r="M171" i="1"/>
  <c r="N168" i="1"/>
  <c r="N169" i="1"/>
  <c r="N170" i="1"/>
  <c r="N171" i="1"/>
  <c r="O168" i="1"/>
  <c r="O169" i="1"/>
  <c r="O170" i="1"/>
  <c r="O171" i="1"/>
  <c r="P168" i="1"/>
  <c r="P169" i="1"/>
  <c r="P170" i="1"/>
  <c r="P171" i="1"/>
  <c r="Q168" i="1"/>
  <c r="Q169" i="1"/>
  <c r="Q170" i="1"/>
  <c r="Q171" i="1"/>
  <c r="R168" i="1"/>
  <c r="R169" i="1"/>
  <c r="R170" i="1"/>
  <c r="R171" i="1"/>
  <c r="S168" i="1"/>
  <c r="S169" i="1"/>
  <c r="S170" i="1"/>
  <c r="S171" i="1"/>
  <c r="T168" i="1"/>
  <c r="T169" i="1"/>
  <c r="T170" i="1"/>
  <c r="T171" i="1"/>
  <c r="V168" i="1"/>
  <c r="V169" i="1"/>
  <c r="V170" i="1"/>
  <c r="V171" i="1"/>
  <c r="W168" i="1"/>
  <c r="W169" i="1"/>
  <c r="W170" i="1"/>
  <c r="W171" i="1"/>
  <c r="X168" i="1"/>
  <c r="X169" i="1"/>
  <c r="X170" i="1"/>
  <c r="X171" i="1"/>
  <c r="Y168" i="1"/>
  <c r="Y169" i="1"/>
  <c r="Y170" i="1"/>
  <c r="Y171" i="1"/>
  <c r="Z168" i="1"/>
  <c r="Z169" i="1"/>
  <c r="Z170" i="1"/>
  <c r="Z171" i="1"/>
  <c r="AA168" i="1"/>
  <c r="AA169" i="1"/>
  <c r="AA170" i="1"/>
  <c r="AA171" i="1"/>
  <c r="AB168" i="1"/>
  <c r="AB169" i="1"/>
  <c r="AB170" i="1"/>
  <c r="AB171" i="1"/>
  <c r="AC168" i="1"/>
  <c r="AC169" i="1"/>
  <c r="AC170" i="1"/>
  <c r="AC171" i="1"/>
  <c r="AD168" i="1"/>
  <c r="AD169" i="1"/>
  <c r="AD170" i="1"/>
  <c r="AD171" i="1"/>
  <c r="AE168" i="1"/>
  <c r="AE169" i="1"/>
  <c r="AE170" i="1"/>
  <c r="AE171" i="1"/>
  <c r="AF168" i="1"/>
  <c r="AF169" i="1"/>
  <c r="AF170" i="1"/>
  <c r="AF171" i="1"/>
  <c r="AG168" i="1"/>
  <c r="AG169" i="1"/>
  <c r="AG170" i="1"/>
  <c r="AG171" i="1"/>
  <c r="AH168" i="1"/>
  <c r="AH169" i="1"/>
  <c r="AH170" i="1"/>
  <c r="AH171" i="1"/>
  <c r="AJ168" i="1"/>
  <c r="AI168" i="1" s="1"/>
  <c r="AJ169" i="1"/>
  <c r="AI169" i="1" s="1"/>
  <c r="AJ170" i="1"/>
  <c r="AI170" i="1" s="1"/>
  <c r="AJ171" i="1"/>
  <c r="AI171" i="1" s="1"/>
  <c r="AL168" i="1"/>
  <c r="AK168" i="1" s="1"/>
  <c r="AL169" i="1"/>
  <c r="AK169" i="1" s="1"/>
  <c r="AL170" i="1"/>
  <c r="AK170" i="1" s="1"/>
  <c r="AL171" i="1"/>
  <c r="AK171" i="1" s="1"/>
  <c r="AN168" i="1"/>
  <c r="AM168" i="1" s="1"/>
  <c r="AN169" i="1"/>
  <c r="AM169" i="1" s="1"/>
  <c r="AN170" i="1"/>
  <c r="AM170" i="1" s="1"/>
  <c r="AN171" i="1"/>
  <c r="AM171" i="1" s="1"/>
  <c r="AP168" i="1"/>
  <c r="AO168" i="1" s="1"/>
  <c r="AP169" i="1"/>
  <c r="AO169" i="1" s="1"/>
  <c r="AP170" i="1"/>
  <c r="AO170" i="1" s="1"/>
  <c r="AP171" i="1"/>
  <c r="AO171" i="1" s="1"/>
  <c r="AR168" i="1"/>
  <c r="AQ168" i="1" s="1"/>
  <c r="AR169" i="1"/>
  <c r="AQ169" i="1" s="1"/>
  <c r="AR170" i="1"/>
  <c r="AQ170" i="1" s="1"/>
  <c r="AR171" i="1"/>
  <c r="AQ171" i="1" s="1"/>
  <c r="AT168" i="1"/>
  <c r="AS168" i="1" s="1"/>
  <c r="AT169" i="1"/>
  <c r="AS169" i="1" s="1"/>
  <c r="AT170" i="1"/>
  <c r="AS170" i="1" s="1"/>
  <c r="AT171" i="1"/>
  <c r="AS171" i="1" s="1"/>
  <c r="AV168" i="1"/>
  <c r="AU168" i="1" s="1"/>
  <c r="AV169" i="1"/>
  <c r="AU169" i="1" s="1"/>
  <c r="AV170" i="1"/>
  <c r="AU170" i="1" s="1"/>
  <c r="AV171" i="1"/>
  <c r="AU171" i="1" s="1"/>
  <c r="AX168" i="1"/>
  <c r="AW168" i="1" s="1"/>
  <c r="AX169" i="1"/>
  <c r="AW169" i="1" s="1"/>
  <c r="AX170" i="1"/>
  <c r="AW170" i="1" s="1"/>
  <c r="AX171" i="1"/>
  <c r="AW171" i="1" s="1"/>
  <c r="AZ168" i="1"/>
  <c r="AY168" i="1" s="1"/>
  <c r="AZ169" i="1"/>
  <c r="AY169" i="1" s="1"/>
  <c r="AZ170" i="1"/>
  <c r="AY170" i="1" s="1"/>
  <c r="AZ171" i="1"/>
  <c r="AY171" i="1" s="1"/>
  <c r="BB168" i="1"/>
  <c r="BA168" i="1" s="1"/>
  <c r="BB169" i="1"/>
  <c r="BA169" i="1" s="1"/>
  <c r="BB170" i="1"/>
  <c r="BA170" i="1" s="1"/>
  <c r="BB171" i="1"/>
  <c r="BA171" i="1" s="1"/>
  <c r="BD168" i="1"/>
  <c r="BC168" i="1" s="1"/>
  <c r="BD169" i="1"/>
  <c r="BC169" i="1" s="1"/>
  <c r="BD170" i="1"/>
  <c r="BC170" i="1" s="1"/>
  <c r="BD171" i="1"/>
  <c r="BC171" i="1" s="1"/>
  <c r="BF168" i="1"/>
  <c r="BE168" i="1" s="1"/>
  <c r="BF169" i="1"/>
  <c r="BE169" i="1" s="1"/>
  <c r="BF170" i="1"/>
  <c r="BE170" i="1" s="1"/>
  <c r="BF171" i="1"/>
  <c r="BE171" i="1" s="1"/>
  <c r="BH168" i="1"/>
  <c r="BG168" i="1" s="1"/>
  <c r="BH169" i="1"/>
  <c r="BG169" i="1" s="1"/>
  <c r="BH170" i="1"/>
  <c r="BG170" i="1" s="1"/>
  <c r="BH171" i="1"/>
  <c r="BG171" i="1" s="1"/>
  <c r="BJ168" i="1"/>
  <c r="BI168" i="1" s="1"/>
  <c r="BJ169" i="1"/>
  <c r="BI169" i="1" s="1"/>
  <c r="BJ170" i="1"/>
  <c r="BI170" i="1" s="1"/>
  <c r="BJ171" i="1"/>
  <c r="BI171" i="1" s="1"/>
  <c r="BL168" i="1"/>
  <c r="BK168" i="1" s="1"/>
  <c r="BL169" i="1"/>
  <c r="BK169" i="1" s="1"/>
  <c r="BL170" i="1"/>
  <c r="BK170" i="1" s="1"/>
  <c r="BL171" i="1"/>
  <c r="BK171" i="1" s="1"/>
  <c r="BN168" i="1"/>
  <c r="BM168" i="1" s="1"/>
  <c r="BN169" i="1"/>
  <c r="BM169" i="1" s="1"/>
  <c r="BN170" i="1"/>
  <c r="BM170" i="1" s="1"/>
  <c r="BN171" i="1"/>
  <c r="BM171" i="1" s="1"/>
  <c r="BP168" i="1"/>
  <c r="BO168" i="1" s="1"/>
  <c r="BP169" i="1"/>
  <c r="BO169" i="1" s="1"/>
  <c r="BP170" i="1"/>
  <c r="BO170" i="1" s="1"/>
  <c r="BP171" i="1"/>
  <c r="BO171" i="1" s="1"/>
  <c r="BR168" i="1"/>
  <c r="BQ168" i="1" s="1"/>
  <c r="BR169" i="1"/>
  <c r="BQ169" i="1" s="1"/>
  <c r="BR170" i="1"/>
  <c r="BQ170" i="1" s="1"/>
  <c r="BR171" i="1"/>
  <c r="BQ171" i="1" s="1"/>
  <c r="BT168" i="1"/>
  <c r="BS168" i="1" s="1"/>
  <c r="BT169" i="1"/>
  <c r="BS169" i="1" s="1"/>
  <c r="BT170" i="1"/>
  <c r="BS170" i="1" s="1"/>
  <c r="BT171" i="1"/>
  <c r="BS171" i="1" s="1"/>
  <c r="BV168" i="1"/>
  <c r="BU168" i="1" s="1"/>
  <c r="BV169" i="1"/>
  <c r="BU169" i="1" s="1"/>
  <c r="BV170" i="1"/>
  <c r="BU170" i="1" s="1"/>
  <c r="BV171" i="1"/>
  <c r="BU171" i="1" s="1"/>
  <c r="BX168" i="1"/>
  <c r="BW168" i="1" s="1"/>
  <c r="BX169" i="1"/>
  <c r="BW169" i="1" s="1"/>
  <c r="BX170" i="1"/>
  <c r="BW170" i="1" s="1"/>
  <c r="BX171" i="1"/>
  <c r="BW171" i="1" s="1"/>
  <c r="BZ168" i="1"/>
  <c r="BY168" i="1" s="1"/>
  <c r="BZ169" i="1"/>
  <c r="BY169" i="1" s="1"/>
  <c r="BZ170" i="1"/>
  <c r="BY170" i="1" s="1"/>
  <c r="BZ171" i="1"/>
  <c r="BY171" i="1" s="1"/>
  <c r="CA168" i="1"/>
  <c r="CA169" i="1"/>
  <c r="CA170" i="1"/>
  <c r="CA171" i="1"/>
  <c r="CB168" i="1"/>
  <c r="CB169" i="1"/>
  <c r="CB170" i="1"/>
  <c r="CB171" i="1"/>
  <c r="CC168" i="1"/>
  <c r="CC169" i="1"/>
  <c r="CC170" i="1"/>
  <c r="CC171" i="1"/>
  <c r="CD168" i="1"/>
  <c r="CD169" i="1"/>
  <c r="CD170" i="1"/>
  <c r="CD171" i="1"/>
  <c r="CE168" i="1"/>
  <c r="CE169" i="1"/>
  <c r="CE170" i="1"/>
  <c r="CE171" i="1"/>
  <c r="CF168" i="1"/>
  <c r="CF169" i="1"/>
  <c r="CF170" i="1"/>
  <c r="CF171" i="1"/>
  <c r="CG168" i="1"/>
  <c r="CG169" i="1"/>
  <c r="CG170" i="1"/>
  <c r="CG171" i="1"/>
  <c r="CH168" i="1"/>
  <c r="CH169" i="1"/>
  <c r="CH170" i="1"/>
  <c r="CH171" i="1"/>
  <c r="CI168" i="1"/>
  <c r="CI169" i="1"/>
  <c r="CI170" i="1"/>
  <c r="CI171" i="1"/>
  <c r="CJ168" i="1"/>
  <c r="CJ169" i="1"/>
  <c r="CJ170" i="1"/>
  <c r="CJ171" i="1"/>
  <c r="CK168" i="1"/>
  <c r="CK169" i="1"/>
  <c r="CK170" i="1"/>
  <c r="CK171" i="1"/>
  <c r="CL168" i="1"/>
  <c r="CL169" i="1"/>
  <c r="CL170" i="1"/>
  <c r="CL171" i="1"/>
  <c r="CM168" i="1"/>
  <c r="CM169" i="1"/>
  <c r="CM170" i="1"/>
  <c r="CM171" i="1"/>
  <c r="CN168" i="1"/>
  <c r="CN169" i="1"/>
  <c r="CN170" i="1"/>
  <c r="CN171" i="1"/>
  <c r="CO168" i="1"/>
  <c r="CO169" i="1"/>
  <c r="CO170" i="1"/>
  <c r="CO171" i="1"/>
  <c r="CP168" i="1"/>
  <c r="CP169" i="1"/>
  <c r="CP170" i="1"/>
  <c r="CP171" i="1"/>
  <c r="CQ168" i="1"/>
  <c r="CQ169" i="1"/>
  <c r="CQ170" i="1"/>
  <c r="CQ171" i="1"/>
  <c r="CR168" i="1"/>
  <c r="CR169" i="1"/>
  <c r="CR170" i="1"/>
  <c r="CR171" i="1"/>
  <c r="CS168" i="1"/>
  <c r="CS169" i="1"/>
  <c r="CS170" i="1"/>
  <c r="CS171" i="1"/>
  <c r="CT168" i="1"/>
  <c r="CT169" i="1"/>
  <c r="CT170" i="1"/>
  <c r="CT171" i="1"/>
  <c r="CU168" i="1"/>
  <c r="CU169" i="1"/>
  <c r="CU170" i="1"/>
  <c r="CU171" i="1"/>
  <c r="CV168" i="1"/>
  <c r="CV169" i="1"/>
  <c r="CV170" i="1"/>
  <c r="CV171" i="1"/>
  <c r="CX168" i="1"/>
  <c r="CW168" i="1" s="1"/>
  <c r="CX169" i="1"/>
  <c r="CW169" i="1" s="1"/>
  <c r="CX170" i="1"/>
  <c r="CW170" i="1" s="1"/>
  <c r="CX171" i="1"/>
  <c r="CW171" i="1" s="1"/>
  <c r="CZ168" i="1"/>
  <c r="CY168" i="1" s="1"/>
  <c r="CZ169" i="1"/>
  <c r="CY169" i="1" s="1"/>
  <c r="CZ170" i="1"/>
  <c r="CY170" i="1" s="1"/>
  <c r="CZ171" i="1"/>
  <c r="CY171" i="1" s="1"/>
  <c r="DB168" i="1"/>
  <c r="DA168" i="1" s="1"/>
  <c r="DB169" i="1"/>
  <c r="DA169" i="1" s="1"/>
  <c r="DB170" i="1"/>
  <c r="DA170" i="1" s="1"/>
  <c r="DB171" i="1"/>
  <c r="DA171" i="1" s="1"/>
  <c r="DD168" i="1"/>
  <c r="DC168" i="1" s="1"/>
  <c r="DD169" i="1"/>
  <c r="DC169" i="1" s="1"/>
  <c r="DD170" i="1"/>
  <c r="DC170" i="1" s="1"/>
  <c r="DD171" i="1"/>
  <c r="DC171" i="1" s="1"/>
  <c r="DF168" i="1"/>
  <c r="DE168" i="1" s="1"/>
  <c r="DF169" i="1"/>
  <c r="DE169" i="1" s="1"/>
  <c r="DF170" i="1"/>
  <c r="DE170" i="1" s="1"/>
  <c r="DF171" i="1"/>
  <c r="DE171" i="1" s="1"/>
  <c r="DH168" i="1"/>
  <c r="DG168" i="1" s="1"/>
  <c r="DH169" i="1"/>
  <c r="DG169" i="1" s="1"/>
  <c r="DH170" i="1"/>
  <c r="DG170" i="1" s="1"/>
  <c r="DH171" i="1"/>
  <c r="DG171" i="1" s="1"/>
  <c r="DJ168" i="1"/>
  <c r="DI168" i="1" s="1"/>
  <c r="DJ169" i="1"/>
  <c r="DI169" i="1" s="1"/>
  <c r="DJ170" i="1"/>
  <c r="DI170" i="1" s="1"/>
  <c r="DJ171" i="1"/>
  <c r="DI171" i="1" s="1"/>
  <c r="DL168" i="1"/>
  <c r="DK168" i="1" s="1"/>
  <c r="DL169" i="1"/>
  <c r="DK169" i="1" s="1"/>
  <c r="DL170" i="1"/>
  <c r="DK170" i="1" s="1"/>
  <c r="DL171" i="1"/>
  <c r="DK171" i="1" s="1"/>
  <c r="DN168" i="1"/>
  <c r="DM168" i="1" s="1"/>
  <c r="DN169" i="1"/>
  <c r="DM169" i="1" s="1"/>
  <c r="DN170" i="1"/>
  <c r="DM170" i="1" s="1"/>
  <c r="DN171" i="1"/>
  <c r="DM171" i="1" s="1"/>
  <c r="DP168" i="1"/>
  <c r="DO168" i="1" s="1"/>
  <c r="DP169" i="1"/>
  <c r="DO169" i="1" s="1"/>
  <c r="DP170" i="1"/>
  <c r="DO170" i="1" s="1"/>
  <c r="DP171" i="1"/>
  <c r="DO171" i="1" s="1"/>
  <c r="DR168" i="1"/>
  <c r="DQ168" i="1" s="1"/>
  <c r="DR169" i="1"/>
  <c r="DQ169" i="1" s="1"/>
  <c r="DR170" i="1"/>
  <c r="DQ170" i="1" s="1"/>
  <c r="DR171" i="1"/>
  <c r="DQ171" i="1" s="1"/>
  <c r="DT168" i="1"/>
  <c r="DS168" i="1" s="1"/>
  <c r="DT169" i="1"/>
  <c r="DS169" i="1" s="1"/>
  <c r="DT170" i="1"/>
  <c r="DS170" i="1" s="1"/>
  <c r="DT171" i="1"/>
  <c r="DS171" i="1" s="1"/>
  <c r="DV168" i="1"/>
  <c r="DU168" i="1" s="1"/>
  <c r="DV169" i="1"/>
  <c r="DU169" i="1" s="1"/>
  <c r="DV170" i="1"/>
  <c r="DU170" i="1" s="1"/>
  <c r="DV171" i="1"/>
  <c r="DU171" i="1" s="1"/>
  <c r="DX168" i="1"/>
  <c r="DW168" i="1" s="1"/>
  <c r="DX169" i="1"/>
  <c r="DW169" i="1" s="1"/>
  <c r="DX170" i="1"/>
  <c r="DW170" i="1" s="1"/>
  <c r="DX171" i="1"/>
  <c r="DW171" i="1" s="1"/>
  <c r="DZ168" i="1"/>
  <c r="DY168" i="1" s="1"/>
  <c r="DZ169" i="1"/>
  <c r="DY169" i="1" s="1"/>
  <c r="DZ170" i="1"/>
  <c r="DY170" i="1" s="1"/>
  <c r="DZ171" i="1"/>
  <c r="DY171" i="1" s="1"/>
  <c r="EB168" i="1"/>
  <c r="EA168" i="1" s="1"/>
  <c r="EB169" i="1"/>
  <c r="EA169" i="1" s="1"/>
  <c r="EB170" i="1"/>
  <c r="EA170" i="1" s="1"/>
  <c r="EB171" i="1"/>
  <c r="EA171" i="1" s="1"/>
  <c r="ED168" i="1"/>
  <c r="EC168" i="1" s="1"/>
  <c r="ED169" i="1"/>
  <c r="EC169" i="1" s="1"/>
  <c r="ED170" i="1"/>
  <c r="EC170" i="1" s="1"/>
  <c r="ED171" i="1"/>
  <c r="EC171" i="1" s="1"/>
  <c r="EF168" i="1"/>
  <c r="EE168" i="1" s="1"/>
  <c r="EF169" i="1"/>
  <c r="EE169" i="1" s="1"/>
  <c r="EF170" i="1"/>
  <c r="EE170" i="1" s="1"/>
  <c r="EF171" i="1"/>
  <c r="EE171" i="1" s="1"/>
  <c r="EH168" i="1"/>
  <c r="EG168" i="1" s="1"/>
  <c r="EH169" i="1"/>
  <c r="EG169" i="1" s="1"/>
  <c r="EH170" i="1"/>
  <c r="EG170" i="1" s="1"/>
  <c r="EH171" i="1"/>
  <c r="EG171" i="1" s="1"/>
  <c r="EJ168" i="1"/>
  <c r="EI168" i="1" s="1"/>
  <c r="EJ169" i="1"/>
  <c r="EI169" i="1" s="1"/>
  <c r="EJ170" i="1"/>
  <c r="EI170" i="1" s="1"/>
  <c r="EJ171" i="1"/>
  <c r="EI171" i="1" s="1"/>
  <c r="EL168" i="1"/>
  <c r="EK168" i="1" s="1"/>
  <c r="EL169" i="1"/>
  <c r="EK169" i="1" s="1"/>
  <c r="EL170" i="1"/>
  <c r="EK170" i="1" s="1"/>
  <c r="EL171" i="1"/>
  <c r="EK171" i="1" s="1"/>
  <c r="EN168" i="1"/>
  <c r="EM168" i="1" s="1"/>
  <c r="EN169" i="1"/>
  <c r="EM169" i="1" s="1"/>
  <c r="EN170" i="1"/>
  <c r="EM170" i="1" s="1"/>
  <c r="EN171" i="1"/>
  <c r="EM171" i="1" s="1"/>
  <c r="EO168" i="1"/>
  <c r="EO169" i="1"/>
  <c r="EO170" i="1"/>
  <c r="EO171" i="1"/>
  <c r="EP168" i="1"/>
  <c r="EP169" i="1"/>
  <c r="EP170" i="1"/>
  <c r="EP171" i="1"/>
  <c r="EQ168" i="1"/>
  <c r="EQ169" i="1"/>
  <c r="EQ170" i="1"/>
  <c r="EQ171" i="1"/>
  <c r="ER168" i="1"/>
  <c r="ER169" i="1"/>
  <c r="ER170" i="1"/>
  <c r="ER171" i="1"/>
  <c r="ES168" i="1"/>
  <c r="ES169" i="1"/>
  <c r="ES170" i="1"/>
  <c r="ES171" i="1"/>
  <c r="ET168" i="1"/>
  <c r="ET169" i="1"/>
  <c r="ET170" i="1"/>
  <c r="ET171" i="1"/>
  <c r="EU168" i="1"/>
  <c r="EU169" i="1"/>
  <c r="EU170" i="1"/>
  <c r="EU171" i="1"/>
  <c r="EV168" i="1"/>
  <c r="EV169" i="1"/>
  <c r="EV170" i="1"/>
  <c r="EV171" i="1"/>
  <c r="EW168" i="1"/>
  <c r="EW169" i="1"/>
  <c r="EW170" i="1"/>
  <c r="EW171" i="1"/>
  <c r="EX168" i="1"/>
  <c r="EX169" i="1"/>
  <c r="EX170" i="1"/>
  <c r="EX171" i="1"/>
  <c r="EY168" i="1"/>
  <c r="EY169" i="1"/>
  <c r="EY170" i="1"/>
  <c r="EY171" i="1"/>
  <c r="EZ168" i="1"/>
  <c r="EZ169" i="1"/>
  <c r="EZ170" i="1"/>
  <c r="EZ171" i="1"/>
  <c r="FA168" i="1"/>
  <c r="FA169" i="1"/>
  <c r="FA170" i="1"/>
  <c r="FA171" i="1"/>
  <c r="FB168" i="1"/>
  <c r="FB169" i="1"/>
  <c r="FB170" i="1"/>
  <c r="FB171" i="1"/>
  <c r="FC168" i="1"/>
  <c r="FC169" i="1"/>
  <c r="FC170" i="1"/>
  <c r="FC171" i="1"/>
  <c r="FD168" i="1"/>
  <c r="FD169" i="1"/>
  <c r="FD170" i="1"/>
  <c r="FD171" i="1"/>
  <c r="FE168" i="1"/>
  <c r="FE169" i="1"/>
  <c r="FE170" i="1"/>
  <c r="FE171" i="1"/>
  <c r="FF168" i="1"/>
  <c r="FF169" i="1"/>
  <c r="FF170" i="1"/>
  <c r="FF171" i="1"/>
  <c r="FG168" i="1"/>
  <c r="FG169" i="1"/>
  <c r="FG170" i="1"/>
  <c r="FG171" i="1"/>
  <c r="FH168" i="1"/>
  <c r="FH169" i="1"/>
  <c r="FH170" i="1"/>
  <c r="FH171" i="1"/>
  <c r="FI168" i="1"/>
  <c r="FI169" i="1"/>
  <c r="FI170" i="1"/>
  <c r="FI171" i="1"/>
  <c r="FJ168" i="1"/>
  <c r="FJ169" i="1"/>
  <c r="FJ170" i="1"/>
  <c r="FJ171" i="1"/>
  <c r="FK168" i="1"/>
  <c r="FK169" i="1"/>
  <c r="FK170" i="1"/>
  <c r="FK171" i="1"/>
  <c r="FL168" i="1"/>
  <c r="FL169" i="1"/>
  <c r="FL170" i="1"/>
  <c r="FL171" i="1"/>
  <c r="FM168" i="1"/>
  <c r="FM169" i="1"/>
  <c r="FM170" i="1"/>
  <c r="FM171" i="1"/>
  <c r="FN168" i="1"/>
  <c r="FN169" i="1"/>
  <c r="FN170" i="1"/>
  <c r="FN171" i="1"/>
  <c r="FO168" i="1"/>
  <c r="FO169" i="1"/>
  <c r="FO170" i="1"/>
  <c r="FO171" i="1"/>
  <c r="FP168" i="1"/>
  <c r="FP169" i="1"/>
  <c r="FP170" i="1"/>
  <c r="FP171" i="1"/>
  <c r="FQ168" i="1"/>
  <c r="FQ169" i="1"/>
  <c r="FQ170" i="1"/>
  <c r="FQ171" i="1"/>
  <c r="FR168" i="1"/>
  <c r="FR169" i="1"/>
  <c r="FR170" i="1"/>
  <c r="FR171" i="1"/>
  <c r="FS168" i="1"/>
  <c r="FS169" i="1"/>
  <c r="FS170" i="1"/>
  <c r="FS171" i="1"/>
  <c r="FT168" i="1"/>
  <c r="FT169" i="1"/>
  <c r="FT170" i="1"/>
  <c r="FT171" i="1"/>
  <c r="FU168" i="1"/>
  <c r="FU169" i="1"/>
  <c r="FU170" i="1"/>
  <c r="FU171" i="1"/>
  <c r="FW168" i="1"/>
  <c r="FV168" i="1" s="1"/>
  <c r="FW169" i="1"/>
  <c r="FV169" i="1" s="1"/>
  <c r="FW170" i="1"/>
  <c r="FV170" i="1" s="1"/>
  <c r="FW171" i="1"/>
  <c r="FV171" i="1" s="1"/>
  <c r="FY168" i="1"/>
  <c r="FX168" i="1" s="1"/>
  <c r="FY169" i="1"/>
  <c r="FX169" i="1" s="1"/>
  <c r="FY170" i="1"/>
  <c r="FX170" i="1" s="1"/>
  <c r="FY171" i="1"/>
  <c r="FX171" i="1" s="1"/>
  <c r="GA168" i="1"/>
  <c r="FZ168" i="1" s="1"/>
  <c r="GA169" i="1"/>
  <c r="FZ169" i="1" s="1"/>
  <c r="GA170" i="1"/>
  <c r="FZ170" i="1" s="1"/>
  <c r="GA171" i="1"/>
  <c r="FZ171" i="1" s="1"/>
  <c r="GC168" i="1"/>
  <c r="GB168" i="1" s="1"/>
  <c r="GC169" i="1"/>
  <c r="GB169" i="1" s="1"/>
  <c r="GC170" i="1"/>
  <c r="GB170" i="1" s="1"/>
  <c r="GC171" i="1"/>
  <c r="GB171" i="1" s="1"/>
  <c r="GE168" i="1"/>
  <c r="GD168" i="1" s="1"/>
  <c r="GE169" i="1"/>
  <c r="GD169" i="1" s="1"/>
  <c r="GE170" i="1"/>
  <c r="GD170" i="1" s="1"/>
  <c r="GE171" i="1"/>
  <c r="GD171" i="1" s="1"/>
  <c r="GG168" i="1"/>
  <c r="GF168" i="1" s="1"/>
  <c r="GG169" i="1"/>
  <c r="GF169" i="1" s="1"/>
  <c r="GG170" i="1"/>
  <c r="GF170" i="1" s="1"/>
  <c r="GG171" i="1"/>
  <c r="GF171" i="1" s="1"/>
  <c r="GI168" i="1"/>
  <c r="GH168" i="1" s="1"/>
  <c r="GI169" i="1"/>
  <c r="GH169" i="1" s="1"/>
  <c r="GI170" i="1"/>
  <c r="GH170" i="1" s="1"/>
  <c r="GI171" i="1"/>
  <c r="GH171" i="1" s="1"/>
  <c r="GK168" i="1"/>
  <c r="GJ168" i="1" s="1"/>
  <c r="GK169" i="1"/>
  <c r="GJ169" i="1" s="1"/>
  <c r="GK170" i="1"/>
  <c r="GJ170" i="1" s="1"/>
  <c r="GK171" i="1"/>
  <c r="GJ171" i="1" s="1"/>
  <c r="GM168" i="1"/>
  <c r="GL168" i="1" s="1"/>
  <c r="GM169" i="1"/>
  <c r="GL169" i="1" s="1"/>
  <c r="GM170" i="1"/>
  <c r="GL170" i="1" s="1"/>
  <c r="GM171" i="1"/>
  <c r="GL171" i="1" s="1"/>
  <c r="GO168" i="1"/>
  <c r="GN168" i="1" s="1"/>
  <c r="GO169" i="1"/>
  <c r="GN169" i="1" s="1"/>
  <c r="GO170" i="1"/>
  <c r="GN170" i="1" s="1"/>
  <c r="GO171" i="1"/>
  <c r="GN171" i="1" s="1"/>
  <c r="GQ168" i="1"/>
  <c r="GP168" i="1" s="1"/>
  <c r="GQ169" i="1"/>
  <c r="GP169" i="1" s="1"/>
  <c r="GQ170" i="1"/>
  <c r="GP170" i="1" s="1"/>
  <c r="GQ171" i="1"/>
  <c r="GP171" i="1" s="1"/>
  <c r="GS168" i="1"/>
  <c r="GR168" i="1" s="1"/>
  <c r="GS169" i="1"/>
  <c r="GR169" i="1" s="1"/>
  <c r="GS170" i="1"/>
  <c r="GR170" i="1" s="1"/>
  <c r="GS171" i="1"/>
  <c r="GR171" i="1" s="1"/>
  <c r="GU168" i="1"/>
  <c r="GT168" i="1" s="1"/>
  <c r="GU169" i="1"/>
  <c r="GT169" i="1" s="1"/>
  <c r="GU170" i="1"/>
  <c r="GT170" i="1" s="1"/>
  <c r="GU171" i="1"/>
  <c r="GT171" i="1" s="1"/>
  <c r="GW168" i="1"/>
  <c r="GV168" i="1" s="1"/>
  <c r="GW169" i="1"/>
  <c r="GV169" i="1" s="1"/>
  <c r="GW170" i="1"/>
  <c r="GV170" i="1" s="1"/>
  <c r="GW171" i="1"/>
  <c r="GV171" i="1" s="1"/>
  <c r="GY168" i="1"/>
  <c r="GX168" i="1" s="1"/>
  <c r="GY169" i="1"/>
  <c r="GX169" i="1" s="1"/>
  <c r="GY170" i="1"/>
  <c r="GX170" i="1" s="1"/>
  <c r="GY171" i="1"/>
  <c r="GX171" i="1" s="1"/>
  <c r="HA168" i="1"/>
  <c r="GZ168" i="1" s="1"/>
  <c r="HA169" i="1"/>
  <c r="GZ169" i="1" s="1"/>
  <c r="HA170" i="1"/>
  <c r="GZ170" i="1" s="1"/>
  <c r="HA171" i="1"/>
  <c r="GZ171" i="1" s="1"/>
  <c r="HC168" i="1"/>
  <c r="HB168" i="1" s="1"/>
  <c r="HC169" i="1"/>
  <c r="HB169" i="1" s="1"/>
  <c r="HC170" i="1"/>
  <c r="HB170" i="1" s="1"/>
  <c r="HC171" i="1"/>
  <c r="HB171" i="1" s="1"/>
  <c r="HE168" i="1"/>
  <c r="HD168" i="1" s="1"/>
  <c r="HE169" i="1"/>
  <c r="HD169" i="1" s="1"/>
  <c r="HE170" i="1"/>
  <c r="HD170" i="1" s="1"/>
  <c r="HE171" i="1"/>
  <c r="HD171" i="1" s="1"/>
  <c r="HG168" i="1"/>
  <c r="HF168" i="1" s="1"/>
  <c r="HG169" i="1"/>
  <c r="HF169" i="1" s="1"/>
  <c r="HG170" i="1"/>
  <c r="HF170" i="1" s="1"/>
  <c r="HG171" i="1"/>
  <c r="HF171" i="1" s="1"/>
  <c r="HI168" i="1"/>
  <c r="HH168" i="1" s="1"/>
  <c r="HI169" i="1"/>
  <c r="HH169" i="1" s="1"/>
  <c r="HI170" i="1"/>
  <c r="HH170" i="1" s="1"/>
  <c r="HI171" i="1"/>
  <c r="HH171" i="1" s="1"/>
  <c r="HK168" i="1"/>
  <c r="HJ168" i="1" s="1"/>
  <c r="HK169" i="1"/>
  <c r="HJ169" i="1" s="1"/>
  <c r="HK170" i="1"/>
  <c r="HJ170" i="1" s="1"/>
  <c r="HK171" i="1"/>
  <c r="HJ171" i="1" s="1"/>
  <c r="HM168" i="1"/>
  <c r="HL168" i="1" s="1"/>
  <c r="HM169" i="1"/>
  <c r="HL169" i="1" s="1"/>
  <c r="HM170" i="1"/>
  <c r="HL170" i="1" s="1"/>
  <c r="HM171" i="1"/>
  <c r="HL171" i="1" s="1"/>
  <c r="HO168" i="1"/>
  <c r="HN168" i="1" s="1"/>
  <c r="HO169" i="1"/>
  <c r="HN169" i="1" s="1"/>
  <c r="HO170" i="1"/>
  <c r="HN170" i="1" s="1"/>
  <c r="HO171" i="1"/>
  <c r="HN171" i="1" s="1"/>
  <c r="HQ168" i="1"/>
  <c r="HP168" i="1" s="1"/>
  <c r="HQ169" i="1"/>
  <c r="HP169" i="1" s="1"/>
  <c r="HQ170" i="1"/>
  <c r="HP170" i="1" s="1"/>
  <c r="HQ171" i="1"/>
  <c r="HP171" i="1" s="1"/>
  <c r="HS168" i="1"/>
  <c r="HR168" i="1" s="1"/>
  <c r="HS169" i="1"/>
  <c r="HR169" i="1" s="1"/>
  <c r="HS170" i="1"/>
  <c r="HR170" i="1" s="1"/>
  <c r="HS171" i="1"/>
  <c r="HR171" i="1" s="1"/>
  <c r="HU168" i="1"/>
  <c r="HT168" i="1" s="1"/>
  <c r="HU169" i="1"/>
  <c r="HT169" i="1" s="1"/>
  <c r="HU170" i="1"/>
  <c r="HT170" i="1" s="1"/>
  <c r="HU171" i="1"/>
  <c r="HT171" i="1" s="1"/>
  <c r="HW168" i="1"/>
  <c r="HV168" i="1" s="1"/>
  <c r="HW169" i="1"/>
  <c r="HV169" i="1" s="1"/>
  <c r="HW170" i="1"/>
  <c r="HV170" i="1" s="1"/>
  <c r="HW171" i="1"/>
  <c r="HV171" i="1" s="1"/>
  <c r="HY168" i="1"/>
  <c r="HX168" i="1" s="1"/>
  <c r="HY169" i="1"/>
  <c r="HX169" i="1" s="1"/>
  <c r="HY170" i="1"/>
  <c r="HX170" i="1" s="1"/>
  <c r="HY171" i="1"/>
  <c r="HX171" i="1" s="1"/>
  <c r="IA168" i="1"/>
  <c r="HZ168" i="1" s="1"/>
  <c r="IA169" i="1"/>
  <c r="HZ169" i="1" s="1"/>
  <c r="IA170" i="1"/>
  <c r="HZ170" i="1" s="1"/>
  <c r="IA171" i="1"/>
  <c r="HZ171" i="1" s="1"/>
  <c r="IC168" i="1"/>
  <c r="IB168" i="1" s="1"/>
  <c r="IC169" i="1"/>
  <c r="IB169" i="1" s="1"/>
  <c r="IC170" i="1"/>
  <c r="IB170" i="1" s="1"/>
  <c r="IC171" i="1"/>
  <c r="IB171" i="1" s="1"/>
  <c r="IE168" i="1"/>
  <c r="ID168" i="1" s="1"/>
  <c r="IE169" i="1"/>
  <c r="ID169" i="1" s="1"/>
  <c r="IE170" i="1"/>
  <c r="ID170" i="1" s="1"/>
  <c r="IE171" i="1"/>
  <c r="ID171" i="1" s="1"/>
  <c r="IG168" i="1"/>
  <c r="IF168" i="1" s="1"/>
  <c r="IG169" i="1"/>
  <c r="IF169" i="1" s="1"/>
  <c r="IG170" i="1"/>
  <c r="IF170" i="1" s="1"/>
  <c r="IG171" i="1"/>
  <c r="IF171" i="1" s="1"/>
  <c r="II168" i="1"/>
  <c r="IH168" i="1" s="1"/>
  <c r="II169" i="1"/>
  <c r="IH169" i="1" s="1"/>
  <c r="II170" i="1"/>
  <c r="IH170" i="1" s="1"/>
  <c r="II171" i="1"/>
  <c r="IH171" i="1" s="1"/>
  <c r="E20" i="1" l="1"/>
  <c r="T22" i="1"/>
  <c r="W20" i="1"/>
  <c r="V20" i="1"/>
  <c r="V24" i="1"/>
  <c r="V26" i="1"/>
  <c r="V28" i="1"/>
  <c r="V30" i="1"/>
  <c r="V32" i="1"/>
  <c r="V21" i="1"/>
  <c r="V23" i="1"/>
  <c r="V25" i="1"/>
  <c r="V27" i="1"/>
  <c r="V29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1" i="1"/>
  <c r="V142" i="1"/>
  <c r="V13" i="1"/>
  <c r="V14" i="1"/>
  <c r="V15" i="1"/>
  <c r="V16" i="1"/>
  <c r="V17" i="1"/>
  <c r="V19" i="1"/>
  <c r="V18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H101" i="152" l="1"/>
  <c r="H108" i="152"/>
  <c r="H109" i="152"/>
  <c r="F489" i="152"/>
  <c r="H489" i="152"/>
  <c r="I489" i="152"/>
  <c r="F367" i="152"/>
  <c r="H367" i="152"/>
  <c r="I367" i="152"/>
  <c r="F274" i="152"/>
  <c r="H274" i="152"/>
  <c r="I274" i="152"/>
  <c r="F246" i="152"/>
  <c r="H246" i="152"/>
  <c r="I246" i="152"/>
  <c r="F231" i="152"/>
  <c r="H231" i="152"/>
  <c r="I231" i="152"/>
  <c r="F101" i="152"/>
  <c r="F108" i="152"/>
  <c r="F109" i="152"/>
  <c r="F112" i="152"/>
  <c r="F186" i="152"/>
  <c r="H112" i="152"/>
  <c r="H186" i="152"/>
  <c r="I101" i="152"/>
  <c r="I108" i="152"/>
  <c r="I109" i="152"/>
  <c r="I112" i="152"/>
  <c r="I186" i="152"/>
  <c r="D174" i="1" l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J167" i="1"/>
  <c r="AI167" i="1" s="1"/>
  <c r="AL167" i="1"/>
  <c r="AK167" i="1" s="1"/>
  <c r="AN167" i="1"/>
  <c r="AM167" i="1" s="1"/>
  <c r="AP167" i="1"/>
  <c r="AO167" i="1" s="1"/>
  <c r="AR167" i="1"/>
  <c r="AQ167" i="1" s="1"/>
  <c r="AT167" i="1"/>
  <c r="AS167" i="1" s="1"/>
  <c r="AV167" i="1"/>
  <c r="AU167" i="1" s="1"/>
  <c r="AX167" i="1"/>
  <c r="AW167" i="1" s="1"/>
  <c r="AZ167" i="1"/>
  <c r="AY167" i="1" s="1"/>
  <c r="BB167" i="1"/>
  <c r="BA167" i="1" s="1"/>
  <c r="BD167" i="1"/>
  <c r="BC167" i="1" s="1"/>
  <c r="BF167" i="1"/>
  <c r="BE167" i="1" s="1"/>
  <c r="BH167" i="1"/>
  <c r="BG167" i="1" s="1"/>
  <c r="BJ167" i="1"/>
  <c r="BI167" i="1" s="1"/>
  <c r="BL167" i="1"/>
  <c r="BK167" i="1" s="1"/>
  <c r="BN167" i="1"/>
  <c r="BM167" i="1" s="1"/>
  <c r="BP167" i="1"/>
  <c r="BO167" i="1" s="1"/>
  <c r="BR167" i="1"/>
  <c r="BQ167" i="1" s="1"/>
  <c r="BT167" i="1"/>
  <c r="BS167" i="1" s="1"/>
  <c r="BV167" i="1"/>
  <c r="BU167" i="1" s="1"/>
  <c r="BX167" i="1"/>
  <c r="BW167" i="1" s="1"/>
  <c r="BZ167" i="1"/>
  <c r="BY167" i="1" s="1"/>
  <c r="CA167" i="1"/>
  <c r="CB167" i="1"/>
  <c r="CC167" i="1"/>
  <c r="CD167" i="1"/>
  <c r="CE167" i="1"/>
  <c r="CF167" i="1"/>
  <c r="CG167" i="1"/>
  <c r="CH167" i="1"/>
  <c r="CI167" i="1"/>
  <c r="CJ167" i="1"/>
  <c r="CK167" i="1"/>
  <c r="CL167" i="1"/>
  <c r="CM167" i="1"/>
  <c r="CN167" i="1"/>
  <c r="CO167" i="1"/>
  <c r="CP167" i="1"/>
  <c r="CQ167" i="1"/>
  <c r="CR167" i="1"/>
  <c r="CS167" i="1"/>
  <c r="CT167" i="1"/>
  <c r="CU167" i="1"/>
  <c r="CV167" i="1"/>
  <c r="CX167" i="1"/>
  <c r="CW167" i="1" s="1"/>
  <c r="CZ167" i="1"/>
  <c r="CY167" i="1" s="1"/>
  <c r="DB167" i="1"/>
  <c r="DA167" i="1" s="1"/>
  <c r="DD167" i="1"/>
  <c r="DC167" i="1" s="1"/>
  <c r="DF167" i="1"/>
  <c r="DE167" i="1" s="1"/>
  <c r="DH167" i="1"/>
  <c r="DG167" i="1" s="1"/>
  <c r="DJ167" i="1"/>
  <c r="DI167" i="1" s="1"/>
  <c r="DL167" i="1"/>
  <c r="DK167" i="1" s="1"/>
  <c r="DN167" i="1"/>
  <c r="DM167" i="1" s="1"/>
  <c r="DP167" i="1"/>
  <c r="DO167" i="1" s="1"/>
  <c r="DR167" i="1"/>
  <c r="DQ167" i="1" s="1"/>
  <c r="DT167" i="1"/>
  <c r="DS167" i="1" s="1"/>
  <c r="DV167" i="1"/>
  <c r="DU167" i="1" s="1"/>
  <c r="DX167" i="1"/>
  <c r="DW167" i="1" s="1"/>
  <c r="DZ167" i="1"/>
  <c r="DY167" i="1" s="1"/>
  <c r="EB167" i="1"/>
  <c r="EA167" i="1" s="1"/>
  <c r="ED167" i="1"/>
  <c r="EC167" i="1" s="1"/>
  <c r="EF167" i="1"/>
  <c r="EE167" i="1" s="1"/>
  <c r="EH167" i="1"/>
  <c r="EG167" i="1" s="1"/>
  <c r="EJ167" i="1"/>
  <c r="EI167" i="1" s="1"/>
  <c r="EL167" i="1"/>
  <c r="EK167" i="1" s="1"/>
  <c r="EN167" i="1"/>
  <c r="EM167" i="1" s="1"/>
  <c r="EO167" i="1"/>
  <c r="EP167" i="1"/>
  <c r="EQ167" i="1"/>
  <c r="ER167" i="1"/>
  <c r="ES167" i="1"/>
  <c r="ET167" i="1"/>
  <c r="EU167" i="1"/>
  <c r="EV167" i="1"/>
  <c r="EW167" i="1"/>
  <c r="EX167" i="1"/>
  <c r="EY167" i="1"/>
  <c r="EZ167" i="1"/>
  <c r="FA167" i="1"/>
  <c r="FB167" i="1"/>
  <c r="FC167" i="1"/>
  <c r="FD167" i="1"/>
  <c r="FE167" i="1"/>
  <c r="FF167" i="1"/>
  <c r="FG167" i="1"/>
  <c r="FH167" i="1"/>
  <c r="FI167" i="1"/>
  <c r="FJ167" i="1"/>
  <c r="FK167" i="1"/>
  <c r="FL167" i="1"/>
  <c r="FM167" i="1"/>
  <c r="FN167" i="1"/>
  <c r="FO167" i="1"/>
  <c r="FP167" i="1"/>
  <c r="FQ167" i="1"/>
  <c r="FR167" i="1"/>
  <c r="FS167" i="1"/>
  <c r="FT167" i="1"/>
  <c r="FU167" i="1"/>
  <c r="FW167" i="1"/>
  <c r="FV167" i="1" s="1"/>
  <c r="FY167" i="1"/>
  <c r="FX167" i="1" s="1"/>
  <c r="GA167" i="1"/>
  <c r="FZ167" i="1" s="1"/>
  <c r="GC167" i="1"/>
  <c r="GB167" i="1" s="1"/>
  <c r="GE167" i="1"/>
  <c r="GD167" i="1" s="1"/>
  <c r="GG167" i="1"/>
  <c r="GF167" i="1" s="1"/>
  <c r="GI167" i="1"/>
  <c r="GH167" i="1" s="1"/>
  <c r="GK167" i="1"/>
  <c r="GJ167" i="1" s="1"/>
  <c r="GM167" i="1"/>
  <c r="GL167" i="1" s="1"/>
  <c r="GO167" i="1"/>
  <c r="GN167" i="1" s="1"/>
  <c r="GQ167" i="1"/>
  <c r="GP167" i="1" s="1"/>
  <c r="GS167" i="1"/>
  <c r="GR167" i="1" s="1"/>
  <c r="GU167" i="1"/>
  <c r="GT167" i="1" s="1"/>
  <c r="GW167" i="1"/>
  <c r="GV167" i="1" s="1"/>
  <c r="GY167" i="1"/>
  <c r="GX167" i="1" s="1"/>
  <c r="HA167" i="1"/>
  <c r="GZ167" i="1" s="1"/>
  <c r="HC167" i="1"/>
  <c r="HB167" i="1" s="1"/>
  <c r="HE167" i="1"/>
  <c r="HD167" i="1" s="1"/>
  <c r="HG167" i="1"/>
  <c r="HF167" i="1" s="1"/>
  <c r="HI167" i="1"/>
  <c r="HH167" i="1" s="1"/>
  <c r="HK167" i="1"/>
  <c r="HJ167" i="1" s="1"/>
  <c r="HM167" i="1"/>
  <c r="HL167" i="1" s="1"/>
  <c r="HO167" i="1"/>
  <c r="HN167" i="1" s="1"/>
  <c r="HQ167" i="1"/>
  <c r="HP167" i="1" s="1"/>
  <c r="HS167" i="1"/>
  <c r="HR167" i="1" s="1"/>
  <c r="HU167" i="1"/>
  <c r="HT167" i="1" s="1"/>
  <c r="HW167" i="1"/>
  <c r="HV167" i="1" s="1"/>
  <c r="HY167" i="1"/>
  <c r="HX167" i="1" s="1"/>
  <c r="IA167" i="1"/>
  <c r="HZ167" i="1" s="1"/>
  <c r="IC167" i="1"/>
  <c r="IB167" i="1" s="1"/>
  <c r="IE167" i="1"/>
  <c r="ID167" i="1" s="1"/>
  <c r="IG167" i="1"/>
  <c r="IF167" i="1" s="1"/>
  <c r="II167" i="1"/>
  <c r="IH167" i="1" s="1"/>
  <c r="F463" i="152" l="1"/>
  <c r="H463" i="152"/>
  <c r="I463" i="152"/>
  <c r="F440" i="152"/>
  <c r="F442" i="152"/>
  <c r="F444" i="152"/>
  <c r="H440" i="152"/>
  <c r="H442" i="152"/>
  <c r="H444" i="152"/>
  <c r="I440" i="152"/>
  <c r="I442" i="152"/>
  <c r="I444" i="152"/>
  <c r="F301" i="152"/>
  <c r="H301" i="152"/>
  <c r="I301" i="152"/>
  <c r="F206" i="152"/>
  <c r="H206" i="152"/>
  <c r="I206" i="152"/>
  <c r="F185" i="152"/>
  <c r="F187" i="152"/>
  <c r="F189" i="152"/>
  <c r="H185" i="152"/>
  <c r="H187" i="152"/>
  <c r="H189" i="152"/>
  <c r="I185" i="152"/>
  <c r="I187" i="152"/>
  <c r="I189" i="152"/>
  <c r="F483" i="152" l="1"/>
  <c r="H483" i="152"/>
  <c r="I483" i="152"/>
  <c r="F429" i="152"/>
  <c r="F434" i="152"/>
  <c r="H429" i="152"/>
  <c r="H434" i="152"/>
  <c r="I429" i="152"/>
  <c r="I434" i="152"/>
  <c r="F315" i="152"/>
  <c r="F318" i="152"/>
  <c r="F319" i="152"/>
  <c r="F321" i="152"/>
  <c r="F324" i="152"/>
  <c r="F346" i="152"/>
  <c r="F352" i="152"/>
  <c r="F361" i="152"/>
  <c r="F363" i="152"/>
  <c r="F366" i="152"/>
  <c r="H315" i="152"/>
  <c r="H318" i="152"/>
  <c r="H319" i="152"/>
  <c r="H321" i="152"/>
  <c r="H324" i="152"/>
  <c r="H346" i="152"/>
  <c r="H352" i="152"/>
  <c r="H361" i="152"/>
  <c r="H363" i="152"/>
  <c r="H366" i="152"/>
  <c r="I315" i="152"/>
  <c r="I318" i="152"/>
  <c r="I319" i="152"/>
  <c r="I321" i="152"/>
  <c r="I324" i="152"/>
  <c r="I346" i="152"/>
  <c r="I352" i="152"/>
  <c r="I361" i="152"/>
  <c r="I363" i="152"/>
  <c r="I366" i="152"/>
  <c r="F304" i="152"/>
  <c r="H304" i="152"/>
  <c r="I304" i="152"/>
  <c r="F228" i="152"/>
  <c r="F254" i="152"/>
  <c r="F258" i="152"/>
  <c r="F264" i="152"/>
  <c r="F277" i="152"/>
  <c r="H228" i="152"/>
  <c r="H254" i="152"/>
  <c r="H258" i="152"/>
  <c r="H264" i="152"/>
  <c r="H277" i="152"/>
  <c r="I228" i="152"/>
  <c r="I254" i="152"/>
  <c r="I258" i="152"/>
  <c r="I264" i="152"/>
  <c r="I277" i="152"/>
  <c r="F168" i="152"/>
  <c r="F170" i="152"/>
  <c r="F171" i="152"/>
  <c r="F177" i="152"/>
  <c r="F181" i="152"/>
  <c r="F183" i="152"/>
  <c r="F197" i="152"/>
  <c r="F200" i="152"/>
  <c r="F204" i="152"/>
  <c r="H168" i="152"/>
  <c r="H170" i="152"/>
  <c r="H171" i="152"/>
  <c r="H177" i="152"/>
  <c r="H181" i="152"/>
  <c r="H183" i="152"/>
  <c r="H197" i="152"/>
  <c r="H200" i="152"/>
  <c r="H204" i="152"/>
  <c r="I168" i="152"/>
  <c r="I170" i="152"/>
  <c r="I171" i="152"/>
  <c r="I177" i="152"/>
  <c r="I181" i="152"/>
  <c r="I183" i="152"/>
  <c r="I197" i="152"/>
  <c r="I200" i="152"/>
  <c r="I204" i="152"/>
  <c r="F13" i="152"/>
  <c r="F88" i="152"/>
  <c r="F89" i="152"/>
  <c r="F96" i="152"/>
  <c r="F99" i="152"/>
  <c r="F105" i="152"/>
  <c r="H13" i="152"/>
  <c r="H88" i="152"/>
  <c r="H89" i="152"/>
  <c r="H96" i="152"/>
  <c r="H99" i="152"/>
  <c r="H105" i="152"/>
  <c r="I13" i="152"/>
  <c r="I88" i="152"/>
  <c r="I89" i="152"/>
  <c r="I96" i="152"/>
  <c r="I99" i="152"/>
  <c r="I105" i="152"/>
  <c r="F85" i="152"/>
  <c r="H85" i="152"/>
  <c r="I85" i="152"/>
  <c r="F6" i="152"/>
  <c r="H6" i="152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9" i="1"/>
  <c r="E100" i="1"/>
  <c r="E101" i="1"/>
  <c r="E102" i="1"/>
  <c r="E103" i="1"/>
  <c r="E104" i="1"/>
  <c r="E105" i="1"/>
  <c r="E106" i="1"/>
  <c r="E107" i="1"/>
  <c r="E108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1" i="1"/>
  <c r="E142" i="1"/>
  <c r="E13" i="1"/>
  <c r="E14" i="1"/>
  <c r="E15" i="1"/>
  <c r="E16" i="1"/>
  <c r="E17" i="1"/>
  <c r="E19" i="1"/>
  <c r="E18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62" i="1"/>
  <c r="E98" i="1"/>
  <c r="E109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9" i="1"/>
  <c r="F100" i="1"/>
  <c r="F101" i="1"/>
  <c r="F102" i="1"/>
  <c r="F103" i="1"/>
  <c r="F104" i="1"/>
  <c r="F105" i="1"/>
  <c r="F106" i="1"/>
  <c r="F107" i="1"/>
  <c r="F108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1" i="1"/>
  <c r="F142" i="1"/>
  <c r="F13" i="1"/>
  <c r="F14" i="1"/>
  <c r="F15" i="1"/>
  <c r="F16" i="1"/>
  <c r="F17" i="1"/>
  <c r="F19" i="1"/>
  <c r="F18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62" i="1"/>
  <c r="F98" i="1"/>
  <c r="F109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9" i="1"/>
  <c r="G100" i="1"/>
  <c r="G101" i="1"/>
  <c r="G102" i="1"/>
  <c r="G103" i="1"/>
  <c r="G104" i="1"/>
  <c r="G105" i="1"/>
  <c r="G106" i="1"/>
  <c r="G107" i="1"/>
  <c r="G108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1" i="1"/>
  <c r="G142" i="1"/>
  <c r="G13" i="1"/>
  <c r="G14" i="1"/>
  <c r="G15" i="1"/>
  <c r="G16" i="1"/>
  <c r="G17" i="1"/>
  <c r="G19" i="1"/>
  <c r="G18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62" i="1"/>
  <c r="G98" i="1"/>
  <c r="G109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9" i="1"/>
  <c r="H100" i="1"/>
  <c r="H101" i="1"/>
  <c r="H102" i="1"/>
  <c r="H103" i="1"/>
  <c r="H104" i="1"/>
  <c r="H105" i="1"/>
  <c r="H106" i="1"/>
  <c r="H107" i="1"/>
  <c r="H108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1" i="1"/>
  <c r="H142" i="1"/>
  <c r="H13" i="1"/>
  <c r="H14" i="1"/>
  <c r="H15" i="1"/>
  <c r="H16" i="1"/>
  <c r="H17" i="1"/>
  <c r="H19" i="1"/>
  <c r="H18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62" i="1"/>
  <c r="H98" i="1"/>
  <c r="H109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9" i="1"/>
  <c r="I100" i="1"/>
  <c r="I101" i="1"/>
  <c r="I102" i="1"/>
  <c r="I103" i="1"/>
  <c r="I104" i="1"/>
  <c r="I105" i="1"/>
  <c r="I106" i="1"/>
  <c r="I107" i="1"/>
  <c r="I108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1" i="1"/>
  <c r="I142" i="1"/>
  <c r="I13" i="1"/>
  <c r="I14" i="1"/>
  <c r="I15" i="1"/>
  <c r="I16" i="1"/>
  <c r="I17" i="1"/>
  <c r="I19" i="1"/>
  <c r="I18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62" i="1"/>
  <c r="I98" i="1"/>
  <c r="I109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9" i="1"/>
  <c r="J100" i="1"/>
  <c r="J101" i="1"/>
  <c r="J102" i="1"/>
  <c r="J103" i="1"/>
  <c r="J104" i="1"/>
  <c r="J105" i="1"/>
  <c r="J106" i="1"/>
  <c r="J107" i="1"/>
  <c r="J108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1" i="1"/>
  <c r="J142" i="1"/>
  <c r="J13" i="1"/>
  <c r="J14" i="1"/>
  <c r="J15" i="1"/>
  <c r="J16" i="1"/>
  <c r="J17" i="1"/>
  <c r="J19" i="1"/>
  <c r="J18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62" i="1"/>
  <c r="J98" i="1"/>
  <c r="J109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9" i="1"/>
  <c r="K100" i="1"/>
  <c r="K101" i="1"/>
  <c r="K102" i="1"/>
  <c r="K103" i="1"/>
  <c r="K104" i="1"/>
  <c r="K105" i="1"/>
  <c r="K106" i="1"/>
  <c r="K107" i="1"/>
  <c r="K108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1" i="1"/>
  <c r="K142" i="1"/>
  <c r="K13" i="1"/>
  <c r="K14" i="1"/>
  <c r="K15" i="1"/>
  <c r="K16" i="1"/>
  <c r="K17" i="1"/>
  <c r="K19" i="1"/>
  <c r="K18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62" i="1"/>
  <c r="K98" i="1"/>
  <c r="K109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9" i="1"/>
  <c r="L100" i="1"/>
  <c r="L101" i="1"/>
  <c r="L102" i="1"/>
  <c r="L103" i="1"/>
  <c r="L104" i="1"/>
  <c r="L105" i="1"/>
  <c r="L106" i="1"/>
  <c r="L107" i="1"/>
  <c r="L108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1" i="1"/>
  <c r="L142" i="1"/>
  <c r="L13" i="1"/>
  <c r="L14" i="1"/>
  <c r="L15" i="1"/>
  <c r="L16" i="1"/>
  <c r="L17" i="1"/>
  <c r="L19" i="1"/>
  <c r="L18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62" i="1"/>
  <c r="L98" i="1"/>
  <c r="L109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9" i="1"/>
  <c r="M100" i="1"/>
  <c r="M101" i="1"/>
  <c r="M102" i="1"/>
  <c r="M103" i="1"/>
  <c r="M104" i="1"/>
  <c r="M105" i="1"/>
  <c r="M106" i="1"/>
  <c r="M107" i="1"/>
  <c r="M108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1" i="1"/>
  <c r="M142" i="1"/>
  <c r="M13" i="1"/>
  <c r="M14" i="1"/>
  <c r="M15" i="1"/>
  <c r="M16" i="1"/>
  <c r="M17" i="1"/>
  <c r="M19" i="1"/>
  <c r="M18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62" i="1"/>
  <c r="M98" i="1"/>
  <c r="M109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9" i="1"/>
  <c r="N100" i="1"/>
  <c r="N101" i="1"/>
  <c r="N102" i="1"/>
  <c r="N103" i="1"/>
  <c r="N104" i="1"/>
  <c r="N105" i="1"/>
  <c r="N106" i="1"/>
  <c r="N107" i="1"/>
  <c r="N108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1" i="1"/>
  <c r="N142" i="1"/>
  <c r="N13" i="1"/>
  <c r="N14" i="1"/>
  <c r="N15" i="1"/>
  <c r="N16" i="1"/>
  <c r="N17" i="1"/>
  <c r="N19" i="1"/>
  <c r="N18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62" i="1"/>
  <c r="N98" i="1"/>
  <c r="N109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9" i="1"/>
  <c r="O100" i="1"/>
  <c r="O101" i="1"/>
  <c r="O102" i="1"/>
  <c r="O103" i="1"/>
  <c r="O104" i="1"/>
  <c r="O105" i="1"/>
  <c r="O106" i="1"/>
  <c r="O107" i="1"/>
  <c r="O108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1" i="1"/>
  <c r="O142" i="1"/>
  <c r="O13" i="1"/>
  <c r="O14" i="1"/>
  <c r="O15" i="1"/>
  <c r="O16" i="1"/>
  <c r="O17" i="1"/>
  <c r="O19" i="1"/>
  <c r="O18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62" i="1"/>
  <c r="O98" i="1"/>
  <c r="O109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9" i="1"/>
  <c r="P100" i="1"/>
  <c r="P101" i="1"/>
  <c r="P102" i="1"/>
  <c r="P103" i="1"/>
  <c r="P104" i="1"/>
  <c r="P105" i="1"/>
  <c r="P106" i="1"/>
  <c r="P107" i="1"/>
  <c r="P108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1" i="1"/>
  <c r="P142" i="1"/>
  <c r="P13" i="1"/>
  <c r="P14" i="1"/>
  <c r="P15" i="1"/>
  <c r="P16" i="1"/>
  <c r="P17" i="1"/>
  <c r="P19" i="1"/>
  <c r="P18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62" i="1"/>
  <c r="P98" i="1"/>
  <c r="P109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9" i="1"/>
  <c r="Q100" i="1"/>
  <c r="Q101" i="1"/>
  <c r="Q102" i="1"/>
  <c r="Q103" i="1"/>
  <c r="Q104" i="1"/>
  <c r="Q105" i="1"/>
  <c r="Q106" i="1"/>
  <c r="Q107" i="1"/>
  <c r="Q108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1" i="1"/>
  <c r="Q142" i="1"/>
  <c r="Q13" i="1"/>
  <c r="Q14" i="1"/>
  <c r="Q15" i="1"/>
  <c r="Q16" i="1"/>
  <c r="Q17" i="1"/>
  <c r="Q19" i="1"/>
  <c r="Q18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62" i="1"/>
  <c r="Q98" i="1"/>
  <c r="Q109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9" i="1"/>
  <c r="R100" i="1"/>
  <c r="R101" i="1"/>
  <c r="R102" i="1"/>
  <c r="R103" i="1"/>
  <c r="R104" i="1"/>
  <c r="R105" i="1"/>
  <c r="R106" i="1"/>
  <c r="R107" i="1"/>
  <c r="R108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1" i="1"/>
  <c r="R142" i="1"/>
  <c r="R13" i="1"/>
  <c r="R14" i="1"/>
  <c r="R15" i="1"/>
  <c r="R16" i="1"/>
  <c r="R17" i="1"/>
  <c r="R19" i="1"/>
  <c r="R18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62" i="1"/>
  <c r="R98" i="1"/>
  <c r="R109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9" i="1"/>
  <c r="S100" i="1"/>
  <c r="S101" i="1"/>
  <c r="S102" i="1"/>
  <c r="S103" i="1"/>
  <c r="S104" i="1"/>
  <c r="S105" i="1"/>
  <c r="S106" i="1"/>
  <c r="S107" i="1"/>
  <c r="S108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1" i="1"/>
  <c r="S142" i="1"/>
  <c r="S13" i="1"/>
  <c r="S14" i="1"/>
  <c r="S15" i="1"/>
  <c r="S16" i="1"/>
  <c r="S17" i="1"/>
  <c r="S19" i="1"/>
  <c r="S18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62" i="1"/>
  <c r="S98" i="1"/>
  <c r="S109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9" i="1"/>
  <c r="T100" i="1"/>
  <c r="T101" i="1"/>
  <c r="T102" i="1"/>
  <c r="T103" i="1"/>
  <c r="T104" i="1"/>
  <c r="T105" i="1"/>
  <c r="T106" i="1"/>
  <c r="T107" i="1"/>
  <c r="T108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1" i="1"/>
  <c r="T142" i="1"/>
  <c r="T13" i="1"/>
  <c r="T14" i="1"/>
  <c r="T15" i="1"/>
  <c r="T16" i="1"/>
  <c r="T17" i="1"/>
  <c r="T19" i="1"/>
  <c r="T18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62" i="1"/>
  <c r="T98" i="1"/>
  <c r="T109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9" i="1"/>
  <c r="W100" i="1"/>
  <c r="W101" i="1"/>
  <c r="W102" i="1"/>
  <c r="W103" i="1"/>
  <c r="W104" i="1"/>
  <c r="W105" i="1"/>
  <c r="W106" i="1"/>
  <c r="W107" i="1"/>
  <c r="W108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1" i="1"/>
  <c r="W142" i="1"/>
  <c r="W13" i="1"/>
  <c r="W14" i="1"/>
  <c r="W15" i="1"/>
  <c r="W16" i="1"/>
  <c r="W17" i="1"/>
  <c r="W19" i="1"/>
  <c r="W18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62" i="1"/>
  <c r="W98" i="1"/>
  <c r="W109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9" i="1"/>
  <c r="X100" i="1"/>
  <c r="X101" i="1"/>
  <c r="X102" i="1"/>
  <c r="X103" i="1"/>
  <c r="X104" i="1"/>
  <c r="X105" i="1"/>
  <c r="X106" i="1"/>
  <c r="X107" i="1"/>
  <c r="X108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1" i="1"/>
  <c r="X142" i="1"/>
  <c r="X13" i="1"/>
  <c r="X14" i="1"/>
  <c r="X15" i="1"/>
  <c r="X16" i="1"/>
  <c r="X17" i="1"/>
  <c r="X19" i="1"/>
  <c r="X18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62" i="1"/>
  <c r="X98" i="1"/>
  <c r="X109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9" i="1"/>
  <c r="Y100" i="1"/>
  <c r="Y101" i="1"/>
  <c r="Y102" i="1"/>
  <c r="Y103" i="1"/>
  <c r="Y104" i="1"/>
  <c r="Y105" i="1"/>
  <c r="Y106" i="1"/>
  <c r="Y107" i="1"/>
  <c r="Y108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1" i="1"/>
  <c r="Y142" i="1"/>
  <c r="Y13" i="1"/>
  <c r="Y14" i="1"/>
  <c r="Y15" i="1"/>
  <c r="Y16" i="1"/>
  <c r="Y17" i="1"/>
  <c r="Y19" i="1"/>
  <c r="Y18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62" i="1"/>
  <c r="Y98" i="1"/>
  <c r="Y109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9" i="1"/>
  <c r="Z100" i="1"/>
  <c r="Z101" i="1"/>
  <c r="Z102" i="1"/>
  <c r="Z103" i="1"/>
  <c r="Z104" i="1"/>
  <c r="Z105" i="1"/>
  <c r="Z106" i="1"/>
  <c r="Z107" i="1"/>
  <c r="Z108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1" i="1"/>
  <c r="Z142" i="1"/>
  <c r="Z13" i="1"/>
  <c r="Z14" i="1"/>
  <c r="Z15" i="1"/>
  <c r="Z16" i="1"/>
  <c r="Z17" i="1"/>
  <c r="Z19" i="1"/>
  <c r="Z18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62" i="1"/>
  <c r="Z98" i="1"/>
  <c r="Z109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9" i="1"/>
  <c r="AA100" i="1"/>
  <c r="AA101" i="1"/>
  <c r="AA102" i="1"/>
  <c r="AA103" i="1"/>
  <c r="AA104" i="1"/>
  <c r="AA105" i="1"/>
  <c r="AA106" i="1"/>
  <c r="AA107" i="1"/>
  <c r="AA108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1" i="1"/>
  <c r="AA142" i="1"/>
  <c r="AA13" i="1"/>
  <c r="AA14" i="1"/>
  <c r="AA15" i="1"/>
  <c r="AA16" i="1"/>
  <c r="AA17" i="1"/>
  <c r="AA19" i="1"/>
  <c r="AA18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62" i="1"/>
  <c r="AA98" i="1"/>
  <c r="AA109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9" i="1"/>
  <c r="AB100" i="1"/>
  <c r="AB101" i="1"/>
  <c r="AB102" i="1"/>
  <c r="AB103" i="1"/>
  <c r="AB104" i="1"/>
  <c r="AB105" i="1"/>
  <c r="AB106" i="1"/>
  <c r="AB107" i="1"/>
  <c r="AB108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1" i="1"/>
  <c r="AB142" i="1"/>
  <c r="AB13" i="1"/>
  <c r="AB14" i="1"/>
  <c r="AB15" i="1"/>
  <c r="AB16" i="1"/>
  <c r="AB17" i="1"/>
  <c r="AB19" i="1"/>
  <c r="AB18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62" i="1"/>
  <c r="AB98" i="1"/>
  <c r="AB109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9" i="1"/>
  <c r="AC100" i="1"/>
  <c r="AC101" i="1"/>
  <c r="AC102" i="1"/>
  <c r="AC103" i="1"/>
  <c r="AC104" i="1"/>
  <c r="AC105" i="1"/>
  <c r="AC106" i="1"/>
  <c r="AC107" i="1"/>
  <c r="AC108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1" i="1"/>
  <c r="AC142" i="1"/>
  <c r="AC13" i="1"/>
  <c r="AC14" i="1"/>
  <c r="AC15" i="1"/>
  <c r="AC16" i="1"/>
  <c r="AC17" i="1"/>
  <c r="AC19" i="1"/>
  <c r="AC18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62" i="1"/>
  <c r="AC98" i="1"/>
  <c r="AC109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9" i="1"/>
  <c r="AD100" i="1"/>
  <c r="AD101" i="1"/>
  <c r="AD102" i="1"/>
  <c r="AD103" i="1"/>
  <c r="AD104" i="1"/>
  <c r="AD105" i="1"/>
  <c r="AD106" i="1"/>
  <c r="AD107" i="1"/>
  <c r="AD108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1" i="1"/>
  <c r="AD142" i="1"/>
  <c r="AD13" i="1"/>
  <c r="AD14" i="1"/>
  <c r="AD15" i="1"/>
  <c r="AD16" i="1"/>
  <c r="AD17" i="1"/>
  <c r="AD19" i="1"/>
  <c r="AD18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62" i="1"/>
  <c r="AD98" i="1"/>
  <c r="AD109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9" i="1"/>
  <c r="AE100" i="1"/>
  <c r="AE101" i="1"/>
  <c r="AE102" i="1"/>
  <c r="AE103" i="1"/>
  <c r="AE104" i="1"/>
  <c r="AE105" i="1"/>
  <c r="AE106" i="1"/>
  <c r="AE107" i="1"/>
  <c r="AE108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1" i="1"/>
  <c r="AE142" i="1"/>
  <c r="AE13" i="1"/>
  <c r="AE14" i="1"/>
  <c r="AE15" i="1"/>
  <c r="AE16" i="1"/>
  <c r="AE17" i="1"/>
  <c r="AE19" i="1"/>
  <c r="AE18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62" i="1"/>
  <c r="AE98" i="1"/>
  <c r="AE109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9" i="1"/>
  <c r="AF100" i="1"/>
  <c r="AF101" i="1"/>
  <c r="AF102" i="1"/>
  <c r="AF103" i="1"/>
  <c r="AF104" i="1"/>
  <c r="AF105" i="1"/>
  <c r="AF106" i="1"/>
  <c r="AF107" i="1"/>
  <c r="AF108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1" i="1"/>
  <c r="AF142" i="1"/>
  <c r="AF13" i="1"/>
  <c r="AF14" i="1"/>
  <c r="AF15" i="1"/>
  <c r="AF16" i="1"/>
  <c r="AF17" i="1"/>
  <c r="AF19" i="1"/>
  <c r="AF18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62" i="1"/>
  <c r="AF98" i="1"/>
  <c r="AF109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9" i="1"/>
  <c r="AG100" i="1"/>
  <c r="AG101" i="1"/>
  <c r="AG102" i="1"/>
  <c r="AG103" i="1"/>
  <c r="AG104" i="1"/>
  <c r="AG105" i="1"/>
  <c r="AG106" i="1"/>
  <c r="AG107" i="1"/>
  <c r="AG108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1" i="1"/>
  <c r="AG142" i="1"/>
  <c r="AG13" i="1"/>
  <c r="AG14" i="1"/>
  <c r="AG15" i="1"/>
  <c r="AG16" i="1"/>
  <c r="AG17" i="1"/>
  <c r="AG19" i="1"/>
  <c r="AG18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62" i="1"/>
  <c r="AG98" i="1"/>
  <c r="AG109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9" i="1"/>
  <c r="AH100" i="1"/>
  <c r="AH101" i="1"/>
  <c r="AH102" i="1"/>
  <c r="AH103" i="1"/>
  <c r="AH104" i="1"/>
  <c r="AH105" i="1"/>
  <c r="AH106" i="1"/>
  <c r="AH107" i="1"/>
  <c r="AH108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1" i="1"/>
  <c r="AH142" i="1"/>
  <c r="AH13" i="1"/>
  <c r="AH14" i="1"/>
  <c r="AH15" i="1"/>
  <c r="AH16" i="1"/>
  <c r="AH17" i="1"/>
  <c r="AH19" i="1"/>
  <c r="AH18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62" i="1"/>
  <c r="AH98" i="1"/>
  <c r="AH109" i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3" i="1"/>
  <c r="AI53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89" i="1"/>
  <c r="AI89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9" i="1"/>
  <c r="AI99" i="1" s="1"/>
  <c r="AJ100" i="1"/>
  <c r="AI100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1" i="1"/>
  <c r="AI141" i="1" s="1"/>
  <c r="AJ142" i="1"/>
  <c r="AI142" i="1" s="1"/>
  <c r="AJ13" i="1"/>
  <c r="AI13" i="1" s="1"/>
  <c r="AJ14" i="1"/>
  <c r="AI14" i="1" s="1"/>
  <c r="AJ15" i="1"/>
  <c r="AI15" i="1" s="1"/>
  <c r="AJ16" i="1"/>
  <c r="AI16" i="1" s="1"/>
  <c r="AJ17" i="1"/>
  <c r="AI17" i="1" s="1"/>
  <c r="AJ19" i="1"/>
  <c r="AI19" i="1" s="1"/>
  <c r="AJ18" i="1"/>
  <c r="AI18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164" i="1"/>
  <c r="AI164" i="1" s="1"/>
  <c r="AJ165" i="1"/>
  <c r="AI165" i="1" s="1"/>
  <c r="AJ166" i="1"/>
  <c r="AI166" i="1" s="1"/>
  <c r="AJ62" i="1"/>
  <c r="AI62" i="1" s="1"/>
  <c r="AJ98" i="1"/>
  <c r="AI98" i="1" s="1"/>
  <c r="AJ109" i="1"/>
  <c r="AI109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3" i="1"/>
  <c r="AK53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89" i="1"/>
  <c r="AK89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9" i="1"/>
  <c r="AK99" i="1" s="1"/>
  <c r="AL100" i="1"/>
  <c r="AK100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1" i="1"/>
  <c r="AK141" i="1" s="1"/>
  <c r="AL142" i="1"/>
  <c r="AK142" i="1" s="1"/>
  <c r="AL13" i="1"/>
  <c r="AK13" i="1" s="1"/>
  <c r="AL14" i="1"/>
  <c r="AK14" i="1" s="1"/>
  <c r="AL15" i="1"/>
  <c r="AK15" i="1" s="1"/>
  <c r="AL16" i="1"/>
  <c r="AK16" i="1" s="1"/>
  <c r="AL17" i="1"/>
  <c r="AK17" i="1" s="1"/>
  <c r="AL19" i="1"/>
  <c r="AK19" i="1" s="1"/>
  <c r="AL18" i="1"/>
  <c r="AK18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164" i="1"/>
  <c r="AK164" i="1" s="1"/>
  <c r="AL165" i="1"/>
  <c r="AK165" i="1" s="1"/>
  <c r="AL166" i="1"/>
  <c r="AK166" i="1" s="1"/>
  <c r="AL62" i="1"/>
  <c r="AK62" i="1" s="1"/>
  <c r="AL98" i="1"/>
  <c r="AK98" i="1" s="1"/>
  <c r="AL109" i="1"/>
  <c r="AK109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3" i="1"/>
  <c r="AM53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89" i="1"/>
  <c r="AM89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9" i="1"/>
  <c r="AM99" i="1" s="1"/>
  <c r="AN100" i="1"/>
  <c r="AM100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1" i="1"/>
  <c r="AM141" i="1" s="1"/>
  <c r="AN142" i="1"/>
  <c r="AM142" i="1" s="1"/>
  <c r="AN13" i="1"/>
  <c r="AM13" i="1" s="1"/>
  <c r="AN14" i="1"/>
  <c r="AM14" i="1" s="1"/>
  <c r="AN15" i="1"/>
  <c r="AM15" i="1" s="1"/>
  <c r="AN16" i="1"/>
  <c r="AM16" i="1" s="1"/>
  <c r="AN17" i="1"/>
  <c r="AM17" i="1" s="1"/>
  <c r="AN19" i="1"/>
  <c r="AM19" i="1" s="1"/>
  <c r="AN18" i="1"/>
  <c r="AM18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164" i="1"/>
  <c r="AM164" i="1" s="1"/>
  <c r="AN165" i="1"/>
  <c r="AM165" i="1" s="1"/>
  <c r="AN166" i="1"/>
  <c r="AM166" i="1" s="1"/>
  <c r="AN62" i="1"/>
  <c r="AM62" i="1" s="1"/>
  <c r="AN98" i="1"/>
  <c r="AM98" i="1" s="1"/>
  <c r="AN109" i="1"/>
  <c r="AM109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3" i="1"/>
  <c r="AO53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89" i="1"/>
  <c r="AO89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9" i="1"/>
  <c r="AO99" i="1" s="1"/>
  <c r="AP100" i="1"/>
  <c r="AO100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1" i="1"/>
  <c r="AO141" i="1" s="1"/>
  <c r="AP142" i="1"/>
  <c r="AO142" i="1" s="1"/>
  <c r="AP13" i="1"/>
  <c r="AO13" i="1" s="1"/>
  <c r="AP14" i="1"/>
  <c r="AO14" i="1" s="1"/>
  <c r="AP15" i="1"/>
  <c r="AO15" i="1" s="1"/>
  <c r="AP16" i="1"/>
  <c r="AO16" i="1" s="1"/>
  <c r="AP17" i="1"/>
  <c r="AO17" i="1" s="1"/>
  <c r="AP19" i="1"/>
  <c r="AO19" i="1" s="1"/>
  <c r="AP18" i="1"/>
  <c r="AO18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164" i="1"/>
  <c r="AO164" i="1" s="1"/>
  <c r="AP165" i="1"/>
  <c r="AO165" i="1" s="1"/>
  <c r="AP166" i="1"/>
  <c r="AO166" i="1" s="1"/>
  <c r="AP62" i="1"/>
  <c r="AO62" i="1" s="1"/>
  <c r="AP98" i="1"/>
  <c r="AO98" i="1" s="1"/>
  <c r="AP109" i="1"/>
  <c r="AO109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3" i="1"/>
  <c r="AQ53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89" i="1"/>
  <c r="AQ89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9" i="1"/>
  <c r="AQ99" i="1" s="1"/>
  <c r="AR100" i="1"/>
  <c r="AQ100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1" i="1"/>
  <c r="AQ141" i="1" s="1"/>
  <c r="AR142" i="1"/>
  <c r="AQ142" i="1" s="1"/>
  <c r="AR13" i="1"/>
  <c r="AQ13" i="1" s="1"/>
  <c r="AR14" i="1"/>
  <c r="AQ14" i="1" s="1"/>
  <c r="AR15" i="1"/>
  <c r="AQ15" i="1" s="1"/>
  <c r="AR16" i="1"/>
  <c r="AQ16" i="1" s="1"/>
  <c r="AR17" i="1"/>
  <c r="AQ17" i="1" s="1"/>
  <c r="AR19" i="1"/>
  <c r="AQ19" i="1" s="1"/>
  <c r="AR18" i="1"/>
  <c r="AQ18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164" i="1"/>
  <c r="AQ164" i="1" s="1"/>
  <c r="AR165" i="1"/>
  <c r="AQ165" i="1" s="1"/>
  <c r="AR166" i="1"/>
  <c r="AQ166" i="1" s="1"/>
  <c r="AR62" i="1"/>
  <c r="AQ62" i="1" s="1"/>
  <c r="AR98" i="1"/>
  <c r="AQ98" i="1" s="1"/>
  <c r="AR109" i="1"/>
  <c r="AQ109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3" i="1"/>
  <c r="AS53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89" i="1"/>
  <c r="AS89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9" i="1"/>
  <c r="AS99" i="1" s="1"/>
  <c r="AT100" i="1"/>
  <c r="AS100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1" i="1"/>
  <c r="AS141" i="1" s="1"/>
  <c r="AT142" i="1"/>
  <c r="AS142" i="1" s="1"/>
  <c r="AT13" i="1"/>
  <c r="AS13" i="1" s="1"/>
  <c r="AT14" i="1"/>
  <c r="AS14" i="1" s="1"/>
  <c r="AT15" i="1"/>
  <c r="AS15" i="1" s="1"/>
  <c r="AT16" i="1"/>
  <c r="AS16" i="1" s="1"/>
  <c r="AT17" i="1"/>
  <c r="AS17" i="1" s="1"/>
  <c r="AT19" i="1"/>
  <c r="AS19" i="1" s="1"/>
  <c r="AT18" i="1"/>
  <c r="AS18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164" i="1"/>
  <c r="AS164" i="1" s="1"/>
  <c r="AT165" i="1"/>
  <c r="AS165" i="1" s="1"/>
  <c r="AT166" i="1"/>
  <c r="AS166" i="1" s="1"/>
  <c r="AT62" i="1"/>
  <c r="AS62" i="1" s="1"/>
  <c r="AT98" i="1"/>
  <c r="AS98" i="1" s="1"/>
  <c r="AT109" i="1"/>
  <c r="AS109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3" i="1"/>
  <c r="AU53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89" i="1"/>
  <c r="AU89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9" i="1"/>
  <c r="AU99" i="1" s="1"/>
  <c r="AV100" i="1"/>
  <c r="AU100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1" i="1"/>
  <c r="AU141" i="1" s="1"/>
  <c r="AV142" i="1"/>
  <c r="AU142" i="1" s="1"/>
  <c r="AV13" i="1"/>
  <c r="AU13" i="1" s="1"/>
  <c r="AV14" i="1"/>
  <c r="AU14" i="1" s="1"/>
  <c r="AV15" i="1"/>
  <c r="AU15" i="1" s="1"/>
  <c r="AV16" i="1"/>
  <c r="AU16" i="1" s="1"/>
  <c r="AV17" i="1"/>
  <c r="AU17" i="1" s="1"/>
  <c r="AV19" i="1"/>
  <c r="AU19" i="1" s="1"/>
  <c r="AV18" i="1"/>
  <c r="AU18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164" i="1"/>
  <c r="AU164" i="1" s="1"/>
  <c r="AV165" i="1"/>
  <c r="AU165" i="1" s="1"/>
  <c r="AV166" i="1"/>
  <c r="AU166" i="1" s="1"/>
  <c r="AV62" i="1"/>
  <c r="AU62" i="1" s="1"/>
  <c r="AV98" i="1"/>
  <c r="AU98" i="1" s="1"/>
  <c r="AV109" i="1"/>
  <c r="AU109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3" i="1"/>
  <c r="AW53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89" i="1"/>
  <c r="AW89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9" i="1"/>
  <c r="AW99" i="1" s="1"/>
  <c r="AX100" i="1"/>
  <c r="AW100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1" i="1"/>
  <c r="AW141" i="1" s="1"/>
  <c r="AX142" i="1"/>
  <c r="AW142" i="1" s="1"/>
  <c r="AX13" i="1"/>
  <c r="AW13" i="1" s="1"/>
  <c r="AX14" i="1"/>
  <c r="AW14" i="1" s="1"/>
  <c r="AX15" i="1"/>
  <c r="AW15" i="1" s="1"/>
  <c r="AX16" i="1"/>
  <c r="AW16" i="1" s="1"/>
  <c r="AX17" i="1"/>
  <c r="AW17" i="1" s="1"/>
  <c r="AX19" i="1"/>
  <c r="AW19" i="1" s="1"/>
  <c r="AX18" i="1"/>
  <c r="AW18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164" i="1"/>
  <c r="AW164" i="1" s="1"/>
  <c r="AX165" i="1"/>
  <c r="AW165" i="1" s="1"/>
  <c r="AX166" i="1"/>
  <c r="AW166" i="1" s="1"/>
  <c r="AX62" i="1"/>
  <c r="AW62" i="1" s="1"/>
  <c r="AX98" i="1"/>
  <c r="AW98" i="1" s="1"/>
  <c r="AX109" i="1"/>
  <c r="AW109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3" i="1"/>
  <c r="AY53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89" i="1"/>
  <c r="AY89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9" i="1"/>
  <c r="AY99" i="1" s="1"/>
  <c r="AZ100" i="1"/>
  <c r="AY100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1" i="1"/>
  <c r="AY141" i="1" s="1"/>
  <c r="AZ142" i="1"/>
  <c r="AY142" i="1" s="1"/>
  <c r="AZ13" i="1"/>
  <c r="AY13" i="1" s="1"/>
  <c r="AZ14" i="1"/>
  <c r="AY14" i="1" s="1"/>
  <c r="AZ15" i="1"/>
  <c r="AY15" i="1" s="1"/>
  <c r="AZ16" i="1"/>
  <c r="AY16" i="1" s="1"/>
  <c r="AZ17" i="1"/>
  <c r="AY17" i="1" s="1"/>
  <c r="AZ19" i="1"/>
  <c r="AY19" i="1" s="1"/>
  <c r="AZ18" i="1"/>
  <c r="AY18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164" i="1"/>
  <c r="AY164" i="1" s="1"/>
  <c r="AZ165" i="1"/>
  <c r="AY165" i="1" s="1"/>
  <c r="AZ166" i="1"/>
  <c r="AY166" i="1" s="1"/>
  <c r="AZ62" i="1"/>
  <c r="AY62" i="1" s="1"/>
  <c r="AZ98" i="1"/>
  <c r="AY98" i="1" s="1"/>
  <c r="AZ109" i="1"/>
  <c r="AY109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3" i="1"/>
  <c r="BA53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89" i="1"/>
  <c r="BA89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9" i="1"/>
  <c r="BA99" i="1" s="1"/>
  <c r="BB100" i="1"/>
  <c r="BA100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1" i="1"/>
  <c r="BA141" i="1" s="1"/>
  <c r="BB142" i="1"/>
  <c r="BA142" i="1" s="1"/>
  <c r="BB13" i="1"/>
  <c r="BA13" i="1" s="1"/>
  <c r="BB14" i="1"/>
  <c r="BA14" i="1" s="1"/>
  <c r="BB15" i="1"/>
  <c r="BA15" i="1" s="1"/>
  <c r="BB16" i="1"/>
  <c r="BA16" i="1" s="1"/>
  <c r="BB17" i="1"/>
  <c r="BA17" i="1" s="1"/>
  <c r="BB19" i="1"/>
  <c r="BA19" i="1" s="1"/>
  <c r="BB18" i="1"/>
  <c r="BA18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164" i="1"/>
  <c r="BA164" i="1" s="1"/>
  <c r="BB165" i="1"/>
  <c r="BA165" i="1" s="1"/>
  <c r="BB166" i="1"/>
  <c r="BA166" i="1" s="1"/>
  <c r="BB62" i="1"/>
  <c r="BA62" i="1" s="1"/>
  <c r="BB98" i="1"/>
  <c r="BA98" i="1" s="1"/>
  <c r="BB109" i="1"/>
  <c r="BA109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3" i="1"/>
  <c r="BC53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89" i="1"/>
  <c r="BC89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9" i="1"/>
  <c r="BC99" i="1" s="1"/>
  <c r="BD100" i="1"/>
  <c r="BC100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1" i="1"/>
  <c r="BC141" i="1" s="1"/>
  <c r="BD142" i="1"/>
  <c r="BC142" i="1" s="1"/>
  <c r="BD13" i="1"/>
  <c r="BC13" i="1" s="1"/>
  <c r="BD14" i="1"/>
  <c r="BC14" i="1" s="1"/>
  <c r="BD15" i="1"/>
  <c r="BC15" i="1" s="1"/>
  <c r="BD16" i="1"/>
  <c r="BC16" i="1" s="1"/>
  <c r="BD17" i="1"/>
  <c r="BC17" i="1" s="1"/>
  <c r="BD19" i="1"/>
  <c r="BC19" i="1" s="1"/>
  <c r="BD18" i="1"/>
  <c r="BC18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164" i="1"/>
  <c r="BC164" i="1" s="1"/>
  <c r="BD165" i="1"/>
  <c r="BC165" i="1" s="1"/>
  <c r="BD166" i="1"/>
  <c r="BC166" i="1" s="1"/>
  <c r="BD62" i="1"/>
  <c r="BC62" i="1" s="1"/>
  <c r="BD98" i="1"/>
  <c r="BC98" i="1" s="1"/>
  <c r="BD109" i="1"/>
  <c r="BC109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3" i="1"/>
  <c r="BE53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89" i="1"/>
  <c r="BE89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9" i="1"/>
  <c r="BE99" i="1" s="1"/>
  <c r="BF100" i="1"/>
  <c r="BE100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1" i="1"/>
  <c r="BE141" i="1" s="1"/>
  <c r="BF142" i="1"/>
  <c r="BE142" i="1" s="1"/>
  <c r="BF13" i="1"/>
  <c r="BE13" i="1" s="1"/>
  <c r="BF14" i="1"/>
  <c r="BE14" i="1" s="1"/>
  <c r="BF15" i="1"/>
  <c r="BE15" i="1" s="1"/>
  <c r="BF16" i="1"/>
  <c r="BE16" i="1" s="1"/>
  <c r="BF17" i="1"/>
  <c r="BE17" i="1" s="1"/>
  <c r="BF19" i="1"/>
  <c r="BE19" i="1" s="1"/>
  <c r="BF18" i="1"/>
  <c r="BE18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164" i="1"/>
  <c r="BE164" i="1" s="1"/>
  <c r="BF165" i="1"/>
  <c r="BE165" i="1" s="1"/>
  <c r="BF166" i="1"/>
  <c r="BE166" i="1" s="1"/>
  <c r="BF62" i="1"/>
  <c r="BE62" i="1" s="1"/>
  <c r="BF98" i="1"/>
  <c r="BE98" i="1" s="1"/>
  <c r="BF109" i="1"/>
  <c r="BE109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3" i="1"/>
  <c r="BG53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89" i="1"/>
  <c r="BG89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9" i="1"/>
  <c r="BG99" i="1" s="1"/>
  <c r="BH100" i="1"/>
  <c r="BG100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1" i="1"/>
  <c r="BG141" i="1" s="1"/>
  <c r="BH142" i="1"/>
  <c r="BG142" i="1" s="1"/>
  <c r="BH13" i="1"/>
  <c r="BG13" i="1" s="1"/>
  <c r="BH14" i="1"/>
  <c r="BG14" i="1" s="1"/>
  <c r="BH15" i="1"/>
  <c r="BG15" i="1" s="1"/>
  <c r="BH16" i="1"/>
  <c r="BG16" i="1" s="1"/>
  <c r="BH17" i="1"/>
  <c r="BG17" i="1" s="1"/>
  <c r="BH19" i="1"/>
  <c r="BG19" i="1" s="1"/>
  <c r="BH18" i="1"/>
  <c r="BG18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164" i="1"/>
  <c r="BG164" i="1" s="1"/>
  <c r="BH165" i="1"/>
  <c r="BG165" i="1" s="1"/>
  <c r="BH166" i="1"/>
  <c r="BG166" i="1" s="1"/>
  <c r="BH62" i="1"/>
  <c r="BG62" i="1" s="1"/>
  <c r="BH98" i="1"/>
  <c r="BG98" i="1" s="1"/>
  <c r="BH109" i="1"/>
  <c r="BG109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3" i="1"/>
  <c r="BI53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89" i="1"/>
  <c r="BI89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9" i="1"/>
  <c r="BI99" i="1" s="1"/>
  <c r="BJ100" i="1"/>
  <c r="BI100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1" i="1"/>
  <c r="BI141" i="1" s="1"/>
  <c r="BJ142" i="1"/>
  <c r="BI142" i="1" s="1"/>
  <c r="BJ13" i="1"/>
  <c r="BI13" i="1" s="1"/>
  <c r="BJ14" i="1"/>
  <c r="BI14" i="1" s="1"/>
  <c r="BJ15" i="1"/>
  <c r="BI15" i="1" s="1"/>
  <c r="BJ16" i="1"/>
  <c r="BI16" i="1" s="1"/>
  <c r="BJ17" i="1"/>
  <c r="BI17" i="1" s="1"/>
  <c r="BJ19" i="1"/>
  <c r="BI19" i="1" s="1"/>
  <c r="BJ18" i="1"/>
  <c r="BI18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164" i="1"/>
  <c r="BI164" i="1" s="1"/>
  <c r="BJ165" i="1"/>
  <c r="BI165" i="1" s="1"/>
  <c r="BJ166" i="1"/>
  <c r="BI166" i="1" s="1"/>
  <c r="BJ62" i="1"/>
  <c r="BI62" i="1" s="1"/>
  <c r="BJ98" i="1"/>
  <c r="BI98" i="1" s="1"/>
  <c r="BJ109" i="1"/>
  <c r="BI109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3" i="1"/>
  <c r="BK53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89" i="1"/>
  <c r="BK89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9" i="1"/>
  <c r="BK99" i="1" s="1"/>
  <c r="BL100" i="1"/>
  <c r="BK100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1" i="1"/>
  <c r="BK141" i="1" s="1"/>
  <c r="BL142" i="1"/>
  <c r="BK142" i="1" s="1"/>
  <c r="BL13" i="1"/>
  <c r="BK13" i="1" s="1"/>
  <c r="BL14" i="1"/>
  <c r="BK14" i="1" s="1"/>
  <c r="BL15" i="1"/>
  <c r="BK15" i="1" s="1"/>
  <c r="BL16" i="1"/>
  <c r="BK16" i="1" s="1"/>
  <c r="BL17" i="1"/>
  <c r="BK17" i="1" s="1"/>
  <c r="BL19" i="1"/>
  <c r="BK19" i="1" s="1"/>
  <c r="BL18" i="1"/>
  <c r="BK18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164" i="1"/>
  <c r="BK164" i="1" s="1"/>
  <c r="BL165" i="1"/>
  <c r="BK165" i="1" s="1"/>
  <c r="BL166" i="1"/>
  <c r="BK166" i="1" s="1"/>
  <c r="BL62" i="1"/>
  <c r="BK62" i="1" s="1"/>
  <c r="BL98" i="1"/>
  <c r="BK98" i="1" s="1"/>
  <c r="BL109" i="1"/>
  <c r="BK109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3" i="1"/>
  <c r="BM53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89" i="1"/>
  <c r="BM89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9" i="1"/>
  <c r="BM99" i="1" s="1"/>
  <c r="BN100" i="1"/>
  <c r="BM100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1" i="1"/>
  <c r="BM141" i="1" s="1"/>
  <c r="BN142" i="1"/>
  <c r="BM142" i="1" s="1"/>
  <c r="BN13" i="1"/>
  <c r="BM13" i="1" s="1"/>
  <c r="BN14" i="1"/>
  <c r="BM14" i="1" s="1"/>
  <c r="BN15" i="1"/>
  <c r="BM15" i="1" s="1"/>
  <c r="BN16" i="1"/>
  <c r="BM16" i="1" s="1"/>
  <c r="BN17" i="1"/>
  <c r="BM17" i="1" s="1"/>
  <c r="BN19" i="1"/>
  <c r="BM19" i="1" s="1"/>
  <c r="BN18" i="1"/>
  <c r="BM18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164" i="1"/>
  <c r="BM164" i="1" s="1"/>
  <c r="BN165" i="1"/>
  <c r="BM165" i="1" s="1"/>
  <c r="BN166" i="1"/>
  <c r="BM166" i="1" s="1"/>
  <c r="BN62" i="1"/>
  <c r="BM62" i="1" s="1"/>
  <c r="BN98" i="1"/>
  <c r="BM98" i="1" s="1"/>
  <c r="BN109" i="1"/>
  <c r="BM109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3" i="1"/>
  <c r="BO53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89" i="1"/>
  <c r="BO89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9" i="1"/>
  <c r="BO99" i="1" s="1"/>
  <c r="BP100" i="1"/>
  <c r="BO100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1" i="1"/>
  <c r="BO141" i="1" s="1"/>
  <c r="BP142" i="1"/>
  <c r="BO142" i="1" s="1"/>
  <c r="BP13" i="1"/>
  <c r="BO13" i="1" s="1"/>
  <c r="BP14" i="1"/>
  <c r="BO14" i="1" s="1"/>
  <c r="BP15" i="1"/>
  <c r="BO15" i="1" s="1"/>
  <c r="BP16" i="1"/>
  <c r="BO16" i="1" s="1"/>
  <c r="BP17" i="1"/>
  <c r="BO17" i="1" s="1"/>
  <c r="BP19" i="1"/>
  <c r="BO19" i="1" s="1"/>
  <c r="BP18" i="1"/>
  <c r="BO18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164" i="1"/>
  <c r="BO164" i="1" s="1"/>
  <c r="BP165" i="1"/>
  <c r="BO165" i="1" s="1"/>
  <c r="BP166" i="1"/>
  <c r="BO166" i="1" s="1"/>
  <c r="BP62" i="1"/>
  <c r="BO62" i="1" s="1"/>
  <c r="BP98" i="1"/>
  <c r="BO98" i="1" s="1"/>
  <c r="BP109" i="1"/>
  <c r="BO109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3" i="1"/>
  <c r="BQ53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89" i="1"/>
  <c r="BQ89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9" i="1"/>
  <c r="BQ99" i="1" s="1"/>
  <c r="BR100" i="1"/>
  <c r="BQ100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1" i="1"/>
  <c r="BQ141" i="1" s="1"/>
  <c r="BR142" i="1"/>
  <c r="BQ142" i="1" s="1"/>
  <c r="BR13" i="1"/>
  <c r="BQ13" i="1" s="1"/>
  <c r="BR14" i="1"/>
  <c r="BQ14" i="1" s="1"/>
  <c r="BR15" i="1"/>
  <c r="BQ15" i="1" s="1"/>
  <c r="BR16" i="1"/>
  <c r="BQ16" i="1" s="1"/>
  <c r="BR17" i="1"/>
  <c r="BQ17" i="1" s="1"/>
  <c r="BR19" i="1"/>
  <c r="BQ19" i="1" s="1"/>
  <c r="BR18" i="1"/>
  <c r="BQ18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164" i="1"/>
  <c r="BQ164" i="1" s="1"/>
  <c r="BR165" i="1"/>
  <c r="BQ165" i="1" s="1"/>
  <c r="BR166" i="1"/>
  <c r="BQ166" i="1" s="1"/>
  <c r="BR62" i="1"/>
  <c r="BQ62" i="1" s="1"/>
  <c r="BR98" i="1"/>
  <c r="BQ98" i="1" s="1"/>
  <c r="BR109" i="1"/>
  <c r="BQ109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3" i="1"/>
  <c r="BS53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89" i="1"/>
  <c r="BS89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9" i="1"/>
  <c r="BS99" i="1" s="1"/>
  <c r="BT100" i="1"/>
  <c r="BS100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1" i="1"/>
  <c r="BS141" i="1" s="1"/>
  <c r="BT142" i="1"/>
  <c r="BS142" i="1" s="1"/>
  <c r="BT13" i="1"/>
  <c r="BS13" i="1" s="1"/>
  <c r="BT14" i="1"/>
  <c r="BS14" i="1" s="1"/>
  <c r="BT15" i="1"/>
  <c r="BS15" i="1" s="1"/>
  <c r="BT16" i="1"/>
  <c r="BS16" i="1" s="1"/>
  <c r="BT17" i="1"/>
  <c r="BS17" i="1" s="1"/>
  <c r="BT19" i="1"/>
  <c r="BS19" i="1" s="1"/>
  <c r="BT18" i="1"/>
  <c r="BS18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164" i="1"/>
  <c r="BS164" i="1" s="1"/>
  <c r="BT165" i="1"/>
  <c r="BS165" i="1" s="1"/>
  <c r="BT166" i="1"/>
  <c r="BS166" i="1" s="1"/>
  <c r="BT62" i="1"/>
  <c r="BS62" i="1" s="1"/>
  <c r="BT98" i="1"/>
  <c r="BS98" i="1" s="1"/>
  <c r="BT109" i="1"/>
  <c r="BS109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3" i="1"/>
  <c r="BU53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89" i="1"/>
  <c r="BU89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9" i="1"/>
  <c r="BU99" i="1" s="1"/>
  <c r="BV100" i="1"/>
  <c r="BU100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1" i="1"/>
  <c r="BU141" i="1" s="1"/>
  <c r="BV142" i="1"/>
  <c r="BU142" i="1" s="1"/>
  <c r="BV13" i="1"/>
  <c r="BU13" i="1" s="1"/>
  <c r="BV14" i="1"/>
  <c r="BU14" i="1" s="1"/>
  <c r="BV15" i="1"/>
  <c r="BU15" i="1" s="1"/>
  <c r="BV16" i="1"/>
  <c r="BU16" i="1" s="1"/>
  <c r="BV17" i="1"/>
  <c r="BU17" i="1" s="1"/>
  <c r="BV19" i="1"/>
  <c r="BU19" i="1" s="1"/>
  <c r="BV18" i="1"/>
  <c r="BU18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164" i="1"/>
  <c r="BU164" i="1" s="1"/>
  <c r="BV165" i="1"/>
  <c r="BU165" i="1" s="1"/>
  <c r="BV166" i="1"/>
  <c r="BU166" i="1" s="1"/>
  <c r="BV62" i="1"/>
  <c r="BU62" i="1" s="1"/>
  <c r="BV98" i="1"/>
  <c r="BU98" i="1" s="1"/>
  <c r="BV109" i="1"/>
  <c r="BU109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3" i="1"/>
  <c r="BW53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89" i="1"/>
  <c r="BW89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9" i="1"/>
  <c r="BW99" i="1" s="1"/>
  <c r="BX100" i="1"/>
  <c r="BW100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1" i="1"/>
  <c r="BW141" i="1" s="1"/>
  <c r="BX142" i="1"/>
  <c r="BW142" i="1" s="1"/>
  <c r="BX13" i="1"/>
  <c r="BW13" i="1" s="1"/>
  <c r="BX14" i="1"/>
  <c r="BW14" i="1" s="1"/>
  <c r="BX15" i="1"/>
  <c r="BW15" i="1" s="1"/>
  <c r="BX16" i="1"/>
  <c r="BW16" i="1" s="1"/>
  <c r="BX17" i="1"/>
  <c r="BW17" i="1" s="1"/>
  <c r="BX19" i="1"/>
  <c r="BW19" i="1" s="1"/>
  <c r="BX18" i="1"/>
  <c r="BW18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164" i="1"/>
  <c r="BW164" i="1" s="1"/>
  <c r="BX165" i="1"/>
  <c r="BW165" i="1" s="1"/>
  <c r="BX166" i="1"/>
  <c r="BW166" i="1" s="1"/>
  <c r="BX62" i="1"/>
  <c r="BW62" i="1" s="1"/>
  <c r="BX98" i="1"/>
  <c r="BW98" i="1" s="1"/>
  <c r="BX109" i="1"/>
  <c r="BW109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3" i="1"/>
  <c r="BY53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89" i="1"/>
  <c r="BY89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9" i="1"/>
  <c r="BY99" i="1" s="1"/>
  <c r="BZ100" i="1"/>
  <c r="BY100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1" i="1"/>
  <c r="BY141" i="1" s="1"/>
  <c r="BZ142" i="1"/>
  <c r="BY142" i="1" s="1"/>
  <c r="BZ13" i="1"/>
  <c r="BY13" i="1" s="1"/>
  <c r="BZ14" i="1"/>
  <c r="BY14" i="1" s="1"/>
  <c r="BZ15" i="1"/>
  <c r="BY15" i="1" s="1"/>
  <c r="BZ16" i="1"/>
  <c r="BY16" i="1" s="1"/>
  <c r="BZ17" i="1"/>
  <c r="BY17" i="1" s="1"/>
  <c r="BZ19" i="1"/>
  <c r="BY19" i="1" s="1"/>
  <c r="BZ18" i="1"/>
  <c r="BY18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164" i="1"/>
  <c r="BY164" i="1" s="1"/>
  <c r="BZ165" i="1"/>
  <c r="BY165" i="1" s="1"/>
  <c r="BZ166" i="1"/>
  <c r="BY166" i="1" s="1"/>
  <c r="BZ62" i="1"/>
  <c r="BY62" i="1" s="1"/>
  <c r="BZ98" i="1"/>
  <c r="BY98" i="1" s="1"/>
  <c r="BZ109" i="1"/>
  <c r="BY109" i="1" s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3" i="1"/>
  <c r="CA54" i="1"/>
  <c r="CA55" i="1"/>
  <c r="CA56" i="1"/>
  <c r="CA57" i="1"/>
  <c r="CA58" i="1"/>
  <c r="CA59" i="1"/>
  <c r="CA60" i="1"/>
  <c r="CA61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89" i="1"/>
  <c r="CA90" i="1"/>
  <c r="CA91" i="1"/>
  <c r="CA92" i="1"/>
  <c r="CA93" i="1"/>
  <c r="CA94" i="1"/>
  <c r="CA95" i="1"/>
  <c r="CA96" i="1"/>
  <c r="CA97" i="1"/>
  <c r="CA99" i="1"/>
  <c r="CA100" i="1"/>
  <c r="CA101" i="1"/>
  <c r="CA102" i="1"/>
  <c r="CA103" i="1"/>
  <c r="CA104" i="1"/>
  <c r="CA105" i="1"/>
  <c r="CA106" i="1"/>
  <c r="CA107" i="1"/>
  <c r="CA108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1" i="1"/>
  <c r="CA142" i="1"/>
  <c r="CA13" i="1"/>
  <c r="CA14" i="1"/>
  <c r="CA15" i="1"/>
  <c r="CA16" i="1"/>
  <c r="CA17" i="1"/>
  <c r="CA19" i="1"/>
  <c r="CA18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164" i="1"/>
  <c r="CA165" i="1"/>
  <c r="CA166" i="1"/>
  <c r="CA62" i="1"/>
  <c r="CA98" i="1"/>
  <c r="CA109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3" i="1"/>
  <c r="CB54" i="1"/>
  <c r="CB55" i="1"/>
  <c r="CB56" i="1"/>
  <c r="CB57" i="1"/>
  <c r="CB58" i="1"/>
  <c r="CB59" i="1"/>
  <c r="CB60" i="1"/>
  <c r="CB61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89" i="1"/>
  <c r="CB90" i="1"/>
  <c r="CB91" i="1"/>
  <c r="CB92" i="1"/>
  <c r="CB93" i="1"/>
  <c r="CB94" i="1"/>
  <c r="CB95" i="1"/>
  <c r="CB96" i="1"/>
  <c r="CB97" i="1"/>
  <c r="CB99" i="1"/>
  <c r="CB100" i="1"/>
  <c r="CB101" i="1"/>
  <c r="CB102" i="1"/>
  <c r="CB103" i="1"/>
  <c r="CB104" i="1"/>
  <c r="CB105" i="1"/>
  <c r="CB106" i="1"/>
  <c r="CB107" i="1"/>
  <c r="CB108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1" i="1"/>
  <c r="CB142" i="1"/>
  <c r="CB13" i="1"/>
  <c r="CB14" i="1"/>
  <c r="CB15" i="1"/>
  <c r="CB16" i="1"/>
  <c r="CB17" i="1"/>
  <c r="CB19" i="1"/>
  <c r="CB18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164" i="1"/>
  <c r="CB165" i="1"/>
  <c r="CB166" i="1"/>
  <c r="CB62" i="1"/>
  <c r="CB98" i="1"/>
  <c r="CB109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9" i="1"/>
  <c r="CC100" i="1"/>
  <c r="CC101" i="1"/>
  <c r="CC102" i="1"/>
  <c r="CC103" i="1"/>
  <c r="CC104" i="1"/>
  <c r="CC105" i="1"/>
  <c r="CC106" i="1"/>
  <c r="CC107" i="1"/>
  <c r="CC108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1" i="1"/>
  <c r="CC142" i="1"/>
  <c r="CC13" i="1"/>
  <c r="CC14" i="1"/>
  <c r="CC15" i="1"/>
  <c r="CC16" i="1"/>
  <c r="CC17" i="1"/>
  <c r="CC19" i="1"/>
  <c r="CC18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62" i="1"/>
  <c r="CC98" i="1"/>
  <c r="CC109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89" i="1"/>
  <c r="CD90" i="1"/>
  <c r="CD91" i="1"/>
  <c r="CD92" i="1"/>
  <c r="CD93" i="1"/>
  <c r="CD94" i="1"/>
  <c r="CD95" i="1"/>
  <c r="CD96" i="1"/>
  <c r="CD97" i="1"/>
  <c r="CD99" i="1"/>
  <c r="CD100" i="1"/>
  <c r="CD101" i="1"/>
  <c r="CD102" i="1"/>
  <c r="CD103" i="1"/>
  <c r="CD104" i="1"/>
  <c r="CD105" i="1"/>
  <c r="CD106" i="1"/>
  <c r="CD107" i="1"/>
  <c r="CD108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1" i="1"/>
  <c r="CD142" i="1"/>
  <c r="CD13" i="1"/>
  <c r="CD14" i="1"/>
  <c r="CD15" i="1"/>
  <c r="CD16" i="1"/>
  <c r="CD17" i="1"/>
  <c r="CD19" i="1"/>
  <c r="CD18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164" i="1"/>
  <c r="CD165" i="1"/>
  <c r="CD166" i="1"/>
  <c r="CD62" i="1"/>
  <c r="CD98" i="1"/>
  <c r="CD109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3" i="1"/>
  <c r="CE54" i="1"/>
  <c r="CE55" i="1"/>
  <c r="CE56" i="1"/>
  <c r="CE57" i="1"/>
  <c r="CE58" i="1"/>
  <c r="CE59" i="1"/>
  <c r="CE60" i="1"/>
  <c r="CE61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89" i="1"/>
  <c r="CE90" i="1"/>
  <c r="CE91" i="1"/>
  <c r="CE92" i="1"/>
  <c r="CE93" i="1"/>
  <c r="CE94" i="1"/>
  <c r="CE95" i="1"/>
  <c r="CE96" i="1"/>
  <c r="CE97" i="1"/>
  <c r="CE99" i="1"/>
  <c r="CE100" i="1"/>
  <c r="CE101" i="1"/>
  <c r="CE102" i="1"/>
  <c r="CE103" i="1"/>
  <c r="CE104" i="1"/>
  <c r="CE105" i="1"/>
  <c r="CE106" i="1"/>
  <c r="CE107" i="1"/>
  <c r="CE108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1" i="1"/>
  <c r="CE142" i="1"/>
  <c r="CE13" i="1"/>
  <c r="CE14" i="1"/>
  <c r="CE15" i="1"/>
  <c r="CE16" i="1"/>
  <c r="CE17" i="1"/>
  <c r="CE19" i="1"/>
  <c r="CE18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164" i="1"/>
  <c r="CE165" i="1"/>
  <c r="CE166" i="1"/>
  <c r="CE62" i="1"/>
  <c r="CE98" i="1"/>
  <c r="CE109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3" i="1"/>
  <c r="CF54" i="1"/>
  <c r="CF55" i="1"/>
  <c r="CF56" i="1"/>
  <c r="CF57" i="1"/>
  <c r="CF58" i="1"/>
  <c r="CF59" i="1"/>
  <c r="CF60" i="1"/>
  <c r="CF61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89" i="1"/>
  <c r="CF90" i="1"/>
  <c r="CF91" i="1"/>
  <c r="CF92" i="1"/>
  <c r="CF93" i="1"/>
  <c r="CF94" i="1"/>
  <c r="CF95" i="1"/>
  <c r="CF96" i="1"/>
  <c r="CF97" i="1"/>
  <c r="CF99" i="1"/>
  <c r="CF100" i="1"/>
  <c r="CF101" i="1"/>
  <c r="CF102" i="1"/>
  <c r="CF103" i="1"/>
  <c r="CF104" i="1"/>
  <c r="CF105" i="1"/>
  <c r="CF106" i="1"/>
  <c r="CF107" i="1"/>
  <c r="CF108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1" i="1"/>
  <c r="CF142" i="1"/>
  <c r="CF13" i="1"/>
  <c r="CF14" i="1"/>
  <c r="CF15" i="1"/>
  <c r="CF16" i="1"/>
  <c r="CF17" i="1"/>
  <c r="CF19" i="1"/>
  <c r="CF18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164" i="1"/>
  <c r="CF165" i="1"/>
  <c r="CF166" i="1"/>
  <c r="CF62" i="1"/>
  <c r="CF98" i="1"/>
  <c r="CF109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3" i="1"/>
  <c r="CG54" i="1"/>
  <c r="CG55" i="1"/>
  <c r="CG56" i="1"/>
  <c r="CG57" i="1"/>
  <c r="CG58" i="1"/>
  <c r="CG59" i="1"/>
  <c r="CG60" i="1"/>
  <c r="CG61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89" i="1"/>
  <c r="CG90" i="1"/>
  <c r="CG91" i="1"/>
  <c r="CG92" i="1"/>
  <c r="CG93" i="1"/>
  <c r="CG94" i="1"/>
  <c r="CG95" i="1"/>
  <c r="CG96" i="1"/>
  <c r="CG97" i="1"/>
  <c r="CG99" i="1"/>
  <c r="CG100" i="1"/>
  <c r="CG101" i="1"/>
  <c r="CG102" i="1"/>
  <c r="CG103" i="1"/>
  <c r="CG104" i="1"/>
  <c r="CG105" i="1"/>
  <c r="CG106" i="1"/>
  <c r="CG107" i="1"/>
  <c r="CG108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1" i="1"/>
  <c r="CG142" i="1"/>
  <c r="CG13" i="1"/>
  <c r="CG14" i="1"/>
  <c r="CG15" i="1"/>
  <c r="CG16" i="1"/>
  <c r="CG17" i="1"/>
  <c r="CG19" i="1"/>
  <c r="CG18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165" i="1"/>
  <c r="CG166" i="1"/>
  <c r="CG62" i="1"/>
  <c r="CG98" i="1"/>
  <c r="CG109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3" i="1"/>
  <c r="CH54" i="1"/>
  <c r="CH55" i="1"/>
  <c r="CH56" i="1"/>
  <c r="CH57" i="1"/>
  <c r="CH58" i="1"/>
  <c r="CH59" i="1"/>
  <c r="CH60" i="1"/>
  <c r="CH61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89" i="1"/>
  <c r="CH90" i="1"/>
  <c r="CH91" i="1"/>
  <c r="CH92" i="1"/>
  <c r="CH93" i="1"/>
  <c r="CH94" i="1"/>
  <c r="CH95" i="1"/>
  <c r="CH96" i="1"/>
  <c r="CH97" i="1"/>
  <c r="CH99" i="1"/>
  <c r="CH100" i="1"/>
  <c r="CH101" i="1"/>
  <c r="CH102" i="1"/>
  <c r="CH103" i="1"/>
  <c r="CH104" i="1"/>
  <c r="CH105" i="1"/>
  <c r="CH106" i="1"/>
  <c r="CH107" i="1"/>
  <c r="CH108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1" i="1"/>
  <c r="CH142" i="1"/>
  <c r="CH13" i="1"/>
  <c r="CH14" i="1"/>
  <c r="CH15" i="1"/>
  <c r="CH16" i="1"/>
  <c r="CH17" i="1"/>
  <c r="CH19" i="1"/>
  <c r="CH18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165" i="1"/>
  <c r="CH166" i="1"/>
  <c r="CH62" i="1"/>
  <c r="CH98" i="1"/>
  <c r="CH109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3" i="1"/>
  <c r="CI54" i="1"/>
  <c r="CI55" i="1"/>
  <c r="CI56" i="1"/>
  <c r="CI57" i="1"/>
  <c r="CI58" i="1"/>
  <c r="CI59" i="1"/>
  <c r="CI60" i="1"/>
  <c r="CI61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89" i="1"/>
  <c r="CI90" i="1"/>
  <c r="CI91" i="1"/>
  <c r="CI92" i="1"/>
  <c r="CI93" i="1"/>
  <c r="CI94" i="1"/>
  <c r="CI95" i="1"/>
  <c r="CI96" i="1"/>
  <c r="CI97" i="1"/>
  <c r="CI99" i="1"/>
  <c r="CI100" i="1"/>
  <c r="CI101" i="1"/>
  <c r="CI102" i="1"/>
  <c r="CI103" i="1"/>
  <c r="CI104" i="1"/>
  <c r="CI105" i="1"/>
  <c r="CI106" i="1"/>
  <c r="CI107" i="1"/>
  <c r="CI108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1" i="1"/>
  <c r="CI142" i="1"/>
  <c r="CI13" i="1"/>
  <c r="CI14" i="1"/>
  <c r="CI15" i="1"/>
  <c r="CI16" i="1"/>
  <c r="CI17" i="1"/>
  <c r="CI19" i="1"/>
  <c r="CI18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164" i="1"/>
  <c r="CI165" i="1"/>
  <c r="CI166" i="1"/>
  <c r="CI62" i="1"/>
  <c r="CI98" i="1"/>
  <c r="CI109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3" i="1"/>
  <c r="CJ54" i="1"/>
  <c r="CJ55" i="1"/>
  <c r="CJ56" i="1"/>
  <c r="CJ57" i="1"/>
  <c r="CJ58" i="1"/>
  <c r="CJ59" i="1"/>
  <c r="CJ60" i="1"/>
  <c r="CJ61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89" i="1"/>
  <c r="CJ90" i="1"/>
  <c r="CJ91" i="1"/>
  <c r="CJ92" i="1"/>
  <c r="CJ93" i="1"/>
  <c r="CJ94" i="1"/>
  <c r="CJ95" i="1"/>
  <c r="CJ96" i="1"/>
  <c r="CJ97" i="1"/>
  <c r="CJ99" i="1"/>
  <c r="CJ100" i="1"/>
  <c r="CJ101" i="1"/>
  <c r="CJ102" i="1"/>
  <c r="CJ103" i="1"/>
  <c r="CJ104" i="1"/>
  <c r="CJ105" i="1"/>
  <c r="CJ106" i="1"/>
  <c r="CJ107" i="1"/>
  <c r="CJ108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1" i="1"/>
  <c r="CJ142" i="1"/>
  <c r="CJ13" i="1"/>
  <c r="CJ14" i="1"/>
  <c r="CJ15" i="1"/>
  <c r="CJ16" i="1"/>
  <c r="CJ17" i="1"/>
  <c r="CJ19" i="1"/>
  <c r="CJ18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164" i="1"/>
  <c r="CJ165" i="1"/>
  <c r="CJ166" i="1"/>
  <c r="CJ62" i="1"/>
  <c r="CJ98" i="1"/>
  <c r="CJ109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9" i="1"/>
  <c r="CK100" i="1"/>
  <c r="CK101" i="1"/>
  <c r="CK102" i="1"/>
  <c r="CK103" i="1"/>
  <c r="CK104" i="1"/>
  <c r="CK105" i="1"/>
  <c r="CK106" i="1"/>
  <c r="CK107" i="1"/>
  <c r="CK108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1" i="1"/>
  <c r="CK142" i="1"/>
  <c r="CK13" i="1"/>
  <c r="CK14" i="1"/>
  <c r="CK15" i="1"/>
  <c r="CK16" i="1"/>
  <c r="CK17" i="1"/>
  <c r="CK19" i="1"/>
  <c r="CK18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62" i="1"/>
  <c r="CK98" i="1"/>
  <c r="CK109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60" i="1"/>
  <c r="CL61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89" i="1"/>
  <c r="CL90" i="1"/>
  <c r="CL91" i="1"/>
  <c r="CL92" i="1"/>
  <c r="CL93" i="1"/>
  <c r="CL94" i="1"/>
  <c r="CL95" i="1"/>
  <c r="CL96" i="1"/>
  <c r="CL97" i="1"/>
  <c r="CL99" i="1"/>
  <c r="CL100" i="1"/>
  <c r="CL101" i="1"/>
  <c r="CL102" i="1"/>
  <c r="CL103" i="1"/>
  <c r="CL104" i="1"/>
  <c r="CL105" i="1"/>
  <c r="CL106" i="1"/>
  <c r="CL107" i="1"/>
  <c r="CL108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1" i="1"/>
  <c r="CL142" i="1"/>
  <c r="CL13" i="1"/>
  <c r="CL14" i="1"/>
  <c r="CL15" i="1"/>
  <c r="CL16" i="1"/>
  <c r="CL17" i="1"/>
  <c r="CL19" i="1"/>
  <c r="CL18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165" i="1"/>
  <c r="CL166" i="1"/>
  <c r="CL62" i="1"/>
  <c r="CL98" i="1"/>
  <c r="CL109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89" i="1"/>
  <c r="CM90" i="1"/>
  <c r="CM91" i="1"/>
  <c r="CM92" i="1"/>
  <c r="CM93" i="1"/>
  <c r="CM94" i="1"/>
  <c r="CM95" i="1"/>
  <c r="CM96" i="1"/>
  <c r="CM97" i="1"/>
  <c r="CM99" i="1"/>
  <c r="CM100" i="1"/>
  <c r="CM101" i="1"/>
  <c r="CM102" i="1"/>
  <c r="CM103" i="1"/>
  <c r="CM104" i="1"/>
  <c r="CM105" i="1"/>
  <c r="CM106" i="1"/>
  <c r="CM107" i="1"/>
  <c r="CM108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1" i="1"/>
  <c r="CM142" i="1"/>
  <c r="CM13" i="1"/>
  <c r="CM14" i="1"/>
  <c r="CM15" i="1"/>
  <c r="CM16" i="1"/>
  <c r="CM17" i="1"/>
  <c r="CM19" i="1"/>
  <c r="CM18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165" i="1"/>
  <c r="CM166" i="1"/>
  <c r="CM62" i="1"/>
  <c r="CM98" i="1"/>
  <c r="CM109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3" i="1"/>
  <c r="CN54" i="1"/>
  <c r="CN55" i="1"/>
  <c r="CN56" i="1"/>
  <c r="CN57" i="1"/>
  <c r="CN58" i="1"/>
  <c r="CN59" i="1"/>
  <c r="CN60" i="1"/>
  <c r="CN61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89" i="1"/>
  <c r="CN90" i="1"/>
  <c r="CN91" i="1"/>
  <c r="CN92" i="1"/>
  <c r="CN93" i="1"/>
  <c r="CN94" i="1"/>
  <c r="CN95" i="1"/>
  <c r="CN96" i="1"/>
  <c r="CN97" i="1"/>
  <c r="CN99" i="1"/>
  <c r="CN100" i="1"/>
  <c r="CN101" i="1"/>
  <c r="CN102" i="1"/>
  <c r="CN103" i="1"/>
  <c r="CN104" i="1"/>
  <c r="CN105" i="1"/>
  <c r="CN106" i="1"/>
  <c r="CN107" i="1"/>
  <c r="CN108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1" i="1"/>
  <c r="CN142" i="1"/>
  <c r="CN13" i="1"/>
  <c r="CN14" i="1"/>
  <c r="CN15" i="1"/>
  <c r="CN16" i="1"/>
  <c r="CN17" i="1"/>
  <c r="CN19" i="1"/>
  <c r="CN18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164" i="1"/>
  <c r="CN165" i="1"/>
  <c r="CN166" i="1"/>
  <c r="CN62" i="1"/>
  <c r="CN98" i="1"/>
  <c r="CN109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3" i="1"/>
  <c r="CO54" i="1"/>
  <c r="CO55" i="1"/>
  <c r="CO56" i="1"/>
  <c r="CO57" i="1"/>
  <c r="CO58" i="1"/>
  <c r="CO59" i="1"/>
  <c r="CO60" i="1"/>
  <c r="CO61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89" i="1"/>
  <c r="CO90" i="1"/>
  <c r="CO91" i="1"/>
  <c r="CO92" i="1"/>
  <c r="CO93" i="1"/>
  <c r="CO94" i="1"/>
  <c r="CO95" i="1"/>
  <c r="CO96" i="1"/>
  <c r="CO97" i="1"/>
  <c r="CO99" i="1"/>
  <c r="CO100" i="1"/>
  <c r="CO101" i="1"/>
  <c r="CO102" i="1"/>
  <c r="CO103" i="1"/>
  <c r="CO104" i="1"/>
  <c r="CO105" i="1"/>
  <c r="CO106" i="1"/>
  <c r="CO107" i="1"/>
  <c r="CO108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1" i="1"/>
  <c r="CO142" i="1"/>
  <c r="CO13" i="1"/>
  <c r="CO14" i="1"/>
  <c r="CO15" i="1"/>
  <c r="CO16" i="1"/>
  <c r="CO17" i="1"/>
  <c r="CO19" i="1"/>
  <c r="CO18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164" i="1"/>
  <c r="CO165" i="1"/>
  <c r="CO166" i="1"/>
  <c r="CO62" i="1"/>
  <c r="CO98" i="1"/>
  <c r="CO109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9" i="1"/>
  <c r="CP100" i="1"/>
  <c r="CP101" i="1"/>
  <c r="CP102" i="1"/>
  <c r="CP103" i="1"/>
  <c r="CP104" i="1"/>
  <c r="CP105" i="1"/>
  <c r="CP106" i="1"/>
  <c r="CP107" i="1"/>
  <c r="CP108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1" i="1"/>
  <c r="CP142" i="1"/>
  <c r="CP13" i="1"/>
  <c r="CP14" i="1"/>
  <c r="CP15" i="1"/>
  <c r="CP16" i="1"/>
  <c r="CP17" i="1"/>
  <c r="CP19" i="1"/>
  <c r="CP18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165" i="1"/>
  <c r="CP166" i="1"/>
  <c r="CP62" i="1"/>
  <c r="CP98" i="1"/>
  <c r="CP109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9" i="1"/>
  <c r="CQ100" i="1"/>
  <c r="CQ101" i="1"/>
  <c r="CQ102" i="1"/>
  <c r="CQ103" i="1"/>
  <c r="CQ104" i="1"/>
  <c r="CQ105" i="1"/>
  <c r="CQ106" i="1"/>
  <c r="CQ107" i="1"/>
  <c r="CQ108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1" i="1"/>
  <c r="CQ142" i="1"/>
  <c r="CQ13" i="1"/>
  <c r="CQ14" i="1"/>
  <c r="CQ15" i="1"/>
  <c r="CQ16" i="1"/>
  <c r="CQ17" i="1"/>
  <c r="CQ19" i="1"/>
  <c r="CQ18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165" i="1"/>
  <c r="CQ166" i="1"/>
  <c r="CQ62" i="1"/>
  <c r="CQ98" i="1"/>
  <c r="CQ109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89" i="1"/>
  <c r="CR90" i="1"/>
  <c r="CR91" i="1"/>
  <c r="CR92" i="1"/>
  <c r="CR93" i="1"/>
  <c r="CR94" i="1"/>
  <c r="CR95" i="1"/>
  <c r="CR96" i="1"/>
  <c r="CR97" i="1"/>
  <c r="CR99" i="1"/>
  <c r="CR100" i="1"/>
  <c r="CR101" i="1"/>
  <c r="CR102" i="1"/>
  <c r="CR103" i="1"/>
  <c r="CR104" i="1"/>
  <c r="CR105" i="1"/>
  <c r="CR106" i="1"/>
  <c r="CR107" i="1"/>
  <c r="CR108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1" i="1"/>
  <c r="CR142" i="1"/>
  <c r="CR13" i="1"/>
  <c r="CR14" i="1"/>
  <c r="CR15" i="1"/>
  <c r="CR16" i="1"/>
  <c r="CR17" i="1"/>
  <c r="CR19" i="1"/>
  <c r="CR18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165" i="1"/>
  <c r="CR166" i="1"/>
  <c r="CR62" i="1"/>
  <c r="CR98" i="1"/>
  <c r="CR109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9" i="1"/>
  <c r="CS100" i="1"/>
  <c r="CS101" i="1"/>
  <c r="CS102" i="1"/>
  <c r="CS103" i="1"/>
  <c r="CS104" i="1"/>
  <c r="CS105" i="1"/>
  <c r="CS106" i="1"/>
  <c r="CS107" i="1"/>
  <c r="CS108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1" i="1"/>
  <c r="CS142" i="1"/>
  <c r="CS13" i="1"/>
  <c r="CS14" i="1"/>
  <c r="CS15" i="1"/>
  <c r="CS16" i="1"/>
  <c r="CS17" i="1"/>
  <c r="CS19" i="1"/>
  <c r="CS18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62" i="1"/>
  <c r="CS98" i="1"/>
  <c r="CS109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3" i="1"/>
  <c r="CT54" i="1"/>
  <c r="CT55" i="1"/>
  <c r="CT56" i="1"/>
  <c r="CT57" i="1"/>
  <c r="CT58" i="1"/>
  <c r="CT59" i="1"/>
  <c r="CT60" i="1"/>
  <c r="CT61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89" i="1"/>
  <c r="CT90" i="1"/>
  <c r="CT91" i="1"/>
  <c r="CT92" i="1"/>
  <c r="CT93" i="1"/>
  <c r="CT94" i="1"/>
  <c r="CT95" i="1"/>
  <c r="CT96" i="1"/>
  <c r="CT97" i="1"/>
  <c r="CT99" i="1"/>
  <c r="CT100" i="1"/>
  <c r="CT101" i="1"/>
  <c r="CT102" i="1"/>
  <c r="CT103" i="1"/>
  <c r="CT104" i="1"/>
  <c r="CT105" i="1"/>
  <c r="CT106" i="1"/>
  <c r="CT107" i="1"/>
  <c r="CT108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1" i="1"/>
  <c r="CT142" i="1"/>
  <c r="CT13" i="1"/>
  <c r="CT14" i="1"/>
  <c r="CT15" i="1"/>
  <c r="CT16" i="1"/>
  <c r="CT17" i="1"/>
  <c r="CT19" i="1"/>
  <c r="CT18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164" i="1"/>
  <c r="CT165" i="1"/>
  <c r="CT166" i="1"/>
  <c r="CT62" i="1"/>
  <c r="CT98" i="1"/>
  <c r="CT109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3" i="1"/>
  <c r="CU54" i="1"/>
  <c r="CU55" i="1"/>
  <c r="CU56" i="1"/>
  <c r="CU57" i="1"/>
  <c r="CU58" i="1"/>
  <c r="CU59" i="1"/>
  <c r="CU60" i="1"/>
  <c r="CU61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89" i="1"/>
  <c r="CU90" i="1"/>
  <c r="CU91" i="1"/>
  <c r="CU92" i="1"/>
  <c r="CU93" i="1"/>
  <c r="CU94" i="1"/>
  <c r="CU95" i="1"/>
  <c r="CU96" i="1"/>
  <c r="CU97" i="1"/>
  <c r="CU99" i="1"/>
  <c r="CU100" i="1"/>
  <c r="CU101" i="1"/>
  <c r="CU102" i="1"/>
  <c r="CU103" i="1"/>
  <c r="CU104" i="1"/>
  <c r="CU105" i="1"/>
  <c r="CU106" i="1"/>
  <c r="CU107" i="1"/>
  <c r="CU108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1" i="1"/>
  <c r="CU142" i="1"/>
  <c r="CU13" i="1"/>
  <c r="CU14" i="1"/>
  <c r="CU15" i="1"/>
  <c r="CU16" i="1"/>
  <c r="CU17" i="1"/>
  <c r="CU19" i="1"/>
  <c r="CU18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164" i="1"/>
  <c r="CU165" i="1"/>
  <c r="CU166" i="1"/>
  <c r="CU62" i="1"/>
  <c r="CU98" i="1"/>
  <c r="CU109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89" i="1"/>
  <c r="CV90" i="1"/>
  <c r="CV91" i="1"/>
  <c r="CV92" i="1"/>
  <c r="CV93" i="1"/>
  <c r="CV94" i="1"/>
  <c r="CV95" i="1"/>
  <c r="CV96" i="1"/>
  <c r="CV97" i="1"/>
  <c r="CV99" i="1"/>
  <c r="CV100" i="1"/>
  <c r="CV101" i="1"/>
  <c r="CV102" i="1"/>
  <c r="CV103" i="1"/>
  <c r="CV104" i="1"/>
  <c r="CV105" i="1"/>
  <c r="CV106" i="1"/>
  <c r="CV107" i="1"/>
  <c r="CV108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1" i="1"/>
  <c r="CV142" i="1"/>
  <c r="CV13" i="1"/>
  <c r="CV14" i="1"/>
  <c r="CV15" i="1"/>
  <c r="CV16" i="1"/>
  <c r="CV17" i="1"/>
  <c r="CV19" i="1"/>
  <c r="CV18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164" i="1"/>
  <c r="CV165" i="1"/>
  <c r="CV166" i="1"/>
  <c r="CV62" i="1"/>
  <c r="CV98" i="1"/>
  <c r="CV109" i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3" i="1"/>
  <c r="CW53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89" i="1"/>
  <c r="CW89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9" i="1"/>
  <c r="CW99" i="1" s="1"/>
  <c r="CX100" i="1"/>
  <c r="CW100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1" i="1"/>
  <c r="CW141" i="1" s="1"/>
  <c r="CX142" i="1"/>
  <c r="CW142" i="1" s="1"/>
  <c r="CX13" i="1"/>
  <c r="CW13" i="1" s="1"/>
  <c r="CX14" i="1"/>
  <c r="CW14" i="1" s="1"/>
  <c r="CX15" i="1"/>
  <c r="CW15" i="1" s="1"/>
  <c r="CX16" i="1"/>
  <c r="CW16" i="1" s="1"/>
  <c r="CX17" i="1"/>
  <c r="CW17" i="1" s="1"/>
  <c r="CX19" i="1"/>
  <c r="CW19" i="1" s="1"/>
  <c r="CX18" i="1"/>
  <c r="CW18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164" i="1"/>
  <c r="CW164" i="1" s="1"/>
  <c r="CX165" i="1"/>
  <c r="CW165" i="1" s="1"/>
  <c r="CX166" i="1"/>
  <c r="CW166" i="1" s="1"/>
  <c r="CX62" i="1"/>
  <c r="CW62" i="1" s="1"/>
  <c r="CX98" i="1"/>
  <c r="CW98" i="1" s="1"/>
  <c r="CX109" i="1"/>
  <c r="CW109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3" i="1"/>
  <c r="CY53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89" i="1"/>
  <c r="CY89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9" i="1"/>
  <c r="CY99" i="1" s="1"/>
  <c r="CZ100" i="1"/>
  <c r="CY100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1" i="1"/>
  <c r="CY141" i="1" s="1"/>
  <c r="CZ142" i="1"/>
  <c r="CY142" i="1" s="1"/>
  <c r="CZ13" i="1"/>
  <c r="CY13" i="1" s="1"/>
  <c r="CZ14" i="1"/>
  <c r="CY14" i="1" s="1"/>
  <c r="CZ15" i="1"/>
  <c r="CY15" i="1" s="1"/>
  <c r="CZ16" i="1"/>
  <c r="CY16" i="1" s="1"/>
  <c r="CZ17" i="1"/>
  <c r="CY17" i="1" s="1"/>
  <c r="CZ19" i="1"/>
  <c r="CY19" i="1" s="1"/>
  <c r="CZ18" i="1"/>
  <c r="CY18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164" i="1"/>
  <c r="CY164" i="1" s="1"/>
  <c r="CZ165" i="1"/>
  <c r="CY165" i="1" s="1"/>
  <c r="CZ166" i="1"/>
  <c r="CY166" i="1" s="1"/>
  <c r="CZ62" i="1"/>
  <c r="CY62" i="1" s="1"/>
  <c r="CZ98" i="1"/>
  <c r="CY98" i="1" s="1"/>
  <c r="CZ109" i="1"/>
  <c r="CY109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3" i="1"/>
  <c r="DA53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89" i="1"/>
  <c r="DA89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9" i="1"/>
  <c r="DA99" i="1" s="1"/>
  <c r="DB100" i="1"/>
  <c r="DA100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1" i="1"/>
  <c r="DA141" i="1" s="1"/>
  <c r="DB142" i="1"/>
  <c r="DA142" i="1" s="1"/>
  <c r="DB13" i="1"/>
  <c r="DA13" i="1" s="1"/>
  <c r="DB14" i="1"/>
  <c r="DA14" i="1" s="1"/>
  <c r="DB15" i="1"/>
  <c r="DA15" i="1" s="1"/>
  <c r="DB16" i="1"/>
  <c r="DA16" i="1" s="1"/>
  <c r="DB17" i="1"/>
  <c r="DA17" i="1" s="1"/>
  <c r="DB19" i="1"/>
  <c r="DA19" i="1" s="1"/>
  <c r="DB18" i="1"/>
  <c r="DA18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164" i="1"/>
  <c r="DA164" i="1" s="1"/>
  <c r="DB165" i="1"/>
  <c r="DA165" i="1" s="1"/>
  <c r="DB166" i="1"/>
  <c r="DA166" i="1" s="1"/>
  <c r="DB62" i="1"/>
  <c r="DA62" i="1" s="1"/>
  <c r="DB98" i="1"/>
  <c r="DA98" i="1" s="1"/>
  <c r="DB109" i="1"/>
  <c r="DA109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3" i="1"/>
  <c r="DC53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89" i="1"/>
  <c r="DC89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9" i="1"/>
  <c r="DC99" i="1" s="1"/>
  <c r="DD100" i="1"/>
  <c r="DC100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1" i="1"/>
  <c r="DC141" i="1" s="1"/>
  <c r="DD142" i="1"/>
  <c r="DC142" i="1" s="1"/>
  <c r="DD13" i="1"/>
  <c r="DC13" i="1" s="1"/>
  <c r="DD14" i="1"/>
  <c r="DC14" i="1" s="1"/>
  <c r="DD15" i="1"/>
  <c r="DC15" i="1" s="1"/>
  <c r="DD16" i="1"/>
  <c r="DC16" i="1" s="1"/>
  <c r="DD17" i="1"/>
  <c r="DC17" i="1" s="1"/>
  <c r="DD19" i="1"/>
  <c r="DC19" i="1" s="1"/>
  <c r="DD18" i="1"/>
  <c r="DC18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164" i="1"/>
  <c r="DC164" i="1" s="1"/>
  <c r="DD165" i="1"/>
  <c r="DC165" i="1" s="1"/>
  <c r="DD166" i="1"/>
  <c r="DC166" i="1" s="1"/>
  <c r="DD62" i="1"/>
  <c r="DC62" i="1" s="1"/>
  <c r="DD98" i="1"/>
  <c r="DC98" i="1" s="1"/>
  <c r="DD109" i="1"/>
  <c r="DC109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3" i="1"/>
  <c r="DE53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89" i="1"/>
  <c r="DE89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9" i="1"/>
  <c r="DE99" i="1" s="1"/>
  <c r="DF100" i="1"/>
  <c r="DE100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1" i="1"/>
  <c r="DE141" i="1" s="1"/>
  <c r="DF142" i="1"/>
  <c r="DE142" i="1" s="1"/>
  <c r="DF13" i="1"/>
  <c r="DE13" i="1" s="1"/>
  <c r="DF14" i="1"/>
  <c r="DE14" i="1" s="1"/>
  <c r="DF15" i="1"/>
  <c r="DE15" i="1" s="1"/>
  <c r="DF16" i="1"/>
  <c r="DE16" i="1" s="1"/>
  <c r="DF17" i="1"/>
  <c r="DE17" i="1" s="1"/>
  <c r="DF19" i="1"/>
  <c r="DE19" i="1" s="1"/>
  <c r="DF18" i="1"/>
  <c r="DE18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164" i="1"/>
  <c r="DE164" i="1" s="1"/>
  <c r="DF165" i="1"/>
  <c r="DE165" i="1" s="1"/>
  <c r="DF166" i="1"/>
  <c r="DE166" i="1" s="1"/>
  <c r="DF62" i="1"/>
  <c r="DE62" i="1" s="1"/>
  <c r="DF98" i="1"/>
  <c r="DE98" i="1" s="1"/>
  <c r="DF109" i="1"/>
  <c r="DE109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3" i="1"/>
  <c r="DG53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89" i="1"/>
  <c r="DG89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9" i="1"/>
  <c r="DG99" i="1" s="1"/>
  <c r="DH100" i="1"/>
  <c r="DG100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1" i="1"/>
  <c r="DG141" i="1" s="1"/>
  <c r="DH142" i="1"/>
  <c r="DG142" i="1" s="1"/>
  <c r="DH13" i="1"/>
  <c r="DG13" i="1" s="1"/>
  <c r="DH14" i="1"/>
  <c r="DG14" i="1" s="1"/>
  <c r="DH15" i="1"/>
  <c r="DG15" i="1" s="1"/>
  <c r="DH16" i="1"/>
  <c r="DG16" i="1" s="1"/>
  <c r="DH17" i="1"/>
  <c r="DG17" i="1" s="1"/>
  <c r="DH19" i="1"/>
  <c r="DG19" i="1" s="1"/>
  <c r="DH18" i="1"/>
  <c r="DG18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164" i="1"/>
  <c r="DG164" i="1" s="1"/>
  <c r="DH165" i="1"/>
  <c r="DG165" i="1" s="1"/>
  <c r="DH166" i="1"/>
  <c r="DG166" i="1" s="1"/>
  <c r="DH62" i="1"/>
  <c r="DG62" i="1" s="1"/>
  <c r="DH98" i="1"/>
  <c r="DG98" i="1" s="1"/>
  <c r="DH109" i="1"/>
  <c r="DG109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3" i="1"/>
  <c r="DI53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89" i="1"/>
  <c r="DI89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9" i="1"/>
  <c r="DI99" i="1" s="1"/>
  <c r="DJ100" i="1"/>
  <c r="DI100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1" i="1"/>
  <c r="DI141" i="1" s="1"/>
  <c r="DJ142" i="1"/>
  <c r="DI142" i="1" s="1"/>
  <c r="DJ13" i="1"/>
  <c r="DI13" i="1" s="1"/>
  <c r="DJ14" i="1"/>
  <c r="DI14" i="1" s="1"/>
  <c r="DJ15" i="1"/>
  <c r="DI15" i="1" s="1"/>
  <c r="DJ16" i="1"/>
  <c r="DI16" i="1" s="1"/>
  <c r="DJ17" i="1"/>
  <c r="DI17" i="1" s="1"/>
  <c r="DJ19" i="1"/>
  <c r="DI19" i="1" s="1"/>
  <c r="DJ18" i="1"/>
  <c r="DI18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164" i="1"/>
  <c r="DI164" i="1" s="1"/>
  <c r="DJ165" i="1"/>
  <c r="DI165" i="1" s="1"/>
  <c r="DJ166" i="1"/>
  <c r="DI166" i="1" s="1"/>
  <c r="DJ62" i="1"/>
  <c r="DI62" i="1" s="1"/>
  <c r="DJ98" i="1"/>
  <c r="DI98" i="1" s="1"/>
  <c r="DJ109" i="1"/>
  <c r="DI109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3" i="1"/>
  <c r="DK53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89" i="1"/>
  <c r="DK89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9" i="1"/>
  <c r="DK99" i="1" s="1"/>
  <c r="DL100" i="1"/>
  <c r="DK100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1" i="1"/>
  <c r="DK141" i="1" s="1"/>
  <c r="DL142" i="1"/>
  <c r="DK142" i="1" s="1"/>
  <c r="DL13" i="1"/>
  <c r="DK13" i="1" s="1"/>
  <c r="DL14" i="1"/>
  <c r="DK14" i="1" s="1"/>
  <c r="DL15" i="1"/>
  <c r="DK15" i="1" s="1"/>
  <c r="DL16" i="1"/>
  <c r="DK16" i="1" s="1"/>
  <c r="DL17" i="1"/>
  <c r="DK17" i="1" s="1"/>
  <c r="DL19" i="1"/>
  <c r="DK19" i="1" s="1"/>
  <c r="DL18" i="1"/>
  <c r="DK18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164" i="1"/>
  <c r="DK164" i="1" s="1"/>
  <c r="DL165" i="1"/>
  <c r="DK165" i="1" s="1"/>
  <c r="DL166" i="1"/>
  <c r="DK166" i="1" s="1"/>
  <c r="DL62" i="1"/>
  <c r="DK62" i="1" s="1"/>
  <c r="DL98" i="1"/>
  <c r="DK98" i="1" s="1"/>
  <c r="DL109" i="1"/>
  <c r="DK109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3" i="1"/>
  <c r="DM53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89" i="1"/>
  <c r="DM89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9" i="1"/>
  <c r="DM99" i="1" s="1"/>
  <c r="DN100" i="1"/>
  <c r="DM100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1" i="1"/>
  <c r="DM141" i="1" s="1"/>
  <c r="DN142" i="1"/>
  <c r="DM142" i="1" s="1"/>
  <c r="DN13" i="1"/>
  <c r="DM13" i="1" s="1"/>
  <c r="DN14" i="1"/>
  <c r="DM14" i="1" s="1"/>
  <c r="DN15" i="1"/>
  <c r="DM15" i="1" s="1"/>
  <c r="DN16" i="1"/>
  <c r="DM16" i="1" s="1"/>
  <c r="DN17" i="1"/>
  <c r="DM17" i="1" s="1"/>
  <c r="DN19" i="1"/>
  <c r="DM19" i="1" s="1"/>
  <c r="DN18" i="1"/>
  <c r="DM18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164" i="1"/>
  <c r="DM164" i="1" s="1"/>
  <c r="DN165" i="1"/>
  <c r="DM165" i="1" s="1"/>
  <c r="DN166" i="1"/>
  <c r="DM166" i="1" s="1"/>
  <c r="DN62" i="1"/>
  <c r="DM62" i="1" s="1"/>
  <c r="DN98" i="1"/>
  <c r="DM98" i="1" s="1"/>
  <c r="DN109" i="1"/>
  <c r="DM109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3" i="1"/>
  <c r="DO53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89" i="1"/>
  <c r="DO89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9" i="1"/>
  <c r="DO99" i="1" s="1"/>
  <c r="DP100" i="1"/>
  <c r="DO100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1" i="1"/>
  <c r="DO141" i="1" s="1"/>
  <c r="DP142" i="1"/>
  <c r="DO142" i="1" s="1"/>
  <c r="DP13" i="1"/>
  <c r="DO13" i="1" s="1"/>
  <c r="DP14" i="1"/>
  <c r="DO14" i="1" s="1"/>
  <c r="DP15" i="1"/>
  <c r="DO15" i="1" s="1"/>
  <c r="DP16" i="1"/>
  <c r="DO16" i="1" s="1"/>
  <c r="DP17" i="1"/>
  <c r="DO17" i="1" s="1"/>
  <c r="DP19" i="1"/>
  <c r="DO19" i="1" s="1"/>
  <c r="DP18" i="1"/>
  <c r="DO18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164" i="1"/>
  <c r="DO164" i="1" s="1"/>
  <c r="DP165" i="1"/>
  <c r="DO165" i="1" s="1"/>
  <c r="DP166" i="1"/>
  <c r="DO166" i="1" s="1"/>
  <c r="DP62" i="1"/>
  <c r="DO62" i="1" s="1"/>
  <c r="DP98" i="1"/>
  <c r="DO98" i="1" s="1"/>
  <c r="DP109" i="1"/>
  <c r="DO109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3" i="1"/>
  <c r="DQ53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89" i="1"/>
  <c r="DQ89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9" i="1"/>
  <c r="DQ99" i="1" s="1"/>
  <c r="DR100" i="1"/>
  <c r="DQ100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1" i="1"/>
  <c r="DQ141" i="1" s="1"/>
  <c r="DR142" i="1"/>
  <c r="DQ142" i="1" s="1"/>
  <c r="DR13" i="1"/>
  <c r="DQ13" i="1" s="1"/>
  <c r="DR14" i="1"/>
  <c r="DQ14" i="1" s="1"/>
  <c r="DR15" i="1"/>
  <c r="DQ15" i="1" s="1"/>
  <c r="DR16" i="1"/>
  <c r="DQ16" i="1" s="1"/>
  <c r="DR17" i="1"/>
  <c r="DQ17" i="1" s="1"/>
  <c r="DR19" i="1"/>
  <c r="DQ19" i="1" s="1"/>
  <c r="DR18" i="1"/>
  <c r="DQ18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164" i="1"/>
  <c r="DQ164" i="1" s="1"/>
  <c r="DR165" i="1"/>
  <c r="DQ165" i="1" s="1"/>
  <c r="DR166" i="1"/>
  <c r="DQ166" i="1" s="1"/>
  <c r="DR62" i="1"/>
  <c r="DQ62" i="1" s="1"/>
  <c r="DR98" i="1"/>
  <c r="DQ98" i="1" s="1"/>
  <c r="DR109" i="1"/>
  <c r="DQ109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3" i="1"/>
  <c r="DS53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89" i="1"/>
  <c r="DS89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9" i="1"/>
  <c r="DS99" i="1" s="1"/>
  <c r="DT100" i="1"/>
  <c r="DS100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1" i="1"/>
  <c r="DS141" i="1" s="1"/>
  <c r="DT142" i="1"/>
  <c r="DS142" i="1" s="1"/>
  <c r="DT13" i="1"/>
  <c r="DS13" i="1" s="1"/>
  <c r="DT14" i="1"/>
  <c r="DS14" i="1" s="1"/>
  <c r="DT15" i="1"/>
  <c r="DS15" i="1" s="1"/>
  <c r="DT16" i="1"/>
  <c r="DS16" i="1" s="1"/>
  <c r="DT17" i="1"/>
  <c r="DS17" i="1" s="1"/>
  <c r="DT19" i="1"/>
  <c r="DS19" i="1" s="1"/>
  <c r="DT18" i="1"/>
  <c r="DS18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164" i="1"/>
  <c r="DS164" i="1" s="1"/>
  <c r="DT165" i="1"/>
  <c r="DS165" i="1" s="1"/>
  <c r="DT166" i="1"/>
  <c r="DS166" i="1" s="1"/>
  <c r="DT62" i="1"/>
  <c r="DS62" i="1" s="1"/>
  <c r="DT98" i="1"/>
  <c r="DS98" i="1" s="1"/>
  <c r="DT109" i="1"/>
  <c r="DS109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3" i="1"/>
  <c r="DU53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89" i="1"/>
  <c r="DU89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9" i="1"/>
  <c r="DU99" i="1" s="1"/>
  <c r="DV100" i="1"/>
  <c r="DU100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1" i="1"/>
  <c r="DU141" i="1" s="1"/>
  <c r="DV142" i="1"/>
  <c r="DU142" i="1" s="1"/>
  <c r="DV13" i="1"/>
  <c r="DU13" i="1" s="1"/>
  <c r="DV14" i="1"/>
  <c r="DU14" i="1" s="1"/>
  <c r="DV15" i="1"/>
  <c r="DU15" i="1" s="1"/>
  <c r="DV16" i="1"/>
  <c r="DU16" i="1" s="1"/>
  <c r="DV17" i="1"/>
  <c r="DU17" i="1" s="1"/>
  <c r="DV19" i="1"/>
  <c r="DU19" i="1" s="1"/>
  <c r="DV18" i="1"/>
  <c r="DU18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164" i="1"/>
  <c r="DU164" i="1" s="1"/>
  <c r="DV165" i="1"/>
  <c r="DU165" i="1" s="1"/>
  <c r="DV166" i="1"/>
  <c r="DU166" i="1" s="1"/>
  <c r="DV62" i="1"/>
  <c r="DU62" i="1" s="1"/>
  <c r="DV98" i="1"/>
  <c r="DU98" i="1" s="1"/>
  <c r="DV109" i="1"/>
  <c r="DU109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3" i="1"/>
  <c r="DW53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89" i="1"/>
  <c r="DW89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9" i="1"/>
  <c r="DW99" i="1" s="1"/>
  <c r="DX100" i="1"/>
  <c r="DW100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1" i="1"/>
  <c r="DW141" i="1" s="1"/>
  <c r="DX142" i="1"/>
  <c r="DW142" i="1" s="1"/>
  <c r="DX13" i="1"/>
  <c r="DW13" i="1" s="1"/>
  <c r="DX14" i="1"/>
  <c r="DW14" i="1" s="1"/>
  <c r="DX15" i="1"/>
  <c r="DW15" i="1" s="1"/>
  <c r="DX16" i="1"/>
  <c r="DW16" i="1" s="1"/>
  <c r="DX17" i="1"/>
  <c r="DW17" i="1" s="1"/>
  <c r="DX19" i="1"/>
  <c r="DW19" i="1" s="1"/>
  <c r="DX18" i="1"/>
  <c r="DW18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164" i="1"/>
  <c r="DW164" i="1" s="1"/>
  <c r="DX165" i="1"/>
  <c r="DW165" i="1" s="1"/>
  <c r="DX166" i="1"/>
  <c r="DW166" i="1" s="1"/>
  <c r="DX62" i="1"/>
  <c r="DW62" i="1" s="1"/>
  <c r="DX98" i="1"/>
  <c r="DW98" i="1" s="1"/>
  <c r="DX109" i="1"/>
  <c r="DW109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3" i="1"/>
  <c r="DY53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89" i="1"/>
  <c r="DY89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9" i="1"/>
  <c r="DY99" i="1" s="1"/>
  <c r="DZ100" i="1"/>
  <c r="DY100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1" i="1"/>
  <c r="DY141" i="1" s="1"/>
  <c r="DZ142" i="1"/>
  <c r="DY142" i="1" s="1"/>
  <c r="DZ13" i="1"/>
  <c r="DY13" i="1" s="1"/>
  <c r="DZ14" i="1"/>
  <c r="DY14" i="1" s="1"/>
  <c r="DZ15" i="1"/>
  <c r="DY15" i="1" s="1"/>
  <c r="DZ16" i="1"/>
  <c r="DY16" i="1" s="1"/>
  <c r="DZ17" i="1"/>
  <c r="DY17" i="1" s="1"/>
  <c r="DZ19" i="1"/>
  <c r="DY19" i="1" s="1"/>
  <c r="DZ18" i="1"/>
  <c r="DY18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164" i="1"/>
  <c r="DY164" i="1" s="1"/>
  <c r="DZ165" i="1"/>
  <c r="DY165" i="1" s="1"/>
  <c r="DZ166" i="1"/>
  <c r="DY166" i="1" s="1"/>
  <c r="DZ62" i="1"/>
  <c r="DY62" i="1" s="1"/>
  <c r="DZ98" i="1"/>
  <c r="DY98" i="1" s="1"/>
  <c r="DZ109" i="1"/>
  <c r="DY109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3" i="1"/>
  <c r="EA53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89" i="1"/>
  <c r="EA89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9" i="1"/>
  <c r="EA99" i="1" s="1"/>
  <c r="EB100" i="1"/>
  <c r="EA100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1" i="1"/>
  <c r="EA141" i="1" s="1"/>
  <c r="EB142" i="1"/>
  <c r="EA142" i="1" s="1"/>
  <c r="EB13" i="1"/>
  <c r="EA13" i="1" s="1"/>
  <c r="EB14" i="1"/>
  <c r="EA14" i="1" s="1"/>
  <c r="EB15" i="1"/>
  <c r="EA15" i="1" s="1"/>
  <c r="EB16" i="1"/>
  <c r="EA16" i="1" s="1"/>
  <c r="EB17" i="1"/>
  <c r="EA17" i="1" s="1"/>
  <c r="EB19" i="1"/>
  <c r="EA19" i="1" s="1"/>
  <c r="EB18" i="1"/>
  <c r="EA18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164" i="1"/>
  <c r="EA164" i="1" s="1"/>
  <c r="EB165" i="1"/>
  <c r="EA165" i="1" s="1"/>
  <c r="EB166" i="1"/>
  <c r="EA166" i="1" s="1"/>
  <c r="EB62" i="1"/>
  <c r="EA62" i="1" s="1"/>
  <c r="EB98" i="1"/>
  <c r="EA98" i="1" s="1"/>
  <c r="EB109" i="1"/>
  <c r="EA109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3" i="1"/>
  <c r="EC53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89" i="1"/>
  <c r="EC89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9" i="1"/>
  <c r="EC99" i="1" s="1"/>
  <c r="ED100" i="1"/>
  <c r="EC100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1" i="1"/>
  <c r="EC141" i="1" s="1"/>
  <c r="ED142" i="1"/>
  <c r="EC142" i="1" s="1"/>
  <c r="ED13" i="1"/>
  <c r="EC13" i="1" s="1"/>
  <c r="ED14" i="1"/>
  <c r="EC14" i="1" s="1"/>
  <c r="ED15" i="1"/>
  <c r="EC15" i="1" s="1"/>
  <c r="ED16" i="1"/>
  <c r="EC16" i="1" s="1"/>
  <c r="ED17" i="1"/>
  <c r="EC17" i="1" s="1"/>
  <c r="ED19" i="1"/>
  <c r="EC19" i="1" s="1"/>
  <c r="ED18" i="1"/>
  <c r="EC18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164" i="1"/>
  <c r="EC164" i="1" s="1"/>
  <c r="ED165" i="1"/>
  <c r="EC165" i="1" s="1"/>
  <c r="ED166" i="1"/>
  <c r="EC166" i="1" s="1"/>
  <c r="ED62" i="1"/>
  <c r="EC62" i="1" s="1"/>
  <c r="ED98" i="1"/>
  <c r="EC98" i="1" s="1"/>
  <c r="ED109" i="1"/>
  <c r="EC109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3" i="1"/>
  <c r="EE53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89" i="1"/>
  <c r="EE89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9" i="1"/>
  <c r="EE99" i="1" s="1"/>
  <c r="EF100" i="1"/>
  <c r="EE100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1" i="1"/>
  <c r="EE141" i="1" s="1"/>
  <c r="EF142" i="1"/>
  <c r="EE142" i="1" s="1"/>
  <c r="EF13" i="1"/>
  <c r="EE13" i="1" s="1"/>
  <c r="EF14" i="1"/>
  <c r="EE14" i="1" s="1"/>
  <c r="EF15" i="1"/>
  <c r="EE15" i="1" s="1"/>
  <c r="EF16" i="1"/>
  <c r="EE16" i="1" s="1"/>
  <c r="EF17" i="1"/>
  <c r="EE17" i="1" s="1"/>
  <c r="EF19" i="1"/>
  <c r="EE19" i="1" s="1"/>
  <c r="EF18" i="1"/>
  <c r="EE18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164" i="1"/>
  <c r="EE164" i="1" s="1"/>
  <c r="EF165" i="1"/>
  <c r="EE165" i="1" s="1"/>
  <c r="EF166" i="1"/>
  <c r="EE166" i="1" s="1"/>
  <c r="EF62" i="1"/>
  <c r="EE62" i="1" s="1"/>
  <c r="EF98" i="1"/>
  <c r="EE98" i="1" s="1"/>
  <c r="EF109" i="1"/>
  <c r="EE109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3" i="1"/>
  <c r="EG53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89" i="1"/>
  <c r="EG89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9" i="1"/>
  <c r="EG99" i="1" s="1"/>
  <c r="EH100" i="1"/>
  <c r="EG100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1" i="1"/>
  <c r="EG141" i="1" s="1"/>
  <c r="EH142" i="1"/>
  <c r="EG142" i="1" s="1"/>
  <c r="EH13" i="1"/>
  <c r="EG13" i="1" s="1"/>
  <c r="EH14" i="1"/>
  <c r="EG14" i="1" s="1"/>
  <c r="EH15" i="1"/>
  <c r="EG15" i="1" s="1"/>
  <c r="EH16" i="1"/>
  <c r="EG16" i="1" s="1"/>
  <c r="EH17" i="1"/>
  <c r="EG17" i="1" s="1"/>
  <c r="EH19" i="1"/>
  <c r="EG19" i="1" s="1"/>
  <c r="EH18" i="1"/>
  <c r="EG18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164" i="1"/>
  <c r="EG164" i="1" s="1"/>
  <c r="EH165" i="1"/>
  <c r="EG165" i="1" s="1"/>
  <c r="EH166" i="1"/>
  <c r="EG166" i="1" s="1"/>
  <c r="EH62" i="1"/>
  <c r="EG62" i="1" s="1"/>
  <c r="EH98" i="1"/>
  <c r="EG98" i="1" s="1"/>
  <c r="EH109" i="1"/>
  <c r="EG109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3" i="1"/>
  <c r="EI53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89" i="1"/>
  <c r="EI89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9" i="1"/>
  <c r="EI99" i="1" s="1"/>
  <c r="EJ100" i="1"/>
  <c r="EI100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1" i="1"/>
  <c r="EI141" i="1" s="1"/>
  <c r="EJ142" i="1"/>
  <c r="EI142" i="1" s="1"/>
  <c r="EJ13" i="1"/>
  <c r="EI13" i="1" s="1"/>
  <c r="EJ14" i="1"/>
  <c r="EI14" i="1" s="1"/>
  <c r="EJ15" i="1"/>
  <c r="EI15" i="1" s="1"/>
  <c r="EJ16" i="1"/>
  <c r="EI16" i="1" s="1"/>
  <c r="EJ17" i="1"/>
  <c r="EI17" i="1" s="1"/>
  <c r="EJ19" i="1"/>
  <c r="EI19" i="1" s="1"/>
  <c r="EJ18" i="1"/>
  <c r="EI18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164" i="1"/>
  <c r="EI164" i="1" s="1"/>
  <c r="EJ165" i="1"/>
  <c r="EI165" i="1" s="1"/>
  <c r="EJ166" i="1"/>
  <c r="EI166" i="1" s="1"/>
  <c r="EJ62" i="1"/>
  <c r="EI62" i="1" s="1"/>
  <c r="EJ98" i="1"/>
  <c r="EI98" i="1" s="1"/>
  <c r="EJ109" i="1"/>
  <c r="EI109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3" i="1"/>
  <c r="EK53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89" i="1"/>
  <c r="EK89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9" i="1"/>
  <c r="EK99" i="1" s="1"/>
  <c r="EL100" i="1"/>
  <c r="EK100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1" i="1"/>
  <c r="EK141" i="1" s="1"/>
  <c r="EL142" i="1"/>
  <c r="EK142" i="1" s="1"/>
  <c r="EL13" i="1"/>
  <c r="EK13" i="1" s="1"/>
  <c r="EL14" i="1"/>
  <c r="EK14" i="1" s="1"/>
  <c r="EL15" i="1"/>
  <c r="EK15" i="1" s="1"/>
  <c r="EL16" i="1"/>
  <c r="EK16" i="1" s="1"/>
  <c r="EL17" i="1"/>
  <c r="EK17" i="1" s="1"/>
  <c r="EL19" i="1"/>
  <c r="EK19" i="1" s="1"/>
  <c r="EL18" i="1"/>
  <c r="EK18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164" i="1"/>
  <c r="EK164" i="1" s="1"/>
  <c r="EL165" i="1"/>
  <c r="EK165" i="1" s="1"/>
  <c r="EL166" i="1"/>
  <c r="EK166" i="1" s="1"/>
  <c r="EL62" i="1"/>
  <c r="EK62" i="1" s="1"/>
  <c r="EL98" i="1"/>
  <c r="EK98" i="1" s="1"/>
  <c r="EL109" i="1"/>
  <c r="EK109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3" i="1"/>
  <c r="EM53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89" i="1"/>
  <c r="EM89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9" i="1"/>
  <c r="EM99" i="1" s="1"/>
  <c r="EN100" i="1"/>
  <c r="EM100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1" i="1"/>
  <c r="EM141" i="1" s="1"/>
  <c r="EN142" i="1"/>
  <c r="EM142" i="1" s="1"/>
  <c r="EN13" i="1"/>
  <c r="EM13" i="1" s="1"/>
  <c r="EN14" i="1"/>
  <c r="EM14" i="1" s="1"/>
  <c r="EN15" i="1"/>
  <c r="EM15" i="1" s="1"/>
  <c r="EN16" i="1"/>
  <c r="EM16" i="1" s="1"/>
  <c r="EN17" i="1"/>
  <c r="EM17" i="1" s="1"/>
  <c r="EN19" i="1"/>
  <c r="EM19" i="1" s="1"/>
  <c r="EN18" i="1"/>
  <c r="EM18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164" i="1"/>
  <c r="EM164" i="1" s="1"/>
  <c r="EN165" i="1"/>
  <c r="EM165" i="1" s="1"/>
  <c r="EN166" i="1"/>
  <c r="EM166" i="1" s="1"/>
  <c r="EN62" i="1"/>
  <c r="EM62" i="1" s="1"/>
  <c r="EN98" i="1"/>
  <c r="EM98" i="1" s="1"/>
  <c r="EN109" i="1"/>
  <c r="EM109" i="1" s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3" i="1"/>
  <c r="EO54" i="1"/>
  <c r="EO55" i="1"/>
  <c r="EO56" i="1"/>
  <c r="EO57" i="1"/>
  <c r="EO58" i="1"/>
  <c r="EO59" i="1"/>
  <c r="EO60" i="1"/>
  <c r="EO61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89" i="1"/>
  <c r="EO90" i="1"/>
  <c r="EO91" i="1"/>
  <c r="EO92" i="1"/>
  <c r="EO93" i="1"/>
  <c r="EO94" i="1"/>
  <c r="EO95" i="1"/>
  <c r="EO96" i="1"/>
  <c r="EO97" i="1"/>
  <c r="EO99" i="1"/>
  <c r="EO100" i="1"/>
  <c r="EO101" i="1"/>
  <c r="EO102" i="1"/>
  <c r="EO103" i="1"/>
  <c r="EO104" i="1"/>
  <c r="EO105" i="1"/>
  <c r="EO106" i="1"/>
  <c r="EO107" i="1"/>
  <c r="EO108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1" i="1"/>
  <c r="EO142" i="1"/>
  <c r="EO13" i="1"/>
  <c r="EO14" i="1"/>
  <c r="EO15" i="1"/>
  <c r="EO16" i="1"/>
  <c r="EO17" i="1"/>
  <c r="EO19" i="1"/>
  <c r="EO18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164" i="1"/>
  <c r="EO165" i="1"/>
  <c r="EO166" i="1"/>
  <c r="EO62" i="1"/>
  <c r="EO98" i="1"/>
  <c r="EO109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3" i="1"/>
  <c r="EP54" i="1"/>
  <c r="EP55" i="1"/>
  <c r="EP56" i="1"/>
  <c r="EP57" i="1"/>
  <c r="EP58" i="1"/>
  <c r="EP59" i="1"/>
  <c r="EP60" i="1"/>
  <c r="EP61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89" i="1"/>
  <c r="EP90" i="1"/>
  <c r="EP91" i="1"/>
  <c r="EP92" i="1"/>
  <c r="EP93" i="1"/>
  <c r="EP94" i="1"/>
  <c r="EP95" i="1"/>
  <c r="EP96" i="1"/>
  <c r="EP97" i="1"/>
  <c r="EP99" i="1"/>
  <c r="EP100" i="1"/>
  <c r="EP101" i="1"/>
  <c r="EP102" i="1"/>
  <c r="EP103" i="1"/>
  <c r="EP104" i="1"/>
  <c r="EP105" i="1"/>
  <c r="EP106" i="1"/>
  <c r="EP107" i="1"/>
  <c r="EP108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1" i="1"/>
  <c r="EP142" i="1"/>
  <c r="EP13" i="1"/>
  <c r="EP14" i="1"/>
  <c r="EP15" i="1"/>
  <c r="EP16" i="1"/>
  <c r="EP17" i="1"/>
  <c r="EP19" i="1"/>
  <c r="EP18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164" i="1"/>
  <c r="EP165" i="1"/>
  <c r="EP166" i="1"/>
  <c r="EP62" i="1"/>
  <c r="EP98" i="1"/>
  <c r="EP109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3" i="1"/>
  <c r="EQ54" i="1"/>
  <c r="EQ55" i="1"/>
  <c r="EQ56" i="1"/>
  <c r="EQ57" i="1"/>
  <c r="EQ58" i="1"/>
  <c r="EQ59" i="1"/>
  <c r="EQ60" i="1"/>
  <c r="EQ61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89" i="1"/>
  <c r="EQ90" i="1"/>
  <c r="EQ91" i="1"/>
  <c r="EQ92" i="1"/>
  <c r="EQ93" i="1"/>
  <c r="EQ94" i="1"/>
  <c r="EQ95" i="1"/>
  <c r="EQ96" i="1"/>
  <c r="EQ97" i="1"/>
  <c r="EQ99" i="1"/>
  <c r="EQ100" i="1"/>
  <c r="EQ101" i="1"/>
  <c r="EQ102" i="1"/>
  <c r="EQ103" i="1"/>
  <c r="EQ104" i="1"/>
  <c r="EQ105" i="1"/>
  <c r="EQ106" i="1"/>
  <c r="EQ107" i="1"/>
  <c r="EQ108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1" i="1"/>
  <c r="EQ142" i="1"/>
  <c r="EQ13" i="1"/>
  <c r="EQ14" i="1"/>
  <c r="EQ15" i="1"/>
  <c r="EQ16" i="1"/>
  <c r="EQ17" i="1"/>
  <c r="EQ19" i="1"/>
  <c r="EQ18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164" i="1"/>
  <c r="EQ165" i="1"/>
  <c r="EQ166" i="1"/>
  <c r="EQ62" i="1"/>
  <c r="EQ98" i="1"/>
  <c r="EQ109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3" i="1"/>
  <c r="ER54" i="1"/>
  <c r="ER55" i="1"/>
  <c r="ER56" i="1"/>
  <c r="ER57" i="1"/>
  <c r="ER58" i="1"/>
  <c r="ER59" i="1"/>
  <c r="ER60" i="1"/>
  <c r="ER61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89" i="1"/>
  <c r="ER90" i="1"/>
  <c r="ER91" i="1"/>
  <c r="ER92" i="1"/>
  <c r="ER93" i="1"/>
  <c r="ER94" i="1"/>
  <c r="ER95" i="1"/>
  <c r="ER96" i="1"/>
  <c r="ER97" i="1"/>
  <c r="ER99" i="1"/>
  <c r="ER100" i="1"/>
  <c r="ER101" i="1"/>
  <c r="ER102" i="1"/>
  <c r="ER103" i="1"/>
  <c r="ER104" i="1"/>
  <c r="ER105" i="1"/>
  <c r="ER106" i="1"/>
  <c r="ER107" i="1"/>
  <c r="ER108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1" i="1"/>
  <c r="ER142" i="1"/>
  <c r="ER13" i="1"/>
  <c r="ER14" i="1"/>
  <c r="ER15" i="1"/>
  <c r="ER16" i="1"/>
  <c r="ER17" i="1"/>
  <c r="ER19" i="1"/>
  <c r="ER18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164" i="1"/>
  <c r="ER165" i="1"/>
  <c r="ER166" i="1"/>
  <c r="ER62" i="1"/>
  <c r="ER98" i="1"/>
  <c r="ER109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3" i="1"/>
  <c r="ES54" i="1"/>
  <c r="ES55" i="1"/>
  <c r="ES56" i="1"/>
  <c r="ES57" i="1"/>
  <c r="ES58" i="1"/>
  <c r="ES59" i="1"/>
  <c r="ES60" i="1"/>
  <c r="ES61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89" i="1"/>
  <c r="ES90" i="1"/>
  <c r="ES91" i="1"/>
  <c r="ES92" i="1"/>
  <c r="ES93" i="1"/>
  <c r="ES94" i="1"/>
  <c r="ES95" i="1"/>
  <c r="ES96" i="1"/>
  <c r="ES97" i="1"/>
  <c r="ES99" i="1"/>
  <c r="ES100" i="1"/>
  <c r="ES101" i="1"/>
  <c r="ES102" i="1"/>
  <c r="ES103" i="1"/>
  <c r="ES104" i="1"/>
  <c r="ES105" i="1"/>
  <c r="ES106" i="1"/>
  <c r="ES107" i="1"/>
  <c r="ES108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1" i="1"/>
  <c r="ES142" i="1"/>
  <c r="ES13" i="1"/>
  <c r="ES14" i="1"/>
  <c r="ES15" i="1"/>
  <c r="ES16" i="1"/>
  <c r="ES17" i="1"/>
  <c r="ES19" i="1"/>
  <c r="ES18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164" i="1"/>
  <c r="ES165" i="1"/>
  <c r="ES166" i="1"/>
  <c r="ES62" i="1"/>
  <c r="ES98" i="1"/>
  <c r="ES109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3" i="1"/>
  <c r="ET54" i="1"/>
  <c r="ET55" i="1"/>
  <c r="ET56" i="1"/>
  <c r="ET57" i="1"/>
  <c r="ET58" i="1"/>
  <c r="ET59" i="1"/>
  <c r="ET60" i="1"/>
  <c r="ET61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89" i="1"/>
  <c r="ET90" i="1"/>
  <c r="ET91" i="1"/>
  <c r="ET92" i="1"/>
  <c r="ET93" i="1"/>
  <c r="ET94" i="1"/>
  <c r="ET95" i="1"/>
  <c r="ET96" i="1"/>
  <c r="ET97" i="1"/>
  <c r="ET99" i="1"/>
  <c r="ET100" i="1"/>
  <c r="ET101" i="1"/>
  <c r="ET102" i="1"/>
  <c r="ET103" i="1"/>
  <c r="ET104" i="1"/>
  <c r="ET105" i="1"/>
  <c r="ET106" i="1"/>
  <c r="ET107" i="1"/>
  <c r="ET108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1" i="1"/>
  <c r="ET142" i="1"/>
  <c r="ET13" i="1"/>
  <c r="ET14" i="1"/>
  <c r="ET15" i="1"/>
  <c r="ET16" i="1"/>
  <c r="ET17" i="1"/>
  <c r="ET19" i="1"/>
  <c r="ET18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164" i="1"/>
  <c r="ET165" i="1"/>
  <c r="ET166" i="1"/>
  <c r="ET62" i="1"/>
  <c r="ET98" i="1"/>
  <c r="ET109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3" i="1"/>
  <c r="EU54" i="1"/>
  <c r="EU55" i="1"/>
  <c r="EU56" i="1"/>
  <c r="EU57" i="1"/>
  <c r="EU58" i="1"/>
  <c r="EU59" i="1"/>
  <c r="EU60" i="1"/>
  <c r="EU61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89" i="1"/>
  <c r="EU90" i="1"/>
  <c r="EU91" i="1"/>
  <c r="EU92" i="1"/>
  <c r="EU93" i="1"/>
  <c r="EU94" i="1"/>
  <c r="EU95" i="1"/>
  <c r="EU96" i="1"/>
  <c r="EU97" i="1"/>
  <c r="EU99" i="1"/>
  <c r="EU100" i="1"/>
  <c r="EU101" i="1"/>
  <c r="EU102" i="1"/>
  <c r="EU103" i="1"/>
  <c r="EU104" i="1"/>
  <c r="EU105" i="1"/>
  <c r="EU106" i="1"/>
  <c r="EU107" i="1"/>
  <c r="EU108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1" i="1"/>
  <c r="EU142" i="1"/>
  <c r="EU13" i="1"/>
  <c r="EU14" i="1"/>
  <c r="EU15" i="1"/>
  <c r="EU16" i="1"/>
  <c r="EU17" i="1"/>
  <c r="EU19" i="1"/>
  <c r="EU18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164" i="1"/>
  <c r="EU165" i="1"/>
  <c r="EU166" i="1"/>
  <c r="EU62" i="1"/>
  <c r="EU98" i="1"/>
  <c r="EU109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3" i="1"/>
  <c r="EV54" i="1"/>
  <c r="EV55" i="1"/>
  <c r="EV56" i="1"/>
  <c r="EV57" i="1"/>
  <c r="EV58" i="1"/>
  <c r="EV59" i="1"/>
  <c r="EV60" i="1"/>
  <c r="EV61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89" i="1"/>
  <c r="EV90" i="1"/>
  <c r="EV91" i="1"/>
  <c r="EV92" i="1"/>
  <c r="EV93" i="1"/>
  <c r="EV94" i="1"/>
  <c r="EV95" i="1"/>
  <c r="EV96" i="1"/>
  <c r="EV97" i="1"/>
  <c r="EV99" i="1"/>
  <c r="EV100" i="1"/>
  <c r="EV101" i="1"/>
  <c r="EV102" i="1"/>
  <c r="EV103" i="1"/>
  <c r="EV104" i="1"/>
  <c r="EV105" i="1"/>
  <c r="EV106" i="1"/>
  <c r="EV107" i="1"/>
  <c r="EV108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1" i="1"/>
  <c r="EV142" i="1"/>
  <c r="EV13" i="1"/>
  <c r="EV14" i="1"/>
  <c r="EV15" i="1"/>
  <c r="EV16" i="1"/>
  <c r="EV17" i="1"/>
  <c r="EV19" i="1"/>
  <c r="EV18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164" i="1"/>
  <c r="EV165" i="1"/>
  <c r="EV166" i="1"/>
  <c r="EV62" i="1"/>
  <c r="EV98" i="1"/>
  <c r="EV109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3" i="1"/>
  <c r="EW54" i="1"/>
  <c r="EW55" i="1"/>
  <c r="EW56" i="1"/>
  <c r="EW57" i="1"/>
  <c r="EW58" i="1"/>
  <c r="EW59" i="1"/>
  <c r="EW60" i="1"/>
  <c r="EW61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89" i="1"/>
  <c r="EW90" i="1"/>
  <c r="EW91" i="1"/>
  <c r="EW92" i="1"/>
  <c r="EW93" i="1"/>
  <c r="EW94" i="1"/>
  <c r="EW95" i="1"/>
  <c r="EW96" i="1"/>
  <c r="EW97" i="1"/>
  <c r="EW99" i="1"/>
  <c r="EW100" i="1"/>
  <c r="EW101" i="1"/>
  <c r="EW102" i="1"/>
  <c r="EW103" i="1"/>
  <c r="EW104" i="1"/>
  <c r="EW105" i="1"/>
  <c r="EW106" i="1"/>
  <c r="EW107" i="1"/>
  <c r="EW108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1" i="1"/>
  <c r="EW142" i="1"/>
  <c r="EW13" i="1"/>
  <c r="EW14" i="1"/>
  <c r="EW15" i="1"/>
  <c r="EW16" i="1"/>
  <c r="EW17" i="1"/>
  <c r="EW19" i="1"/>
  <c r="EW18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164" i="1"/>
  <c r="EW165" i="1"/>
  <c r="EW166" i="1"/>
  <c r="EW62" i="1"/>
  <c r="EW98" i="1"/>
  <c r="EW109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3" i="1"/>
  <c r="EX54" i="1"/>
  <c r="EX55" i="1"/>
  <c r="EX56" i="1"/>
  <c r="EX57" i="1"/>
  <c r="EX58" i="1"/>
  <c r="EX59" i="1"/>
  <c r="EX60" i="1"/>
  <c r="EX61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89" i="1"/>
  <c r="EX90" i="1"/>
  <c r="EX91" i="1"/>
  <c r="EX92" i="1"/>
  <c r="EX93" i="1"/>
  <c r="EX94" i="1"/>
  <c r="EX95" i="1"/>
  <c r="EX96" i="1"/>
  <c r="EX97" i="1"/>
  <c r="EX99" i="1"/>
  <c r="EX100" i="1"/>
  <c r="EX101" i="1"/>
  <c r="EX102" i="1"/>
  <c r="EX103" i="1"/>
  <c r="EX104" i="1"/>
  <c r="EX105" i="1"/>
  <c r="EX106" i="1"/>
  <c r="EX107" i="1"/>
  <c r="EX108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1" i="1"/>
  <c r="EX142" i="1"/>
  <c r="EX13" i="1"/>
  <c r="EX14" i="1"/>
  <c r="EX15" i="1"/>
  <c r="EX16" i="1"/>
  <c r="EX17" i="1"/>
  <c r="EX19" i="1"/>
  <c r="EX18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164" i="1"/>
  <c r="EX165" i="1"/>
  <c r="EX166" i="1"/>
  <c r="EX62" i="1"/>
  <c r="EX98" i="1"/>
  <c r="EX109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3" i="1"/>
  <c r="EY54" i="1"/>
  <c r="EY55" i="1"/>
  <c r="EY56" i="1"/>
  <c r="EY57" i="1"/>
  <c r="EY58" i="1"/>
  <c r="EY59" i="1"/>
  <c r="EY60" i="1"/>
  <c r="EY61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89" i="1"/>
  <c r="EY90" i="1"/>
  <c r="EY91" i="1"/>
  <c r="EY92" i="1"/>
  <c r="EY93" i="1"/>
  <c r="EY94" i="1"/>
  <c r="EY95" i="1"/>
  <c r="EY96" i="1"/>
  <c r="EY97" i="1"/>
  <c r="EY99" i="1"/>
  <c r="EY100" i="1"/>
  <c r="EY101" i="1"/>
  <c r="EY102" i="1"/>
  <c r="EY103" i="1"/>
  <c r="EY104" i="1"/>
  <c r="EY105" i="1"/>
  <c r="EY106" i="1"/>
  <c r="EY107" i="1"/>
  <c r="EY108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1" i="1"/>
  <c r="EY142" i="1"/>
  <c r="EY13" i="1"/>
  <c r="EY14" i="1"/>
  <c r="EY15" i="1"/>
  <c r="EY16" i="1"/>
  <c r="EY17" i="1"/>
  <c r="EY19" i="1"/>
  <c r="EY18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164" i="1"/>
  <c r="EY165" i="1"/>
  <c r="EY166" i="1"/>
  <c r="EY62" i="1"/>
  <c r="EY98" i="1"/>
  <c r="EY109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3" i="1"/>
  <c r="EZ54" i="1"/>
  <c r="EZ55" i="1"/>
  <c r="EZ56" i="1"/>
  <c r="EZ57" i="1"/>
  <c r="EZ58" i="1"/>
  <c r="EZ59" i="1"/>
  <c r="EZ60" i="1"/>
  <c r="EZ61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89" i="1"/>
  <c r="EZ90" i="1"/>
  <c r="EZ91" i="1"/>
  <c r="EZ92" i="1"/>
  <c r="EZ93" i="1"/>
  <c r="EZ94" i="1"/>
  <c r="EZ95" i="1"/>
  <c r="EZ96" i="1"/>
  <c r="EZ97" i="1"/>
  <c r="EZ99" i="1"/>
  <c r="EZ100" i="1"/>
  <c r="EZ101" i="1"/>
  <c r="EZ102" i="1"/>
  <c r="EZ103" i="1"/>
  <c r="EZ104" i="1"/>
  <c r="EZ105" i="1"/>
  <c r="EZ106" i="1"/>
  <c r="EZ107" i="1"/>
  <c r="EZ108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1" i="1"/>
  <c r="EZ142" i="1"/>
  <c r="EZ13" i="1"/>
  <c r="EZ14" i="1"/>
  <c r="EZ15" i="1"/>
  <c r="EZ16" i="1"/>
  <c r="EZ17" i="1"/>
  <c r="EZ19" i="1"/>
  <c r="EZ18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164" i="1"/>
  <c r="EZ165" i="1"/>
  <c r="EZ166" i="1"/>
  <c r="EZ62" i="1"/>
  <c r="EZ98" i="1"/>
  <c r="EZ109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3" i="1"/>
  <c r="FA54" i="1"/>
  <c r="FA55" i="1"/>
  <c r="FA56" i="1"/>
  <c r="FA57" i="1"/>
  <c r="FA58" i="1"/>
  <c r="FA59" i="1"/>
  <c r="FA60" i="1"/>
  <c r="FA61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89" i="1"/>
  <c r="FA90" i="1"/>
  <c r="FA91" i="1"/>
  <c r="FA92" i="1"/>
  <c r="FA93" i="1"/>
  <c r="FA94" i="1"/>
  <c r="FA95" i="1"/>
  <c r="FA96" i="1"/>
  <c r="FA97" i="1"/>
  <c r="FA99" i="1"/>
  <c r="FA100" i="1"/>
  <c r="FA101" i="1"/>
  <c r="FA102" i="1"/>
  <c r="FA103" i="1"/>
  <c r="FA104" i="1"/>
  <c r="FA105" i="1"/>
  <c r="FA106" i="1"/>
  <c r="FA107" i="1"/>
  <c r="FA108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1" i="1"/>
  <c r="FA142" i="1"/>
  <c r="FA13" i="1"/>
  <c r="FA14" i="1"/>
  <c r="FA15" i="1"/>
  <c r="FA16" i="1"/>
  <c r="FA17" i="1"/>
  <c r="FA19" i="1"/>
  <c r="FA18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164" i="1"/>
  <c r="FA165" i="1"/>
  <c r="FA166" i="1"/>
  <c r="FA62" i="1"/>
  <c r="FA98" i="1"/>
  <c r="FA109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3" i="1"/>
  <c r="FB54" i="1"/>
  <c r="FB55" i="1"/>
  <c r="FB56" i="1"/>
  <c r="FB57" i="1"/>
  <c r="FB58" i="1"/>
  <c r="FB59" i="1"/>
  <c r="FB60" i="1"/>
  <c r="FB61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89" i="1"/>
  <c r="FB90" i="1"/>
  <c r="FB91" i="1"/>
  <c r="FB92" i="1"/>
  <c r="FB93" i="1"/>
  <c r="FB94" i="1"/>
  <c r="FB95" i="1"/>
  <c r="FB96" i="1"/>
  <c r="FB97" i="1"/>
  <c r="FB99" i="1"/>
  <c r="FB100" i="1"/>
  <c r="FB101" i="1"/>
  <c r="FB102" i="1"/>
  <c r="FB103" i="1"/>
  <c r="FB104" i="1"/>
  <c r="FB105" i="1"/>
  <c r="FB106" i="1"/>
  <c r="FB107" i="1"/>
  <c r="FB108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1" i="1"/>
  <c r="FB142" i="1"/>
  <c r="FB13" i="1"/>
  <c r="FB14" i="1"/>
  <c r="FB15" i="1"/>
  <c r="FB16" i="1"/>
  <c r="FB17" i="1"/>
  <c r="FB19" i="1"/>
  <c r="FB18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164" i="1"/>
  <c r="FB165" i="1"/>
  <c r="FB166" i="1"/>
  <c r="FB62" i="1"/>
  <c r="FB98" i="1"/>
  <c r="FB109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3" i="1"/>
  <c r="FC54" i="1"/>
  <c r="FC55" i="1"/>
  <c r="FC56" i="1"/>
  <c r="FC57" i="1"/>
  <c r="FC58" i="1"/>
  <c r="FC59" i="1"/>
  <c r="FC60" i="1"/>
  <c r="FC61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89" i="1"/>
  <c r="FC90" i="1"/>
  <c r="FC91" i="1"/>
  <c r="FC92" i="1"/>
  <c r="FC93" i="1"/>
  <c r="FC94" i="1"/>
  <c r="FC95" i="1"/>
  <c r="FC96" i="1"/>
  <c r="FC97" i="1"/>
  <c r="FC99" i="1"/>
  <c r="FC100" i="1"/>
  <c r="FC101" i="1"/>
  <c r="FC102" i="1"/>
  <c r="FC103" i="1"/>
  <c r="FC104" i="1"/>
  <c r="FC105" i="1"/>
  <c r="FC106" i="1"/>
  <c r="FC107" i="1"/>
  <c r="FC108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1" i="1"/>
  <c r="FC142" i="1"/>
  <c r="FC13" i="1"/>
  <c r="FC14" i="1"/>
  <c r="FC15" i="1"/>
  <c r="FC16" i="1"/>
  <c r="FC17" i="1"/>
  <c r="FC19" i="1"/>
  <c r="FC18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164" i="1"/>
  <c r="FC165" i="1"/>
  <c r="FC166" i="1"/>
  <c r="FC62" i="1"/>
  <c r="FC98" i="1"/>
  <c r="FC109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3" i="1"/>
  <c r="FD54" i="1"/>
  <c r="FD55" i="1"/>
  <c r="FD56" i="1"/>
  <c r="FD57" i="1"/>
  <c r="FD58" i="1"/>
  <c r="FD59" i="1"/>
  <c r="FD60" i="1"/>
  <c r="FD61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89" i="1"/>
  <c r="FD90" i="1"/>
  <c r="FD91" i="1"/>
  <c r="FD92" i="1"/>
  <c r="FD93" i="1"/>
  <c r="FD94" i="1"/>
  <c r="FD95" i="1"/>
  <c r="FD96" i="1"/>
  <c r="FD97" i="1"/>
  <c r="FD99" i="1"/>
  <c r="FD100" i="1"/>
  <c r="FD101" i="1"/>
  <c r="FD102" i="1"/>
  <c r="FD103" i="1"/>
  <c r="FD104" i="1"/>
  <c r="FD105" i="1"/>
  <c r="FD106" i="1"/>
  <c r="FD107" i="1"/>
  <c r="FD108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1" i="1"/>
  <c r="FD142" i="1"/>
  <c r="FD13" i="1"/>
  <c r="FD14" i="1"/>
  <c r="FD15" i="1"/>
  <c r="FD16" i="1"/>
  <c r="FD17" i="1"/>
  <c r="FD19" i="1"/>
  <c r="FD18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164" i="1"/>
  <c r="FD165" i="1"/>
  <c r="FD166" i="1"/>
  <c r="FD62" i="1"/>
  <c r="FD98" i="1"/>
  <c r="FD109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3" i="1"/>
  <c r="FE54" i="1"/>
  <c r="FE55" i="1"/>
  <c r="FE56" i="1"/>
  <c r="FE57" i="1"/>
  <c r="FE58" i="1"/>
  <c r="FE59" i="1"/>
  <c r="FE60" i="1"/>
  <c r="FE61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89" i="1"/>
  <c r="FE90" i="1"/>
  <c r="FE91" i="1"/>
  <c r="FE92" i="1"/>
  <c r="FE93" i="1"/>
  <c r="FE94" i="1"/>
  <c r="FE95" i="1"/>
  <c r="FE96" i="1"/>
  <c r="FE97" i="1"/>
  <c r="FE99" i="1"/>
  <c r="FE100" i="1"/>
  <c r="FE101" i="1"/>
  <c r="FE102" i="1"/>
  <c r="FE103" i="1"/>
  <c r="FE104" i="1"/>
  <c r="FE105" i="1"/>
  <c r="FE106" i="1"/>
  <c r="FE107" i="1"/>
  <c r="FE108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1" i="1"/>
  <c r="FE142" i="1"/>
  <c r="FE13" i="1"/>
  <c r="FE14" i="1"/>
  <c r="FE15" i="1"/>
  <c r="FE16" i="1"/>
  <c r="FE17" i="1"/>
  <c r="FE19" i="1"/>
  <c r="FE18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164" i="1"/>
  <c r="FE165" i="1"/>
  <c r="FE166" i="1"/>
  <c r="FE62" i="1"/>
  <c r="FE98" i="1"/>
  <c r="FE109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3" i="1"/>
  <c r="FF54" i="1"/>
  <c r="FF55" i="1"/>
  <c r="FF56" i="1"/>
  <c r="FF57" i="1"/>
  <c r="FF58" i="1"/>
  <c r="FF59" i="1"/>
  <c r="FF60" i="1"/>
  <c r="FF61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89" i="1"/>
  <c r="FF90" i="1"/>
  <c r="FF91" i="1"/>
  <c r="FF92" i="1"/>
  <c r="FF93" i="1"/>
  <c r="FF94" i="1"/>
  <c r="FF95" i="1"/>
  <c r="FF96" i="1"/>
  <c r="FF97" i="1"/>
  <c r="FF99" i="1"/>
  <c r="FF100" i="1"/>
  <c r="FF101" i="1"/>
  <c r="FF102" i="1"/>
  <c r="FF103" i="1"/>
  <c r="FF104" i="1"/>
  <c r="FF105" i="1"/>
  <c r="FF106" i="1"/>
  <c r="FF107" i="1"/>
  <c r="FF108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1" i="1"/>
  <c r="FF142" i="1"/>
  <c r="FF13" i="1"/>
  <c r="FF14" i="1"/>
  <c r="FF15" i="1"/>
  <c r="FF16" i="1"/>
  <c r="FF17" i="1"/>
  <c r="FF19" i="1"/>
  <c r="FF18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164" i="1"/>
  <c r="FF165" i="1"/>
  <c r="FF166" i="1"/>
  <c r="FF62" i="1"/>
  <c r="FF98" i="1"/>
  <c r="FF109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3" i="1"/>
  <c r="FG54" i="1"/>
  <c r="FG55" i="1"/>
  <c r="FG56" i="1"/>
  <c r="FG57" i="1"/>
  <c r="FG58" i="1"/>
  <c r="FG59" i="1"/>
  <c r="FG60" i="1"/>
  <c r="FG61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89" i="1"/>
  <c r="FG90" i="1"/>
  <c r="FG91" i="1"/>
  <c r="FG92" i="1"/>
  <c r="FG93" i="1"/>
  <c r="FG94" i="1"/>
  <c r="FG95" i="1"/>
  <c r="FG96" i="1"/>
  <c r="FG97" i="1"/>
  <c r="FG99" i="1"/>
  <c r="FG100" i="1"/>
  <c r="FG101" i="1"/>
  <c r="FG102" i="1"/>
  <c r="FG103" i="1"/>
  <c r="FG104" i="1"/>
  <c r="FG105" i="1"/>
  <c r="FG106" i="1"/>
  <c r="FG107" i="1"/>
  <c r="FG108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1" i="1"/>
  <c r="FG142" i="1"/>
  <c r="FG13" i="1"/>
  <c r="FG14" i="1"/>
  <c r="FG15" i="1"/>
  <c r="FG16" i="1"/>
  <c r="FG17" i="1"/>
  <c r="FG19" i="1"/>
  <c r="FG18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164" i="1"/>
  <c r="FG165" i="1"/>
  <c r="FG166" i="1"/>
  <c r="FG62" i="1"/>
  <c r="FG98" i="1"/>
  <c r="FG109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3" i="1"/>
  <c r="FH54" i="1"/>
  <c r="FH55" i="1"/>
  <c r="FH56" i="1"/>
  <c r="FH57" i="1"/>
  <c r="FH58" i="1"/>
  <c r="FH59" i="1"/>
  <c r="FH60" i="1"/>
  <c r="FH61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89" i="1"/>
  <c r="FH90" i="1"/>
  <c r="FH91" i="1"/>
  <c r="FH92" i="1"/>
  <c r="FH93" i="1"/>
  <c r="FH94" i="1"/>
  <c r="FH95" i="1"/>
  <c r="FH96" i="1"/>
  <c r="FH97" i="1"/>
  <c r="FH99" i="1"/>
  <c r="FH100" i="1"/>
  <c r="FH101" i="1"/>
  <c r="FH102" i="1"/>
  <c r="FH103" i="1"/>
  <c r="FH104" i="1"/>
  <c r="FH105" i="1"/>
  <c r="FH106" i="1"/>
  <c r="FH107" i="1"/>
  <c r="FH108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1" i="1"/>
  <c r="FH142" i="1"/>
  <c r="FH13" i="1"/>
  <c r="FH14" i="1"/>
  <c r="FH15" i="1"/>
  <c r="FH16" i="1"/>
  <c r="FH17" i="1"/>
  <c r="FH19" i="1"/>
  <c r="FH18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164" i="1"/>
  <c r="FH165" i="1"/>
  <c r="FH166" i="1"/>
  <c r="FH62" i="1"/>
  <c r="FH98" i="1"/>
  <c r="FH109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3" i="1"/>
  <c r="FI54" i="1"/>
  <c r="FI55" i="1"/>
  <c r="FI56" i="1"/>
  <c r="FI57" i="1"/>
  <c r="FI58" i="1"/>
  <c r="FI59" i="1"/>
  <c r="FI60" i="1"/>
  <c r="FI61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89" i="1"/>
  <c r="FI90" i="1"/>
  <c r="FI91" i="1"/>
  <c r="FI92" i="1"/>
  <c r="FI93" i="1"/>
  <c r="FI94" i="1"/>
  <c r="FI95" i="1"/>
  <c r="FI96" i="1"/>
  <c r="FI97" i="1"/>
  <c r="FI99" i="1"/>
  <c r="FI100" i="1"/>
  <c r="FI101" i="1"/>
  <c r="FI102" i="1"/>
  <c r="FI103" i="1"/>
  <c r="FI104" i="1"/>
  <c r="FI105" i="1"/>
  <c r="FI106" i="1"/>
  <c r="FI107" i="1"/>
  <c r="FI108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1" i="1"/>
  <c r="FI142" i="1"/>
  <c r="FI13" i="1"/>
  <c r="FI14" i="1"/>
  <c r="FI15" i="1"/>
  <c r="FI16" i="1"/>
  <c r="FI17" i="1"/>
  <c r="FI19" i="1"/>
  <c r="FI18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164" i="1"/>
  <c r="FI165" i="1"/>
  <c r="FI166" i="1"/>
  <c r="FI62" i="1"/>
  <c r="FI98" i="1"/>
  <c r="FI109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3" i="1"/>
  <c r="FJ54" i="1"/>
  <c r="FJ55" i="1"/>
  <c r="FJ56" i="1"/>
  <c r="FJ57" i="1"/>
  <c r="FJ58" i="1"/>
  <c r="FJ59" i="1"/>
  <c r="FJ60" i="1"/>
  <c r="FJ61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89" i="1"/>
  <c r="FJ90" i="1"/>
  <c r="FJ91" i="1"/>
  <c r="FJ92" i="1"/>
  <c r="FJ93" i="1"/>
  <c r="FJ94" i="1"/>
  <c r="FJ95" i="1"/>
  <c r="FJ96" i="1"/>
  <c r="FJ97" i="1"/>
  <c r="FJ99" i="1"/>
  <c r="FJ100" i="1"/>
  <c r="FJ101" i="1"/>
  <c r="FJ102" i="1"/>
  <c r="FJ103" i="1"/>
  <c r="FJ104" i="1"/>
  <c r="FJ105" i="1"/>
  <c r="FJ106" i="1"/>
  <c r="FJ107" i="1"/>
  <c r="FJ108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1" i="1"/>
  <c r="FJ142" i="1"/>
  <c r="FJ13" i="1"/>
  <c r="FJ14" i="1"/>
  <c r="FJ15" i="1"/>
  <c r="FJ16" i="1"/>
  <c r="FJ17" i="1"/>
  <c r="FJ19" i="1"/>
  <c r="FJ18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164" i="1"/>
  <c r="FJ165" i="1"/>
  <c r="FJ166" i="1"/>
  <c r="FJ62" i="1"/>
  <c r="FJ98" i="1"/>
  <c r="FJ109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3" i="1"/>
  <c r="FK54" i="1"/>
  <c r="FK55" i="1"/>
  <c r="FK56" i="1"/>
  <c r="FK57" i="1"/>
  <c r="FK58" i="1"/>
  <c r="FK59" i="1"/>
  <c r="FK60" i="1"/>
  <c r="FK61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89" i="1"/>
  <c r="FK90" i="1"/>
  <c r="FK91" i="1"/>
  <c r="FK92" i="1"/>
  <c r="FK93" i="1"/>
  <c r="FK94" i="1"/>
  <c r="FK95" i="1"/>
  <c r="FK96" i="1"/>
  <c r="FK97" i="1"/>
  <c r="FK99" i="1"/>
  <c r="FK100" i="1"/>
  <c r="FK101" i="1"/>
  <c r="FK102" i="1"/>
  <c r="FK103" i="1"/>
  <c r="FK104" i="1"/>
  <c r="FK105" i="1"/>
  <c r="FK106" i="1"/>
  <c r="FK107" i="1"/>
  <c r="FK108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1" i="1"/>
  <c r="FK142" i="1"/>
  <c r="FK13" i="1"/>
  <c r="FK14" i="1"/>
  <c r="FK15" i="1"/>
  <c r="FK16" i="1"/>
  <c r="FK17" i="1"/>
  <c r="FK19" i="1"/>
  <c r="FK18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164" i="1"/>
  <c r="FK165" i="1"/>
  <c r="FK166" i="1"/>
  <c r="FK62" i="1"/>
  <c r="FK98" i="1"/>
  <c r="FK109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3" i="1"/>
  <c r="FL54" i="1"/>
  <c r="FL55" i="1"/>
  <c r="FL56" i="1"/>
  <c r="FL57" i="1"/>
  <c r="FL58" i="1"/>
  <c r="FL59" i="1"/>
  <c r="FL60" i="1"/>
  <c r="FL61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89" i="1"/>
  <c r="FL90" i="1"/>
  <c r="FL91" i="1"/>
  <c r="FL92" i="1"/>
  <c r="FL93" i="1"/>
  <c r="FL94" i="1"/>
  <c r="FL95" i="1"/>
  <c r="FL96" i="1"/>
  <c r="FL97" i="1"/>
  <c r="FL99" i="1"/>
  <c r="FL100" i="1"/>
  <c r="FL101" i="1"/>
  <c r="FL102" i="1"/>
  <c r="FL103" i="1"/>
  <c r="FL104" i="1"/>
  <c r="FL105" i="1"/>
  <c r="FL106" i="1"/>
  <c r="FL107" i="1"/>
  <c r="FL108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1" i="1"/>
  <c r="FL142" i="1"/>
  <c r="FL13" i="1"/>
  <c r="FL14" i="1"/>
  <c r="FL15" i="1"/>
  <c r="FL16" i="1"/>
  <c r="FL17" i="1"/>
  <c r="FL19" i="1"/>
  <c r="FL18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164" i="1"/>
  <c r="FL165" i="1"/>
  <c r="FL166" i="1"/>
  <c r="FL62" i="1"/>
  <c r="FL98" i="1"/>
  <c r="FL109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3" i="1"/>
  <c r="FM54" i="1"/>
  <c r="FM55" i="1"/>
  <c r="FM56" i="1"/>
  <c r="FM57" i="1"/>
  <c r="FM58" i="1"/>
  <c r="FM59" i="1"/>
  <c r="FM60" i="1"/>
  <c r="FM61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89" i="1"/>
  <c r="FM90" i="1"/>
  <c r="FM91" i="1"/>
  <c r="FM92" i="1"/>
  <c r="FM93" i="1"/>
  <c r="FM94" i="1"/>
  <c r="FM95" i="1"/>
  <c r="FM96" i="1"/>
  <c r="FM97" i="1"/>
  <c r="FM99" i="1"/>
  <c r="FM100" i="1"/>
  <c r="FM101" i="1"/>
  <c r="FM102" i="1"/>
  <c r="FM103" i="1"/>
  <c r="FM104" i="1"/>
  <c r="FM105" i="1"/>
  <c r="FM106" i="1"/>
  <c r="FM107" i="1"/>
  <c r="FM108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1" i="1"/>
  <c r="FM142" i="1"/>
  <c r="FM13" i="1"/>
  <c r="FM14" i="1"/>
  <c r="FM15" i="1"/>
  <c r="FM16" i="1"/>
  <c r="FM17" i="1"/>
  <c r="FM19" i="1"/>
  <c r="FM18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164" i="1"/>
  <c r="FM165" i="1"/>
  <c r="FM166" i="1"/>
  <c r="FM62" i="1"/>
  <c r="FM98" i="1"/>
  <c r="FM109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3" i="1"/>
  <c r="FN54" i="1"/>
  <c r="FN55" i="1"/>
  <c r="FN56" i="1"/>
  <c r="FN57" i="1"/>
  <c r="FN58" i="1"/>
  <c r="FN59" i="1"/>
  <c r="FN60" i="1"/>
  <c r="FN61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89" i="1"/>
  <c r="FN90" i="1"/>
  <c r="FN91" i="1"/>
  <c r="FN92" i="1"/>
  <c r="FN93" i="1"/>
  <c r="FN94" i="1"/>
  <c r="FN95" i="1"/>
  <c r="FN96" i="1"/>
  <c r="FN97" i="1"/>
  <c r="FN99" i="1"/>
  <c r="FN100" i="1"/>
  <c r="FN101" i="1"/>
  <c r="FN102" i="1"/>
  <c r="FN103" i="1"/>
  <c r="FN104" i="1"/>
  <c r="FN105" i="1"/>
  <c r="FN106" i="1"/>
  <c r="FN107" i="1"/>
  <c r="FN108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1" i="1"/>
  <c r="FN142" i="1"/>
  <c r="FN13" i="1"/>
  <c r="FN14" i="1"/>
  <c r="FN15" i="1"/>
  <c r="FN16" i="1"/>
  <c r="FN17" i="1"/>
  <c r="FN19" i="1"/>
  <c r="FN18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164" i="1"/>
  <c r="FN165" i="1"/>
  <c r="FN166" i="1"/>
  <c r="FN62" i="1"/>
  <c r="FN98" i="1"/>
  <c r="FN109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3" i="1"/>
  <c r="FO54" i="1"/>
  <c r="FO55" i="1"/>
  <c r="FO56" i="1"/>
  <c r="FO57" i="1"/>
  <c r="FO58" i="1"/>
  <c r="FO59" i="1"/>
  <c r="FO60" i="1"/>
  <c r="FO61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89" i="1"/>
  <c r="FO90" i="1"/>
  <c r="FO91" i="1"/>
  <c r="FO92" i="1"/>
  <c r="FO93" i="1"/>
  <c r="FO94" i="1"/>
  <c r="FO95" i="1"/>
  <c r="FO96" i="1"/>
  <c r="FO97" i="1"/>
  <c r="FO99" i="1"/>
  <c r="FO100" i="1"/>
  <c r="FO101" i="1"/>
  <c r="FO102" i="1"/>
  <c r="FO103" i="1"/>
  <c r="FO104" i="1"/>
  <c r="FO105" i="1"/>
  <c r="FO106" i="1"/>
  <c r="FO107" i="1"/>
  <c r="FO108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1" i="1"/>
  <c r="FO142" i="1"/>
  <c r="FO13" i="1"/>
  <c r="FO14" i="1"/>
  <c r="FO15" i="1"/>
  <c r="FO16" i="1"/>
  <c r="FO17" i="1"/>
  <c r="FO19" i="1"/>
  <c r="FO18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164" i="1"/>
  <c r="FO165" i="1"/>
  <c r="FO166" i="1"/>
  <c r="FO62" i="1"/>
  <c r="FO98" i="1"/>
  <c r="FO109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3" i="1"/>
  <c r="FP54" i="1"/>
  <c r="FP55" i="1"/>
  <c r="FP56" i="1"/>
  <c r="FP57" i="1"/>
  <c r="FP58" i="1"/>
  <c r="FP59" i="1"/>
  <c r="FP60" i="1"/>
  <c r="FP61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89" i="1"/>
  <c r="FP90" i="1"/>
  <c r="FP91" i="1"/>
  <c r="FP92" i="1"/>
  <c r="FP93" i="1"/>
  <c r="FP94" i="1"/>
  <c r="FP95" i="1"/>
  <c r="FP96" i="1"/>
  <c r="FP97" i="1"/>
  <c r="FP99" i="1"/>
  <c r="FP100" i="1"/>
  <c r="FP101" i="1"/>
  <c r="FP102" i="1"/>
  <c r="FP103" i="1"/>
  <c r="FP104" i="1"/>
  <c r="FP105" i="1"/>
  <c r="FP106" i="1"/>
  <c r="FP107" i="1"/>
  <c r="FP108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1" i="1"/>
  <c r="FP142" i="1"/>
  <c r="FP13" i="1"/>
  <c r="FP14" i="1"/>
  <c r="FP15" i="1"/>
  <c r="FP16" i="1"/>
  <c r="FP17" i="1"/>
  <c r="FP19" i="1"/>
  <c r="FP18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164" i="1"/>
  <c r="FP165" i="1"/>
  <c r="FP166" i="1"/>
  <c r="FP62" i="1"/>
  <c r="FP98" i="1"/>
  <c r="FP109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3" i="1"/>
  <c r="FQ54" i="1"/>
  <c r="FQ55" i="1"/>
  <c r="FQ56" i="1"/>
  <c r="FQ57" i="1"/>
  <c r="FQ58" i="1"/>
  <c r="FQ59" i="1"/>
  <c r="FQ60" i="1"/>
  <c r="FQ61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89" i="1"/>
  <c r="FQ90" i="1"/>
  <c r="FQ91" i="1"/>
  <c r="FQ92" i="1"/>
  <c r="FQ93" i="1"/>
  <c r="FQ94" i="1"/>
  <c r="FQ95" i="1"/>
  <c r="FQ96" i="1"/>
  <c r="FQ97" i="1"/>
  <c r="FQ99" i="1"/>
  <c r="FQ100" i="1"/>
  <c r="FQ101" i="1"/>
  <c r="FQ102" i="1"/>
  <c r="FQ103" i="1"/>
  <c r="FQ104" i="1"/>
  <c r="FQ105" i="1"/>
  <c r="FQ106" i="1"/>
  <c r="FQ107" i="1"/>
  <c r="FQ108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1" i="1"/>
  <c r="FQ142" i="1"/>
  <c r="FQ13" i="1"/>
  <c r="FQ14" i="1"/>
  <c r="FQ15" i="1"/>
  <c r="FQ16" i="1"/>
  <c r="FQ17" i="1"/>
  <c r="FQ19" i="1"/>
  <c r="FQ18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164" i="1"/>
  <c r="FQ165" i="1"/>
  <c r="FQ166" i="1"/>
  <c r="FQ62" i="1"/>
  <c r="FQ98" i="1"/>
  <c r="FQ109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3" i="1"/>
  <c r="FR54" i="1"/>
  <c r="FR55" i="1"/>
  <c r="FR56" i="1"/>
  <c r="FR57" i="1"/>
  <c r="FR58" i="1"/>
  <c r="FR59" i="1"/>
  <c r="FR60" i="1"/>
  <c r="FR61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89" i="1"/>
  <c r="FR90" i="1"/>
  <c r="FR91" i="1"/>
  <c r="FR92" i="1"/>
  <c r="FR93" i="1"/>
  <c r="FR94" i="1"/>
  <c r="FR95" i="1"/>
  <c r="FR96" i="1"/>
  <c r="FR97" i="1"/>
  <c r="FR99" i="1"/>
  <c r="FR100" i="1"/>
  <c r="FR101" i="1"/>
  <c r="FR102" i="1"/>
  <c r="FR103" i="1"/>
  <c r="FR104" i="1"/>
  <c r="FR105" i="1"/>
  <c r="FR106" i="1"/>
  <c r="FR107" i="1"/>
  <c r="FR108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1" i="1"/>
  <c r="FR142" i="1"/>
  <c r="FR13" i="1"/>
  <c r="FR14" i="1"/>
  <c r="FR15" i="1"/>
  <c r="FR16" i="1"/>
  <c r="FR17" i="1"/>
  <c r="FR19" i="1"/>
  <c r="FR18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164" i="1"/>
  <c r="FR165" i="1"/>
  <c r="FR166" i="1"/>
  <c r="FR62" i="1"/>
  <c r="FR98" i="1"/>
  <c r="FR109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3" i="1"/>
  <c r="FS54" i="1"/>
  <c r="FS55" i="1"/>
  <c r="FS56" i="1"/>
  <c r="FS57" i="1"/>
  <c r="FS58" i="1"/>
  <c r="FS59" i="1"/>
  <c r="FS60" i="1"/>
  <c r="FS61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89" i="1"/>
  <c r="FS90" i="1"/>
  <c r="FS91" i="1"/>
  <c r="FS92" i="1"/>
  <c r="FS93" i="1"/>
  <c r="FS94" i="1"/>
  <c r="FS95" i="1"/>
  <c r="FS96" i="1"/>
  <c r="FS97" i="1"/>
  <c r="FS99" i="1"/>
  <c r="FS100" i="1"/>
  <c r="FS101" i="1"/>
  <c r="FS102" i="1"/>
  <c r="FS103" i="1"/>
  <c r="FS104" i="1"/>
  <c r="FS105" i="1"/>
  <c r="FS106" i="1"/>
  <c r="FS107" i="1"/>
  <c r="FS108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1" i="1"/>
  <c r="FS142" i="1"/>
  <c r="FS13" i="1"/>
  <c r="FS14" i="1"/>
  <c r="FS15" i="1"/>
  <c r="FS16" i="1"/>
  <c r="FS17" i="1"/>
  <c r="FS19" i="1"/>
  <c r="FS18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164" i="1"/>
  <c r="FS165" i="1"/>
  <c r="FS166" i="1"/>
  <c r="FS62" i="1"/>
  <c r="FS98" i="1"/>
  <c r="FS109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3" i="1"/>
  <c r="FT54" i="1"/>
  <c r="FT55" i="1"/>
  <c r="FT56" i="1"/>
  <c r="FT57" i="1"/>
  <c r="FT58" i="1"/>
  <c r="FT59" i="1"/>
  <c r="FT60" i="1"/>
  <c r="FT61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89" i="1"/>
  <c r="FT90" i="1"/>
  <c r="FT91" i="1"/>
  <c r="FT92" i="1"/>
  <c r="FT93" i="1"/>
  <c r="FT94" i="1"/>
  <c r="FT95" i="1"/>
  <c r="FT96" i="1"/>
  <c r="FT97" i="1"/>
  <c r="FT99" i="1"/>
  <c r="FT100" i="1"/>
  <c r="FT101" i="1"/>
  <c r="FT102" i="1"/>
  <c r="FT103" i="1"/>
  <c r="FT104" i="1"/>
  <c r="FT105" i="1"/>
  <c r="FT106" i="1"/>
  <c r="FT107" i="1"/>
  <c r="FT108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1" i="1"/>
  <c r="FT142" i="1"/>
  <c r="FT13" i="1"/>
  <c r="FT14" i="1"/>
  <c r="FT15" i="1"/>
  <c r="FT16" i="1"/>
  <c r="FT17" i="1"/>
  <c r="FT19" i="1"/>
  <c r="FT18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164" i="1"/>
  <c r="FT165" i="1"/>
  <c r="FT166" i="1"/>
  <c r="FT62" i="1"/>
  <c r="FT98" i="1"/>
  <c r="FT109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3" i="1"/>
  <c r="FU54" i="1"/>
  <c r="FU55" i="1"/>
  <c r="FU56" i="1"/>
  <c r="FU57" i="1"/>
  <c r="FU58" i="1"/>
  <c r="FU59" i="1"/>
  <c r="FU60" i="1"/>
  <c r="FU61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89" i="1"/>
  <c r="FU90" i="1"/>
  <c r="FU91" i="1"/>
  <c r="FU92" i="1"/>
  <c r="FU93" i="1"/>
  <c r="FU94" i="1"/>
  <c r="FU95" i="1"/>
  <c r="FU96" i="1"/>
  <c r="FU97" i="1"/>
  <c r="FU99" i="1"/>
  <c r="FU100" i="1"/>
  <c r="FU101" i="1"/>
  <c r="FU102" i="1"/>
  <c r="FU103" i="1"/>
  <c r="FU104" i="1"/>
  <c r="FU105" i="1"/>
  <c r="FU106" i="1"/>
  <c r="FU107" i="1"/>
  <c r="FU108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1" i="1"/>
  <c r="FU142" i="1"/>
  <c r="FU13" i="1"/>
  <c r="FU14" i="1"/>
  <c r="FU15" i="1"/>
  <c r="FU16" i="1"/>
  <c r="FU17" i="1"/>
  <c r="FU19" i="1"/>
  <c r="FU18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164" i="1"/>
  <c r="FU165" i="1"/>
  <c r="FU166" i="1"/>
  <c r="FU62" i="1"/>
  <c r="FU98" i="1"/>
  <c r="FU109" i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3" i="1"/>
  <c r="FV53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89" i="1"/>
  <c r="FV89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9" i="1"/>
  <c r="FV99" i="1" s="1"/>
  <c r="FW100" i="1"/>
  <c r="FV100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1" i="1"/>
  <c r="FV141" i="1" s="1"/>
  <c r="FW142" i="1"/>
  <c r="FV142" i="1" s="1"/>
  <c r="FW13" i="1"/>
  <c r="FV13" i="1" s="1"/>
  <c r="FW14" i="1"/>
  <c r="FV14" i="1" s="1"/>
  <c r="FW15" i="1"/>
  <c r="FV15" i="1" s="1"/>
  <c r="FW16" i="1"/>
  <c r="FV16" i="1" s="1"/>
  <c r="FW17" i="1"/>
  <c r="FV17" i="1" s="1"/>
  <c r="FW19" i="1"/>
  <c r="FV19" i="1" s="1"/>
  <c r="FW18" i="1"/>
  <c r="FV18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164" i="1"/>
  <c r="FV164" i="1" s="1"/>
  <c r="FW165" i="1"/>
  <c r="FV165" i="1" s="1"/>
  <c r="FW166" i="1"/>
  <c r="FV166" i="1" s="1"/>
  <c r="FW62" i="1"/>
  <c r="FV62" i="1" s="1"/>
  <c r="FW98" i="1"/>
  <c r="FV98" i="1" s="1"/>
  <c r="FW109" i="1"/>
  <c r="FV109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3" i="1"/>
  <c r="FX53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89" i="1"/>
  <c r="FX89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9" i="1"/>
  <c r="FX99" i="1" s="1"/>
  <c r="FY100" i="1"/>
  <c r="FX100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1" i="1"/>
  <c r="FX141" i="1" s="1"/>
  <c r="FY142" i="1"/>
  <c r="FX142" i="1" s="1"/>
  <c r="FY13" i="1"/>
  <c r="FX13" i="1" s="1"/>
  <c r="FY14" i="1"/>
  <c r="FX14" i="1" s="1"/>
  <c r="FY15" i="1"/>
  <c r="FX15" i="1" s="1"/>
  <c r="FY16" i="1"/>
  <c r="FX16" i="1" s="1"/>
  <c r="FY17" i="1"/>
  <c r="FX17" i="1" s="1"/>
  <c r="FY19" i="1"/>
  <c r="FX19" i="1" s="1"/>
  <c r="FY18" i="1"/>
  <c r="FX18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164" i="1"/>
  <c r="FX164" i="1" s="1"/>
  <c r="FY165" i="1"/>
  <c r="FX165" i="1" s="1"/>
  <c r="FY166" i="1"/>
  <c r="FX166" i="1" s="1"/>
  <c r="FY62" i="1"/>
  <c r="FX62" i="1" s="1"/>
  <c r="FY98" i="1"/>
  <c r="FX98" i="1" s="1"/>
  <c r="FY109" i="1"/>
  <c r="FX109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3" i="1"/>
  <c r="FZ53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89" i="1"/>
  <c r="FZ89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9" i="1"/>
  <c r="FZ99" i="1" s="1"/>
  <c r="GA100" i="1"/>
  <c r="FZ100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1" i="1"/>
  <c r="FZ141" i="1" s="1"/>
  <c r="GA142" i="1"/>
  <c r="FZ142" i="1" s="1"/>
  <c r="GA13" i="1"/>
  <c r="FZ13" i="1" s="1"/>
  <c r="GA14" i="1"/>
  <c r="FZ14" i="1" s="1"/>
  <c r="GA15" i="1"/>
  <c r="FZ15" i="1" s="1"/>
  <c r="GA16" i="1"/>
  <c r="FZ16" i="1" s="1"/>
  <c r="GA17" i="1"/>
  <c r="FZ17" i="1" s="1"/>
  <c r="GA19" i="1"/>
  <c r="FZ19" i="1" s="1"/>
  <c r="GA18" i="1"/>
  <c r="FZ18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164" i="1"/>
  <c r="FZ164" i="1" s="1"/>
  <c r="GA165" i="1"/>
  <c r="FZ165" i="1" s="1"/>
  <c r="GA166" i="1"/>
  <c r="FZ166" i="1" s="1"/>
  <c r="GA62" i="1"/>
  <c r="FZ62" i="1" s="1"/>
  <c r="GA98" i="1"/>
  <c r="FZ98" i="1" s="1"/>
  <c r="GA109" i="1"/>
  <c r="FZ109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3" i="1"/>
  <c r="GB53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89" i="1"/>
  <c r="GB89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9" i="1"/>
  <c r="GB99" i="1" s="1"/>
  <c r="GC100" i="1"/>
  <c r="GB100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1" i="1"/>
  <c r="GB141" i="1" s="1"/>
  <c r="GC142" i="1"/>
  <c r="GB142" i="1" s="1"/>
  <c r="GC13" i="1"/>
  <c r="GB13" i="1" s="1"/>
  <c r="GC14" i="1"/>
  <c r="GB14" i="1" s="1"/>
  <c r="GC15" i="1"/>
  <c r="GB15" i="1" s="1"/>
  <c r="GC16" i="1"/>
  <c r="GB16" i="1" s="1"/>
  <c r="GC17" i="1"/>
  <c r="GB17" i="1" s="1"/>
  <c r="GC19" i="1"/>
  <c r="GB19" i="1" s="1"/>
  <c r="GC18" i="1"/>
  <c r="GB18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164" i="1"/>
  <c r="GB164" i="1" s="1"/>
  <c r="GC165" i="1"/>
  <c r="GB165" i="1" s="1"/>
  <c r="GC166" i="1"/>
  <c r="GB166" i="1" s="1"/>
  <c r="GC62" i="1"/>
  <c r="GB62" i="1" s="1"/>
  <c r="GC98" i="1"/>
  <c r="GB98" i="1" s="1"/>
  <c r="GC109" i="1"/>
  <c r="GB109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3" i="1"/>
  <c r="GD53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89" i="1"/>
  <c r="GD89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9" i="1"/>
  <c r="GD99" i="1" s="1"/>
  <c r="GE100" i="1"/>
  <c r="GD100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1" i="1"/>
  <c r="GD141" i="1" s="1"/>
  <c r="GE142" i="1"/>
  <c r="GD142" i="1" s="1"/>
  <c r="GE13" i="1"/>
  <c r="GD13" i="1" s="1"/>
  <c r="GE14" i="1"/>
  <c r="GD14" i="1" s="1"/>
  <c r="GE15" i="1"/>
  <c r="GD15" i="1" s="1"/>
  <c r="GE16" i="1"/>
  <c r="GD16" i="1" s="1"/>
  <c r="GE17" i="1"/>
  <c r="GD17" i="1" s="1"/>
  <c r="GE19" i="1"/>
  <c r="GD19" i="1" s="1"/>
  <c r="GE18" i="1"/>
  <c r="GD18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164" i="1"/>
  <c r="GD164" i="1" s="1"/>
  <c r="GE165" i="1"/>
  <c r="GD165" i="1" s="1"/>
  <c r="GE166" i="1"/>
  <c r="GD166" i="1" s="1"/>
  <c r="GE62" i="1"/>
  <c r="GD62" i="1" s="1"/>
  <c r="GE98" i="1"/>
  <c r="GD98" i="1" s="1"/>
  <c r="GE109" i="1"/>
  <c r="GD109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3" i="1"/>
  <c r="GF53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89" i="1"/>
  <c r="GF89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9" i="1"/>
  <c r="GF99" i="1" s="1"/>
  <c r="GG100" i="1"/>
  <c r="GF100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1" i="1"/>
  <c r="GF141" i="1" s="1"/>
  <c r="GG142" i="1"/>
  <c r="GF142" i="1" s="1"/>
  <c r="GG13" i="1"/>
  <c r="GF13" i="1" s="1"/>
  <c r="GG14" i="1"/>
  <c r="GF14" i="1" s="1"/>
  <c r="GG15" i="1"/>
  <c r="GF15" i="1" s="1"/>
  <c r="GG16" i="1"/>
  <c r="GF16" i="1" s="1"/>
  <c r="GG17" i="1"/>
  <c r="GF17" i="1" s="1"/>
  <c r="GG19" i="1"/>
  <c r="GF19" i="1" s="1"/>
  <c r="GG18" i="1"/>
  <c r="GF18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164" i="1"/>
  <c r="GF164" i="1" s="1"/>
  <c r="GG165" i="1"/>
  <c r="GF165" i="1" s="1"/>
  <c r="GG166" i="1"/>
  <c r="GF166" i="1" s="1"/>
  <c r="GG62" i="1"/>
  <c r="GF62" i="1" s="1"/>
  <c r="GG98" i="1"/>
  <c r="GF98" i="1" s="1"/>
  <c r="GG109" i="1"/>
  <c r="GF109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3" i="1"/>
  <c r="GH53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89" i="1"/>
  <c r="GH89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9" i="1"/>
  <c r="GH99" i="1" s="1"/>
  <c r="GI100" i="1"/>
  <c r="GH100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1" i="1"/>
  <c r="GH141" i="1" s="1"/>
  <c r="GI142" i="1"/>
  <c r="GH142" i="1" s="1"/>
  <c r="GI13" i="1"/>
  <c r="GH13" i="1" s="1"/>
  <c r="GI14" i="1"/>
  <c r="GH14" i="1" s="1"/>
  <c r="GI15" i="1"/>
  <c r="GH15" i="1" s="1"/>
  <c r="GI16" i="1"/>
  <c r="GH16" i="1" s="1"/>
  <c r="GI17" i="1"/>
  <c r="GH17" i="1" s="1"/>
  <c r="GI19" i="1"/>
  <c r="GH19" i="1" s="1"/>
  <c r="GI18" i="1"/>
  <c r="GH18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164" i="1"/>
  <c r="GH164" i="1" s="1"/>
  <c r="GI165" i="1"/>
  <c r="GH165" i="1" s="1"/>
  <c r="GI166" i="1"/>
  <c r="GH166" i="1" s="1"/>
  <c r="GI62" i="1"/>
  <c r="GH62" i="1" s="1"/>
  <c r="GI98" i="1"/>
  <c r="GH98" i="1" s="1"/>
  <c r="GI109" i="1"/>
  <c r="GH109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3" i="1"/>
  <c r="GJ53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89" i="1"/>
  <c r="GJ89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9" i="1"/>
  <c r="GJ99" i="1" s="1"/>
  <c r="GK100" i="1"/>
  <c r="GJ100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1" i="1"/>
  <c r="GJ141" i="1" s="1"/>
  <c r="GK142" i="1"/>
  <c r="GJ142" i="1" s="1"/>
  <c r="GK13" i="1"/>
  <c r="GJ13" i="1" s="1"/>
  <c r="GK14" i="1"/>
  <c r="GJ14" i="1" s="1"/>
  <c r="GK15" i="1"/>
  <c r="GJ15" i="1" s="1"/>
  <c r="GK16" i="1"/>
  <c r="GJ16" i="1" s="1"/>
  <c r="GK17" i="1"/>
  <c r="GJ17" i="1" s="1"/>
  <c r="GK19" i="1"/>
  <c r="GJ19" i="1" s="1"/>
  <c r="GK18" i="1"/>
  <c r="GJ18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164" i="1"/>
  <c r="GJ164" i="1" s="1"/>
  <c r="GK165" i="1"/>
  <c r="GJ165" i="1" s="1"/>
  <c r="GK166" i="1"/>
  <c r="GJ166" i="1" s="1"/>
  <c r="GK62" i="1"/>
  <c r="GJ62" i="1" s="1"/>
  <c r="GK98" i="1"/>
  <c r="GJ98" i="1" s="1"/>
  <c r="GK109" i="1"/>
  <c r="GJ109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3" i="1"/>
  <c r="GL53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89" i="1"/>
  <c r="GL89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9" i="1"/>
  <c r="GL99" i="1" s="1"/>
  <c r="GM100" i="1"/>
  <c r="GL100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1" i="1"/>
  <c r="GL141" i="1" s="1"/>
  <c r="GM142" i="1"/>
  <c r="GL142" i="1" s="1"/>
  <c r="GM13" i="1"/>
  <c r="GL13" i="1" s="1"/>
  <c r="GM14" i="1"/>
  <c r="GL14" i="1" s="1"/>
  <c r="GM15" i="1"/>
  <c r="GL15" i="1" s="1"/>
  <c r="GM16" i="1"/>
  <c r="GL16" i="1" s="1"/>
  <c r="GM17" i="1"/>
  <c r="GL17" i="1" s="1"/>
  <c r="GM19" i="1"/>
  <c r="GL19" i="1" s="1"/>
  <c r="GM18" i="1"/>
  <c r="GL18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164" i="1"/>
  <c r="GL164" i="1" s="1"/>
  <c r="GM165" i="1"/>
  <c r="GL165" i="1" s="1"/>
  <c r="GM166" i="1"/>
  <c r="GL166" i="1" s="1"/>
  <c r="GM62" i="1"/>
  <c r="GL62" i="1" s="1"/>
  <c r="GM98" i="1"/>
  <c r="GL98" i="1" s="1"/>
  <c r="GM109" i="1"/>
  <c r="GL109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3" i="1"/>
  <c r="GN53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89" i="1"/>
  <c r="GN89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9" i="1"/>
  <c r="GN99" i="1" s="1"/>
  <c r="GO100" i="1"/>
  <c r="GN100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1" i="1"/>
  <c r="GN141" i="1" s="1"/>
  <c r="GO142" i="1"/>
  <c r="GN142" i="1" s="1"/>
  <c r="GO13" i="1"/>
  <c r="GN13" i="1" s="1"/>
  <c r="GO14" i="1"/>
  <c r="GN14" i="1" s="1"/>
  <c r="GO15" i="1"/>
  <c r="GN15" i="1" s="1"/>
  <c r="GO16" i="1"/>
  <c r="GN16" i="1" s="1"/>
  <c r="GO17" i="1"/>
  <c r="GN17" i="1" s="1"/>
  <c r="GO19" i="1"/>
  <c r="GN19" i="1" s="1"/>
  <c r="GO18" i="1"/>
  <c r="GN18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164" i="1"/>
  <c r="GN164" i="1" s="1"/>
  <c r="GO165" i="1"/>
  <c r="GN165" i="1" s="1"/>
  <c r="GO166" i="1"/>
  <c r="GN166" i="1" s="1"/>
  <c r="GO62" i="1"/>
  <c r="GN62" i="1" s="1"/>
  <c r="GO98" i="1"/>
  <c r="GN98" i="1" s="1"/>
  <c r="GO109" i="1"/>
  <c r="GN109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3" i="1"/>
  <c r="GP53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89" i="1"/>
  <c r="GP89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9" i="1"/>
  <c r="GP99" i="1" s="1"/>
  <c r="GQ100" i="1"/>
  <c r="GP100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1" i="1"/>
  <c r="GP141" i="1" s="1"/>
  <c r="GQ142" i="1"/>
  <c r="GP142" i="1" s="1"/>
  <c r="GQ13" i="1"/>
  <c r="GP13" i="1" s="1"/>
  <c r="GQ14" i="1"/>
  <c r="GP14" i="1" s="1"/>
  <c r="GQ15" i="1"/>
  <c r="GP15" i="1" s="1"/>
  <c r="GQ16" i="1"/>
  <c r="GP16" i="1" s="1"/>
  <c r="GQ17" i="1"/>
  <c r="GP17" i="1" s="1"/>
  <c r="GQ19" i="1"/>
  <c r="GP19" i="1" s="1"/>
  <c r="GQ18" i="1"/>
  <c r="GP18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164" i="1"/>
  <c r="GP164" i="1" s="1"/>
  <c r="GQ165" i="1"/>
  <c r="GP165" i="1" s="1"/>
  <c r="GQ166" i="1"/>
  <c r="GP166" i="1" s="1"/>
  <c r="GQ62" i="1"/>
  <c r="GP62" i="1" s="1"/>
  <c r="GQ98" i="1"/>
  <c r="GP98" i="1" s="1"/>
  <c r="GQ109" i="1"/>
  <c r="GP109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3" i="1"/>
  <c r="GR53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89" i="1"/>
  <c r="GR89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9" i="1"/>
  <c r="GR99" i="1" s="1"/>
  <c r="GS100" i="1"/>
  <c r="GR100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1" i="1"/>
  <c r="GR141" i="1" s="1"/>
  <c r="GS142" i="1"/>
  <c r="GR142" i="1" s="1"/>
  <c r="GS13" i="1"/>
  <c r="GR13" i="1" s="1"/>
  <c r="GS14" i="1"/>
  <c r="GR14" i="1" s="1"/>
  <c r="GS15" i="1"/>
  <c r="GR15" i="1" s="1"/>
  <c r="GS16" i="1"/>
  <c r="GR16" i="1" s="1"/>
  <c r="GS17" i="1"/>
  <c r="GR17" i="1" s="1"/>
  <c r="GS19" i="1"/>
  <c r="GR19" i="1" s="1"/>
  <c r="GS18" i="1"/>
  <c r="GR18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164" i="1"/>
  <c r="GR164" i="1" s="1"/>
  <c r="GS165" i="1"/>
  <c r="GR165" i="1" s="1"/>
  <c r="GS166" i="1"/>
  <c r="GR166" i="1" s="1"/>
  <c r="GS62" i="1"/>
  <c r="GR62" i="1" s="1"/>
  <c r="GS98" i="1"/>
  <c r="GR98" i="1" s="1"/>
  <c r="GS109" i="1"/>
  <c r="GR109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3" i="1"/>
  <c r="GT53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89" i="1"/>
  <c r="GT89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9" i="1"/>
  <c r="GT99" i="1" s="1"/>
  <c r="GU100" i="1"/>
  <c r="GT100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1" i="1"/>
  <c r="GT141" i="1" s="1"/>
  <c r="GU142" i="1"/>
  <c r="GT142" i="1" s="1"/>
  <c r="GU13" i="1"/>
  <c r="GT13" i="1" s="1"/>
  <c r="GU14" i="1"/>
  <c r="GT14" i="1" s="1"/>
  <c r="GU15" i="1"/>
  <c r="GT15" i="1" s="1"/>
  <c r="GU16" i="1"/>
  <c r="GT16" i="1" s="1"/>
  <c r="GU17" i="1"/>
  <c r="GT17" i="1" s="1"/>
  <c r="GU19" i="1"/>
  <c r="GT19" i="1" s="1"/>
  <c r="GU18" i="1"/>
  <c r="GT18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164" i="1"/>
  <c r="GT164" i="1" s="1"/>
  <c r="GU165" i="1"/>
  <c r="GT165" i="1" s="1"/>
  <c r="GU166" i="1"/>
  <c r="GT166" i="1" s="1"/>
  <c r="GU62" i="1"/>
  <c r="GT62" i="1" s="1"/>
  <c r="GU98" i="1"/>
  <c r="GT98" i="1" s="1"/>
  <c r="GU109" i="1"/>
  <c r="GT109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3" i="1"/>
  <c r="GV53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89" i="1"/>
  <c r="GV89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9" i="1"/>
  <c r="GV99" i="1" s="1"/>
  <c r="GW100" i="1"/>
  <c r="GV100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1" i="1"/>
  <c r="GV141" i="1" s="1"/>
  <c r="GW142" i="1"/>
  <c r="GV142" i="1" s="1"/>
  <c r="GW13" i="1"/>
  <c r="GV13" i="1" s="1"/>
  <c r="GW14" i="1"/>
  <c r="GV14" i="1" s="1"/>
  <c r="GW15" i="1"/>
  <c r="GV15" i="1" s="1"/>
  <c r="GW16" i="1"/>
  <c r="GV16" i="1" s="1"/>
  <c r="GW17" i="1"/>
  <c r="GV17" i="1" s="1"/>
  <c r="GW19" i="1"/>
  <c r="GV19" i="1" s="1"/>
  <c r="GW18" i="1"/>
  <c r="GV18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164" i="1"/>
  <c r="GV164" i="1" s="1"/>
  <c r="GW165" i="1"/>
  <c r="GV165" i="1" s="1"/>
  <c r="GW166" i="1"/>
  <c r="GV166" i="1" s="1"/>
  <c r="GW62" i="1"/>
  <c r="GV62" i="1" s="1"/>
  <c r="GW98" i="1"/>
  <c r="GV98" i="1" s="1"/>
  <c r="GW109" i="1"/>
  <c r="GV109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3" i="1"/>
  <c r="GX53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89" i="1"/>
  <c r="GX89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9" i="1"/>
  <c r="GX99" i="1" s="1"/>
  <c r="GY100" i="1"/>
  <c r="GX100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1" i="1"/>
  <c r="GX141" i="1" s="1"/>
  <c r="GY142" i="1"/>
  <c r="GX142" i="1" s="1"/>
  <c r="GY13" i="1"/>
  <c r="GX13" i="1" s="1"/>
  <c r="GY14" i="1"/>
  <c r="GX14" i="1" s="1"/>
  <c r="GY15" i="1"/>
  <c r="GX15" i="1" s="1"/>
  <c r="GY16" i="1"/>
  <c r="GX16" i="1" s="1"/>
  <c r="GY17" i="1"/>
  <c r="GX17" i="1" s="1"/>
  <c r="GY19" i="1"/>
  <c r="GX19" i="1" s="1"/>
  <c r="GY18" i="1"/>
  <c r="GX18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164" i="1"/>
  <c r="GX164" i="1" s="1"/>
  <c r="GY165" i="1"/>
  <c r="GX165" i="1" s="1"/>
  <c r="GY166" i="1"/>
  <c r="GX166" i="1" s="1"/>
  <c r="GY62" i="1"/>
  <c r="GX62" i="1" s="1"/>
  <c r="GY98" i="1"/>
  <c r="GX98" i="1" s="1"/>
  <c r="GY109" i="1"/>
  <c r="GX109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3" i="1"/>
  <c r="GZ53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89" i="1"/>
  <c r="GZ89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9" i="1"/>
  <c r="GZ99" i="1" s="1"/>
  <c r="HA100" i="1"/>
  <c r="GZ100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1" i="1"/>
  <c r="GZ141" i="1" s="1"/>
  <c r="HA142" i="1"/>
  <c r="GZ142" i="1" s="1"/>
  <c r="HA13" i="1"/>
  <c r="GZ13" i="1" s="1"/>
  <c r="HA14" i="1"/>
  <c r="GZ14" i="1" s="1"/>
  <c r="HA15" i="1"/>
  <c r="GZ15" i="1" s="1"/>
  <c r="HA16" i="1"/>
  <c r="GZ16" i="1" s="1"/>
  <c r="HA17" i="1"/>
  <c r="GZ17" i="1" s="1"/>
  <c r="HA19" i="1"/>
  <c r="GZ19" i="1" s="1"/>
  <c r="HA18" i="1"/>
  <c r="GZ18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164" i="1"/>
  <c r="GZ164" i="1" s="1"/>
  <c r="HA165" i="1"/>
  <c r="GZ165" i="1" s="1"/>
  <c r="HA166" i="1"/>
  <c r="GZ166" i="1" s="1"/>
  <c r="HA62" i="1"/>
  <c r="GZ62" i="1" s="1"/>
  <c r="HA98" i="1"/>
  <c r="GZ98" i="1" s="1"/>
  <c r="HA109" i="1"/>
  <c r="GZ109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3" i="1"/>
  <c r="HB53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89" i="1"/>
  <c r="HB89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9" i="1"/>
  <c r="HB99" i="1" s="1"/>
  <c r="HC100" i="1"/>
  <c r="HB100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1" i="1"/>
  <c r="HB141" i="1" s="1"/>
  <c r="HC142" i="1"/>
  <c r="HB142" i="1" s="1"/>
  <c r="HC13" i="1"/>
  <c r="HB13" i="1" s="1"/>
  <c r="HC14" i="1"/>
  <c r="HB14" i="1" s="1"/>
  <c r="HC15" i="1"/>
  <c r="HB15" i="1" s="1"/>
  <c r="HC16" i="1"/>
  <c r="HB16" i="1" s="1"/>
  <c r="HC17" i="1"/>
  <c r="HB17" i="1" s="1"/>
  <c r="HC19" i="1"/>
  <c r="HB19" i="1" s="1"/>
  <c r="HC18" i="1"/>
  <c r="HB18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164" i="1"/>
  <c r="HB164" i="1" s="1"/>
  <c r="HC165" i="1"/>
  <c r="HB165" i="1" s="1"/>
  <c r="HC166" i="1"/>
  <c r="HB166" i="1" s="1"/>
  <c r="HC62" i="1"/>
  <c r="HB62" i="1" s="1"/>
  <c r="HC98" i="1"/>
  <c r="HB98" i="1" s="1"/>
  <c r="HC109" i="1"/>
  <c r="HB109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3" i="1"/>
  <c r="HD53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89" i="1"/>
  <c r="HD89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9" i="1"/>
  <c r="HD99" i="1" s="1"/>
  <c r="HE100" i="1"/>
  <c r="HD100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1" i="1"/>
  <c r="HD141" i="1" s="1"/>
  <c r="HE142" i="1"/>
  <c r="HD142" i="1" s="1"/>
  <c r="HE13" i="1"/>
  <c r="HD13" i="1" s="1"/>
  <c r="HE14" i="1"/>
  <c r="HD14" i="1" s="1"/>
  <c r="HE15" i="1"/>
  <c r="HD15" i="1" s="1"/>
  <c r="HE16" i="1"/>
  <c r="HD16" i="1" s="1"/>
  <c r="HE17" i="1"/>
  <c r="HD17" i="1" s="1"/>
  <c r="HE19" i="1"/>
  <c r="HD19" i="1" s="1"/>
  <c r="HE18" i="1"/>
  <c r="HD18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164" i="1"/>
  <c r="HD164" i="1" s="1"/>
  <c r="HE165" i="1"/>
  <c r="HD165" i="1" s="1"/>
  <c r="HE166" i="1"/>
  <c r="HD166" i="1" s="1"/>
  <c r="HE62" i="1"/>
  <c r="HD62" i="1" s="1"/>
  <c r="HE98" i="1"/>
  <c r="HD98" i="1" s="1"/>
  <c r="HE109" i="1"/>
  <c r="HD109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3" i="1"/>
  <c r="HF53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89" i="1"/>
  <c r="HF89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9" i="1"/>
  <c r="HF99" i="1" s="1"/>
  <c r="HG100" i="1"/>
  <c r="HF100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1" i="1"/>
  <c r="HF141" i="1" s="1"/>
  <c r="HG142" i="1"/>
  <c r="HF142" i="1" s="1"/>
  <c r="HG13" i="1"/>
  <c r="HF13" i="1" s="1"/>
  <c r="HG14" i="1"/>
  <c r="HF14" i="1" s="1"/>
  <c r="HG15" i="1"/>
  <c r="HF15" i="1" s="1"/>
  <c r="HG16" i="1"/>
  <c r="HF16" i="1" s="1"/>
  <c r="HG17" i="1"/>
  <c r="HF17" i="1" s="1"/>
  <c r="HG19" i="1"/>
  <c r="HF19" i="1" s="1"/>
  <c r="HG18" i="1"/>
  <c r="HF18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164" i="1"/>
  <c r="HF164" i="1" s="1"/>
  <c r="HG165" i="1"/>
  <c r="HF165" i="1" s="1"/>
  <c r="HG166" i="1"/>
  <c r="HF166" i="1" s="1"/>
  <c r="HG62" i="1"/>
  <c r="HF62" i="1" s="1"/>
  <c r="HG98" i="1"/>
  <c r="HF98" i="1" s="1"/>
  <c r="HG109" i="1"/>
  <c r="HF109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3" i="1"/>
  <c r="HH53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89" i="1"/>
  <c r="HH89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9" i="1"/>
  <c r="HH99" i="1" s="1"/>
  <c r="HI100" i="1"/>
  <c r="HH100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1" i="1"/>
  <c r="HH141" i="1" s="1"/>
  <c r="HI142" i="1"/>
  <c r="HH142" i="1" s="1"/>
  <c r="HI13" i="1"/>
  <c r="HH13" i="1" s="1"/>
  <c r="HI14" i="1"/>
  <c r="HH14" i="1" s="1"/>
  <c r="HI15" i="1"/>
  <c r="HH15" i="1" s="1"/>
  <c r="HI16" i="1"/>
  <c r="HH16" i="1" s="1"/>
  <c r="HI17" i="1"/>
  <c r="HH17" i="1" s="1"/>
  <c r="HI19" i="1"/>
  <c r="HH19" i="1" s="1"/>
  <c r="HI18" i="1"/>
  <c r="HH18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164" i="1"/>
  <c r="HH164" i="1" s="1"/>
  <c r="HI165" i="1"/>
  <c r="HH165" i="1" s="1"/>
  <c r="HI166" i="1"/>
  <c r="HH166" i="1" s="1"/>
  <c r="HI62" i="1"/>
  <c r="HH62" i="1" s="1"/>
  <c r="HI98" i="1"/>
  <c r="HH98" i="1" s="1"/>
  <c r="HI109" i="1"/>
  <c r="HH109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3" i="1"/>
  <c r="HJ53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89" i="1"/>
  <c r="HJ89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9" i="1"/>
  <c r="HJ99" i="1" s="1"/>
  <c r="HK100" i="1"/>
  <c r="HJ100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1" i="1"/>
  <c r="HJ141" i="1" s="1"/>
  <c r="HK142" i="1"/>
  <c r="HJ142" i="1" s="1"/>
  <c r="HK13" i="1"/>
  <c r="HJ13" i="1" s="1"/>
  <c r="HK14" i="1"/>
  <c r="HJ14" i="1" s="1"/>
  <c r="HK15" i="1"/>
  <c r="HJ15" i="1" s="1"/>
  <c r="HK16" i="1"/>
  <c r="HJ16" i="1" s="1"/>
  <c r="HK17" i="1"/>
  <c r="HJ17" i="1" s="1"/>
  <c r="HK19" i="1"/>
  <c r="HJ19" i="1" s="1"/>
  <c r="HK18" i="1"/>
  <c r="HJ18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164" i="1"/>
  <c r="HJ164" i="1" s="1"/>
  <c r="HK165" i="1"/>
  <c r="HJ165" i="1" s="1"/>
  <c r="HK166" i="1"/>
  <c r="HJ166" i="1" s="1"/>
  <c r="HK62" i="1"/>
  <c r="HJ62" i="1" s="1"/>
  <c r="HK98" i="1"/>
  <c r="HJ98" i="1" s="1"/>
  <c r="HK109" i="1"/>
  <c r="HJ109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3" i="1"/>
  <c r="HL53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89" i="1"/>
  <c r="HL89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9" i="1"/>
  <c r="HL99" i="1" s="1"/>
  <c r="HM100" i="1"/>
  <c r="HL100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1" i="1"/>
  <c r="HL141" i="1" s="1"/>
  <c r="HM142" i="1"/>
  <c r="HL142" i="1" s="1"/>
  <c r="HM13" i="1"/>
  <c r="HL13" i="1" s="1"/>
  <c r="HM14" i="1"/>
  <c r="HL14" i="1" s="1"/>
  <c r="HM15" i="1"/>
  <c r="HL15" i="1" s="1"/>
  <c r="HM16" i="1"/>
  <c r="HL16" i="1" s="1"/>
  <c r="HM17" i="1"/>
  <c r="HL17" i="1" s="1"/>
  <c r="HM19" i="1"/>
  <c r="HL19" i="1" s="1"/>
  <c r="HM18" i="1"/>
  <c r="HL18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164" i="1"/>
  <c r="HL164" i="1" s="1"/>
  <c r="HM165" i="1"/>
  <c r="HL165" i="1" s="1"/>
  <c r="HM166" i="1"/>
  <c r="HL166" i="1" s="1"/>
  <c r="HM62" i="1"/>
  <c r="HL62" i="1" s="1"/>
  <c r="HM98" i="1"/>
  <c r="HL98" i="1" s="1"/>
  <c r="HM109" i="1"/>
  <c r="HL109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3" i="1"/>
  <c r="HN53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89" i="1"/>
  <c r="HN89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9" i="1"/>
  <c r="HN99" i="1" s="1"/>
  <c r="HO100" i="1"/>
  <c r="HN100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1" i="1"/>
  <c r="HN141" i="1" s="1"/>
  <c r="HO142" i="1"/>
  <c r="HN142" i="1" s="1"/>
  <c r="HO13" i="1"/>
  <c r="HN13" i="1" s="1"/>
  <c r="HO14" i="1"/>
  <c r="HN14" i="1" s="1"/>
  <c r="HO15" i="1"/>
  <c r="HN15" i="1" s="1"/>
  <c r="HO16" i="1"/>
  <c r="HN16" i="1" s="1"/>
  <c r="HO17" i="1"/>
  <c r="HN17" i="1" s="1"/>
  <c r="HO19" i="1"/>
  <c r="HN19" i="1" s="1"/>
  <c r="HO18" i="1"/>
  <c r="HN18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164" i="1"/>
  <c r="HN164" i="1" s="1"/>
  <c r="HO165" i="1"/>
  <c r="HN165" i="1" s="1"/>
  <c r="HO166" i="1"/>
  <c r="HN166" i="1" s="1"/>
  <c r="HO62" i="1"/>
  <c r="HN62" i="1" s="1"/>
  <c r="HO98" i="1"/>
  <c r="HN98" i="1" s="1"/>
  <c r="HO109" i="1"/>
  <c r="HN109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3" i="1"/>
  <c r="HP53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89" i="1"/>
  <c r="HP89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9" i="1"/>
  <c r="HP99" i="1" s="1"/>
  <c r="HQ100" i="1"/>
  <c r="HP100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1" i="1"/>
  <c r="HP141" i="1" s="1"/>
  <c r="HQ142" i="1"/>
  <c r="HP142" i="1" s="1"/>
  <c r="HQ13" i="1"/>
  <c r="HP13" i="1" s="1"/>
  <c r="HQ14" i="1"/>
  <c r="HP14" i="1" s="1"/>
  <c r="HQ15" i="1"/>
  <c r="HP15" i="1" s="1"/>
  <c r="HQ16" i="1"/>
  <c r="HP16" i="1" s="1"/>
  <c r="HQ17" i="1"/>
  <c r="HP17" i="1" s="1"/>
  <c r="HQ19" i="1"/>
  <c r="HP19" i="1" s="1"/>
  <c r="HQ18" i="1"/>
  <c r="HP18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164" i="1"/>
  <c r="HP164" i="1" s="1"/>
  <c r="HQ165" i="1"/>
  <c r="HP165" i="1" s="1"/>
  <c r="HQ166" i="1"/>
  <c r="HP166" i="1" s="1"/>
  <c r="HQ62" i="1"/>
  <c r="HP62" i="1" s="1"/>
  <c r="HQ98" i="1"/>
  <c r="HP98" i="1" s="1"/>
  <c r="HQ109" i="1"/>
  <c r="HP109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3" i="1"/>
  <c r="HR53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89" i="1"/>
  <c r="HR89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9" i="1"/>
  <c r="HR99" i="1" s="1"/>
  <c r="HS100" i="1"/>
  <c r="HR100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1" i="1"/>
  <c r="HR141" i="1" s="1"/>
  <c r="HS142" i="1"/>
  <c r="HR142" i="1" s="1"/>
  <c r="HS13" i="1"/>
  <c r="HR13" i="1" s="1"/>
  <c r="HS14" i="1"/>
  <c r="HR14" i="1" s="1"/>
  <c r="HS15" i="1"/>
  <c r="HR15" i="1" s="1"/>
  <c r="HS16" i="1"/>
  <c r="HR16" i="1" s="1"/>
  <c r="HS17" i="1"/>
  <c r="HR17" i="1" s="1"/>
  <c r="HS19" i="1"/>
  <c r="HR19" i="1" s="1"/>
  <c r="HS18" i="1"/>
  <c r="HR18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164" i="1"/>
  <c r="HR164" i="1" s="1"/>
  <c r="HS165" i="1"/>
  <c r="HR165" i="1" s="1"/>
  <c r="HS166" i="1"/>
  <c r="HR166" i="1" s="1"/>
  <c r="HS62" i="1"/>
  <c r="HR62" i="1" s="1"/>
  <c r="HS98" i="1"/>
  <c r="HR98" i="1" s="1"/>
  <c r="HS109" i="1"/>
  <c r="HR109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3" i="1"/>
  <c r="HT53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89" i="1"/>
  <c r="HT89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9" i="1"/>
  <c r="HT99" i="1" s="1"/>
  <c r="HU100" i="1"/>
  <c r="HT100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1" i="1"/>
  <c r="HT141" i="1" s="1"/>
  <c r="HU142" i="1"/>
  <c r="HT142" i="1" s="1"/>
  <c r="HU13" i="1"/>
  <c r="HT13" i="1" s="1"/>
  <c r="HU14" i="1"/>
  <c r="HT14" i="1" s="1"/>
  <c r="HU15" i="1"/>
  <c r="HT15" i="1" s="1"/>
  <c r="HU16" i="1"/>
  <c r="HT16" i="1" s="1"/>
  <c r="HU17" i="1"/>
  <c r="HT17" i="1" s="1"/>
  <c r="HU19" i="1"/>
  <c r="HT19" i="1" s="1"/>
  <c r="HU18" i="1"/>
  <c r="HT18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164" i="1"/>
  <c r="HT164" i="1" s="1"/>
  <c r="HU165" i="1"/>
  <c r="HT165" i="1" s="1"/>
  <c r="HU166" i="1"/>
  <c r="HT166" i="1" s="1"/>
  <c r="HU62" i="1"/>
  <c r="HT62" i="1" s="1"/>
  <c r="HU98" i="1"/>
  <c r="HT98" i="1" s="1"/>
  <c r="HU109" i="1"/>
  <c r="HT109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3" i="1"/>
  <c r="HV53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89" i="1"/>
  <c r="HV89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9" i="1"/>
  <c r="HV99" i="1" s="1"/>
  <c r="HW100" i="1"/>
  <c r="HV100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1" i="1"/>
  <c r="HV141" i="1" s="1"/>
  <c r="HW142" i="1"/>
  <c r="HV142" i="1" s="1"/>
  <c r="HW13" i="1"/>
  <c r="HV13" i="1" s="1"/>
  <c r="HW14" i="1"/>
  <c r="HV14" i="1" s="1"/>
  <c r="HW15" i="1"/>
  <c r="HV15" i="1" s="1"/>
  <c r="HW16" i="1"/>
  <c r="HV16" i="1" s="1"/>
  <c r="HW17" i="1"/>
  <c r="HV17" i="1" s="1"/>
  <c r="HW19" i="1"/>
  <c r="HV19" i="1" s="1"/>
  <c r="HW18" i="1"/>
  <c r="HV18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164" i="1"/>
  <c r="HV164" i="1" s="1"/>
  <c r="HW165" i="1"/>
  <c r="HV165" i="1" s="1"/>
  <c r="HW166" i="1"/>
  <c r="HV166" i="1" s="1"/>
  <c r="HW62" i="1"/>
  <c r="HV62" i="1" s="1"/>
  <c r="HW98" i="1"/>
  <c r="HV98" i="1" s="1"/>
  <c r="HW109" i="1"/>
  <c r="HV109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3" i="1"/>
  <c r="HX53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89" i="1"/>
  <c r="HX89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9" i="1"/>
  <c r="HX99" i="1" s="1"/>
  <c r="HY100" i="1"/>
  <c r="HX100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1" i="1"/>
  <c r="HX141" i="1" s="1"/>
  <c r="HY142" i="1"/>
  <c r="HX142" i="1" s="1"/>
  <c r="HY13" i="1"/>
  <c r="HX13" i="1" s="1"/>
  <c r="HY14" i="1"/>
  <c r="HX14" i="1" s="1"/>
  <c r="HY15" i="1"/>
  <c r="HX15" i="1" s="1"/>
  <c r="HY16" i="1"/>
  <c r="HX16" i="1" s="1"/>
  <c r="HY17" i="1"/>
  <c r="HX17" i="1" s="1"/>
  <c r="HY19" i="1"/>
  <c r="HX19" i="1" s="1"/>
  <c r="HY18" i="1"/>
  <c r="HX18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164" i="1"/>
  <c r="HX164" i="1" s="1"/>
  <c r="HY165" i="1"/>
  <c r="HX165" i="1" s="1"/>
  <c r="HY166" i="1"/>
  <c r="HX166" i="1" s="1"/>
  <c r="HY62" i="1"/>
  <c r="HX62" i="1" s="1"/>
  <c r="HY98" i="1"/>
  <c r="HX98" i="1" s="1"/>
  <c r="HY109" i="1"/>
  <c r="HX109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3" i="1"/>
  <c r="HZ53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89" i="1"/>
  <c r="HZ89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9" i="1"/>
  <c r="HZ99" i="1" s="1"/>
  <c r="IA100" i="1"/>
  <c r="HZ100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1" i="1"/>
  <c r="HZ141" i="1" s="1"/>
  <c r="IA142" i="1"/>
  <c r="HZ142" i="1" s="1"/>
  <c r="IA13" i="1"/>
  <c r="HZ13" i="1" s="1"/>
  <c r="IA14" i="1"/>
  <c r="HZ14" i="1" s="1"/>
  <c r="IA15" i="1"/>
  <c r="HZ15" i="1" s="1"/>
  <c r="IA16" i="1"/>
  <c r="HZ16" i="1" s="1"/>
  <c r="IA17" i="1"/>
  <c r="HZ17" i="1" s="1"/>
  <c r="IA19" i="1"/>
  <c r="HZ19" i="1" s="1"/>
  <c r="IA18" i="1"/>
  <c r="HZ18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164" i="1"/>
  <c r="HZ164" i="1" s="1"/>
  <c r="IA165" i="1"/>
  <c r="HZ165" i="1" s="1"/>
  <c r="IA166" i="1"/>
  <c r="HZ166" i="1" s="1"/>
  <c r="IA62" i="1"/>
  <c r="HZ62" i="1" s="1"/>
  <c r="IA98" i="1"/>
  <c r="HZ98" i="1" s="1"/>
  <c r="IA109" i="1"/>
  <c r="HZ109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3" i="1"/>
  <c r="IB53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89" i="1"/>
  <c r="IB89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9" i="1"/>
  <c r="IB99" i="1" s="1"/>
  <c r="IC100" i="1"/>
  <c r="IB100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1" i="1"/>
  <c r="IB141" i="1" s="1"/>
  <c r="IC142" i="1"/>
  <c r="IB142" i="1" s="1"/>
  <c r="IC13" i="1"/>
  <c r="IB13" i="1" s="1"/>
  <c r="IC14" i="1"/>
  <c r="IB14" i="1" s="1"/>
  <c r="IC15" i="1"/>
  <c r="IB15" i="1" s="1"/>
  <c r="IC16" i="1"/>
  <c r="IB16" i="1" s="1"/>
  <c r="IC17" i="1"/>
  <c r="IB17" i="1" s="1"/>
  <c r="IC19" i="1"/>
  <c r="IB19" i="1" s="1"/>
  <c r="IC18" i="1"/>
  <c r="IB18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164" i="1"/>
  <c r="IB164" i="1" s="1"/>
  <c r="IC165" i="1"/>
  <c r="IB165" i="1" s="1"/>
  <c r="IC166" i="1"/>
  <c r="IB166" i="1" s="1"/>
  <c r="IC62" i="1"/>
  <c r="IB62" i="1" s="1"/>
  <c r="IC98" i="1"/>
  <c r="IB98" i="1" s="1"/>
  <c r="IC109" i="1"/>
  <c r="IB109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3" i="1"/>
  <c r="ID53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89" i="1"/>
  <c r="ID89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9" i="1"/>
  <c r="ID99" i="1" s="1"/>
  <c r="IE100" i="1"/>
  <c r="ID100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1" i="1"/>
  <c r="ID141" i="1" s="1"/>
  <c r="IE142" i="1"/>
  <c r="ID142" i="1" s="1"/>
  <c r="IE13" i="1"/>
  <c r="ID13" i="1" s="1"/>
  <c r="IE14" i="1"/>
  <c r="ID14" i="1" s="1"/>
  <c r="IE15" i="1"/>
  <c r="ID15" i="1" s="1"/>
  <c r="IE16" i="1"/>
  <c r="ID16" i="1" s="1"/>
  <c r="IE17" i="1"/>
  <c r="ID17" i="1" s="1"/>
  <c r="IE19" i="1"/>
  <c r="ID19" i="1" s="1"/>
  <c r="IE18" i="1"/>
  <c r="ID18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164" i="1"/>
  <c r="ID164" i="1" s="1"/>
  <c r="IE165" i="1"/>
  <c r="ID165" i="1" s="1"/>
  <c r="IE166" i="1"/>
  <c r="ID166" i="1" s="1"/>
  <c r="IE62" i="1"/>
  <c r="ID62" i="1" s="1"/>
  <c r="IE98" i="1"/>
  <c r="ID98" i="1" s="1"/>
  <c r="IE109" i="1"/>
  <c r="ID109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3" i="1"/>
  <c r="IF53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89" i="1"/>
  <c r="IF89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9" i="1"/>
  <c r="IF99" i="1" s="1"/>
  <c r="IG100" i="1"/>
  <c r="IF100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1" i="1"/>
  <c r="IF141" i="1" s="1"/>
  <c r="IG142" i="1"/>
  <c r="IF142" i="1" s="1"/>
  <c r="IG13" i="1"/>
  <c r="IF13" i="1" s="1"/>
  <c r="IG14" i="1"/>
  <c r="IF14" i="1" s="1"/>
  <c r="IG15" i="1"/>
  <c r="IF15" i="1" s="1"/>
  <c r="IG16" i="1"/>
  <c r="IF16" i="1" s="1"/>
  <c r="IG17" i="1"/>
  <c r="IF17" i="1" s="1"/>
  <c r="IG19" i="1"/>
  <c r="IF19" i="1" s="1"/>
  <c r="IG18" i="1"/>
  <c r="IF18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164" i="1"/>
  <c r="IF164" i="1" s="1"/>
  <c r="IG165" i="1"/>
  <c r="IF165" i="1" s="1"/>
  <c r="IG166" i="1"/>
  <c r="IF166" i="1" s="1"/>
  <c r="IG62" i="1"/>
  <c r="IF62" i="1" s="1"/>
  <c r="IG98" i="1"/>
  <c r="IF98" i="1" s="1"/>
  <c r="IG109" i="1"/>
  <c r="IF109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3" i="1"/>
  <c r="IH53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89" i="1"/>
  <c r="IH89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9" i="1"/>
  <c r="IH99" i="1" s="1"/>
  <c r="II100" i="1"/>
  <c r="IH100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1" i="1"/>
  <c r="IH141" i="1" s="1"/>
  <c r="II142" i="1"/>
  <c r="IH142" i="1" s="1"/>
  <c r="II13" i="1"/>
  <c r="IH13" i="1" s="1"/>
  <c r="II14" i="1"/>
  <c r="IH14" i="1" s="1"/>
  <c r="II15" i="1"/>
  <c r="IH15" i="1" s="1"/>
  <c r="II16" i="1"/>
  <c r="IH16" i="1" s="1"/>
  <c r="II17" i="1"/>
  <c r="IH17" i="1" s="1"/>
  <c r="II19" i="1"/>
  <c r="IH19" i="1" s="1"/>
  <c r="II18" i="1"/>
  <c r="IH18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164" i="1"/>
  <c r="IH164" i="1" s="1"/>
  <c r="II165" i="1"/>
  <c r="IH165" i="1" s="1"/>
  <c r="II166" i="1"/>
  <c r="IH166" i="1" s="1"/>
  <c r="II62" i="1"/>
  <c r="IH62" i="1" s="1"/>
  <c r="II98" i="1"/>
  <c r="IH98" i="1" s="1"/>
  <c r="II109" i="1"/>
  <c r="IH109" i="1" s="1"/>
  <c r="D171" i="1" l="1"/>
  <c r="D173" i="1"/>
  <c r="D172" i="1"/>
  <c r="FU20" i="1"/>
  <c r="I6" i="152" l="1"/>
  <c r="I227" i="152"/>
  <c r="I238" i="152"/>
  <c r="I485" i="152"/>
  <c r="I498" i="152"/>
  <c r="I495" i="152"/>
  <c r="I497" i="152"/>
  <c r="I496" i="152"/>
  <c r="I481" i="152"/>
  <c r="I482" i="152"/>
  <c r="I478" i="152"/>
  <c r="I479" i="152"/>
  <c r="I480" i="152"/>
  <c r="I493" i="152"/>
  <c r="I491" i="152"/>
  <c r="I492" i="152"/>
  <c r="I476" i="152"/>
  <c r="I473" i="152"/>
  <c r="I477" i="152"/>
  <c r="I474" i="152"/>
  <c r="I490" i="152"/>
  <c r="I488" i="152"/>
  <c r="I487" i="152"/>
  <c r="I466" i="152"/>
  <c r="I469" i="152"/>
  <c r="I467" i="152"/>
  <c r="I470" i="152"/>
  <c r="I471" i="152"/>
  <c r="I468" i="152"/>
  <c r="I447" i="152"/>
  <c r="I448" i="152"/>
  <c r="I449" i="152"/>
  <c r="I465" i="152"/>
  <c r="I461" i="152"/>
  <c r="I462" i="152"/>
  <c r="I458" i="152"/>
  <c r="I464" i="152"/>
  <c r="I460" i="152"/>
  <c r="I457" i="152"/>
  <c r="I459" i="152"/>
  <c r="I420" i="152"/>
  <c r="I421" i="152"/>
  <c r="I415" i="152"/>
  <c r="I416" i="152"/>
  <c r="I418" i="152"/>
  <c r="I414" i="152"/>
  <c r="I417" i="152"/>
  <c r="I419" i="152"/>
  <c r="I472" i="152"/>
  <c r="I433" i="152"/>
  <c r="I435" i="152"/>
  <c r="I432" i="152"/>
  <c r="I425" i="152"/>
  <c r="I422" i="152"/>
  <c r="I426" i="152"/>
  <c r="I423" i="152"/>
  <c r="I430" i="152"/>
  <c r="I431" i="152"/>
  <c r="I424" i="152"/>
  <c r="I427" i="152"/>
  <c r="I428" i="152"/>
  <c r="I443" i="152"/>
  <c r="I405" i="152"/>
  <c r="I406" i="152"/>
  <c r="I407" i="152"/>
  <c r="I402" i="152"/>
  <c r="I403" i="152"/>
  <c r="I404" i="152"/>
  <c r="I400" i="152"/>
  <c r="I401" i="152"/>
  <c r="I412" i="152"/>
  <c r="I410" i="152"/>
  <c r="I408" i="152"/>
  <c r="I413" i="152"/>
  <c r="I411" i="152"/>
  <c r="I409" i="152"/>
  <c r="I398" i="152"/>
  <c r="I393" i="152"/>
  <c r="I396" i="152"/>
  <c r="I399" i="152"/>
  <c r="I394" i="152"/>
  <c r="I397" i="152"/>
  <c r="I395" i="152"/>
  <c r="I388" i="152"/>
  <c r="I390" i="152"/>
  <c r="I391" i="152"/>
  <c r="I392" i="152"/>
  <c r="I389" i="152"/>
  <c r="I381" i="152"/>
  <c r="I382" i="152"/>
  <c r="I374" i="152"/>
  <c r="I373" i="152"/>
  <c r="I322" i="152"/>
  <c r="I320" i="152"/>
  <c r="I312" i="152"/>
  <c r="I316" i="152"/>
  <c r="I360" i="152"/>
  <c r="I362" i="152"/>
  <c r="I359" i="152"/>
  <c r="I357" i="152"/>
  <c r="I358" i="152"/>
  <c r="I356" i="152"/>
  <c r="I355" i="152"/>
  <c r="I351" i="152"/>
  <c r="I354" i="152"/>
  <c r="I353" i="152"/>
  <c r="I332" i="152"/>
  <c r="I349" i="152"/>
  <c r="I350" i="152"/>
  <c r="I347" i="152"/>
  <c r="I345" i="152"/>
  <c r="I314" i="152"/>
  <c r="I344" i="152"/>
  <c r="I343" i="152"/>
  <c r="I342" i="152"/>
  <c r="D117" i="1" s="1"/>
  <c r="I341" i="152"/>
  <c r="I339" i="152"/>
  <c r="I338" i="152"/>
  <c r="I336" i="152"/>
  <c r="I337" i="152"/>
  <c r="I317" i="152"/>
  <c r="I335" i="152"/>
  <c r="I334" i="152"/>
  <c r="I333" i="152"/>
  <c r="I303" i="152"/>
  <c r="I302" i="152"/>
  <c r="I300" i="152"/>
  <c r="I269" i="152"/>
  <c r="I270" i="152"/>
  <c r="I271" i="152"/>
  <c r="I272" i="152"/>
  <c r="I266" i="152"/>
  <c r="I268" i="152"/>
  <c r="I267" i="152"/>
  <c r="I257" i="152"/>
  <c r="I259" i="152"/>
  <c r="I250" i="152"/>
  <c r="I252" i="152"/>
  <c r="I253" i="152"/>
  <c r="I255" i="152"/>
  <c r="I256" i="152"/>
  <c r="I249" i="152"/>
  <c r="I247" i="152"/>
  <c r="I248" i="152"/>
  <c r="I244" i="152"/>
  <c r="I245" i="152"/>
  <c r="I242" i="152"/>
  <c r="I241" i="152"/>
  <c r="I239" i="152"/>
  <c r="I236" i="152"/>
  <c r="I237" i="152"/>
  <c r="I232" i="152"/>
  <c r="I233" i="152"/>
  <c r="I225" i="152"/>
  <c r="I223" i="152"/>
  <c r="I224" i="152"/>
  <c r="I219" i="152"/>
  <c r="I221" i="152"/>
  <c r="I222" i="152"/>
  <c r="I220" i="152"/>
  <c r="I229" i="152"/>
  <c r="I207" i="152"/>
  <c r="I208" i="152"/>
  <c r="I203" i="152"/>
  <c r="I202" i="152"/>
  <c r="I198" i="152"/>
  <c r="I196" i="152"/>
  <c r="I199" i="152"/>
  <c r="I191" i="152"/>
  <c r="I193" i="152"/>
  <c r="I182" i="152"/>
  <c r="I184" i="152"/>
  <c r="I178" i="152"/>
  <c r="I174" i="152"/>
  <c r="I175" i="152"/>
  <c r="I176" i="152"/>
  <c r="I163" i="152"/>
  <c r="I165" i="152"/>
  <c r="I91" i="152"/>
  <c r="I92" i="152"/>
  <c r="I93" i="152"/>
  <c r="I102" i="152"/>
  <c r="I97" i="152"/>
  <c r="I94" i="152"/>
  <c r="I95" i="152"/>
  <c r="I98" i="152"/>
  <c r="I86" i="152"/>
  <c r="I84" i="152"/>
  <c r="I71" i="152"/>
  <c r="I73" i="152"/>
  <c r="I70" i="152"/>
  <c r="I72" i="152"/>
  <c r="I67" i="152"/>
  <c r="I69" i="152"/>
  <c r="I66" i="152"/>
  <c r="I68" i="152"/>
  <c r="I106" i="152"/>
  <c r="I63" i="152"/>
  <c r="I65" i="152"/>
  <c r="I62" i="152"/>
  <c r="I64" i="152"/>
  <c r="I59" i="152"/>
  <c r="I61" i="152"/>
  <c r="I58" i="152"/>
  <c r="I60" i="152"/>
  <c r="I78" i="152"/>
  <c r="I79" i="152"/>
  <c r="I80" i="152"/>
  <c r="I81" i="152"/>
  <c r="I103" i="152"/>
  <c r="I111" i="152"/>
  <c r="I75" i="152"/>
  <c r="I77" i="152"/>
  <c r="I74" i="152"/>
  <c r="I76" i="152"/>
  <c r="I54" i="152"/>
  <c r="I57" i="152"/>
  <c r="I55" i="152"/>
  <c r="I56" i="152"/>
  <c r="I53" i="152"/>
  <c r="I49" i="152"/>
  <c r="I52" i="152"/>
  <c r="I50" i="152"/>
  <c r="I51" i="152"/>
  <c r="I48" i="152"/>
  <c r="I46" i="152"/>
  <c r="I43" i="152"/>
  <c r="I44" i="152"/>
  <c r="I47" i="152"/>
  <c r="I45" i="152"/>
  <c r="I40" i="152"/>
  <c r="I41" i="152"/>
  <c r="I42" i="152"/>
  <c r="I38" i="152"/>
  <c r="I39" i="152"/>
  <c r="I34" i="152"/>
  <c r="I35" i="152"/>
  <c r="I33" i="152"/>
  <c r="I37" i="152"/>
  <c r="I36" i="152"/>
  <c r="I25" i="152"/>
  <c r="I31" i="152"/>
  <c r="I30" i="152"/>
  <c r="I27" i="152"/>
  <c r="I29" i="152"/>
  <c r="I28" i="152"/>
  <c r="I32" i="152"/>
  <c r="I26" i="152"/>
  <c r="I23" i="152"/>
  <c r="I20" i="152"/>
  <c r="I18" i="152"/>
  <c r="I21" i="152"/>
  <c r="I22" i="152"/>
  <c r="I19" i="152"/>
  <c r="I24" i="152"/>
  <c r="I12" i="152"/>
  <c r="I14" i="152"/>
  <c r="I16" i="152"/>
  <c r="I8" i="152"/>
  <c r="I11" i="152"/>
  <c r="I15" i="152"/>
  <c r="I17" i="152"/>
  <c r="I9" i="152"/>
  <c r="I10" i="152"/>
  <c r="H84" i="152"/>
  <c r="H86" i="152"/>
  <c r="H91" i="152"/>
  <c r="H92" i="152"/>
  <c r="H93" i="152"/>
  <c r="H94" i="152"/>
  <c r="H95" i="152"/>
  <c r="H97" i="152"/>
  <c r="H98" i="152"/>
  <c r="H102" i="152"/>
  <c r="H103" i="152"/>
  <c r="H106" i="152"/>
  <c r="H111" i="152"/>
  <c r="H163" i="152"/>
  <c r="H165" i="152"/>
  <c r="H174" i="152"/>
  <c r="H175" i="152"/>
  <c r="H176" i="152"/>
  <c r="H178" i="152"/>
  <c r="H182" i="152"/>
  <c r="H184" i="152"/>
  <c r="H191" i="152"/>
  <c r="H193" i="152"/>
  <c r="H223" i="152"/>
  <c r="H224" i="152"/>
  <c r="H227" i="152"/>
  <c r="H229" i="152"/>
  <c r="H238" i="152"/>
  <c r="H239" i="152"/>
  <c r="H244" i="152"/>
  <c r="H245" i="152"/>
  <c r="H250" i="152"/>
  <c r="H252" i="152"/>
  <c r="H253" i="152"/>
  <c r="H255" i="152"/>
  <c r="H256" i="152"/>
  <c r="H257" i="152"/>
  <c r="H259" i="152"/>
  <c r="H269" i="152"/>
  <c r="H270" i="152"/>
  <c r="H271" i="152"/>
  <c r="H272" i="152"/>
  <c r="H303" i="152"/>
  <c r="H312" i="152"/>
  <c r="H316" i="152"/>
  <c r="H317" i="152"/>
  <c r="H320" i="152"/>
  <c r="H322" i="152"/>
  <c r="H337" i="152"/>
  <c r="H339" i="152"/>
  <c r="H343" i="152"/>
  <c r="H345" i="152"/>
  <c r="H355" i="152"/>
  <c r="H359" i="152"/>
  <c r="H405" i="152"/>
  <c r="H406" i="152"/>
  <c r="H407" i="152"/>
  <c r="H414" i="152"/>
  <c r="H417" i="152"/>
  <c r="H419" i="152"/>
  <c r="H424" i="152"/>
  <c r="H427" i="152"/>
  <c r="H428" i="152"/>
  <c r="H433" i="152"/>
  <c r="H435" i="152"/>
  <c r="H443" i="152"/>
  <c r="H447" i="152"/>
  <c r="H448" i="152"/>
  <c r="H449" i="152"/>
  <c r="H459" i="152"/>
  <c r="H468" i="152"/>
  <c r="H485" i="152"/>
  <c r="H487" i="152"/>
  <c r="H498" i="152"/>
  <c r="F84" i="152"/>
  <c r="F86" i="152"/>
  <c r="F91" i="152"/>
  <c r="F92" i="152"/>
  <c r="F93" i="152"/>
  <c r="F94" i="152"/>
  <c r="F95" i="152"/>
  <c r="F97" i="152"/>
  <c r="F98" i="152"/>
  <c r="F102" i="152"/>
  <c r="F103" i="152"/>
  <c r="F106" i="152"/>
  <c r="F111" i="152"/>
  <c r="F163" i="152"/>
  <c r="F165" i="152"/>
  <c r="F174" i="152"/>
  <c r="F175" i="152"/>
  <c r="F176" i="152"/>
  <c r="F178" i="152"/>
  <c r="F182" i="152"/>
  <c r="F184" i="152"/>
  <c r="F191" i="152"/>
  <c r="F193" i="152"/>
  <c r="F223" i="152"/>
  <c r="F224" i="152"/>
  <c r="F227" i="152"/>
  <c r="F229" i="152"/>
  <c r="F238" i="152"/>
  <c r="F239" i="152"/>
  <c r="F244" i="152"/>
  <c r="F245" i="152"/>
  <c r="F250" i="152"/>
  <c r="F252" i="152"/>
  <c r="F253" i="152"/>
  <c r="F255" i="152"/>
  <c r="F256" i="152"/>
  <c r="F257" i="152"/>
  <c r="F259" i="152"/>
  <c r="F269" i="152"/>
  <c r="F270" i="152"/>
  <c r="F271" i="152"/>
  <c r="F272" i="152"/>
  <c r="F303" i="152"/>
  <c r="F312" i="152"/>
  <c r="F316" i="152"/>
  <c r="F317" i="152"/>
  <c r="F320" i="152"/>
  <c r="F322" i="152"/>
  <c r="F337" i="152"/>
  <c r="F339" i="152"/>
  <c r="F343" i="152"/>
  <c r="F345" i="152"/>
  <c r="F355" i="152"/>
  <c r="F359" i="152"/>
  <c r="F405" i="152"/>
  <c r="F406" i="152"/>
  <c r="F407" i="152"/>
  <c r="F414" i="152"/>
  <c r="F417" i="152"/>
  <c r="F419" i="152"/>
  <c r="F424" i="152"/>
  <c r="F427" i="152"/>
  <c r="F428" i="152"/>
  <c r="F433" i="152"/>
  <c r="F435" i="152"/>
  <c r="F443" i="152"/>
  <c r="F447" i="152"/>
  <c r="F448" i="152"/>
  <c r="F449" i="152"/>
  <c r="F459" i="152"/>
  <c r="F468" i="152"/>
  <c r="F485" i="152"/>
  <c r="F487" i="152"/>
  <c r="F498" i="152"/>
  <c r="F495" i="152"/>
  <c r="F497" i="152"/>
  <c r="F496" i="152"/>
  <c r="F481" i="152"/>
  <c r="F482" i="152"/>
  <c r="F478" i="152"/>
  <c r="F479" i="152"/>
  <c r="F480" i="152"/>
  <c r="F493" i="152"/>
  <c r="F491" i="152"/>
  <c r="F492" i="152"/>
  <c r="F476" i="152"/>
  <c r="F473" i="152"/>
  <c r="F477" i="152"/>
  <c r="F474" i="152"/>
  <c r="F490" i="152"/>
  <c r="F488" i="152"/>
  <c r="F470" i="152"/>
  <c r="F471" i="152"/>
  <c r="F466" i="152"/>
  <c r="F467" i="152"/>
  <c r="F469" i="152"/>
  <c r="F465" i="152"/>
  <c r="F458" i="152"/>
  <c r="F462" i="152"/>
  <c r="F461" i="152"/>
  <c r="F464" i="152"/>
  <c r="F457" i="152"/>
  <c r="F460" i="152"/>
  <c r="F420" i="152"/>
  <c r="F421" i="152"/>
  <c r="F415" i="152"/>
  <c r="F416" i="152"/>
  <c r="F418" i="152"/>
  <c r="F472" i="152"/>
  <c r="F432" i="152"/>
  <c r="F425" i="152"/>
  <c r="F422" i="152"/>
  <c r="F426" i="152"/>
  <c r="F423" i="152"/>
  <c r="F430" i="152"/>
  <c r="F431" i="152"/>
  <c r="F402" i="152"/>
  <c r="F403" i="152"/>
  <c r="F404" i="152"/>
  <c r="F400" i="152"/>
  <c r="F401" i="152"/>
  <c r="F413" i="152"/>
  <c r="F412" i="152"/>
  <c r="F410" i="152"/>
  <c r="F411" i="152"/>
  <c r="F408" i="152"/>
  <c r="F409" i="152"/>
  <c r="F398" i="152"/>
  <c r="F399" i="152"/>
  <c r="F393" i="152"/>
  <c r="F394" i="152"/>
  <c r="F396" i="152"/>
  <c r="F397" i="152"/>
  <c r="F395" i="152"/>
  <c r="F391" i="152"/>
  <c r="F392" i="152"/>
  <c r="F388" i="152"/>
  <c r="F389" i="152"/>
  <c r="F390" i="152"/>
  <c r="F381" i="152"/>
  <c r="F382" i="152"/>
  <c r="F374" i="152"/>
  <c r="F373" i="152"/>
  <c r="F360" i="152"/>
  <c r="F362" i="152"/>
  <c r="F357" i="152"/>
  <c r="F358" i="152"/>
  <c r="F356" i="152"/>
  <c r="F351" i="152"/>
  <c r="F354" i="152"/>
  <c r="F353" i="152"/>
  <c r="F332" i="152"/>
  <c r="F349" i="152"/>
  <c r="F350" i="152"/>
  <c r="F347" i="152"/>
  <c r="F314" i="152"/>
  <c r="F344" i="152"/>
  <c r="F342" i="152"/>
  <c r="F341" i="152"/>
  <c r="F338" i="152"/>
  <c r="F336" i="152"/>
  <c r="F335" i="152"/>
  <c r="F334" i="152"/>
  <c r="F333" i="152"/>
  <c r="F302" i="152"/>
  <c r="F300" i="152"/>
  <c r="F266" i="152"/>
  <c r="F268" i="152"/>
  <c r="F267" i="152"/>
  <c r="F249" i="152"/>
  <c r="F247" i="152"/>
  <c r="F248" i="152"/>
  <c r="F242" i="152"/>
  <c r="F241" i="152"/>
  <c r="F237" i="152"/>
  <c r="F236" i="152"/>
  <c r="F232" i="152"/>
  <c r="F233" i="152"/>
  <c r="F225" i="152"/>
  <c r="F222" i="152"/>
  <c r="F221" i="152"/>
  <c r="F220" i="152"/>
  <c r="F219" i="152"/>
  <c r="F207" i="152"/>
  <c r="F208" i="152"/>
  <c r="F203" i="152"/>
  <c r="F202" i="152"/>
  <c r="F198" i="152"/>
  <c r="F196" i="152"/>
  <c r="F199" i="152"/>
  <c r="F71" i="152"/>
  <c r="F73" i="152"/>
  <c r="F70" i="152"/>
  <c r="F72" i="152"/>
  <c r="F67" i="152"/>
  <c r="F69" i="152"/>
  <c r="F66" i="152"/>
  <c r="F68" i="152"/>
  <c r="F63" i="152"/>
  <c r="F65" i="152"/>
  <c r="F62" i="152"/>
  <c r="F64" i="152"/>
  <c r="F59" i="152"/>
  <c r="F61" i="152"/>
  <c r="F58" i="152"/>
  <c r="F60" i="152"/>
  <c r="F79" i="152"/>
  <c r="F81" i="152"/>
  <c r="F80" i="152"/>
  <c r="F78" i="152"/>
  <c r="F75" i="152"/>
  <c r="F77" i="152"/>
  <c r="F74" i="152"/>
  <c r="F76" i="152"/>
  <c r="F54" i="152"/>
  <c r="F57" i="152"/>
  <c r="F55" i="152"/>
  <c r="F56" i="152"/>
  <c r="F53" i="152"/>
  <c r="F49" i="152"/>
  <c r="F52" i="152"/>
  <c r="F50" i="152"/>
  <c r="F51" i="152"/>
  <c r="F48" i="152"/>
  <c r="F44" i="152"/>
  <c r="F47" i="152"/>
  <c r="F45" i="152"/>
  <c r="F46" i="152"/>
  <c r="F43" i="152"/>
  <c r="F39" i="152"/>
  <c r="F42" i="152"/>
  <c r="F40" i="152"/>
  <c r="F41" i="152"/>
  <c r="F38" i="152"/>
  <c r="F34" i="152"/>
  <c r="F37" i="152"/>
  <c r="F35" i="152"/>
  <c r="F36" i="152"/>
  <c r="F33" i="152"/>
  <c r="F25" i="152"/>
  <c r="F31" i="152"/>
  <c r="F30" i="152"/>
  <c r="F27" i="152"/>
  <c r="F29" i="152"/>
  <c r="F28" i="152"/>
  <c r="F32" i="152"/>
  <c r="F26" i="152"/>
  <c r="F18" i="152"/>
  <c r="F21" i="152"/>
  <c r="F23" i="152"/>
  <c r="F20" i="152"/>
  <c r="F22" i="152"/>
  <c r="F19" i="152"/>
  <c r="F24" i="152"/>
  <c r="F12" i="152"/>
  <c r="F14" i="152"/>
  <c r="F16" i="152"/>
  <c r="F8" i="152"/>
  <c r="F11" i="152"/>
  <c r="F15" i="152"/>
  <c r="F17" i="152"/>
  <c r="F9" i="152"/>
  <c r="F10" i="152"/>
  <c r="H314" i="152"/>
  <c r="H332" i="152"/>
  <c r="H335" i="152"/>
  <c r="H336" i="152"/>
  <c r="H9" i="152"/>
  <c r="H12" i="152"/>
  <c r="H14" i="152"/>
  <c r="H16" i="152"/>
  <c r="H8" i="152"/>
  <c r="H476" i="152"/>
  <c r="H473" i="152"/>
  <c r="H425" i="152"/>
  <c r="H422" i="152"/>
  <c r="H477" i="152"/>
  <c r="H474" i="152"/>
  <c r="H426" i="152"/>
  <c r="H423" i="152"/>
  <c r="H11" i="152"/>
  <c r="H15" i="152"/>
  <c r="H17" i="152"/>
  <c r="H10" i="152"/>
  <c r="H25" i="152"/>
  <c r="H31" i="152"/>
  <c r="H30" i="152"/>
  <c r="H27" i="152"/>
  <c r="H18" i="152"/>
  <c r="H21" i="152"/>
  <c r="H23" i="152"/>
  <c r="H20" i="152"/>
  <c r="H430" i="152"/>
  <c r="H431" i="152"/>
  <c r="H207" i="152"/>
  <c r="H208" i="152"/>
  <c r="H472" i="152"/>
  <c r="H420" i="152"/>
  <c r="H421" i="152"/>
  <c r="H415" i="152"/>
  <c r="H416" i="152"/>
  <c r="H418" i="152"/>
  <c r="H29" i="152"/>
  <c r="H493" i="152"/>
  <c r="H491" i="152"/>
  <c r="H481" i="152"/>
  <c r="H482" i="152"/>
  <c r="H478" i="152"/>
  <c r="H492" i="152"/>
  <c r="H479" i="152"/>
  <c r="H480" i="152"/>
  <c r="H237" i="152"/>
  <c r="H236" i="152"/>
  <c r="H249" i="152"/>
  <c r="H247" i="152"/>
  <c r="H242" i="152"/>
  <c r="H241" i="152"/>
  <c r="H342" i="152"/>
  <c r="H28" i="152"/>
  <c r="H32" i="152"/>
  <c r="H22" i="152"/>
  <c r="H26" i="152"/>
  <c r="H19" i="152"/>
  <c r="H24" i="152"/>
  <c r="H222" i="152"/>
  <c r="H221" i="152"/>
  <c r="H220" i="152"/>
  <c r="H219" i="152"/>
  <c r="H225" i="152"/>
  <c r="H34" i="152"/>
  <c r="H37" i="152"/>
  <c r="H35" i="152"/>
  <c r="H36" i="152"/>
  <c r="H33" i="152"/>
  <c r="H39" i="152"/>
  <c r="H42" i="152"/>
  <c r="H40" i="152"/>
  <c r="H41" i="152"/>
  <c r="H38" i="152"/>
  <c r="H44" i="152"/>
  <c r="H47" i="152"/>
  <c r="H45" i="152"/>
  <c r="H46" i="152"/>
  <c r="H43" i="152"/>
  <c r="H49" i="152"/>
  <c r="H52" i="152"/>
  <c r="H50" i="152"/>
  <c r="H51" i="152"/>
  <c r="H48" i="152"/>
  <c r="H54" i="152"/>
  <c r="H57" i="152"/>
  <c r="H55" i="152"/>
  <c r="H56" i="152"/>
  <c r="H53" i="152"/>
  <c r="H75" i="152"/>
  <c r="H77" i="152"/>
  <c r="H74" i="152"/>
  <c r="H76" i="152"/>
  <c r="H79" i="152"/>
  <c r="H81" i="152"/>
  <c r="H80" i="152"/>
  <c r="H78" i="152"/>
  <c r="H59" i="152"/>
  <c r="H61" i="152"/>
  <c r="H58" i="152"/>
  <c r="H60" i="152"/>
  <c r="H67" i="152"/>
  <c r="H69" i="152"/>
  <c r="H66" i="152"/>
  <c r="H68" i="152"/>
  <c r="H71" i="152"/>
  <c r="H73" i="152"/>
  <c r="H70" i="152"/>
  <c r="H72" i="152"/>
  <c r="H63" i="152"/>
  <c r="H65" i="152"/>
  <c r="H62" i="152"/>
  <c r="H64" i="152"/>
  <c r="H398" i="152"/>
  <c r="H399" i="152"/>
  <c r="H393" i="152"/>
  <c r="H394" i="152"/>
  <c r="H396" i="152"/>
  <c r="H397" i="152"/>
  <c r="H391" i="152"/>
  <c r="H392" i="152"/>
  <c r="H388" i="152"/>
  <c r="H389" i="152"/>
  <c r="H390" i="152"/>
  <c r="H413" i="152"/>
  <c r="H412" i="152"/>
  <c r="H410" i="152"/>
  <c r="H411" i="152"/>
  <c r="H408" i="152"/>
  <c r="H409" i="152"/>
  <c r="H495" i="152"/>
  <c r="H497" i="152"/>
  <c r="H496" i="152"/>
  <c r="H198" i="152"/>
  <c r="H196" i="152"/>
  <c r="H199" i="152"/>
  <c r="H338" i="152"/>
  <c r="H302" i="152"/>
  <c r="H300" i="152"/>
  <c r="H381" i="152"/>
  <c r="H382" i="152"/>
  <c r="H374" i="152"/>
  <c r="H373" i="152"/>
  <c r="H266" i="152"/>
  <c r="H268" i="152"/>
  <c r="H267" i="152"/>
  <c r="H490" i="152"/>
  <c r="H488" i="152"/>
  <c r="H334" i="152"/>
  <c r="H360" i="152"/>
  <c r="H362" i="152"/>
  <c r="H357" i="152"/>
  <c r="H358" i="152"/>
  <c r="H356" i="152"/>
  <c r="H351" i="152"/>
  <c r="H354" i="152"/>
  <c r="H353" i="152"/>
  <c r="H349" i="152"/>
  <c r="H350" i="152"/>
  <c r="H347" i="152"/>
  <c r="H333" i="152"/>
  <c r="H341" i="152"/>
  <c r="H344" i="152"/>
  <c r="H395" i="152"/>
  <c r="H402" i="152"/>
  <c r="H403" i="152"/>
  <c r="H404" i="152"/>
  <c r="H400" i="152"/>
  <c r="H401" i="152"/>
  <c r="H464" i="152"/>
  <c r="H465" i="152"/>
  <c r="H457" i="152"/>
  <c r="H458" i="152"/>
  <c r="H460" i="152"/>
  <c r="H462" i="152"/>
  <c r="H461" i="152"/>
  <c r="H470" i="152"/>
  <c r="H471" i="152"/>
  <c r="H466" i="152"/>
  <c r="H467" i="152"/>
  <c r="H469" i="152"/>
  <c r="H248" i="152"/>
  <c r="H232" i="152"/>
  <c r="H233" i="152"/>
  <c r="H432" i="152"/>
  <c r="H203" i="152"/>
  <c r="H202" i="152"/>
  <c r="D85" i="1" l="1"/>
  <c r="D86" i="1"/>
  <c r="D170" i="1"/>
  <c r="D169" i="1"/>
  <c r="D168" i="1"/>
  <c r="D115" i="1"/>
  <c r="D114" i="1"/>
  <c r="D48" i="1"/>
  <c r="D131" i="1"/>
  <c r="D87" i="1"/>
  <c r="D144" i="1"/>
  <c r="D51" i="1"/>
  <c r="D49" i="1"/>
  <c r="D57" i="1"/>
  <c r="D65" i="1"/>
  <c r="D129" i="1"/>
  <c r="D46" i="1"/>
  <c r="D92" i="1"/>
  <c r="D74" i="1"/>
  <c r="D135" i="1"/>
  <c r="D18" i="1"/>
  <c r="D47" i="1"/>
  <c r="D41" i="1"/>
  <c r="D50" i="1"/>
  <c r="D147" i="1"/>
  <c r="D44" i="1"/>
  <c r="D158" i="1"/>
  <c r="D17" i="1"/>
  <c r="D151" i="1"/>
  <c r="D108" i="1"/>
  <c r="D72" i="1"/>
  <c r="D56" i="1"/>
  <c r="D110" i="1"/>
  <c r="D73" i="1"/>
  <c r="D121" i="1"/>
  <c r="D84" i="1"/>
  <c r="D19" i="1"/>
  <c r="D143" i="1"/>
  <c r="D42" i="1"/>
  <c r="D77" i="1"/>
  <c r="D53" i="1"/>
  <c r="D59" i="1"/>
  <c r="D152" i="1"/>
  <c r="D157" i="1"/>
  <c r="D126" i="1"/>
  <c r="D112" i="1"/>
  <c r="D104" i="1"/>
  <c r="D116" i="1"/>
  <c r="D103" i="1"/>
  <c r="D149" i="1"/>
  <c r="D166" i="1"/>
  <c r="D167" i="1"/>
  <c r="D145" i="1"/>
  <c r="D146" i="1"/>
  <c r="D28" i="1"/>
  <c r="D119" i="1"/>
  <c r="D101" i="1"/>
  <c r="D134" i="1"/>
  <c r="D58" i="1"/>
  <c r="D62" i="1"/>
  <c r="D70" i="1"/>
  <c r="D83" i="1"/>
  <c r="D88" i="1"/>
  <c r="D105" i="1"/>
  <c r="D111" i="1"/>
  <c r="D107" i="1"/>
  <c r="D109" i="1"/>
  <c r="D120" i="1"/>
  <c r="D133" i="1"/>
  <c r="D138" i="1"/>
  <c r="D91" i="1"/>
  <c r="D27" i="1"/>
  <c r="D31" i="1"/>
  <c r="D54" i="1"/>
  <c r="D82" i="1"/>
  <c r="D106" i="1"/>
  <c r="D128" i="1"/>
  <c r="D130" i="1"/>
  <c r="D132" i="1"/>
  <c r="D78" i="1"/>
  <c r="D52" i="1"/>
  <c r="D64" i="1"/>
  <c r="D55" i="1"/>
  <c r="D60" i="1"/>
  <c r="D66" i="1"/>
  <c r="D79" i="1"/>
  <c r="D68" i="1"/>
  <c r="D113" i="1"/>
  <c r="D98" i="1"/>
  <c r="D165" i="1"/>
  <c r="D141" i="1"/>
  <c r="D136" i="1"/>
  <c r="D22" i="1"/>
  <c r="D43" i="1"/>
  <c r="D75" i="1"/>
  <c r="D89" i="1"/>
  <c r="D99" i="1"/>
  <c r="D100" i="1"/>
  <c r="D123" i="1"/>
  <c r="D124" i="1"/>
  <c r="D142" i="1"/>
  <c r="D159" i="1"/>
  <c r="D61" i="1"/>
  <c r="D69" i="1"/>
  <c r="D94" i="1"/>
  <c r="D118" i="1"/>
  <c r="D139" i="1"/>
  <c r="D160" i="1"/>
  <c r="D25" i="1"/>
  <c r="D150" i="1"/>
  <c r="D23" i="1"/>
  <c r="D35" i="1"/>
  <c r="D39" i="1"/>
  <c r="D20" i="1"/>
  <c r="D30" i="1"/>
  <c r="D67" i="1"/>
  <c r="D122" i="1"/>
  <c r="D127" i="1"/>
  <c r="D137" i="1"/>
  <c r="D14" i="1"/>
  <c r="D16" i="1"/>
  <c r="D81" i="1"/>
  <c r="D32" i="1"/>
  <c r="D29" i="1"/>
  <c r="D63" i="1"/>
  <c r="D71" i="1"/>
  <c r="D76" i="1"/>
  <c r="D90" i="1"/>
  <c r="D95" i="1"/>
  <c r="D102" i="1"/>
  <c r="D15" i="1"/>
  <c r="D156" i="1"/>
  <c r="D162" i="1"/>
  <c r="D164" i="1"/>
  <c r="D36" i="1"/>
  <c r="D40" i="1"/>
  <c r="D45" i="1"/>
  <c r="D93" i="1"/>
  <c r="D97" i="1"/>
  <c r="D24" i="1"/>
  <c r="D26" i="1"/>
  <c r="D21" i="1"/>
  <c r="D33" i="1"/>
  <c r="D37" i="1"/>
  <c r="D34" i="1"/>
  <c r="D38" i="1"/>
  <c r="D80" i="1"/>
  <c r="D96" i="1"/>
  <c r="D125" i="1"/>
  <c r="D13" i="1"/>
  <c r="D148" i="1"/>
  <c r="D153" i="1"/>
  <c r="D154" i="1"/>
  <c r="D155" i="1"/>
  <c r="D161" i="1"/>
  <c r="D163" i="1"/>
  <c r="EO20" i="1"/>
  <c r="EO22" i="1"/>
  <c r="EO24" i="1"/>
  <c r="EO26" i="1"/>
  <c r="EO28" i="1"/>
  <c r="EO30" i="1"/>
  <c r="EO32" i="1"/>
  <c r="EO21" i="1"/>
  <c r="EO23" i="1"/>
  <c r="EO25" i="1"/>
  <c r="EO27" i="1"/>
  <c r="EO29" i="1"/>
  <c r="EO31" i="1"/>
  <c r="EO33" i="1"/>
  <c r="EO34" i="1"/>
  <c r="EO35" i="1"/>
  <c r="EO36" i="1"/>
  <c r="EQ20" i="1"/>
  <c r="EQ22" i="1"/>
  <c r="EQ24" i="1"/>
  <c r="EQ26" i="1"/>
  <c r="EQ28" i="1"/>
  <c r="EQ30" i="1"/>
  <c r="EQ32" i="1"/>
  <c r="EQ21" i="1"/>
  <c r="EQ23" i="1"/>
  <c r="EQ25" i="1"/>
  <c r="EQ27" i="1"/>
  <c r="EQ29" i="1"/>
  <c r="EQ31" i="1"/>
  <c r="EQ33" i="1"/>
  <c r="EQ34" i="1"/>
  <c r="EQ35" i="1"/>
  <c r="EQ36" i="1"/>
  <c r="CA20" i="1"/>
  <c r="CA22" i="1"/>
  <c r="CA24" i="1"/>
  <c r="CA26" i="1"/>
  <c r="CA28" i="1"/>
  <c r="CA30" i="1"/>
  <c r="CA32" i="1"/>
  <c r="CA21" i="1"/>
  <c r="CA23" i="1"/>
  <c r="CA25" i="1"/>
  <c r="CA27" i="1"/>
  <c r="CA29" i="1"/>
  <c r="CA31" i="1"/>
  <c r="CA33" i="1"/>
  <c r="CA34" i="1"/>
  <c r="CA35" i="1"/>
  <c r="CA36" i="1"/>
  <c r="T20" i="1" l="1"/>
  <c r="T24" i="1"/>
  <c r="T26" i="1"/>
  <c r="T28" i="1"/>
  <c r="T30" i="1"/>
  <c r="T32" i="1"/>
  <c r="T21" i="1"/>
  <c r="T23" i="1"/>
  <c r="T25" i="1"/>
  <c r="T27" i="1"/>
  <c r="T29" i="1"/>
  <c r="T31" i="1"/>
  <c r="T33" i="1"/>
  <c r="T34" i="1"/>
  <c r="T35" i="1"/>
  <c r="T36" i="1"/>
  <c r="S20" i="1"/>
  <c r="S22" i="1"/>
  <c r="S24" i="1"/>
  <c r="S26" i="1"/>
  <c r="S28" i="1"/>
  <c r="S30" i="1"/>
  <c r="S32" i="1"/>
  <c r="S21" i="1"/>
  <c r="S23" i="1"/>
  <c r="S25" i="1"/>
  <c r="S27" i="1"/>
  <c r="S29" i="1"/>
  <c r="S31" i="1"/>
  <c r="S33" i="1"/>
  <c r="S34" i="1"/>
  <c r="S35" i="1"/>
  <c r="S36" i="1"/>
  <c r="R20" i="1"/>
  <c r="R22" i="1"/>
  <c r="R24" i="1"/>
  <c r="R26" i="1"/>
  <c r="R28" i="1"/>
  <c r="R30" i="1"/>
  <c r="R32" i="1"/>
  <c r="R21" i="1"/>
  <c r="R23" i="1"/>
  <c r="R25" i="1"/>
  <c r="R27" i="1"/>
  <c r="R29" i="1"/>
  <c r="R31" i="1"/>
  <c r="R33" i="1"/>
  <c r="R34" i="1"/>
  <c r="R35" i="1"/>
  <c r="R36" i="1"/>
  <c r="Q20" i="1"/>
  <c r="Q22" i="1"/>
  <c r="Q24" i="1"/>
  <c r="Q26" i="1"/>
  <c r="Q28" i="1"/>
  <c r="Q30" i="1"/>
  <c r="Q32" i="1"/>
  <c r="Q21" i="1"/>
  <c r="Q23" i="1"/>
  <c r="Q25" i="1"/>
  <c r="Q27" i="1"/>
  <c r="Q29" i="1"/>
  <c r="Q31" i="1"/>
  <c r="Q33" i="1"/>
  <c r="Q34" i="1"/>
  <c r="Q35" i="1"/>
  <c r="Q36" i="1"/>
  <c r="P20" i="1"/>
  <c r="P22" i="1"/>
  <c r="P24" i="1"/>
  <c r="P26" i="1"/>
  <c r="P28" i="1"/>
  <c r="P30" i="1"/>
  <c r="P32" i="1"/>
  <c r="P21" i="1"/>
  <c r="P23" i="1"/>
  <c r="P25" i="1"/>
  <c r="P27" i="1"/>
  <c r="P29" i="1"/>
  <c r="P31" i="1"/>
  <c r="P33" i="1"/>
  <c r="P34" i="1"/>
  <c r="P35" i="1"/>
  <c r="P36" i="1"/>
  <c r="O20" i="1"/>
  <c r="O22" i="1"/>
  <c r="O24" i="1"/>
  <c r="O26" i="1"/>
  <c r="O28" i="1"/>
  <c r="O30" i="1"/>
  <c r="O32" i="1"/>
  <c r="O21" i="1"/>
  <c r="O23" i="1"/>
  <c r="O25" i="1"/>
  <c r="O27" i="1"/>
  <c r="O29" i="1"/>
  <c r="O31" i="1"/>
  <c r="O33" i="1"/>
  <c r="O34" i="1"/>
  <c r="O35" i="1"/>
  <c r="O36" i="1"/>
  <c r="N20" i="1"/>
  <c r="N22" i="1"/>
  <c r="N24" i="1"/>
  <c r="N26" i="1"/>
  <c r="N28" i="1"/>
  <c r="N30" i="1"/>
  <c r="N32" i="1"/>
  <c r="N21" i="1"/>
  <c r="N23" i="1"/>
  <c r="N25" i="1"/>
  <c r="N27" i="1"/>
  <c r="N29" i="1"/>
  <c r="N31" i="1"/>
  <c r="N33" i="1"/>
  <c r="N34" i="1"/>
  <c r="N35" i="1"/>
  <c r="N36" i="1"/>
  <c r="M20" i="1"/>
  <c r="M22" i="1"/>
  <c r="M24" i="1"/>
  <c r="M26" i="1"/>
  <c r="M28" i="1"/>
  <c r="M30" i="1"/>
  <c r="M32" i="1"/>
  <c r="M21" i="1"/>
  <c r="M23" i="1"/>
  <c r="M25" i="1"/>
  <c r="M27" i="1"/>
  <c r="M29" i="1"/>
  <c r="M31" i="1"/>
  <c r="M33" i="1"/>
  <c r="M34" i="1"/>
  <c r="M35" i="1"/>
  <c r="M36" i="1"/>
  <c r="L20" i="1"/>
  <c r="L22" i="1"/>
  <c r="L24" i="1"/>
  <c r="L26" i="1"/>
  <c r="L28" i="1"/>
  <c r="L30" i="1"/>
  <c r="L32" i="1"/>
  <c r="L21" i="1"/>
  <c r="L23" i="1"/>
  <c r="L25" i="1"/>
  <c r="L27" i="1"/>
  <c r="L29" i="1"/>
  <c r="L31" i="1"/>
  <c r="L33" i="1"/>
  <c r="L34" i="1"/>
  <c r="L35" i="1"/>
  <c r="L36" i="1"/>
  <c r="K20" i="1"/>
  <c r="K22" i="1"/>
  <c r="K24" i="1"/>
  <c r="K26" i="1"/>
  <c r="K28" i="1"/>
  <c r="K30" i="1"/>
  <c r="K32" i="1"/>
  <c r="K21" i="1"/>
  <c r="K23" i="1"/>
  <c r="K25" i="1"/>
  <c r="K27" i="1"/>
  <c r="K29" i="1"/>
  <c r="K31" i="1"/>
  <c r="K33" i="1"/>
  <c r="K34" i="1"/>
  <c r="K35" i="1"/>
  <c r="K36" i="1"/>
  <c r="J20" i="1"/>
  <c r="J22" i="1"/>
  <c r="J24" i="1"/>
  <c r="J26" i="1"/>
  <c r="J28" i="1"/>
  <c r="J30" i="1"/>
  <c r="J32" i="1"/>
  <c r="J21" i="1"/>
  <c r="J23" i="1"/>
  <c r="J25" i="1"/>
  <c r="J27" i="1"/>
  <c r="J29" i="1"/>
  <c r="J31" i="1"/>
  <c r="J33" i="1"/>
  <c r="J34" i="1"/>
  <c r="J35" i="1"/>
  <c r="J36" i="1"/>
  <c r="I20" i="1"/>
  <c r="I22" i="1"/>
  <c r="I24" i="1"/>
  <c r="I26" i="1"/>
  <c r="I28" i="1"/>
  <c r="I30" i="1"/>
  <c r="I32" i="1"/>
  <c r="I21" i="1"/>
  <c r="I23" i="1"/>
  <c r="I25" i="1"/>
  <c r="I27" i="1"/>
  <c r="I29" i="1"/>
  <c r="I31" i="1"/>
  <c r="I33" i="1"/>
  <c r="I34" i="1"/>
  <c r="I35" i="1"/>
  <c r="I36" i="1"/>
  <c r="H20" i="1"/>
  <c r="H22" i="1"/>
  <c r="H24" i="1"/>
  <c r="H26" i="1"/>
  <c r="H28" i="1"/>
  <c r="H30" i="1"/>
  <c r="H32" i="1"/>
  <c r="H21" i="1"/>
  <c r="H23" i="1"/>
  <c r="H25" i="1"/>
  <c r="H27" i="1"/>
  <c r="H29" i="1"/>
  <c r="H31" i="1"/>
  <c r="H33" i="1"/>
  <c r="H34" i="1"/>
  <c r="H35" i="1"/>
  <c r="H36" i="1"/>
  <c r="G20" i="1"/>
  <c r="G22" i="1"/>
  <c r="G24" i="1"/>
  <c r="G26" i="1"/>
  <c r="G28" i="1"/>
  <c r="G30" i="1"/>
  <c r="G32" i="1"/>
  <c r="G21" i="1"/>
  <c r="G23" i="1"/>
  <c r="G25" i="1"/>
  <c r="G27" i="1"/>
  <c r="G29" i="1"/>
  <c r="G31" i="1"/>
  <c r="G33" i="1"/>
  <c r="G34" i="1"/>
  <c r="G35" i="1"/>
  <c r="G36" i="1"/>
  <c r="F20" i="1"/>
  <c r="F22" i="1"/>
  <c r="F24" i="1"/>
  <c r="F26" i="1"/>
  <c r="F28" i="1"/>
  <c r="F30" i="1"/>
  <c r="F32" i="1"/>
  <c r="F21" i="1"/>
  <c r="F23" i="1"/>
  <c r="F25" i="1"/>
  <c r="F27" i="1"/>
  <c r="F29" i="1"/>
  <c r="F31" i="1"/>
  <c r="F33" i="1"/>
  <c r="F34" i="1"/>
  <c r="F35" i="1"/>
  <c r="F36" i="1"/>
  <c r="E22" i="1"/>
  <c r="E24" i="1"/>
  <c r="E26" i="1"/>
  <c r="E28" i="1"/>
  <c r="E30" i="1"/>
  <c r="E32" i="1"/>
  <c r="E21" i="1"/>
  <c r="E23" i="1"/>
  <c r="E25" i="1"/>
  <c r="E27" i="1"/>
  <c r="E29" i="1"/>
  <c r="E31" i="1"/>
  <c r="E33" i="1"/>
  <c r="E34" i="1"/>
  <c r="E35" i="1"/>
  <c r="E36" i="1"/>
  <c r="AN20" i="1"/>
  <c r="AM20" i="1" s="1"/>
  <c r="AN22" i="1"/>
  <c r="AM22" i="1" s="1"/>
  <c r="AN24" i="1"/>
  <c r="AM24" i="1" s="1"/>
  <c r="AN26" i="1"/>
  <c r="AM26" i="1" s="1"/>
  <c r="AN28" i="1"/>
  <c r="AM28" i="1" s="1"/>
  <c r="AN30" i="1"/>
  <c r="AM30" i="1" s="1"/>
  <c r="AN32" i="1"/>
  <c r="AM32" i="1" s="1"/>
  <c r="AN21" i="1"/>
  <c r="AM21" i="1" s="1"/>
  <c r="AN23" i="1"/>
  <c r="AM23" i="1" s="1"/>
  <c r="AN25" i="1"/>
  <c r="AM25" i="1" s="1"/>
  <c r="AN27" i="1"/>
  <c r="AM27" i="1" s="1"/>
  <c r="AN29" i="1"/>
  <c r="AM29" i="1" s="1"/>
  <c r="AN31" i="1"/>
  <c r="AM31" i="1" s="1"/>
  <c r="AN33" i="1"/>
  <c r="AM33" i="1" s="1"/>
  <c r="AN34" i="1"/>
  <c r="AM34" i="1" s="1"/>
  <c r="AN35" i="1"/>
  <c r="AM35" i="1" s="1"/>
  <c r="AN36" i="1"/>
  <c r="AM36" i="1" s="1"/>
  <c r="AP20" i="1"/>
  <c r="AO20" i="1" s="1"/>
  <c r="AP22" i="1"/>
  <c r="AO22" i="1" s="1"/>
  <c r="AP24" i="1"/>
  <c r="AO24" i="1" s="1"/>
  <c r="AP26" i="1"/>
  <c r="AO26" i="1" s="1"/>
  <c r="AP28" i="1"/>
  <c r="AO28" i="1" s="1"/>
  <c r="AP30" i="1"/>
  <c r="AO30" i="1" s="1"/>
  <c r="AP32" i="1"/>
  <c r="AO32" i="1" s="1"/>
  <c r="AP21" i="1"/>
  <c r="AO21" i="1" s="1"/>
  <c r="AP23" i="1"/>
  <c r="AO23" i="1" s="1"/>
  <c r="AP25" i="1"/>
  <c r="AO25" i="1" s="1"/>
  <c r="AP27" i="1"/>
  <c r="AO27" i="1" s="1"/>
  <c r="AP29" i="1"/>
  <c r="AO29" i="1" s="1"/>
  <c r="AP31" i="1"/>
  <c r="AO31" i="1" s="1"/>
  <c r="AP33" i="1"/>
  <c r="AO33" i="1" s="1"/>
  <c r="AP34" i="1"/>
  <c r="AO34" i="1" s="1"/>
  <c r="AP35" i="1"/>
  <c r="AO35" i="1" s="1"/>
  <c r="AP36" i="1"/>
  <c r="AO36" i="1" s="1"/>
  <c r="AR20" i="1"/>
  <c r="AQ20" i="1" s="1"/>
  <c r="AR22" i="1"/>
  <c r="AQ22" i="1" s="1"/>
  <c r="AR24" i="1"/>
  <c r="AQ24" i="1" s="1"/>
  <c r="AR26" i="1"/>
  <c r="AQ26" i="1" s="1"/>
  <c r="AR28" i="1"/>
  <c r="AQ28" i="1" s="1"/>
  <c r="AR30" i="1"/>
  <c r="AQ30" i="1" s="1"/>
  <c r="AR32" i="1"/>
  <c r="AQ32" i="1" s="1"/>
  <c r="AR21" i="1"/>
  <c r="AQ21" i="1" s="1"/>
  <c r="AR23" i="1"/>
  <c r="AQ23" i="1" s="1"/>
  <c r="AR25" i="1"/>
  <c r="AQ25" i="1" s="1"/>
  <c r="AR27" i="1"/>
  <c r="AQ27" i="1" s="1"/>
  <c r="AR29" i="1"/>
  <c r="AQ29" i="1" s="1"/>
  <c r="AR31" i="1"/>
  <c r="AQ31" i="1" s="1"/>
  <c r="AR33" i="1"/>
  <c r="AQ33" i="1" s="1"/>
  <c r="AR34" i="1"/>
  <c r="AQ34" i="1" s="1"/>
  <c r="AR35" i="1"/>
  <c r="AQ35" i="1" s="1"/>
  <c r="AR36" i="1"/>
  <c r="AQ36" i="1" s="1"/>
  <c r="BF20" i="1"/>
  <c r="BE20" i="1" s="1"/>
  <c r="BF22" i="1"/>
  <c r="BE22" i="1" s="1"/>
  <c r="BF24" i="1"/>
  <c r="BE24" i="1" s="1"/>
  <c r="BF26" i="1"/>
  <c r="BE26" i="1" s="1"/>
  <c r="BF28" i="1"/>
  <c r="BE28" i="1" s="1"/>
  <c r="BF30" i="1"/>
  <c r="BE30" i="1" s="1"/>
  <c r="BF32" i="1"/>
  <c r="BE32" i="1" s="1"/>
  <c r="BF21" i="1"/>
  <c r="BE21" i="1" s="1"/>
  <c r="BF23" i="1"/>
  <c r="BE23" i="1" s="1"/>
  <c r="BF25" i="1"/>
  <c r="BE25" i="1" s="1"/>
  <c r="BF27" i="1"/>
  <c r="BE27" i="1" s="1"/>
  <c r="BF29" i="1"/>
  <c r="BE29" i="1" s="1"/>
  <c r="BF31" i="1"/>
  <c r="BE31" i="1" s="1"/>
  <c r="BF33" i="1"/>
  <c r="BE33" i="1" s="1"/>
  <c r="BF34" i="1"/>
  <c r="BE34" i="1" s="1"/>
  <c r="BF35" i="1"/>
  <c r="BE35" i="1" s="1"/>
  <c r="BF36" i="1"/>
  <c r="BE36" i="1" s="1"/>
  <c r="BH20" i="1"/>
  <c r="BG20" i="1" s="1"/>
  <c r="BH22" i="1"/>
  <c r="BG22" i="1" s="1"/>
  <c r="BH24" i="1"/>
  <c r="BG24" i="1" s="1"/>
  <c r="BH26" i="1"/>
  <c r="BG26" i="1" s="1"/>
  <c r="BH28" i="1"/>
  <c r="BG28" i="1" s="1"/>
  <c r="BH30" i="1"/>
  <c r="BG30" i="1" s="1"/>
  <c r="BH32" i="1"/>
  <c r="BG32" i="1" s="1"/>
  <c r="BH21" i="1"/>
  <c r="BG21" i="1" s="1"/>
  <c r="BH23" i="1"/>
  <c r="BG23" i="1" s="1"/>
  <c r="BH25" i="1"/>
  <c r="BG25" i="1" s="1"/>
  <c r="BH27" i="1"/>
  <c r="BG27" i="1" s="1"/>
  <c r="BH29" i="1"/>
  <c r="BG29" i="1" s="1"/>
  <c r="BH31" i="1"/>
  <c r="BG31" i="1" s="1"/>
  <c r="BH33" i="1"/>
  <c r="BG33" i="1" s="1"/>
  <c r="BH34" i="1"/>
  <c r="BG34" i="1" s="1"/>
  <c r="BH35" i="1"/>
  <c r="BG35" i="1" s="1"/>
  <c r="BH36" i="1"/>
  <c r="BG36" i="1" s="1"/>
  <c r="BJ20" i="1"/>
  <c r="BI20" i="1" s="1"/>
  <c r="BJ22" i="1"/>
  <c r="BI22" i="1" s="1"/>
  <c r="BJ24" i="1"/>
  <c r="BI24" i="1" s="1"/>
  <c r="BJ26" i="1"/>
  <c r="BI26" i="1" s="1"/>
  <c r="BJ28" i="1"/>
  <c r="BI28" i="1" s="1"/>
  <c r="BJ30" i="1"/>
  <c r="BI30" i="1" s="1"/>
  <c r="BJ32" i="1"/>
  <c r="BI32" i="1" s="1"/>
  <c r="BJ21" i="1"/>
  <c r="BI21" i="1" s="1"/>
  <c r="BJ23" i="1"/>
  <c r="BI23" i="1" s="1"/>
  <c r="BJ25" i="1"/>
  <c r="BI25" i="1" s="1"/>
  <c r="BJ27" i="1"/>
  <c r="BI27" i="1" s="1"/>
  <c r="BJ29" i="1"/>
  <c r="BI29" i="1" s="1"/>
  <c r="BJ31" i="1"/>
  <c r="BI31" i="1" s="1"/>
  <c r="BJ33" i="1"/>
  <c r="BI33" i="1" s="1"/>
  <c r="BJ34" i="1"/>
  <c r="BI34" i="1" s="1"/>
  <c r="BJ35" i="1"/>
  <c r="BI35" i="1" s="1"/>
  <c r="BJ36" i="1"/>
  <c r="BI36" i="1" s="1"/>
  <c r="BL20" i="1"/>
  <c r="BK20" i="1" s="1"/>
  <c r="BL22" i="1"/>
  <c r="BK22" i="1" s="1"/>
  <c r="BL24" i="1"/>
  <c r="BK24" i="1" s="1"/>
  <c r="BL26" i="1"/>
  <c r="BK26" i="1" s="1"/>
  <c r="BL28" i="1"/>
  <c r="BK28" i="1" s="1"/>
  <c r="BL30" i="1"/>
  <c r="BK30" i="1" s="1"/>
  <c r="BL32" i="1"/>
  <c r="BK32" i="1" s="1"/>
  <c r="BL21" i="1"/>
  <c r="BK21" i="1" s="1"/>
  <c r="BL23" i="1"/>
  <c r="BK23" i="1" s="1"/>
  <c r="BL25" i="1"/>
  <c r="BK25" i="1" s="1"/>
  <c r="BL27" i="1"/>
  <c r="BK27" i="1" s="1"/>
  <c r="BL29" i="1"/>
  <c r="BK29" i="1" s="1"/>
  <c r="BL31" i="1"/>
  <c r="BK31" i="1" s="1"/>
  <c r="BL33" i="1"/>
  <c r="BK33" i="1" s="1"/>
  <c r="BL34" i="1"/>
  <c r="BK34" i="1" s="1"/>
  <c r="BL35" i="1"/>
  <c r="BK35" i="1" s="1"/>
  <c r="BL36" i="1"/>
  <c r="BK36" i="1" s="1"/>
  <c r="BN20" i="1"/>
  <c r="BM20" i="1" s="1"/>
  <c r="BN22" i="1"/>
  <c r="BM22" i="1" s="1"/>
  <c r="BN24" i="1"/>
  <c r="BM24" i="1" s="1"/>
  <c r="BN26" i="1"/>
  <c r="BM26" i="1" s="1"/>
  <c r="BN28" i="1"/>
  <c r="BM28" i="1" s="1"/>
  <c r="BN30" i="1"/>
  <c r="BM30" i="1" s="1"/>
  <c r="BN32" i="1"/>
  <c r="BM32" i="1" s="1"/>
  <c r="BN21" i="1"/>
  <c r="BM21" i="1" s="1"/>
  <c r="BN23" i="1"/>
  <c r="BM23" i="1" s="1"/>
  <c r="BN25" i="1"/>
  <c r="BM25" i="1" s="1"/>
  <c r="BN27" i="1"/>
  <c r="BM27" i="1" s="1"/>
  <c r="BN29" i="1"/>
  <c r="BM29" i="1" s="1"/>
  <c r="BN31" i="1"/>
  <c r="BM31" i="1" s="1"/>
  <c r="BN33" i="1"/>
  <c r="BM33" i="1" s="1"/>
  <c r="BN34" i="1"/>
  <c r="BM34" i="1" s="1"/>
  <c r="BN35" i="1"/>
  <c r="BM35" i="1" s="1"/>
  <c r="BN36" i="1"/>
  <c r="BM36" i="1" s="1"/>
  <c r="II20" i="1"/>
  <c r="IH20" i="1" s="1"/>
  <c r="IG20" i="1"/>
  <c r="IF20" i="1" s="1"/>
  <c r="IE20" i="1"/>
  <c r="ID20" i="1" s="1"/>
  <c r="IC20" i="1"/>
  <c r="IB20" i="1" s="1"/>
  <c r="IA20" i="1"/>
  <c r="HZ20" i="1" s="1"/>
  <c r="HY20" i="1"/>
  <c r="HX20" i="1" s="1"/>
  <c r="HW20" i="1"/>
  <c r="HV20" i="1" s="1"/>
  <c r="HU20" i="1"/>
  <c r="HT20" i="1" s="1"/>
  <c r="HS20" i="1"/>
  <c r="HR20" i="1" s="1"/>
  <c r="HQ20" i="1"/>
  <c r="HP20" i="1" s="1"/>
  <c r="HO20" i="1"/>
  <c r="HN20" i="1" s="1"/>
  <c r="HM20" i="1"/>
  <c r="HL20" i="1" s="1"/>
  <c r="HK20" i="1"/>
  <c r="HJ20" i="1" s="1"/>
  <c r="HI20" i="1"/>
  <c r="HH20" i="1" s="1"/>
  <c r="HG20" i="1"/>
  <c r="HF20" i="1" s="1"/>
  <c r="HE20" i="1"/>
  <c r="HD20" i="1" s="1"/>
  <c r="HC20" i="1"/>
  <c r="HB20" i="1" s="1"/>
  <c r="HA20" i="1"/>
  <c r="GZ20" i="1" s="1"/>
  <c r="GY20" i="1"/>
  <c r="GX20" i="1" s="1"/>
  <c r="GW20" i="1"/>
  <c r="GV20" i="1" s="1"/>
  <c r="GU20" i="1"/>
  <c r="GT20" i="1" s="1"/>
  <c r="GS20" i="1"/>
  <c r="GR20" i="1" s="1"/>
  <c r="GQ20" i="1"/>
  <c r="GP20" i="1" s="1"/>
  <c r="GO20" i="1"/>
  <c r="GN20" i="1" s="1"/>
  <c r="GM20" i="1"/>
  <c r="GL20" i="1" s="1"/>
  <c r="GK20" i="1"/>
  <c r="GJ20" i="1" s="1"/>
  <c r="GI20" i="1"/>
  <c r="GH20" i="1" s="1"/>
  <c r="GG20" i="1"/>
  <c r="GF20" i="1" s="1"/>
  <c r="GE20" i="1"/>
  <c r="GD20" i="1" s="1"/>
  <c r="GC20" i="1"/>
  <c r="GB20" i="1" s="1"/>
  <c r="GA20" i="1"/>
  <c r="FZ20" i="1" s="1"/>
  <c r="FY20" i="1"/>
  <c r="FX20" i="1" s="1"/>
  <c r="FW20" i="1"/>
  <c r="FV20" i="1" s="1"/>
  <c r="FT20" i="1"/>
  <c r="FS20" i="1"/>
  <c r="FR20" i="1"/>
  <c r="FQ20" i="1"/>
  <c r="FP20" i="1"/>
  <c r="FO20" i="1"/>
  <c r="FN20" i="1"/>
  <c r="FM20" i="1"/>
  <c r="FL20" i="1"/>
  <c r="FK20" i="1"/>
  <c r="FJ20" i="1"/>
  <c r="FI20" i="1"/>
  <c r="FH20" i="1"/>
  <c r="FG20" i="1"/>
  <c r="FF20" i="1"/>
  <c r="FE20" i="1"/>
  <c r="FD20" i="1"/>
  <c r="FC20" i="1"/>
  <c r="FB20" i="1"/>
  <c r="FA20" i="1"/>
  <c r="EZ20" i="1"/>
  <c r="EY20" i="1"/>
  <c r="EX20" i="1"/>
  <c r="EW20" i="1"/>
  <c r="EV20" i="1"/>
  <c r="EU20" i="1"/>
  <c r="ET20" i="1"/>
  <c r="ES20" i="1"/>
  <c r="ER20" i="1"/>
  <c r="EP20" i="1"/>
  <c r="EN20" i="1"/>
  <c r="EM20" i="1" s="1"/>
  <c r="EL20" i="1"/>
  <c r="EK20" i="1" s="1"/>
  <c r="EJ20" i="1"/>
  <c r="EI20" i="1" s="1"/>
  <c r="EH20" i="1"/>
  <c r="EG20" i="1" s="1"/>
  <c r="EF20" i="1"/>
  <c r="EE20" i="1" s="1"/>
  <c r="ED20" i="1"/>
  <c r="EC20" i="1" s="1"/>
  <c r="EB20" i="1"/>
  <c r="EA20" i="1" s="1"/>
  <c r="DZ20" i="1"/>
  <c r="DY20" i="1" s="1"/>
  <c r="DX20" i="1"/>
  <c r="DW20" i="1" s="1"/>
  <c r="DV20" i="1"/>
  <c r="DU20" i="1" s="1"/>
  <c r="DT20" i="1"/>
  <c r="DS20" i="1" s="1"/>
  <c r="DR20" i="1"/>
  <c r="DQ20" i="1" s="1"/>
  <c r="DP20" i="1"/>
  <c r="DO20" i="1" s="1"/>
  <c r="DN20" i="1"/>
  <c r="DM20" i="1" s="1"/>
  <c r="DL20" i="1"/>
  <c r="DK20" i="1" s="1"/>
  <c r="DJ20" i="1"/>
  <c r="DI20" i="1" s="1"/>
  <c r="DH20" i="1"/>
  <c r="DG20" i="1" s="1"/>
  <c r="DF20" i="1"/>
  <c r="DE20" i="1" s="1"/>
  <c r="DD20" i="1"/>
  <c r="DC20" i="1" s="1"/>
  <c r="DB20" i="1"/>
  <c r="DA20" i="1" s="1"/>
  <c r="CZ20" i="1"/>
  <c r="CY20" i="1" s="1"/>
  <c r="CX20" i="1"/>
  <c r="CW20" i="1" s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BZ20" i="1"/>
  <c r="BY20" i="1" s="1"/>
  <c r="BX20" i="1"/>
  <c r="BW20" i="1" s="1"/>
  <c r="BV20" i="1"/>
  <c r="BU20" i="1" s="1"/>
  <c r="BT20" i="1"/>
  <c r="BS20" i="1" s="1"/>
  <c r="BR20" i="1"/>
  <c r="BQ20" i="1" s="1"/>
  <c r="BP20" i="1"/>
  <c r="BO20" i="1" s="1"/>
  <c r="BD20" i="1"/>
  <c r="BC20" i="1" s="1"/>
  <c r="BB20" i="1"/>
  <c r="BA20" i="1" s="1"/>
  <c r="AZ20" i="1"/>
  <c r="AY20" i="1" s="1"/>
  <c r="AX20" i="1"/>
  <c r="AW20" i="1" s="1"/>
  <c r="AV20" i="1"/>
  <c r="AU20" i="1" s="1"/>
  <c r="AT20" i="1"/>
  <c r="AS20" i="1" s="1"/>
  <c r="AL20" i="1"/>
  <c r="AK20" i="1" s="1"/>
  <c r="AJ20" i="1"/>
  <c r="AI20" i="1" s="1"/>
  <c r="AH20" i="1"/>
  <c r="AG20" i="1"/>
  <c r="AF20" i="1"/>
  <c r="AE20" i="1"/>
  <c r="AD20" i="1"/>
  <c r="AC20" i="1"/>
  <c r="AB20" i="1"/>
  <c r="AA20" i="1"/>
  <c r="Z20" i="1"/>
  <c r="Y20" i="1"/>
  <c r="X20" i="1"/>
  <c r="AL22" i="1" l="1"/>
  <c r="AK22" i="1" s="1"/>
  <c r="AL24" i="1"/>
  <c r="AK24" i="1" s="1"/>
  <c r="AL26" i="1"/>
  <c r="AK26" i="1" s="1"/>
  <c r="AL28" i="1"/>
  <c r="AK28" i="1" s="1"/>
  <c r="AL30" i="1"/>
  <c r="AK30" i="1" s="1"/>
  <c r="AL32" i="1"/>
  <c r="AK32" i="1" s="1"/>
  <c r="AL21" i="1"/>
  <c r="AK21" i="1" s="1"/>
  <c r="AL23" i="1"/>
  <c r="AK23" i="1" s="1"/>
  <c r="AL25" i="1"/>
  <c r="AK25" i="1" s="1"/>
  <c r="AL27" i="1"/>
  <c r="AK27" i="1" s="1"/>
  <c r="AL29" i="1"/>
  <c r="AK29" i="1" s="1"/>
  <c r="AL31" i="1"/>
  <c r="AK31" i="1" s="1"/>
  <c r="AL33" i="1"/>
  <c r="AK33" i="1" s="1"/>
  <c r="AL34" i="1"/>
  <c r="AK34" i="1" s="1"/>
  <c r="AL35" i="1"/>
  <c r="AK35" i="1" s="1"/>
  <c r="AL36" i="1"/>
  <c r="AK36" i="1" s="1"/>
  <c r="AJ22" i="1"/>
  <c r="AI22" i="1" s="1"/>
  <c r="AJ24" i="1"/>
  <c r="AI24" i="1" s="1"/>
  <c r="AJ26" i="1"/>
  <c r="AI26" i="1" s="1"/>
  <c r="AJ28" i="1"/>
  <c r="AI28" i="1" s="1"/>
  <c r="AJ30" i="1"/>
  <c r="AI30" i="1" s="1"/>
  <c r="AJ32" i="1"/>
  <c r="AI32" i="1" s="1"/>
  <c r="AJ21" i="1"/>
  <c r="AI21" i="1" s="1"/>
  <c r="AJ23" i="1"/>
  <c r="AI23" i="1" s="1"/>
  <c r="AJ25" i="1"/>
  <c r="AI25" i="1" s="1"/>
  <c r="AJ27" i="1"/>
  <c r="AI27" i="1" s="1"/>
  <c r="AJ29" i="1"/>
  <c r="AI29" i="1" s="1"/>
  <c r="AJ31" i="1"/>
  <c r="AI31" i="1" s="1"/>
  <c r="AJ33" i="1"/>
  <c r="AI33" i="1" s="1"/>
  <c r="AJ34" i="1"/>
  <c r="AI34" i="1" s="1"/>
  <c r="AJ35" i="1"/>
  <c r="AI35" i="1" s="1"/>
  <c r="AJ36" i="1"/>
  <c r="AI36" i="1" s="1"/>
  <c r="Y22" i="1"/>
  <c r="Y24" i="1"/>
  <c r="Y26" i="1"/>
  <c r="Y28" i="1"/>
  <c r="Y30" i="1"/>
  <c r="Y32" i="1"/>
  <c r="Y21" i="1"/>
  <c r="Y23" i="1"/>
  <c r="Y25" i="1"/>
  <c r="Y27" i="1"/>
  <c r="Y29" i="1"/>
  <c r="Y31" i="1"/>
  <c r="Y33" i="1"/>
  <c r="Y34" i="1"/>
  <c r="Y35" i="1"/>
  <c r="Y36" i="1"/>
  <c r="X22" i="1"/>
  <c r="X24" i="1"/>
  <c r="X26" i="1"/>
  <c r="X28" i="1"/>
  <c r="X30" i="1"/>
  <c r="X32" i="1"/>
  <c r="X21" i="1"/>
  <c r="X23" i="1"/>
  <c r="X25" i="1"/>
  <c r="X27" i="1"/>
  <c r="X29" i="1"/>
  <c r="X31" i="1"/>
  <c r="X33" i="1"/>
  <c r="X34" i="1"/>
  <c r="X35" i="1"/>
  <c r="X36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22" i="1" l="1"/>
  <c r="IH22" i="1" s="1"/>
  <c r="II24" i="1"/>
  <c r="IH24" i="1" s="1"/>
  <c r="II26" i="1"/>
  <c r="IH26" i="1" s="1"/>
  <c r="II28" i="1"/>
  <c r="IH28" i="1" s="1"/>
  <c r="II30" i="1"/>
  <c r="IH30" i="1" s="1"/>
  <c r="II32" i="1"/>
  <c r="IH32" i="1" s="1"/>
  <c r="II21" i="1"/>
  <c r="IH21" i="1" s="1"/>
  <c r="II23" i="1"/>
  <c r="IH23" i="1" s="1"/>
  <c r="II25" i="1"/>
  <c r="IH25" i="1" s="1"/>
  <c r="II27" i="1"/>
  <c r="IH27" i="1" s="1"/>
  <c r="II29" i="1"/>
  <c r="IH29" i="1" s="1"/>
  <c r="II31" i="1"/>
  <c r="IH31" i="1" s="1"/>
  <c r="II33" i="1"/>
  <c r="IH33" i="1" s="1"/>
  <c r="II34" i="1"/>
  <c r="IH34" i="1" s="1"/>
  <c r="II35" i="1"/>
  <c r="IH35" i="1" s="1"/>
  <c r="II36" i="1"/>
  <c r="IH36" i="1" s="1"/>
  <c r="IG22" i="1"/>
  <c r="IF22" i="1" s="1"/>
  <c r="IG24" i="1"/>
  <c r="IF24" i="1" s="1"/>
  <c r="IG26" i="1"/>
  <c r="IF26" i="1" s="1"/>
  <c r="IG28" i="1"/>
  <c r="IF28" i="1" s="1"/>
  <c r="IG30" i="1"/>
  <c r="IF30" i="1" s="1"/>
  <c r="IG32" i="1"/>
  <c r="IF32" i="1" s="1"/>
  <c r="IG21" i="1"/>
  <c r="IF21" i="1" s="1"/>
  <c r="IG23" i="1"/>
  <c r="IF23" i="1" s="1"/>
  <c r="IG25" i="1"/>
  <c r="IF25" i="1" s="1"/>
  <c r="IG27" i="1"/>
  <c r="IF27" i="1" s="1"/>
  <c r="IG29" i="1"/>
  <c r="IF29" i="1" s="1"/>
  <c r="IG31" i="1"/>
  <c r="IF31" i="1" s="1"/>
  <c r="IG33" i="1"/>
  <c r="IF33" i="1" s="1"/>
  <c r="IG34" i="1"/>
  <c r="IF34" i="1" s="1"/>
  <c r="IG35" i="1"/>
  <c r="IF35" i="1" s="1"/>
  <c r="IG36" i="1"/>
  <c r="IF36" i="1" s="1"/>
  <c r="IE22" i="1"/>
  <c r="ID22" i="1" s="1"/>
  <c r="IE24" i="1"/>
  <c r="ID24" i="1" s="1"/>
  <c r="IE26" i="1"/>
  <c r="ID26" i="1" s="1"/>
  <c r="IE28" i="1"/>
  <c r="ID28" i="1" s="1"/>
  <c r="IE30" i="1"/>
  <c r="ID30" i="1" s="1"/>
  <c r="IE32" i="1"/>
  <c r="ID32" i="1" s="1"/>
  <c r="IE21" i="1"/>
  <c r="ID21" i="1" s="1"/>
  <c r="IE23" i="1"/>
  <c r="ID23" i="1" s="1"/>
  <c r="IE25" i="1"/>
  <c r="ID25" i="1" s="1"/>
  <c r="IE27" i="1"/>
  <c r="ID27" i="1" s="1"/>
  <c r="IE29" i="1"/>
  <c r="ID29" i="1" s="1"/>
  <c r="IE31" i="1"/>
  <c r="ID31" i="1" s="1"/>
  <c r="IE33" i="1"/>
  <c r="ID33" i="1" s="1"/>
  <c r="IE34" i="1"/>
  <c r="ID34" i="1" s="1"/>
  <c r="IE35" i="1"/>
  <c r="ID35" i="1" s="1"/>
  <c r="IE36" i="1"/>
  <c r="ID36" i="1" s="1"/>
  <c r="IC22" i="1"/>
  <c r="IB22" i="1" s="1"/>
  <c r="IC24" i="1"/>
  <c r="IB24" i="1" s="1"/>
  <c r="IC26" i="1"/>
  <c r="IB26" i="1" s="1"/>
  <c r="IC28" i="1"/>
  <c r="IB28" i="1" s="1"/>
  <c r="IC30" i="1"/>
  <c r="IB30" i="1" s="1"/>
  <c r="IC32" i="1"/>
  <c r="IB32" i="1" s="1"/>
  <c r="IC21" i="1"/>
  <c r="IB21" i="1" s="1"/>
  <c r="IC23" i="1"/>
  <c r="IB23" i="1" s="1"/>
  <c r="IC25" i="1"/>
  <c r="IB25" i="1" s="1"/>
  <c r="IC27" i="1"/>
  <c r="IB27" i="1" s="1"/>
  <c r="IC29" i="1"/>
  <c r="IB29" i="1" s="1"/>
  <c r="IC31" i="1"/>
  <c r="IB31" i="1" s="1"/>
  <c r="IC33" i="1"/>
  <c r="IB33" i="1" s="1"/>
  <c r="IC34" i="1"/>
  <c r="IB34" i="1" s="1"/>
  <c r="IC35" i="1"/>
  <c r="IB35" i="1" s="1"/>
  <c r="IC36" i="1"/>
  <c r="IB36" i="1" s="1"/>
  <c r="IA22" i="1"/>
  <c r="HZ22" i="1" s="1"/>
  <c r="IA24" i="1"/>
  <c r="HZ24" i="1" s="1"/>
  <c r="IA26" i="1"/>
  <c r="HZ26" i="1" s="1"/>
  <c r="IA28" i="1"/>
  <c r="HZ28" i="1" s="1"/>
  <c r="IA30" i="1"/>
  <c r="HZ30" i="1" s="1"/>
  <c r="IA32" i="1"/>
  <c r="HZ32" i="1" s="1"/>
  <c r="IA21" i="1"/>
  <c r="HZ21" i="1" s="1"/>
  <c r="IA23" i="1"/>
  <c r="HZ23" i="1" s="1"/>
  <c r="IA25" i="1"/>
  <c r="HZ25" i="1" s="1"/>
  <c r="IA27" i="1"/>
  <c r="HZ27" i="1" s="1"/>
  <c r="IA29" i="1"/>
  <c r="HZ29" i="1" s="1"/>
  <c r="IA31" i="1"/>
  <c r="HZ31" i="1" s="1"/>
  <c r="IA33" i="1"/>
  <c r="HZ33" i="1" s="1"/>
  <c r="IA34" i="1"/>
  <c r="HZ34" i="1" s="1"/>
  <c r="IA35" i="1"/>
  <c r="HZ35" i="1" s="1"/>
  <c r="IA36" i="1"/>
  <c r="HZ36" i="1" s="1"/>
  <c r="HY22" i="1"/>
  <c r="HX22" i="1" s="1"/>
  <c r="HY24" i="1"/>
  <c r="HX24" i="1" s="1"/>
  <c r="HY26" i="1"/>
  <c r="HX26" i="1" s="1"/>
  <c r="HY28" i="1"/>
  <c r="HX28" i="1" s="1"/>
  <c r="HY30" i="1"/>
  <c r="HX30" i="1" s="1"/>
  <c r="HY32" i="1"/>
  <c r="HX32" i="1" s="1"/>
  <c r="HY21" i="1"/>
  <c r="HX21" i="1" s="1"/>
  <c r="HY23" i="1"/>
  <c r="HX23" i="1" s="1"/>
  <c r="HY25" i="1"/>
  <c r="HX25" i="1" s="1"/>
  <c r="HY27" i="1"/>
  <c r="HX27" i="1" s="1"/>
  <c r="HY29" i="1"/>
  <c r="HX29" i="1" s="1"/>
  <c r="HY31" i="1"/>
  <c r="HX31" i="1" s="1"/>
  <c r="HY33" i="1"/>
  <c r="HX33" i="1" s="1"/>
  <c r="HY34" i="1"/>
  <c r="HX34" i="1" s="1"/>
  <c r="HY35" i="1"/>
  <c r="HX35" i="1" s="1"/>
  <c r="HY36" i="1"/>
  <c r="HX36" i="1" s="1"/>
  <c r="HW22" i="1"/>
  <c r="HV22" i="1" s="1"/>
  <c r="HW24" i="1"/>
  <c r="HV24" i="1" s="1"/>
  <c r="HW26" i="1"/>
  <c r="HV26" i="1" s="1"/>
  <c r="HW28" i="1"/>
  <c r="HV28" i="1" s="1"/>
  <c r="HW30" i="1"/>
  <c r="HV30" i="1" s="1"/>
  <c r="HW32" i="1"/>
  <c r="HV32" i="1" s="1"/>
  <c r="HW21" i="1"/>
  <c r="HV21" i="1" s="1"/>
  <c r="HW23" i="1"/>
  <c r="HV23" i="1" s="1"/>
  <c r="HW25" i="1"/>
  <c r="HV25" i="1" s="1"/>
  <c r="HW27" i="1"/>
  <c r="HV27" i="1" s="1"/>
  <c r="HW29" i="1"/>
  <c r="HV29" i="1" s="1"/>
  <c r="HW31" i="1"/>
  <c r="HV31" i="1" s="1"/>
  <c r="HW33" i="1"/>
  <c r="HV33" i="1" s="1"/>
  <c r="HW34" i="1"/>
  <c r="HV34" i="1" s="1"/>
  <c r="HW35" i="1"/>
  <c r="HV35" i="1" s="1"/>
  <c r="HW36" i="1"/>
  <c r="HV36" i="1" s="1"/>
  <c r="HU22" i="1"/>
  <c r="HT22" i="1" s="1"/>
  <c r="HU24" i="1"/>
  <c r="HT24" i="1" s="1"/>
  <c r="HU26" i="1"/>
  <c r="HT26" i="1" s="1"/>
  <c r="HU28" i="1"/>
  <c r="HT28" i="1" s="1"/>
  <c r="HU30" i="1"/>
  <c r="HT30" i="1" s="1"/>
  <c r="HU32" i="1"/>
  <c r="HT32" i="1" s="1"/>
  <c r="HU21" i="1"/>
  <c r="HT21" i="1" s="1"/>
  <c r="HU23" i="1"/>
  <c r="HT23" i="1" s="1"/>
  <c r="HU25" i="1"/>
  <c r="HT25" i="1" s="1"/>
  <c r="HU27" i="1"/>
  <c r="HT27" i="1" s="1"/>
  <c r="HU29" i="1"/>
  <c r="HT29" i="1" s="1"/>
  <c r="HU31" i="1"/>
  <c r="HT31" i="1" s="1"/>
  <c r="HU33" i="1"/>
  <c r="HT33" i="1" s="1"/>
  <c r="HU34" i="1"/>
  <c r="HT34" i="1" s="1"/>
  <c r="HU35" i="1"/>
  <c r="HT35" i="1" s="1"/>
  <c r="HU36" i="1"/>
  <c r="HT36" i="1" s="1"/>
  <c r="HS22" i="1"/>
  <c r="HR22" i="1" s="1"/>
  <c r="HS24" i="1"/>
  <c r="HR24" i="1" s="1"/>
  <c r="HS26" i="1"/>
  <c r="HR26" i="1" s="1"/>
  <c r="HS28" i="1"/>
  <c r="HR28" i="1" s="1"/>
  <c r="HS30" i="1"/>
  <c r="HR30" i="1" s="1"/>
  <c r="HS32" i="1"/>
  <c r="HR32" i="1" s="1"/>
  <c r="HS21" i="1"/>
  <c r="HR21" i="1" s="1"/>
  <c r="HS23" i="1"/>
  <c r="HR23" i="1" s="1"/>
  <c r="HS25" i="1"/>
  <c r="HR25" i="1" s="1"/>
  <c r="HS27" i="1"/>
  <c r="HR27" i="1" s="1"/>
  <c r="HS29" i="1"/>
  <c r="HR29" i="1" s="1"/>
  <c r="HS31" i="1"/>
  <c r="HR31" i="1" s="1"/>
  <c r="HS33" i="1"/>
  <c r="HR33" i="1" s="1"/>
  <c r="HS34" i="1"/>
  <c r="HR34" i="1" s="1"/>
  <c r="HS35" i="1"/>
  <c r="HR35" i="1" s="1"/>
  <c r="HS36" i="1"/>
  <c r="HR36" i="1" s="1"/>
  <c r="HQ22" i="1"/>
  <c r="HP22" i="1" s="1"/>
  <c r="HQ24" i="1"/>
  <c r="HP24" i="1" s="1"/>
  <c r="HQ26" i="1"/>
  <c r="HP26" i="1" s="1"/>
  <c r="HQ28" i="1"/>
  <c r="HP28" i="1" s="1"/>
  <c r="HQ30" i="1"/>
  <c r="HP30" i="1" s="1"/>
  <c r="HQ32" i="1"/>
  <c r="HP32" i="1" s="1"/>
  <c r="HQ21" i="1"/>
  <c r="HP21" i="1" s="1"/>
  <c r="HQ23" i="1"/>
  <c r="HP23" i="1" s="1"/>
  <c r="HQ25" i="1"/>
  <c r="HP25" i="1" s="1"/>
  <c r="HQ27" i="1"/>
  <c r="HP27" i="1" s="1"/>
  <c r="HQ29" i="1"/>
  <c r="HP29" i="1" s="1"/>
  <c r="HQ31" i="1"/>
  <c r="HP31" i="1" s="1"/>
  <c r="HQ33" i="1"/>
  <c r="HP33" i="1" s="1"/>
  <c r="HQ34" i="1"/>
  <c r="HP34" i="1" s="1"/>
  <c r="HQ35" i="1"/>
  <c r="HP35" i="1" s="1"/>
  <c r="HQ36" i="1"/>
  <c r="HP36" i="1" s="1"/>
  <c r="HO22" i="1"/>
  <c r="HN22" i="1" s="1"/>
  <c r="HO24" i="1"/>
  <c r="HN24" i="1" s="1"/>
  <c r="HO26" i="1"/>
  <c r="HN26" i="1" s="1"/>
  <c r="HO28" i="1"/>
  <c r="HN28" i="1" s="1"/>
  <c r="HO30" i="1"/>
  <c r="HN30" i="1" s="1"/>
  <c r="HO32" i="1"/>
  <c r="HN32" i="1" s="1"/>
  <c r="HO21" i="1"/>
  <c r="HN21" i="1" s="1"/>
  <c r="HO23" i="1"/>
  <c r="HN23" i="1" s="1"/>
  <c r="HO25" i="1"/>
  <c r="HN25" i="1" s="1"/>
  <c r="HO27" i="1"/>
  <c r="HN27" i="1" s="1"/>
  <c r="HO29" i="1"/>
  <c r="HN29" i="1" s="1"/>
  <c r="HO31" i="1"/>
  <c r="HN31" i="1" s="1"/>
  <c r="HO33" i="1"/>
  <c r="HN33" i="1" s="1"/>
  <c r="HO34" i="1"/>
  <c r="HN34" i="1" s="1"/>
  <c r="HO35" i="1"/>
  <c r="HN35" i="1" s="1"/>
  <c r="HO36" i="1"/>
  <c r="HN36" i="1" s="1"/>
  <c r="HM22" i="1"/>
  <c r="HL22" i="1" s="1"/>
  <c r="HM24" i="1"/>
  <c r="HL24" i="1" s="1"/>
  <c r="HM26" i="1"/>
  <c r="HL26" i="1" s="1"/>
  <c r="HM28" i="1"/>
  <c r="HL28" i="1" s="1"/>
  <c r="HM30" i="1"/>
  <c r="HL30" i="1" s="1"/>
  <c r="HM32" i="1"/>
  <c r="HL32" i="1" s="1"/>
  <c r="HM21" i="1"/>
  <c r="HL21" i="1" s="1"/>
  <c r="HM23" i="1"/>
  <c r="HL23" i="1" s="1"/>
  <c r="HM25" i="1"/>
  <c r="HL25" i="1" s="1"/>
  <c r="HM27" i="1"/>
  <c r="HL27" i="1" s="1"/>
  <c r="HM29" i="1"/>
  <c r="HL29" i="1" s="1"/>
  <c r="HM31" i="1"/>
  <c r="HL31" i="1" s="1"/>
  <c r="HM33" i="1"/>
  <c r="HL33" i="1" s="1"/>
  <c r="HM34" i="1"/>
  <c r="HL34" i="1" s="1"/>
  <c r="HM35" i="1"/>
  <c r="HL35" i="1" s="1"/>
  <c r="HM36" i="1"/>
  <c r="HL36" i="1" s="1"/>
  <c r="HK22" i="1"/>
  <c r="HJ22" i="1" s="1"/>
  <c r="HK24" i="1"/>
  <c r="HJ24" i="1" s="1"/>
  <c r="HK26" i="1"/>
  <c r="HJ26" i="1" s="1"/>
  <c r="HK28" i="1"/>
  <c r="HJ28" i="1" s="1"/>
  <c r="HK30" i="1"/>
  <c r="HJ30" i="1" s="1"/>
  <c r="HK32" i="1"/>
  <c r="HJ32" i="1" s="1"/>
  <c r="HK21" i="1"/>
  <c r="HJ21" i="1" s="1"/>
  <c r="HK23" i="1"/>
  <c r="HJ23" i="1" s="1"/>
  <c r="HK25" i="1"/>
  <c r="HJ25" i="1" s="1"/>
  <c r="HK27" i="1"/>
  <c r="HJ27" i="1" s="1"/>
  <c r="HK29" i="1"/>
  <c r="HJ29" i="1" s="1"/>
  <c r="HK31" i="1"/>
  <c r="HJ31" i="1" s="1"/>
  <c r="HK33" i="1"/>
  <c r="HJ33" i="1" s="1"/>
  <c r="HK34" i="1"/>
  <c r="HJ34" i="1" s="1"/>
  <c r="HK35" i="1"/>
  <c r="HJ35" i="1" s="1"/>
  <c r="HK36" i="1"/>
  <c r="HJ36" i="1" s="1"/>
  <c r="HI22" i="1"/>
  <c r="HH22" i="1" s="1"/>
  <c r="HI24" i="1"/>
  <c r="HH24" i="1" s="1"/>
  <c r="HI26" i="1"/>
  <c r="HH26" i="1" s="1"/>
  <c r="HI28" i="1"/>
  <c r="HH28" i="1" s="1"/>
  <c r="HI30" i="1"/>
  <c r="HH30" i="1" s="1"/>
  <c r="HI32" i="1"/>
  <c r="HH32" i="1" s="1"/>
  <c r="HI21" i="1"/>
  <c r="HH21" i="1" s="1"/>
  <c r="HI23" i="1"/>
  <c r="HH23" i="1" s="1"/>
  <c r="HI25" i="1"/>
  <c r="HH25" i="1" s="1"/>
  <c r="HI27" i="1"/>
  <c r="HH27" i="1" s="1"/>
  <c r="HI29" i="1"/>
  <c r="HH29" i="1" s="1"/>
  <c r="HI31" i="1"/>
  <c r="HH31" i="1" s="1"/>
  <c r="HI33" i="1"/>
  <c r="HH33" i="1" s="1"/>
  <c r="HI34" i="1"/>
  <c r="HH34" i="1" s="1"/>
  <c r="HI35" i="1"/>
  <c r="HH35" i="1" s="1"/>
  <c r="HI36" i="1"/>
  <c r="HH36" i="1" s="1"/>
  <c r="HG22" i="1"/>
  <c r="HF22" i="1" s="1"/>
  <c r="HG24" i="1"/>
  <c r="HF24" i="1" s="1"/>
  <c r="HG26" i="1"/>
  <c r="HF26" i="1" s="1"/>
  <c r="HG28" i="1"/>
  <c r="HF28" i="1" s="1"/>
  <c r="HG30" i="1"/>
  <c r="HF30" i="1" s="1"/>
  <c r="HG32" i="1"/>
  <c r="HF32" i="1" s="1"/>
  <c r="HG21" i="1"/>
  <c r="HF21" i="1" s="1"/>
  <c r="HG23" i="1"/>
  <c r="HF23" i="1" s="1"/>
  <c r="HG25" i="1"/>
  <c r="HF25" i="1" s="1"/>
  <c r="HG27" i="1"/>
  <c r="HF27" i="1" s="1"/>
  <c r="HG29" i="1"/>
  <c r="HF29" i="1" s="1"/>
  <c r="HG31" i="1"/>
  <c r="HF31" i="1" s="1"/>
  <c r="HG33" i="1"/>
  <c r="HF33" i="1" s="1"/>
  <c r="HG34" i="1"/>
  <c r="HF34" i="1" s="1"/>
  <c r="HG35" i="1"/>
  <c r="HF35" i="1" s="1"/>
  <c r="HG36" i="1"/>
  <c r="HF36" i="1" s="1"/>
  <c r="HE22" i="1"/>
  <c r="HD22" i="1" s="1"/>
  <c r="HE24" i="1"/>
  <c r="HD24" i="1" s="1"/>
  <c r="HE26" i="1"/>
  <c r="HD26" i="1" s="1"/>
  <c r="HE28" i="1"/>
  <c r="HD28" i="1" s="1"/>
  <c r="HE30" i="1"/>
  <c r="HD30" i="1" s="1"/>
  <c r="HE32" i="1"/>
  <c r="HD32" i="1" s="1"/>
  <c r="HE21" i="1"/>
  <c r="HD21" i="1" s="1"/>
  <c r="HE23" i="1"/>
  <c r="HD23" i="1" s="1"/>
  <c r="HE25" i="1"/>
  <c r="HD25" i="1" s="1"/>
  <c r="HE27" i="1"/>
  <c r="HD27" i="1" s="1"/>
  <c r="HE29" i="1"/>
  <c r="HD29" i="1" s="1"/>
  <c r="HE31" i="1"/>
  <c r="HD31" i="1" s="1"/>
  <c r="HE33" i="1"/>
  <c r="HD33" i="1" s="1"/>
  <c r="HE34" i="1"/>
  <c r="HD34" i="1" s="1"/>
  <c r="HE35" i="1"/>
  <c r="HD35" i="1" s="1"/>
  <c r="HE36" i="1"/>
  <c r="HD36" i="1" s="1"/>
  <c r="HC22" i="1"/>
  <c r="HB22" i="1" s="1"/>
  <c r="HC24" i="1"/>
  <c r="HB24" i="1" s="1"/>
  <c r="HC26" i="1"/>
  <c r="HB26" i="1" s="1"/>
  <c r="HC28" i="1"/>
  <c r="HB28" i="1" s="1"/>
  <c r="HC30" i="1"/>
  <c r="HB30" i="1" s="1"/>
  <c r="HC32" i="1"/>
  <c r="HB32" i="1" s="1"/>
  <c r="HC21" i="1"/>
  <c r="HB21" i="1" s="1"/>
  <c r="HC23" i="1"/>
  <c r="HB23" i="1" s="1"/>
  <c r="HC25" i="1"/>
  <c r="HB25" i="1" s="1"/>
  <c r="HC27" i="1"/>
  <c r="HB27" i="1" s="1"/>
  <c r="HC29" i="1"/>
  <c r="HB29" i="1" s="1"/>
  <c r="HC31" i="1"/>
  <c r="HB31" i="1" s="1"/>
  <c r="HC33" i="1"/>
  <c r="HB33" i="1" s="1"/>
  <c r="HC34" i="1"/>
  <c r="HB34" i="1" s="1"/>
  <c r="HC35" i="1"/>
  <c r="HB35" i="1" s="1"/>
  <c r="HC36" i="1"/>
  <c r="HB36" i="1" s="1"/>
  <c r="HA22" i="1"/>
  <c r="GZ22" i="1" s="1"/>
  <c r="HA24" i="1"/>
  <c r="GZ24" i="1" s="1"/>
  <c r="HA26" i="1"/>
  <c r="GZ26" i="1" s="1"/>
  <c r="HA28" i="1"/>
  <c r="GZ28" i="1" s="1"/>
  <c r="HA30" i="1"/>
  <c r="GZ30" i="1" s="1"/>
  <c r="HA32" i="1"/>
  <c r="GZ32" i="1" s="1"/>
  <c r="HA21" i="1"/>
  <c r="GZ21" i="1" s="1"/>
  <c r="HA23" i="1"/>
  <c r="GZ23" i="1" s="1"/>
  <c r="HA25" i="1"/>
  <c r="GZ25" i="1" s="1"/>
  <c r="HA27" i="1"/>
  <c r="GZ27" i="1" s="1"/>
  <c r="HA29" i="1"/>
  <c r="GZ29" i="1" s="1"/>
  <c r="HA31" i="1"/>
  <c r="GZ31" i="1" s="1"/>
  <c r="HA33" i="1"/>
  <c r="GZ33" i="1" s="1"/>
  <c r="HA34" i="1"/>
  <c r="GZ34" i="1" s="1"/>
  <c r="HA35" i="1"/>
  <c r="GZ35" i="1" s="1"/>
  <c r="HA36" i="1"/>
  <c r="GZ36" i="1" s="1"/>
  <c r="GY22" i="1"/>
  <c r="GX22" i="1" s="1"/>
  <c r="GY24" i="1"/>
  <c r="GX24" i="1" s="1"/>
  <c r="GY26" i="1"/>
  <c r="GX26" i="1" s="1"/>
  <c r="GY28" i="1"/>
  <c r="GX28" i="1" s="1"/>
  <c r="GY30" i="1"/>
  <c r="GX30" i="1" s="1"/>
  <c r="GY32" i="1"/>
  <c r="GX32" i="1" s="1"/>
  <c r="GY21" i="1"/>
  <c r="GX21" i="1" s="1"/>
  <c r="GY23" i="1"/>
  <c r="GX23" i="1" s="1"/>
  <c r="GY25" i="1"/>
  <c r="GX25" i="1" s="1"/>
  <c r="GY27" i="1"/>
  <c r="GX27" i="1" s="1"/>
  <c r="GY29" i="1"/>
  <c r="GX29" i="1" s="1"/>
  <c r="GY31" i="1"/>
  <c r="GX31" i="1" s="1"/>
  <c r="GY33" i="1"/>
  <c r="GX33" i="1" s="1"/>
  <c r="GY34" i="1"/>
  <c r="GX34" i="1" s="1"/>
  <c r="GY35" i="1"/>
  <c r="GX35" i="1" s="1"/>
  <c r="GY36" i="1"/>
  <c r="GX36" i="1" s="1"/>
  <c r="GW22" i="1"/>
  <c r="GV22" i="1" s="1"/>
  <c r="GW24" i="1"/>
  <c r="GV24" i="1" s="1"/>
  <c r="GW26" i="1"/>
  <c r="GV26" i="1" s="1"/>
  <c r="GW28" i="1"/>
  <c r="GV28" i="1" s="1"/>
  <c r="GW30" i="1"/>
  <c r="GV30" i="1" s="1"/>
  <c r="GW32" i="1"/>
  <c r="GV32" i="1" s="1"/>
  <c r="GW21" i="1"/>
  <c r="GV21" i="1" s="1"/>
  <c r="GW23" i="1"/>
  <c r="GV23" i="1" s="1"/>
  <c r="GW25" i="1"/>
  <c r="GV25" i="1" s="1"/>
  <c r="GW27" i="1"/>
  <c r="GV27" i="1" s="1"/>
  <c r="GW29" i="1"/>
  <c r="GV29" i="1" s="1"/>
  <c r="GW31" i="1"/>
  <c r="GV31" i="1" s="1"/>
  <c r="GW33" i="1"/>
  <c r="GV33" i="1" s="1"/>
  <c r="GW34" i="1"/>
  <c r="GV34" i="1" s="1"/>
  <c r="GW35" i="1"/>
  <c r="GV35" i="1" s="1"/>
  <c r="GW36" i="1"/>
  <c r="GV36" i="1" s="1"/>
  <c r="GU22" i="1"/>
  <c r="GT22" i="1" s="1"/>
  <c r="GU24" i="1"/>
  <c r="GT24" i="1" s="1"/>
  <c r="GU26" i="1"/>
  <c r="GT26" i="1" s="1"/>
  <c r="GU28" i="1"/>
  <c r="GT28" i="1" s="1"/>
  <c r="GU30" i="1"/>
  <c r="GT30" i="1" s="1"/>
  <c r="GU32" i="1"/>
  <c r="GT32" i="1" s="1"/>
  <c r="GU21" i="1"/>
  <c r="GT21" i="1" s="1"/>
  <c r="GU23" i="1"/>
  <c r="GT23" i="1" s="1"/>
  <c r="GU25" i="1"/>
  <c r="GT25" i="1" s="1"/>
  <c r="GU27" i="1"/>
  <c r="GT27" i="1" s="1"/>
  <c r="GU29" i="1"/>
  <c r="GT29" i="1" s="1"/>
  <c r="GU31" i="1"/>
  <c r="GT31" i="1" s="1"/>
  <c r="GU33" i="1"/>
  <c r="GT33" i="1" s="1"/>
  <c r="GU34" i="1"/>
  <c r="GT34" i="1" s="1"/>
  <c r="GU35" i="1"/>
  <c r="GT35" i="1" s="1"/>
  <c r="GU36" i="1"/>
  <c r="GT36" i="1" s="1"/>
  <c r="GS22" i="1"/>
  <c r="GR22" i="1" s="1"/>
  <c r="GS24" i="1"/>
  <c r="GR24" i="1" s="1"/>
  <c r="GS26" i="1"/>
  <c r="GR26" i="1" s="1"/>
  <c r="GS28" i="1"/>
  <c r="GR28" i="1" s="1"/>
  <c r="GS30" i="1"/>
  <c r="GR30" i="1" s="1"/>
  <c r="GS32" i="1"/>
  <c r="GR32" i="1" s="1"/>
  <c r="GS21" i="1"/>
  <c r="GR21" i="1" s="1"/>
  <c r="GS23" i="1"/>
  <c r="GR23" i="1" s="1"/>
  <c r="GS25" i="1"/>
  <c r="GR25" i="1" s="1"/>
  <c r="GS27" i="1"/>
  <c r="GR27" i="1" s="1"/>
  <c r="GS29" i="1"/>
  <c r="GR29" i="1" s="1"/>
  <c r="GS31" i="1"/>
  <c r="GR31" i="1" s="1"/>
  <c r="GS33" i="1"/>
  <c r="GR33" i="1" s="1"/>
  <c r="GS34" i="1"/>
  <c r="GR34" i="1" s="1"/>
  <c r="GS35" i="1"/>
  <c r="GR35" i="1" s="1"/>
  <c r="GS36" i="1"/>
  <c r="GR36" i="1" s="1"/>
  <c r="GQ22" i="1"/>
  <c r="GP22" i="1" s="1"/>
  <c r="GQ24" i="1"/>
  <c r="GP24" i="1" s="1"/>
  <c r="GQ26" i="1"/>
  <c r="GP26" i="1" s="1"/>
  <c r="GQ28" i="1"/>
  <c r="GP28" i="1" s="1"/>
  <c r="GQ30" i="1"/>
  <c r="GP30" i="1" s="1"/>
  <c r="GQ32" i="1"/>
  <c r="GP32" i="1" s="1"/>
  <c r="GQ21" i="1"/>
  <c r="GP21" i="1" s="1"/>
  <c r="GQ23" i="1"/>
  <c r="GP23" i="1" s="1"/>
  <c r="GQ25" i="1"/>
  <c r="GP25" i="1" s="1"/>
  <c r="GQ27" i="1"/>
  <c r="GP27" i="1" s="1"/>
  <c r="GQ29" i="1"/>
  <c r="GP29" i="1" s="1"/>
  <c r="GQ31" i="1"/>
  <c r="GP31" i="1" s="1"/>
  <c r="GQ33" i="1"/>
  <c r="GP33" i="1" s="1"/>
  <c r="GQ34" i="1"/>
  <c r="GP34" i="1" s="1"/>
  <c r="GQ35" i="1"/>
  <c r="GP35" i="1" s="1"/>
  <c r="GQ36" i="1"/>
  <c r="GP36" i="1" s="1"/>
  <c r="GO22" i="1"/>
  <c r="GN22" i="1" s="1"/>
  <c r="GO24" i="1"/>
  <c r="GN24" i="1" s="1"/>
  <c r="GO26" i="1"/>
  <c r="GN26" i="1" s="1"/>
  <c r="GO28" i="1"/>
  <c r="GN28" i="1" s="1"/>
  <c r="GO30" i="1"/>
  <c r="GN30" i="1" s="1"/>
  <c r="GO32" i="1"/>
  <c r="GN32" i="1" s="1"/>
  <c r="GO21" i="1"/>
  <c r="GN21" i="1" s="1"/>
  <c r="GO23" i="1"/>
  <c r="GN23" i="1" s="1"/>
  <c r="GO25" i="1"/>
  <c r="GN25" i="1" s="1"/>
  <c r="GO27" i="1"/>
  <c r="GN27" i="1" s="1"/>
  <c r="GO29" i="1"/>
  <c r="GN29" i="1" s="1"/>
  <c r="GO31" i="1"/>
  <c r="GN31" i="1" s="1"/>
  <c r="GO33" i="1"/>
  <c r="GN33" i="1" s="1"/>
  <c r="GO34" i="1"/>
  <c r="GN34" i="1" s="1"/>
  <c r="GO35" i="1"/>
  <c r="GN35" i="1" s="1"/>
  <c r="GO36" i="1"/>
  <c r="GN36" i="1" s="1"/>
  <c r="GM22" i="1"/>
  <c r="GL22" i="1" s="1"/>
  <c r="GM24" i="1"/>
  <c r="GL24" i="1" s="1"/>
  <c r="GM26" i="1"/>
  <c r="GL26" i="1" s="1"/>
  <c r="GM28" i="1"/>
  <c r="GL28" i="1" s="1"/>
  <c r="GM30" i="1"/>
  <c r="GL30" i="1" s="1"/>
  <c r="GM32" i="1"/>
  <c r="GL32" i="1" s="1"/>
  <c r="GM21" i="1"/>
  <c r="GL21" i="1" s="1"/>
  <c r="GM23" i="1"/>
  <c r="GL23" i="1" s="1"/>
  <c r="GM25" i="1"/>
  <c r="GL25" i="1" s="1"/>
  <c r="GM27" i="1"/>
  <c r="GL27" i="1" s="1"/>
  <c r="GM29" i="1"/>
  <c r="GL29" i="1" s="1"/>
  <c r="GM31" i="1"/>
  <c r="GL31" i="1" s="1"/>
  <c r="GM33" i="1"/>
  <c r="GL33" i="1" s="1"/>
  <c r="GM34" i="1"/>
  <c r="GL34" i="1" s="1"/>
  <c r="GM35" i="1"/>
  <c r="GL35" i="1" s="1"/>
  <c r="GM36" i="1"/>
  <c r="GL36" i="1" s="1"/>
  <c r="GK22" i="1"/>
  <c r="GJ22" i="1" s="1"/>
  <c r="GK24" i="1"/>
  <c r="GJ24" i="1" s="1"/>
  <c r="GK26" i="1"/>
  <c r="GJ26" i="1" s="1"/>
  <c r="GK28" i="1"/>
  <c r="GJ28" i="1" s="1"/>
  <c r="GK30" i="1"/>
  <c r="GJ30" i="1" s="1"/>
  <c r="GK32" i="1"/>
  <c r="GJ32" i="1" s="1"/>
  <c r="GK21" i="1"/>
  <c r="GJ21" i="1" s="1"/>
  <c r="GK23" i="1"/>
  <c r="GJ23" i="1" s="1"/>
  <c r="GK25" i="1"/>
  <c r="GJ25" i="1" s="1"/>
  <c r="GK27" i="1"/>
  <c r="GJ27" i="1" s="1"/>
  <c r="GK29" i="1"/>
  <c r="GJ29" i="1" s="1"/>
  <c r="GK31" i="1"/>
  <c r="GJ31" i="1" s="1"/>
  <c r="GK33" i="1"/>
  <c r="GJ33" i="1" s="1"/>
  <c r="GK34" i="1"/>
  <c r="GJ34" i="1" s="1"/>
  <c r="GK35" i="1"/>
  <c r="GJ35" i="1" s="1"/>
  <c r="GK36" i="1"/>
  <c r="GJ36" i="1" s="1"/>
  <c r="GI22" i="1"/>
  <c r="GH22" i="1" s="1"/>
  <c r="GI24" i="1"/>
  <c r="GH24" i="1" s="1"/>
  <c r="GI26" i="1"/>
  <c r="GH26" i="1" s="1"/>
  <c r="GI28" i="1"/>
  <c r="GH28" i="1" s="1"/>
  <c r="GI30" i="1"/>
  <c r="GH30" i="1" s="1"/>
  <c r="GI32" i="1"/>
  <c r="GH32" i="1" s="1"/>
  <c r="GI21" i="1"/>
  <c r="GH21" i="1" s="1"/>
  <c r="GI23" i="1"/>
  <c r="GH23" i="1" s="1"/>
  <c r="GI25" i="1"/>
  <c r="GH25" i="1" s="1"/>
  <c r="GI27" i="1"/>
  <c r="GH27" i="1" s="1"/>
  <c r="GI29" i="1"/>
  <c r="GH29" i="1" s="1"/>
  <c r="GI31" i="1"/>
  <c r="GH31" i="1" s="1"/>
  <c r="GI33" i="1"/>
  <c r="GH33" i="1" s="1"/>
  <c r="GI34" i="1"/>
  <c r="GH34" i="1" s="1"/>
  <c r="GI35" i="1"/>
  <c r="GH35" i="1" s="1"/>
  <c r="GI36" i="1"/>
  <c r="GH36" i="1" s="1"/>
  <c r="GG22" i="1"/>
  <c r="GF22" i="1" s="1"/>
  <c r="GG24" i="1"/>
  <c r="GF24" i="1" s="1"/>
  <c r="GG26" i="1"/>
  <c r="GF26" i="1" s="1"/>
  <c r="GG28" i="1"/>
  <c r="GF28" i="1" s="1"/>
  <c r="GG30" i="1"/>
  <c r="GF30" i="1" s="1"/>
  <c r="GG32" i="1"/>
  <c r="GF32" i="1" s="1"/>
  <c r="GG21" i="1"/>
  <c r="GF21" i="1" s="1"/>
  <c r="GG23" i="1"/>
  <c r="GF23" i="1" s="1"/>
  <c r="GG25" i="1"/>
  <c r="GF25" i="1" s="1"/>
  <c r="GG27" i="1"/>
  <c r="GF27" i="1" s="1"/>
  <c r="GG29" i="1"/>
  <c r="GF29" i="1" s="1"/>
  <c r="GG31" i="1"/>
  <c r="GF31" i="1" s="1"/>
  <c r="GG33" i="1"/>
  <c r="GF33" i="1" s="1"/>
  <c r="GG34" i="1"/>
  <c r="GF34" i="1" s="1"/>
  <c r="GG35" i="1"/>
  <c r="GF35" i="1" s="1"/>
  <c r="GG36" i="1"/>
  <c r="GF36" i="1" s="1"/>
  <c r="GE22" i="1"/>
  <c r="GD22" i="1" s="1"/>
  <c r="GE24" i="1"/>
  <c r="GD24" i="1" s="1"/>
  <c r="GE26" i="1"/>
  <c r="GD26" i="1" s="1"/>
  <c r="GE28" i="1"/>
  <c r="GD28" i="1" s="1"/>
  <c r="GE30" i="1"/>
  <c r="GD30" i="1" s="1"/>
  <c r="GE32" i="1"/>
  <c r="GD32" i="1" s="1"/>
  <c r="GE21" i="1"/>
  <c r="GD21" i="1" s="1"/>
  <c r="GE23" i="1"/>
  <c r="GD23" i="1" s="1"/>
  <c r="GE25" i="1"/>
  <c r="GD25" i="1" s="1"/>
  <c r="GE27" i="1"/>
  <c r="GD27" i="1" s="1"/>
  <c r="GE29" i="1"/>
  <c r="GD29" i="1" s="1"/>
  <c r="GE31" i="1"/>
  <c r="GD31" i="1" s="1"/>
  <c r="GE33" i="1"/>
  <c r="GD33" i="1" s="1"/>
  <c r="GE34" i="1"/>
  <c r="GD34" i="1" s="1"/>
  <c r="GE35" i="1"/>
  <c r="GD35" i="1" s="1"/>
  <c r="GE36" i="1"/>
  <c r="GD36" i="1" s="1"/>
  <c r="GC22" i="1"/>
  <c r="GB22" i="1" s="1"/>
  <c r="GC24" i="1"/>
  <c r="GB24" i="1" s="1"/>
  <c r="GC26" i="1"/>
  <c r="GB26" i="1" s="1"/>
  <c r="GC28" i="1"/>
  <c r="GB28" i="1" s="1"/>
  <c r="GC30" i="1"/>
  <c r="GB30" i="1" s="1"/>
  <c r="GC32" i="1"/>
  <c r="GB32" i="1" s="1"/>
  <c r="GC21" i="1"/>
  <c r="GB21" i="1" s="1"/>
  <c r="GC23" i="1"/>
  <c r="GB23" i="1" s="1"/>
  <c r="GC25" i="1"/>
  <c r="GB25" i="1" s="1"/>
  <c r="GC27" i="1"/>
  <c r="GB27" i="1" s="1"/>
  <c r="GC29" i="1"/>
  <c r="GB29" i="1" s="1"/>
  <c r="GC31" i="1"/>
  <c r="GB31" i="1" s="1"/>
  <c r="GC33" i="1"/>
  <c r="GB33" i="1" s="1"/>
  <c r="GC34" i="1"/>
  <c r="GB34" i="1" s="1"/>
  <c r="GC35" i="1"/>
  <c r="GB35" i="1" s="1"/>
  <c r="GC36" i="1"/>
  <c r="GB36" i="1" s="1"/>
  <c r="GA22" i="1"/>
  <c r="FZ22" i="1" s="1"/>
  <c r="GA24" i="1"/>
  <c r="FZ24" i="1" s="1"/>
  <c r="GA26" i="1"/>
  <c r="FZ26" i="1" s="1"/>
  <c r="GA28" i="1"/>
  <c r="FZ28" i="1" s="1"/>
  <c r="GA30" i="1"/>
  <c r="FZ30" i="1" s="1"/>
  <c r="GA32" i="1"/>
  <c r="FZ32" i="1" s="1"/>
  <c r="GA21" i="1"/>
  <c r="FZ21" i="1" s="1"/>
  <c r="GA23" i="1"/>
  <c r="FZ23" i="1" s="1"/>
  <c r="GA25" i="1"/>
  <c r="FZ25" i="1" s="1"/>
  <c r="GA27" i="1"/>
  <c r="FZ27" i="1" s="1"/>
  <c r="GA29" i="1"/>
  <c r="FZ29" i="1" s="1"/>
  <c r="GA31" i="1"/>
  <c r="FZ31" i="1" s="1"/>
  <c r="GA33" i="1"/>
  <c r="FZ33" i="1" s="1"/>
  <c r="GA34" i="1"/>
  <c r="FZ34" i="1" s="1"/>
  <c r="GA35" i="1"/>
  <c r="FZ35" i="1" s="1"/>
  <c r="GA36" i="1"/>
  <c r="FZ36" i="1" s="1"/>
  <c r="FY22" i="1"/>
  <c r="FX22" i="1" s="1"/>
  <c r="FY24" i="1"/>
  <c r="FX24" i="1" s="1"/>
  <c r="FY26" i="1"/>
  <c r="FX26" i="1" s="1"/>
  <c r="FY28" i="1"/>
  <c r="FX28" i="1" s="1"/>
  <c r="FY30" i="1"/>
  <c r="FX30" i="1" s="1"/>
  <c r="FY32" i="1"/>
  <c r="FX32" i="1" s="1"/>
  <c r="FY21" i="1"/>
  <c r="FX21" i="1" s="1"/>
  <c r="FY23" i="1"/>
  <c r="FX23" i="1" s="1"/>
  <c r="FY25" i="1"/>
  <c r="FX25" i="1" s="1"/>
  <c r="FY27" i="1"/>
  <c r="FX27" i="1" s="1"/>
  <c r="FY29" i="1"/>
  <c r="FX29" i="1" s="1"/>
  <c r="FY31" i="1"/>
  <c r="FX31" i="1" s="1"/>
  <c r="FY33" i="1"/>
  <c r="FX33" i="1" s="1"/>
  <c r="FY34" i="1"/>
  <c r="FX34" i="1" s="1"/>
  <c r="FY35" i="1"/>
  <c r="FX35" i="1" s="1"/>
  <c r="FY36" i="1"/>
  <c r="FX36" i="1" s="1"/>
  <c r="FW22" i="1"/>
  <c r="FV22" i="1" s="1"/>
  <c r="FW24" i="1"/>
  <c r="FV24" i="1" s="1"/>
  <c r="FW26" i="1"/>
  <c r="FV26" i="1" s="1"/>
  <c r="FW28" i="1"/>
  <c r="FV28" i="1" s="1"/>
  <c r="FW30" i="1"/>
  <c r="FV30" i="1" s="1"/>
  <c r="FW32" i="1"/>
  <c r="FV32" i="1" s="1"/>
  <c r="FW21" i="1"/>
  <c r="FV21" i="1" s="1"/>
  <c r="FW23" i="1"/>
  <c r="FV23" i="1" s="1"/>
  <c r="FW25" i="1"/>
  <c r="FV25" i="1" s="1"/>
  <c r="FW27" i="1"/>
  <c r="FV27" i="1" s="1"/>
  <c r="FW29" i="1"/>
  <c r="FV29" i="1" s="1"/>
  <c r="FW31" i="1"/>
  <c r="FV31" i="1" s="1"/>
  <c r="FW33" i="1"/>
  <c r="FV33" i="1" s="1"/>
  <c r="FW34" i="1"/>
  <c r="FV34" i="1" s="1"/>
  <c r="FW35" i="1"/>
  <c r="FV35" i="1" s="1"/>
  <c r="FW36" i="1"/>
  <c r="FV36" i="1" s="1"/>
  <c r="FU22" i="1"/>
  <c r="FU24" i="1"/>
  <c r="FU26" i="1"/>
  <c r="FU28" i="1"/>
  <c r="FU30" i="1"/>
  <c r="FU32" i="1"/>
  <c r="FU21" i="1"/>
  <c r="FU23" i="1"/>
  <c r="FU25" i="1"/>
  <c r="FU27" i="1"/>
  <c r="FU29" i="1"/>
  <c r="FU31" i="1"/>
  <c r="FU33" i="1"/>
  <c r="FU34" i="1"/>
  <c r="FU35" i="1"/>
  <c r="FU36" i="1"/>
  <c r="FT22" i="1"/>
  <c r="FT24" i="1"/>
  <c r="FT26" i="1"/>
  <c r="FT28" i="1"/>
  <c r="FT30" i="1"/>
  <c r="FT32" i="1"/>
  <c r="FT21" i="1"/>
  <c r="FT23" i="1"/>
  <c r="FT25" i="1"/>
  <c r="FT27" i="1"/>
  <c r="FT29" i="1"/>
  <c r="FT31" i="1"/>
  <c r="FT33" i="1"/>
  <c r="FT34" i="1"/>
  <c r="FT35" i="1"/>
  <c r="FT36" i="1"/>
  <c r="FS22" i="1"/>
  <c r="FS24" i="1"/>
  <c r="FS26" i="1"/>
  <c r="FS28" i="1"/>
  <c r="FS30" i="1"/>
  <c r="FS32" i="1"/>
  <c r="FS21" i="1"/>
  <c r="FS23" i="1"/>
  <c r="FS25" i="1"/>
  <c r="FS27" i="1"/>
  <c r="FS29" i="1"/>
  <c r="FS31" i="1"/>
  <c r="FS33" i="1"/>
  <c r="FS34" i="1"/>
  <c r="FS35" i="1"/>
  <c r="FS36" i="1"/>
  <c r="FR22" i="1"/>
  <c r="FR24" i="1"/>
  <c r="FR26" i="1"/>
  <c r="FR28" i="1"/>
  <c r="FR30" i="1"/>
  <c r="FR32" i="1"/>
  <c r="FR21" i="1"/>
  <c r="FR23" i="1"/>
  <c r="FR25" i="1"/>
  <c r="FR27" i="1"/>
  <c r="FR29" i="1"/>
  <c r="FR31" i="1"/>
  <c r="FR33" i="1"/>
  <c r="FR34" i="1"/>
  <c r="FR35" i="1"/>
  <c r="FR36" i="1"/>
  <c r="FQ22" i="1"/>
  <c r="FQ24" i="1"/>
  <c r="FQ26" i="1"/>
  <c r="FQ28" i="1"/>
  <c r="FQ30" i="1"/>
  <c r="FQ32" i="1"/>
  <c r="FQ21" i="1"/>
  <c r="FQ23" i="1"/>
  <c r="FQ25" i="1"/>
  <c r="FQ27" i="1"/>
  <c r="FQ29" i="1"/>
  <c r="FQ31" i="1"/>
  <c r="FQ33" i="1"/>
  <c r="FQ34" i="1"/>
  <c r="FQ35" i="1"/>
  <c r="FQ36" i="1"/>
  <c r="FP22" i="1"/>
  <c r="FP24" i="1"/>
  <c r="FP26" i="1"/>
  <c r="FP28" i="1"/>
  <c r="FP30" i="1"/>
  <c r="FP32" i="1"/>
  <c r="FP21" i="1"/>
  <c r="FP23" i="1"/>
  <c r="FP25" i="1"/>
  <c r="FP27" i="1"/>
  <c r="FP29" i="1"/>
  <c r="FP31" i="1"/>
  <c r="FP33" i="1"/>
  <c r="FP34" i="1"/>
  <c r="FP35" i="1"/>
  <c r="FP36" i="1"/>
  <c r="FO22" i="1"/>
  <c r="FO24" i="1"/>
  <c r="FO26" i="1"/>
  <c r="FO28" i="1"/>
  <c r="FO30" i="1"/>
  <c r="FO32" i="1"/>
  <c r="FO21" i="1"/>
  <c r="FO23" i="1"/>
  <c r="FO25" i="1"/>
  <c r="FO27" i="1"/>
  <c r="FO29" i="1"/>
  <c r="FO31" i="1"/>
  <c r="FO33" i="1"/>
  <c r="FO34" i="1"/>
  <c r="FO35" i="1"/>
  <c r="FO36" i="1"/>
  <c r="FN22" i="1"/>
  <c r="FN24" i="1"/>
  <c r="FN26" i="1"/>
  <c r="FN28" i="1"/>
  <c r="FN30" i="1"/>
  <c r="FN32" i="1"/>
  <c r="FN21" i="1"/>
  <c r="FN23" i="1"/>
  <c r="FN25" i="1"/>
  <c r="FN27" i="1"/>
  <c r="FN29" i="1"/>
  <c r="FN31" i="1"/>
  <c r="FN33" i="1"/>
  <c r="FN34" i="1"/>
  <c r="FN35" i="1"/>
  <c r="FN36" i="1"/>
  <c r="FM22" i="1"/>
  <c r="FM24" i="1"/>
  <c r="FM26" i="1"/>
  <c r="FM28" i="1"/>
  <c r="FM30" i="1"/>
  <c r="FM32" i="1"/>
  <c r="FM21" i="1"/>
  <c r="FM23" i="1"/>
  <c r="FM25" i="1"/>
  <c r="FM27" i="1"/>
  <c r="FM29" i="1"/>
  <c r="FM31" i="1"/>
  <c r="FM33" i="1"/>
  <c r="FM34" i="1"/>
  <c r="FM35" i="1"/>
  <c r="FM36" i="1"/>
  <c r="FL22" i="1"/>
  <c r="FL24" i="1"/>
  <c r="FL26" i="1"/>
  <c r="FL28" i="1"/>
  <c r="FL30" i="1"/>
  <c r="FL32" i="1"/>
  <c r="FL21" i="1"/>
  <c r="FL23" i="1"/>
  <c r="FL25" i="1"/>
  <c r="FL27" i="1"/>
  <c r="FL29" i="1"/>
  <c r="FL31" i="1"/>
  <c r="FL33" i="1"/>
  <c r="FL34" i="1"/>
  <c r="FL35" i="1"/>
  <c r="FL36" i="1"/>
  <c r="FK22" i="1"/>
  <c r="FK24" i="1"/>
  <c r="FK26" i="1"/>
  <c r="FK28" i="1"/>
  <c r="FK30" i="1"/>
  <c r="FK32" i="1"/>
  <c r="FK21" i="1"/>
  <c r="FK23" i="1"/>
  <c r="FK25" i="1"/>
  <c r="FK27" i="1"/>
  <c r="FK29" i="1"/>
  <c r="FK31" i="1"/>
  <c r="FK33" i="1"/>
  <c r="FK34" i="1"/>
  <c r="FK35" i="1"/>
  <c r="FK36" i="1"/>
  <c r="FJ22" i="1"/>
  <c r="FJ24" i="1"/>
  <c r="FJ26" i="1"/>
  <c r="FJ28" i="1"/>
  <c r="FJ30" i="1"/>
  <c r="FJ32" i="1"/>
  <c r="FJ21" i="1"/>
  <c r="FJ23" i="1"/>
  <c r="FJ25" i="1"/>
  <c r="FJ27" i="1"/>
  <c r="FJ29" i="1"/>
  <c r="FJ31" i="1"/>
  <c r="FJ33" i="1"/>
  <c r="FJ34" i="1"/>
  <c r="FJ35" i="1"/>
  <c r="FJ36" i="1"/>
  <c r="FI22" i="1"/>
  <c r="FI24" i="1"/>
  <c r="FI26" i="1"/>
  <c r="FI28" i="1"/>
  <c r="FI30" i="1"/>
  <c r="FI32" i="1"/>
  <c r="FI21" i="1"/>
  <c r="FI23" i="1"/>
  <c r="FI25" i="1"/>
  <c r="FI27" i="1"/>
  <c r="FI29" i="1"/>
  <c r="FI31" i="1"/>
  <c r="FI33" i="1"/>
  <c r="FI34" i="1"/>
  <c r="FI35" i="1"/>
  <c r="FI36" i="1"/>
  <c r="FH22" i="1"/>
  <c r="FH24" i="1"/>
  <c r="FH26" i="1"/>
  <c r="FH28" i="1"/>
  <c r="FH30" i="1"/>
  <c r="FH32" i="1"/>
  <c r="FH21" i="1"/>
  <c r="FH23" i="1"/>
  <c r="FH25" i="1"/>
  <c r="FH27" i="1"/>
  <c r="FH29" i="1"/>
  <c r="FH31" i="1"/>
  <c r="FH33" i="1"/>
  <c r="FH34" i="1"/>
  <c r="FH35" i="1"/>
  <c r="FH36" i="1"/>
  <c r="FG22" i="1"/>
  <c r="FG24" i="1"/>
  <c r="FG26" i="1"/>
  <c r="FG28" i="1"/>
  <c r="FG30" i="1"/>
  <c r="FG32" i="1"/>
  <c r="FG21" i="1"/>
  <c r="FG23" i="1"/>
  <c r="FG25" i="1"/>
  <c r="FG27" i="1"/>
  <c r="FG29" i="1"/>
  <c r="FG31" i="1"/>
  <c r="FG33" i="1"/>
  <c r="FG34" i="1"/>
  <c r="FG35" i="1"/>
  <c r="FG36" i="1"/>
  <c r="FF22" i="1"/>
  <c r="FF24" i="1"/>
  <c r="FF26" i="1"/>
  <c r="FF28" i="1"/>
  <c r="FF30" i="1"/>
  <c r="FF32" i="1"/>
  <c r="FF21" i="1"/>
  <c r="FF23" i="1"/>
  <c r="FF25" i="1"/>
  <c r="FF27" i="1"/>
  <c r="FF29" i="1"/>
  <c r="FF31" i="1"/>
  <c r="FF33" i="1"/>
  <c r="FF34" i="1"/>
  <c r="FF35" i="1"/>
  <c r="FF36" i="1"/>
  <c r="FE22" i="1"/>
  <c r="FE24" i="1"/>
  <c r="FE26" i="1"/>
  <c r="FE28" i="1"/>
  <c r="FE30" i="1"/>
  <c r="FE32" i="1"/>
  <c r="FE21" i="1"/>
  <c r="FE23" i="1"/>
  <c r="FE25" i="1"/>
  <c r="FE27" i="1"/>
  <c r="FE29" i="1"/>
  <c r="FE31" i="1"/>
  <c r="FE33" i="1"/>
  <c r="FE34" i="1"/>
  <c r="FE35" i="1"/>
  <c r="FE36" i="1"/>
  <c r="FD22" i="1"/>
  <c r="FD24" i="1"/>
  <c r="FD26" i="1"/>
  <c r="FD28" i="1"/>
  <c r="FD30" i="1"/>
  <c r="FD32" i="1"/>
  <c r="FD21" i="1"/>
  <c r="FD23" i="1"/>
  <c r="FD25" i="1"/>
  <c r="FD27" i="1"/>
  <c r="FD29" i="1"/>
  <c r="FD31" i="1"/>
  <c r="FD33" i="1"/>
  <c r="FD34" i="1"/>
  <c r="FD35" i="1"/>
  <c r="FD36" i="1"/>
  <c r="FC22" i="1"/>
  <c r="FC24" i="1"/>
  <c r="FC26" i="1"/>
  <c r="FC28" i="1"/>
  <c r="FC30" i="1"/>
  <c r="FC32" i="1"/>
  <c r="FC21" i="1"/>
  <c r="FC23" i="1"/>
  <c r="FC25" i="1"/>
  <c r="FC27" i="1"/>
  <c r="FC29" i="1"/>
  <c r="FC31" i="1"/>
  <c r="FC33" i="1"/>
  <c r="FC34" i="1"/>
  <c r="FC35" i="1"/>
  <c r="FC36" i="1"/>
  <c r="FB22" i="1"/>
  <c r="FB24" i="1"/>
  <c r="FB26" i="1"/>
  <c r="FB28" i="1"/>
  <c r="FB30" i="1"/>
  <c r="FB32" i="1"/>
  <c r="FB21" i="1"/>
  <c r="FB23" i="1"/>
  <c r="FB25" i="1"/>
  <c r="FB27" i="1"/>
  <c r="FB29" i="1"/>
  <c r="FB31" i="1"/>
  <c r="FB33" i="1"/>
  <c r="FB34" i="1"/>
  <c r="FB35" i="1"/>
  <c r="FB36" i="1"/>
  <c r="FA22" i="1"/>
  <c r="FA24" i="1"/>
  <c r="FA26" i="1"/>
  <c r="FA28" i="1"/>
  <c r="FA30" i="1"/>
  <c r="FA32" i="1"/>
  <c r="FA21" i="1"/>
  <c r="FA23" i="1"/>
  <c r="FA25" i="1"/>
  <c r="FA27" i="1"/>
  <c r="FA29" i="1"/>
  <c r="FA31" i="1"/>
  <c r="FA33" i="1"/>
  <c r="FA34" i="1"/>
  <c r="FA35" i="1"/>
  <c r="FA36" i="1"/>
  <c r="EZ22" i="1"/>
  <c r="EZ24" i="1"/>
  <c r="EZ26" i="1"/>
  <c r="EZ28" i="1"/>
  <c r="EZ30" i="1"/>
  <c r="EZ32" i="1"/>
  <c r="EZ21" i="1"/>
  <c r="EZ23" i="1"/>
  <c r="EZ25" i="1"/>
  <c r="EZ27" i="1"/>
  <c r="EZ29" i="1"/>
  <c r="EZ31" i="1"/>
  <c r="EZ33" i="1"/>
  <c r="EZ34" i="1"/>
  <c r="EZ35" i="1"/>
  <c r="EZ36" i="1"/>
  <c r="EY22" i="1"/>
  <c r="EY24" i="1"/>
  <c r="EY26" i="1"/>
  <c r="EY28" i="1"/>
  <c r="EY30" i="1"/>
  <c r="EY32" i="1"/>
  <c r="EY21" i="1"/>
  <c r="EY23" i="1"/>
  <c r="EY25" i="1"/>
  <c r="EY27" i="1"/>
  <c r="EY29" i="1"/>
  <c r="EY31" i="1"/>
  <c r="EY33" i="1"/>
  <c r="EY34" i="1"/>
  <c r="EY35" i="1"/>
  <c r="EY36" i="1"/>
  <c r="EX22" i="1"/>
  <c r="EX24" i="1"/>
  <c r="EX26" i="1"/>
  <c r="EX28" i="1"/>
  <c r="EX30" i="1"/>
  <c r="EX32" i="1"/>
  <c r="EX21" i="1"/>
  <c r="EX23" i="1"/>
  <c r="EX25" i="1"/>
  <c r="EX27" i="1"/>
  <c r="EX29" i="1"/>
  <c r="EX31" i="1"/>
  <c r="EX33" i="1"/>
  <c r="EX34" i="1"/>
  <c r="EX35" i="1"/>
  <c r="EX36" i="1"/>
  <c r="EW22" i="1"/>
  <c r="EW24" i="1"/>
  <c r="EW26" i="1"/>
  <c r="EW28" i="1"/>
  <c r="EW30" i="1"/>
  <c r="EW32" i="1"/>
  <c r="EW21" i="1"/>
  <c r="EW23" i="1"/>
  <c r="EW25" i="1"/>
  <c r="EW27" i="1"/>
  <c r="EW29" i="1"/>
  <c r="EW31" i="1"/>
  <c r="EW33" i="1"/>
  <c r="EW34" i="1"/>
  <c r="EW35" i="1"/>
  <c r="EW36" i="1"/>
  <c r="EV22" i="1"/>
  <c r="EV24" i="1"/>
  <c r="EV26" i="1"/>
  <c r="EV28" i="1"/>
  <c r="EV30" i="1"/>
  <c r="EV32" i="1"/>
  <c r="EV21" i="1"/>
  <c r="EV23" i="1"/>
  <c r="EV25" i="1"/>
  <c r="EV27" i="1"/>
  <c r="EV29" i="1"/>
  <c r="EV31" i="1"/>
  <c r="EV33" i="1"/>
  <c r="EV34" i="1"/>
  <c r="EV35" i="1"/>
  <c r="EV36" i="1"/>
  <c r="EU22" i="1"/>
  <c r="EU24" i="1"/>
  <c r="EU26" i="1"/>
  <c r="EU28" i="1"/>
  <c r="EU30" i="1"/>
  <c r="EU32" i="1"/>
  <c r="EU21" i="1"/>
  <c r="EU23" i="1"/>
  <c r="EU25" i="1"/>
  <c r="EU27" i="1"/>
  <c r="EU29" i="1"/>
  <c r="EU31" i="1"/>
  <c r="EU33" i="1"/>
  <c r="EU34" i="1"/>
  <c r="EU35" i="1"/>
  <c r="EU36" i="1"/>
  <c r="ET22" i="1"/>
  <c r="ET24" i="1"/>
  <c r="ET26" i="1"/>
  <c r="ET28" i="1"/>
  <c r="ET30" i="1"/>
  <c r="ET32" i="1"/>
  <c r="ET21" i="1"/>
  <c r="ET23" i="1"/>
  <c r="ET25" i="1"/>
  <c r="ET27" i="1"/>
  <c r="ET29" i="1"/>
  <c r="ET31" i="1"/>
  <c r="ET33" i="1"/>
  <c r="ET34" i="1"/>
  <c r="ET35" i="1"/>
  <c r="ET36" i="1"/>
  <c r="ES22" i="1"/>
  <c r="ES24" i="1"/>
  <c r="ES26" i="1"/>
  <c r="ES28" i="1"/>
  <c r="ES30" i="1"/>
  <c r="ES32" i="1"/>
  <c r="ES21" i="1"/>
  <c r="ES23" i="1"/>
  <c r="ES25" i="1"/>
  <c r="ES27" i="1"/>
  <c r="ES29" i="1"/>
  <c r="ES31" i="1"/>
  <c r="ES33" i="1"/>
  <c r="ES34" i="1"/>
  <c r="ES35" i="1"/>
  <c r="ES36" i="1"/>
  <c r="ER22" i="1"/>
  <c r="ER24" i="1"/>
  <c r="ER26" i="1"/>
  <c r="ER28" i="1"/>
  <c r="ER30" i="1"/>
  <c r="ER32" i="1"/>
  <c r="ER21" i="1"/>
  <c r="ER23" i="1"/>
  <c r="ER25" i="1"/>
  <c r="ER27" i="1"/>
  <c r="ER29" i="1"/>
  <c r="ER31" i="1"/>
  <c r="ER33" i="1"/>
  <c r="ER34" i="1"/>
  <c r="ER35" i="1"/>
  <c r="ER36" i="1"/>
  <c r="EP22" i="1"/>
  <c r="EP24" i="1"/>
  <c r="EP26" i="1"/>
  <c r="EP28" i="1"/>
  <c r="EP30" i="1"/>
  <c r="EP32" i="1"/>
  <c r="EP21" i="1"/>
  <c r="EP23" i="1"/>
  <c r="EP25" i="1"/>
  <c r="EP27" i="1"/>
  <c r="EP29" i="1"/>
  <c r="EP31" i="1"/>
  <c r="EP33" i="1"/>
  <c r="EP34" i="1"/>
  <c r="EP35" i="1"/>
  <c r="EP36" i="1"/>
  <c r="EN22" i="1"/>
  <c r="EM22" i="1" s="1"/>
  <c r="EN24" i="1"/>
  <c r="EM24" i="1" s="1"/>
  <c r="EN26" i="1"/>
  <c r="EM26" i="1" s="1"/>
  <c r="EN28" i="1"/>
  <c r="EM28" i="1" s="1"/>
  <c r="EN30" i="1"/>
  <c r="EM30" i="1" s="1"/>
  <c r="EN32" i="1"/>
  <c r="EM32" i="1" s="1"/>
  <c r="EN21" i="1"/>
  <c r="EM21" i="1" s="1"/>
  <c r="EN23" i="1"/>
  <c r="EM23" i="1" s="1"/>
  <c r="EN25" i="1"/>
  <c r="EM25" i="1" s="1"/>
  <c r="EN27" i="1"/>
  <c r="EM27" i="1" s="1"/>
  <c r="EN29" i="1"/>
  <c r="EM29" i="1" s="1"/>
  <c r="EN31" i="1"/>
  <c r="EM31" i="1" s="1"/>
  <c r="EN33" i="1"/>
  <c r="EM33" i="1" s="1"/>
  <c r="EN34" i="1"/>
  <c r="EM34" i="1" s="1"/>
  <c r="EN35" i="1"/>
  <c r="EM35" i="1" s="1"/>
  <c r="EN36" i="1"/>
  <c r="EM36" i="1" s="1"/>
  <c r="EL22" i="1"/>
  <c r="EK22" i="1" s="1"/>
  <c r="EL24" i="1"/>
  <c r="EK24" i="1" s="1"/>
  <c r="EL26" i="1"/>
  <c r="EK26" i="1" s="1"/>
  <c r="EL28" i="1"/>
  <c r="EK28" i="1" s="1"/>
  <c r="EL30" i="1"/>
  <c r="EK30" i="1" s="1"/>
  <c r="EL32" i="1"/>
  <c r="EK32" i="1" s="1"/>
  <c r="EL21" i="1"/>
  <c r="EK21" i="1" s="1"/>
  <c r="EL23" i="1"/>
  <c r="EK23" i="1" s="1"/>
  <c r="EL25" i="1"/>
  <c r="EK25" i="1" s="1"/>
  <c r="EL27" i="1"/>
  <c r="EK27" i="1" s="1"/>
  <c r="EL29" i="1"/>
  <c r="EK29" i="1" s="1"/>
  <c r="EL31" i="1"/>
  <c r="EK31" i="1" s="1"/>
  <c r="EL33" i="1"/>
  <c r="EK33" i="1" s="1"/>
  <c r="EL34" i="1"/>
  <c r="EK34" i="1" s="1"/>
  <c r="EL35" i="1"/>
  <c r="EK35" i="1" s="1"/>
  <c r="EL36" i="1"/>
  <c r="EK36" i="1" s="1"/>
  <c r="EJ22" i="1"/>
  <c r="EI22" i="1" s="1"/>
  <c r="EJ24" i="1"/>
  <c r="EI24" i="1" s="1"/>
  <c r="EJ26" i="1"/>
  <c r="EI26" i="1" s="1"/>
  <c r="EJ28" i="1"/>
  <c r="EI28" i="1" s="1"/>
  <c r="EJ30" i="1"/>
  <c r="EI30" i="1" s="1"/>
  <c r="EJ32" i="1"/>
  <c r="EI32" i="1" s="1"/>
  <c r="EJ21" i="1"/>
  <c r="EI21" i="1" s="1"/>
  <c r="EJ23" i="1"/>
  <c r="EI23" i="1" s="1"/>
  <c r="EJ25" i="1"/>
  <c r="EI25" i="1" s="1"/>
  <c r="EJ27" i="1"/>
  <c r="EI27" i="1" s="1"/>
  <c r="EJ29" i="1"/>
  <c r="EI29" i="1" s="1"/>
  <c r="EJ31" i="1"/>
  <c r="EI31" i="1" s="1"/>
  <c r="EJ33" i="1"/>
  <c r="EI33" i="1" s="1"/>
  <c r="EJ34" i="1"/>
  <c r="EI34" i="1" s="1"/>
  <c r="EJ35" i="1"/>
  <c r="EI35" i="1" s="1"/>
  <c r="EJ36" i="1"/>
  <c r="EI36" i="1" s="1"/>
  <c r="EH22" i="1"/>
  <c r="EG22" i="1" s="1"/>
  <c r="EH24" i="1"/>
  <c r="EG24" i="1" s="1"/>
  <c r="EH26" i="1"/>
  <c r="EG26" i="1" s="1"/>
  <c r="EH28" i="1"/>
  <c r="EG28" i="1" s="1"/>
  <c r="EH30" i="1"/>
  <c r="EG30" i="1" s="1"/>
  <c r="EH32" i="1"/>
  <c r="EG32" i="1" s="1"/>
  <c r="EH21" i="1"/>
  <c r="EG21" i="1" s="1"/>
  <c r="EH23" i="1"/>
  <c r="EG23" i="1" s="1"/>
  <c r="EH25" i="1"/>
  <c r="EG25" i="1" s="1"/>
  <c r="EH27" i="1"/>
  <c r="EG27" i="1" s="1"/>
  <c r="EH29" i="1"/>
  <c r="EG29" i="1" s="1"/>
  <c r="EH31" i="1"/>
  <c r="EG31" i="1" s="1"/>
  <c r="EH33" i="1"/>
  <c r="EG33" i="1" s="1"/>
  <c r="EH34" i="1"/>
  <c r="EG34" i="1" s="1"/>
  <c r="EH35" i="1"/>
  <c r="EG35" i="1" s="1"/>
  <c r="EH36" i="1"/>
  <c r="EG36" i="1" s="1"/>
  <c r="EF22" i="1"/>
  <c r="EE22" i="1" s="1"/>
  <c r="EF24" i="1"/>
  <c r="EE24" i="1" s="1"/>
  <c r="EF26" i="1"/>
  <c r="EE26" i="1" s="1"/>
  <c r="EF28" i="1"/>
  <c r="EE28" i="1" s="1"/>
  <c r="EF30" i="1"/>
  <c r="EE30" i="1" s="1"/>
  <c r="EF32" i="1"/>
  <c r="EE32" i="1" s="1"/>
  <c r="EF21" i="1"/>
  <c r="EE21" i="1" s="1"/>
  <c r="EF23" i="1"/>
  <c r="EE23" i="1" s="1"/>
  <c r="EF25" i="1"/>
  <c r="EE25" i="1" s="1"/>
  <c r="EF27" i="1"/>
  <c r="EE27" i="1" s="1"/>
  <c r="EF29" i="1"/>
  <c r="EE29" i="1" s="1"/>
  <c r="EF31" i="1"/>
  <c r="EE31" i="1" s="1"/>
  <c r="EF33" i="1"/>
  <c r="EE33" i="1" s="1"/>
  <c r="EF34" i="1"/>
  <c r="EE34" i="1" s="1"/>
  <c r="EF35" i="1"/>
  <c r="EE35" i="1" s="1"/>
  <c r="EF36" i="1"/>
  <c r="EE36" i="1" s="1"/>
  <c r="ED22" i="1"/>
  <c r="EC22" i="1" s="1"/>
  <c r="ED24" i="1"/>
  <c r="EC24" i="1" s="1"/>
  <c r="ED26" i="1"/>
  <c r="EC26" i="1" s="1"/>
  <c r="ED28" i="1"/>
  <c r="EC28" i="1" s="1"/>
  <c r="ED30" i="1"/>
  <c r="EC30" i="1" s="1"/>
  <c r="ED32" i="1"/>
  <c r="EC32" i="1" s="1"/>
  <c r="ED21" i="1"/>
  <c r="EC21" i="1" s="1"/>
  <c r="ED23" i="1"/>
  <c r="EC23" i="1" s="1"/>
  <c r="ED25" i="1"/>
  <c r="EC25" i="1" s="1"/>
  <c r="ED27" i="1"/>
  <c r="EC27" i="1" s="1"/>
  <c r="ED29" i="1"/>
  <c r="EC29" i="1" s="1"/>
  <c r="ED31" i="1"/>
  <c r="EC31" i="1" s="1"/>
  <c r="ED33" i="1"/>
  <c r="EC33" i="1" s="1"/>
  <c r="ED34" i="1"/>
  <c r="EC34" i="1" s="1"/>
  <c r="ED35" i="1"/>
  <c r="EC35" i="1" s="1"/>
  <c r="ED36" i="1"/>
  <c r="EC36" i="1" s="1"/>
  <c r="EB22" i="1"/>
  <c r="EA22" i="1" s="1"/>
  <c r="EB24" i="1"/>
  <c r="EA24" i="1" s="1"/>
  <c r="EB26" i="1"/>
  <c r="EA26" i="1" s="1"/>
  <c r="EB28" i="1"/>
  <c r="EA28" i="1" s="1"/>
  <c r="EB30" i="1"/>
  <c r="EA30" i="1" s="1"/>
  <c r="EB32" i="1"/>
  <c r="EA32" i="1" s="1"/>
  <c r="EB21" i="1"/>
  <c r="EA21" i="1" s="1"/>
  <c r="EB23" i="1"/>
  <c r="EA23" i="1" s="1"/>
  <c r="EB25" i="1"/>
  <c r="EA25" i="1" s="1"/>
  <c r="EB27" i="1"/>
  <c r="EA27" i="1" s="1"/>
  <c r="EB29" i="1"/>
  <c r="EA29" i="1" s="1"/>
  <c r="EB31" i="1"/>
  <c r="EA31" i="1" s="1"/>
  <c r="EB33" i="1"/>
  <c r="EA33" i="1" s="1"/>
  <c r="EB34" i="1"/>
  <c r="EA34" i="1" s="1"/>
  <c r="EB35" i="1"/>
  <c r="EA35" i="1" s="1"/>
  <c r="EB36" i="1"/>
  <c r="EA36" i="1" s="1"/>
  <c r="DZ22" i="1"/>
  <c r="DY22" i="1" s="1"/>
  <c r="DZ24" i="1"/>
  <c r="DY24" i="1" s="1"/>
  <c r="DZ26" i="1"/>
  <c r="DY26" i="1" s="1"/>
  <c r="DZ28" i="1"/>
  <c r="DY28" i="1" s="1"/>
  <c r="DZ30" i="1"/>
  <c r="DY30" i="1" s="1"/>
  <c r="DZ32" i="1"/>
  <c r="DY32" i="1" s="1"/>
  <c r="DZ21" i="1"/>
  <c r="DY21" i="1" s="1"/>
  <c r="DZ23" i="1"/>
  <c r="DY23" i="1" s="1"/>
  <c r="DZ25" i="1"/>
  <c r="DY25" i="1" s="1"/>
  <c r="DZ27" i="1"/>
  <c r="DY27" i="1" s="1"/>
  <c r="DZ29" i="1"/>
  <c r="DY29" i="1" s="1"/>
  <c r="DZ31" i="1"/>
  <c r="DY31" i="1" s="1"/>
  <c r="DZ33" i="1"/>
  <c r="DY33" i="1" s="1"/>
  <c r="DZ34" i="1"/>
  <c r="DY34" i="1" s="1"/>
  <c r="DZ35" i="1"/>
  <c r="DY35" i="1" s="1"/>
  <c r="DZ36" i="1"/>
  <c r="DY36" i="1" s="1"/>
  <c r="DX22" i="1"/>
  <c r="DW22" i="1" s="1"/>
  <c r="DX24" i="1"/>
  <c r="DW24" i="1" s="1"/>
  <c r="DX26" i="1"/>
  <c r="DW26" i="1" s="1"/>
  <c r="DX28" i="1"/>
  <c r="DW28" i="1" s="1"/>
  <c r="DX30" i="1"/>
  <c r="DW30" i="1" s="1"/>
  <c r="DX32" i="1"/>
  <c r="DW32" i="1" s="1"/>
  <c r="DX21" i="1"/>
  <c r="DW21" i="1" s="1"/>
  <c r="DX23" i="1"/>
  <c r="DW23" i="1" s="1"/>
  <c r="DX25" i="1"/>
  <c r="DW25" i="1" s="1"/>
  <c r="DX27" i="1"/>
  <c r="DW27" i="1" s="1"/>
  <c r="DX29" i="1"/>
  <c r="DW29" i="1" s="1"/>
  <c r="DX31" i="1"/>
  <c r="DW31" i="1" s="1"/>
  <c r="DX33" i="1"/>
  <c r="DW33" i="1" s="1"/>
  <c r="DX34" i="1"/>
  <c r="DW34" i="1" s="1"/>
  <c r="DX35" i="1"/>
  <c r="DW35" i="1" s="1"/>
  <c r="DX36" i="1"/>
  <c r="DW36" i="1" s="1"/>
  <c r="DV22" i="1"/>
  <c r="DU22" i="1" s="1"/>
  <c r="DV24" i="1"/>
  <c r="DU24" i="1" s="1"/>
  <c r="DV26" i="1"/>
  <c r="DU26" i="1" s="1"/>
  <c r="DV28" i="1"/>
  <c r="DU28" i="1" s="1"/>
  <c r="DV30" i="1"/>
  <c r="DU30" i="1" s="1"/>
  <c r="DV32" i="1"/>
  <c r="DU32" i="1" s="1"/>
  <c r="DV21" i="1"/>
  <c r="DU21" i="1" s="1"/>
  <c r="DV23" i="1"/>
  <c r="DU23" i="1" s="1"/>
  <c r="DV25" i="1"/>
  <c r="DU25" i="1" s="1"/>
  <c r="DV27" i="1"/>
  <c r="DU27" i="1" s="1"/>
  <c r="DV29" i="1"/>
  <c r="DU29" i="1" s="1"/>
  <c r="DV31" i="1"/>
  <c r="DU31" i="1" s="1"/>
  <c r="DV33" i="1"/>
  <c r="DU33" i="1" s="1"/>
  <c r="DV34" i="1"/>
  <c r="DU34" i="1" s="1"/>
  <c r="DV35" i="1"/>
  <c r="DU35" i="1" s="1"/>
  <c r="DV36" i="1"/>
  <c r="DU36" i="1" s="1"/>
  <c r="DT22" i="1"/>
  <c r="DS22" i="1" s="1"/>
  <c r="DT24" i="1"/>
  <c r="DS24" i="1" s="1"/>
  <c r="DT26" i="1"/>
  <c r="DS26" i="1" s="1"/>
  <c r="DT28" i="1"/>
  <c r="DS28" i="1" s="1"/>
  <c r="DT30" i="1"/>
  <c r="DS30" i="1" s="1"/>
  <c r="DT32" i="1"/>
  <c r="DS32" i="1" s="1"/>
  <c r="DT21" i="1"/>
  <c r="DS21" i="1" s="1"/>
  <c r="DT23" i="1"/>
  <c r="DS23" i="1" s="1"/>
  <c r="DT25" i="1"/>
  <c r="DS25" i="1" s="1"/>
  <c r="DT27" i="1"/>
  <c r="DS27" i="1" s="1"/>
  <c r="DT29" i="1"/>
  <c r="DS29" i="1" s="1"/>
  <c r="DT31" i="1"/>
  <c r="DS31" i="1" s="1"/>
  <c r="DT33" i="1"/>
  <c r="DS33" i="1" s="1"/>
  <c r="DT34" i="1"/>
  <c r="DS34" i="1" s="1"/>
  <c r="DT35" i="1"/>
  <c r="DS35" i="1" s="1"/>
  <c r="DT36" i="1"/>
  <c r="DS36" i="1" s="1"/>
  <c r="DR22" i="1"/>
  <c r="DQ22" i="1" s="1"/>
  <c r="DR24" i="1"/>
  <c r="DQ24" i="1" s="1"/>
  <c r="DR26" i="1"/>
  <c r="DQ26" i="1" s="1"/>
  <c r="DR28" i="1"/>
  <c r="DQ28" i="1" s="1"/>
  <c r="DR30" i="1"/>
  <c r="DQ30" i="1" s="1"/>
  <c r="DR32" i="1"/>
  <c r="DQ32" i="1" s="1"/>
  <c r="DR21" i="1"/>
  <c r="DQ21" i="1" s="1"/>
  <c r="DR23" i="1"/>
  <c r="DQ23" i="1" s="1"/>
  <c r="DR25" i="1"/>
  <c r="DQ25" i="1" s="1"/>
  <c r="DR27" i="1"/>
  <c r="DQ27" i="1" s="1"/>
  <c r="DR29" i="1"/>
  <c r="DQ29" i="1" s="1"/>
  <c r="DR31" i="1"/>
  <c r="DQ31" i="1" s="1"/>
  <c r="DR33" i="1"/>
  <c r="DQ33" i="1" s="1"/>
  <c r="DR34" i="1"/>
  <c r="DQ34" i="1" s="1"/>
  <c r="DR35" i="1"/>
  <c r="DQ35" i="1" s="1"/>
  <c r="DR36" i="1"/>
  <c r="DQ36" i="1" s="1"/>
  <c r="DP22" i="1"/>
  <c r="DO22" i="1" s="1"/>
  <c r="DP24" i="1"/>
  <c r="DO24" i="1" s="1"/>
  <c r="DP26" i="1"/>
  <c r="DO26" i="1" s="1"/>
  <c r="DP28" i="1"/>
  <c r="DO28" i="1" s="1"/>
  <c r="DP30" i="1"/>
  <c r="DO30" i="1" s="1"/>
  <c r="DP32" i="1"/>
  <c r="DO32" i="1" s="1"/>
  <c r="DP21" i="1"/>
  <c r="DO21" i="1" s="1"/>
  <c r="DP23" i="1"/>
  <c r="DO23" i="1" s="1"/>
  <c r="DP25" i="1"/>
  <c r="DO25" i="1" s="1"/>
  <c r="DP27" i="1"/>
  <c r="DO27" i="1" s="1"/>
  <c r="DP29" i="1"/>
  <c r="DO29" i="1" s="1"/>
  <c r="DP31" i="1"/>
  <c r="DO31" i="1" s="1"/>
  <c r="DP33" i="1"/>
  <c r="DO33" i="1" s="1"/>
  <c r="DP34" i="1"/>
  <c r="DO34" i="1" s="1"/>
  <c r="DP35" i="1"/>
  <c r="DO35" i="1" s="1"/>
  <c r="DP36" i="1"/>
  <c r="DO36" i="1" s="1"/>
  <c r="DN22" i="1"/>
  <c r="DM22" i="1" s="1"/>
  <c r="DN24" i="1"/>
  <c r="DM24" i="1" s="1"/>
  <c r="DN26" i="1"/>
  <c r="DM26" i="1" s="1"/>
  <c r="DN28" i="1"/>
  <c r="DM28" i="1" s="1"/>
  <c r="DN30" i="1"/>
  <c r="DM30" i="1" s="1"/>
  <c r="DN32" i="1"/>
  <c r="DM32" i="1" s="1"/>
  <c r="DN21" i="1"/>
  <c r="DM21" i="1" s="1"/>
  <c r="DN23" i="1"/>
  <c r="DM23" i="1" s="1"/>
  <c r="DN25" i="1"/>
  <c r="DM25" i="1" s="1"/>
  <c r="DN27" i="1"/>
  <c r="DM27" i="1" s="1"/>
  <c r="DN29" i="1"/>
  <c r="DM29" i="1" s="1"/>
  <c r="DN31" i="1"/>
  <c r="DM31" i="1" s="1"/>
  <c r="DN33" i="1"/>
  <c r="DM33" i="1" s="1"/>
  <c r="DN34" i="1"/>
  <c r="DM34" i="1" s="1"/>
  <c r="DN35" i="1"/>
  <c r="DM35" i="1" s="1"/>
  <c r="DN36" i="1"/>
  <c r="DM36" i="1" s="1"/>
  <c r="DL22" i="1"/>
  <c r="DK22" i="1" s="1"/>
  <c r="DL24" i="1"/>
  <c r="DK24" i="1" s="1"/>
  <c r="DL26" i="1"/>
  <c r="DK26" i="1" s="1"/>
  <c r="DL28" i="1"/>
  <c r="DK28" i="1" s="1"/>
  <c r="DL30" i="1"/>
  <c r="DK30" i="1" s="1"/>
  <c r="DL32" i="1"/>
  <c r="DK32" i="1" s="1"/>
  <c r="DL21" i="1"/>
  <c r="DK21" i="1" s="1"/>
  <c r="DL23" i="1"/>
  <c r="DK23" i="1" s="1"/>
  <c r="DL25" i="1"/>
  <c r="DK25" i="1" s="1"/>
  <c r="DL27" i="1"/>
  <c r="DK27" i="1" s="1"/>
  <c r="DL29" i="1"/>
  <c r="DK29" i="1" s="1"/>
  <c r="DL31" i="1"/>
  <c r="DK31" i="1" s="1"/>
  <c r="DL33" i="1"/>
  <c r="DK33" i="1" s="1"/>
  <c r="DL34" i="1"/>
  <c r="DK34" i="1" s="1"/>
  <c r="DL35" i="1"/>
  <c r="DK35" i="1" s="1"/>
  <c r="DL36" i="1"/>
  <c r="DK36" i="1" s="1"/>
  <c r="DJ22" i="1"/>
  <c r="DI22" i="1" s="1"/>
  <c r="DJ24" i="1"/>
  <c r="DI24" i="1" s="1"/>
  <c r="DJ26" i="1"/>
  <c r="DI26" i="1" s="1"/>
  <c r="DJ28" i="1"/>
  <c r="DI28" i="1" s="1"/>
  <c r="DJ30" i="1"/>
  <c r="DI30" i="1" s="1"/>
  <c r="DJ32" i="1"/>
  <c r="DI32" i="1" s="1"/>
  <c r="DJ21" i="1"/>
  <c r="DI21" i="1" s="1"/>
  <c r="DJ23" i="1"/>
  <c r="DI23" i="1" s="1"/>
  <c r="DJ25" i="1"/>
  <c r="DI25" i="1" s="1"/>
  <c r="DJ27" i="1"/>
  <c r="DI27" i="1" s="1"/>
  <c r="DJ29" i="1"/>
  <c r="DI29" i="1" s="1"/>
  <c r="DJ31" i="1"/>
  <c r="DI31" i="1" s="1"/>
  <c r="DJ33" i="1"/>
  <c r="DI33" i="1" s="1"/>
  <c r="DJ34" i="1"/>
  <c r="DI34" i="1" s="1"/>
  <c r="DJ35" i="1"/>
  <c r="DI35" i="1" s="1"/>
  <c r="DJ36" i="1"/>
  <c r="DI36" i="1" s="1"/>
  <c r="DH22" i="1"/>
  <c r="DG22" i="1" s="1"/>
  <c r="DH24" i="1"/>
  <c r="DG24" i="1" s="1"/>
  <c r="DH26" i="1"/>
  <c r="DG26" i="1" s="1"/>
  <c r="DH28" i="1"/>
  <c r="DG28" i="1" s="1"/>
  <c r="DH30" i="1"/>
  <c r="DG30" i="1" s="1"/>
  <c r="DH32" i="1"/>
  <c r="DG32" i="1" s="1"/>
  <c r="DH21" i="1"/>
  <c r="DG21" i="1" s="1"/>
  <c r="DH23" i="1"/>
  <c r="DG23" i="1" s="1"/>
  <c r="DH25" i="1"/>
  <c r="DG25" i="1" s="1"/>
  <c r="DH27" i="1"/>
  <c r="DG27" i="1" s="1"/>
  <c r="DH29" i="1"/>
  <c r="DG29" i="1" s="1"/>
  <c r="DH31" i="1"/>
  <c r="DG31" i="1" s="1"/>
  <c r="DH33" i="1"/>
  <c r="DG33" i="1" s="1"/>
  <c r="DH34" i="1"/>
  <c r="DG34" i="1" s="1"/>
  <c r="DH35" i="1"/>
  <c r="DG35" i="1" s="1"/>
  <c r="DH36" i="1"/>
  <c r="DG36" i="1" s="1"/>
  <c r="DF22" i="1"/>
  <c r="DE22" i="1" s="1"/>
  <c r="DF24" i="1"/>
  <c r="DE24" i="1" s="1"/>
  <c r="DF26" i="1"/>
  <c r="DE26" i="1" s="1"/>
  <c r="DF28" i="1"/>
  <c r="DE28" i="1" s="1"/>
  <c r="DF30" i="1"/>
  <c r="DE30" i="1" s="1"/>
  <c r="DF32" i="1"/>
  <c r="DE32" i="1" s="1"/>
  <c r="DF21" i="1"/>
  <c r="DE21" i="1" s="1"/>
  <c r="DF23" i="1"/>
  <c r="DE23" i="1" s="1"/>
  <c r="DF25" i="1"/>
  <c r="DE25" i="1" s="1"/>
  <c r="DF27" i="1"/>
  <c r="DE27" i="1" s="1"/>
  <c r="DF29" i="1"/>
  <c r="DE29" i="1" s="1"/>
  <c r="DF31" i="1"/>
  <c r="DE31" i="1" s="1"/>
  <c r="DF33" i="1"/>
  <c r="DE33" i="1" s="1"/>
  <c r="DF34" i="1"/>
  <c r="DE34" i="1" s="1"/>
  <c r="DF35" i="1"/>
  <c r="DE35" i="1" s="1"/>
  <c r="DF36" i="1"/>
  <c r="DE36" i="1" s="1"/>
  <c r="DD22" i="1"/>
  <c r="DC22" i="1" s="1"/>
  <c r="DD24" i="1"/>
  <c r="DC24" i="1" s="1"/>
  <c r="DD26" i="1"/>
  <c r="DC26" i="1" s="1"/>
  <c r="DD28" i="1"/>
  <c r="DC28" i="1" s="1"/>
  <c r="DD30" i="1"/>
  <c r="DC30" i="1" s="1"/>
  <c r="DD32" i="1"/>
  <c r="DC32" i="1" s="1"/>
  <c r="DD21" i="1"/>
  <c r="DC21" i="1" s="1"/>
  <c r="DD23" i="1"/>
  <c r="DC23" i="1" s="1"/>
  <c r="DD25" i="1"/>
  <c r="DC25" i="1" s="1"/>
  <c r="DD27" i="1"/>
  <c r="DC27" i="1" s="1"/>
  <c r="DD29" i="1"/>
  <c r="DC29" i="1" s="1"/>
  <c r="DD31" i="1"/>
  <c r="DC31" i="1" s="1"/>
  <c r="DD33" i="1"/>
  <c r="DC33" i="1" s="1"/>
  <c r="DD34" i="1"/>
  <c r="DC34" i="1" s="1"/>
  <c r="DD35" i="1"/>
  <c r="DC35" i="1" s="1"/>
  <c r="DD36" i="1"/>
  <c r="DC36" i="1" s="1"/>
  <c r="DB22" i="1"/>
  <c r="DA22" i="1" s="1"/>
  <c r="DB24" i="1"/>
  <c r="DA24" i="1" s="1"/>
  <c r="DB26" i="1"/>
  <c r="DA26" i="1" s="1"/>
  <c r="DB28" i="1"/>
  <c r="DA28" i="1" s="1"/>
  <c r="DB30" i="1"/>
  <c r="DA30" i="1" s="1"/>
  <c r="DB32" i="1"/>
  <c r="DA32" i="1" s="1"/>
  <c r="DB21" i="1"/>
  <c r="DA21" i="1" s="1"/>
  <c r="DB23" i="1"/>
  <c r="DA23" i="1" s="1"/>
  <c r="DB25" i="1"/>
  <c r="DA25" i="1" s="1"/>
  <c r="DB27" i="1"/>
  <c r="DA27" i="1" s="1"/>
  <c r="DB29" i="1"/>
  <c r="DA29" i="1" s="1"/>
  <c r="DB31" i="1"/>
  <c r="DA31" i="1" s="1"/>
  <c r="DB33" i="1"/>
  <c r="DA33" i="1" s="1"/>
  <c r="DB34" i="1"/>
  <c r="DA34" i="1" s="1"/>
  <c r="DB35" i="1"/>
  <c r="DA35" i="1" s="1"/>
  <c r="DB36" i="1"/>
  <c r="DA36" i="1" s="1"/>
  <c r="CZ22" i="1"/>
  <c r="CY22" i="1" s="1"/>
  <c r="CZ24" i="1"/>
  <c r="CY24" i="1" s="1"/>
  <c r="CZ26" i="1"/>
  <c r="CY26" i="1" s="1"/>
  <c r="CZ28" i="1"/>
  <c r="CY28" i="1" s="1"/>
  <c r="CZ30" i="1"/>
  <c r="CY30" i="1" s="1"/>
  <c r="CZ32" i="1"/>
  <c r="CY32" i="1" s="1"/>
  <c r="CZ21" i="1"/>
  <c r="CY21" i="1" s="1"/>
  <c r="CZ23" i="1"/>
  <c r="CY23" i="1" s="1"/>
  <c r="CZ25" i="1"/>
  <c r="CY25" i="1" s="1"/>
  <c r="CZ27" i="1"/>
  <c r="CY27" i="1" s="1"/>
  <c r="CZ29" i="1"/>
  <c r="CY29" i="1" s="1"/>
  <c r="CZ31" i="1"/>
  <c r="CY31" i="1" s="1"/>
  <c r="CZ33" i="1"/>
  <c r="CY33" i="1" s="1"/>
  <c r="CZ34" i="1"/>
  <c r="CY34" i="1" s="1"/>
  <c r="CZ35" i="1"/>
  <c r="CY35" i="1" s="1"/>
  <c r="CZ36" i="1"/>
  <c r="CY36" i="1" s="1"/>
  <c r="CX22" i="1"/>
  <c r="CW22" i="1" s="1"/>
  <c r="CX24" i="1"/>
  <c r="CW24" i="1" s="1"/>
  <c r="CX26" i="1"/>
  <c r="CW26" i="1" s="1"/>
  <c r="CX28" i="1"/>
  <c r="CW28" i="1" s="1"/>
  <c r="CX30" i="1"/>
  <c r="CW30" i="1" s="1"/>
  <c r="CX32" i="1"/>
  <c r="CW32" i="1" s="1"/>
  <c r="CX21" i="1"/>
  <c r="CW21" i="1" s="1"/>
  <c r="CX23" i="1"/>
  <c r="CW23" i="1" s="1"/>
  <c r="CX25" i="1"/>
  <c r="CW25" i="1" s="1"/>
  <c r="CX27" i="1"/>
  <c r="CW27" i="1" s="1"/>
  <c r="CX29" i="1"/>
  <c r="CW29" i="1" s="1"/>
  <c r="CX31" i="1"/>
  <c r="CW31" i="1" s="1"/>
  <c r="CX33" i="1"/>
  <c r="CW33" i="1" s="1"/>
  <c r="CX34" i="1"/>
  <c r="CW34" i="1" s="1"/>
  <c r="CX35" i="1"/>
  <c r="CW35" i="1" s="1"/>
  <c r="CX36" i="1"/>
  <c r="CW36" i="1" s="1"/>
  <c r="CV22" i="1"/>
  <c r="CV24" i="1"/>
  <c r="CV26" i="1"/>
  <c r="CV28" i="1"/>
  <c r="CV30" i="1"/>
  <c r="CV32" i="1"/>
  <c r="CV21" i="1"/>
  <c r="CV23" i="1"/>
  <c r="CV25" i="1"/>
  <c r="CV27" i="1"/>
  <c r="CV29" i="1"/>
  <c r="CV31" i="1"/>
  <c r="CV33" i="1"/>
  <c r="CV34" i="1"/>
  <c r="CV35" i="1"/>
  <c r="CV36" i="1"/>
  <c r="CU22" i="1"/>
  <c r="CU24" i="1"/>
  <c r="CU26" i="1"/>
  <c r="CU28" i="1"/>
  <c r="CU30" i="1"/>
  <c r="CU32" i="1"/>
  <c r="CU21" i="1"/>
  <c r="CU23" i="1"/>
  <c r="CU25" i="1"/>
  <c r="CU27" i="1"/>
  <c r="CU29" i="1"/>
  <c r="CU31" i="1"/>
  <c r="CU33" i="1"/>
  <c r="CU34" i="1"/>
  <c r="CU35" i="1"/>
  <c r="CU36" i="1"/>
  <c r="CT22" i="1"/>
  <c r="CT24" i="1"/>
  <c r="CT26" i="1"/>
  <c r="CT28" i="1"/>
  <c r="CT30" i="1"/>
  <c r="CT32" i="1"/>
  <c r="CT21" i="1"/>
  <c r="CT23" i="1"/>
  <c r="CT25" i="1"/>
  <c r="CT27" i="1"/>
  <c r="CT29" i="1"/>
  <c r="CT31" i="1"/>
  <c r="CT33" i="1"/>
  <c r="CT34" i="1"/>
  <c r="CT35" i="1"/>
  <c r="CT36" i="1"/>
  <c r="CS22" i="1"/>
  <c r="CS24" i="1"/>
  <c r="CS26" i="1"/>
  <c r="CS28" i="1"/>
  <c r="CS30" i="1"/>
  <c r="CS32" i="1"/>
  <c r="CS21" i="1"/>
  <c r="CS23" i="1"/>
  <c r="CS25" i="1"/>
  <c r="CS27" i="1"/>
  <c r="CS29" i="1"/>
  <c r="CS31" i="1"/>
  <c r="CS33" i="1"/>
  <c r="CS34" i="1"/>
  <c r="CS35" i="1"/>
  <c r="CS36" i="1"/>
  <c r="CR22" i="1"/>
  <c r="CR24" i="1"/>
  <c r="CR26" i="1"/>
  <c r="CR28" i="1"/>
  <c r="CR30" i="1"/>
  <c r="CR32" i="1"/>
  <c r="CR21" i="1"/>
  <c r="CR23" i="1"/>
  <c r="CR25" i="1"/>
  <c r="CR27" i="1"/>
  <c r="CR29" i="1"/>
  <c r="CR31" i="1"/>
  <c r="CR33" i="1"/>
  <c r="CR34" i="1"/>
  <c r="CR35" i="1"/>
  <c r="CR36" i="1"/>
  <c r="CQ22" i="1"/>
  <c r="CQ24" i="1"/>
  <c r="CQ26" i="1"/>
  <c r="CQ28" i="1"/>
  <c r="CQ30" i="1"/>
  <c r="CQ32" i="1"/>
  <c r="CQ21" i="1"/>
  <c r="CQ23" i="1"/>
  <c r="CQ25" i="1"/>
  <c r="CQ27" i="1"/>
  <c r="CQ29" i="1"/>
  <c r="CQ31" i="1"/>
  <c r="CQ33" i="1"/>
  <c r="CQ34" i="1"/>
  <c r="CQ35" i="1"/>
  <c r="CQ36" i="1"/>
  <c r="CP22" i="1"/>
  <c r="CP24" i="1"/>
  <c r="CP26" i="1"/>
  <c r="CP28" i="1"/>
  <c r="CP30" i="1"/>
  <c r="CP32" i="1"/>
  <c r="CP21" i="1"/>
  <c r="CP23" i="1"/>
  <c r="CP25" i="1"/>
  <c r="CP27" i="1"/>
  <c r="CP29" i="1"/>
  <c r="CP31" i="1"/>
  <c r="CP33" i="1"/>
  <c r="CP34" i="1"/>
  <c r="CP35" i="1"/>
  <c r="CP36" i="1"/>
  <c r="CO22" i="1"/>
  <c r="CO24" i="1"/>
  <c r="CO26" i="1"/>
  <c r="CO28" i="1"/>
  <c r="CO30" i="1"/>
  <c r="CO32" i="1"/>
  <c r="CO21" i="1"/>
  <c r="CO23" i="1"/>
  <c r="CO25" i="1"/>
  <c r="CO27" i="1"/>
  <c r="CO29" i="1"/>
  <c r="CO31" i="1"/>
  <c r="CO33" i="1"/>
  <c r="CO34" i="1"/>
  <c r="CO35" i="1"/>
  <c r="CO36" i="1"/>
  <c r="CN22" i="1"/>
  <c r="CN24" i="1"/>
  <c r="CN26" i="1"/>
  <c r="CN28" i="1"/>
  <c r="CN30" i="1"/>
  <c r="CN32" i="1"/>
  <c r="CN21" i="1"/>
  <c r="CN23" i="1"/>
  <c r="CN25" i="1"/>
  <c r="CN27" i="1"/>
  <c r="CN29" i="1"/>
  <c r="CN31" i="1"/>
  <c r="CN33" i="1"/>
  <c r="CN34" i="1"/>
  <c r="CN35" i="1"/>
  <c r="CN36" i="1"/>
  <c r="CM22" i="1"/>
  <c r="CM24" i="1"/>
  <c r="CM26" i="1"/>
  <c r="CM28" i="1"/>
  <c r="CM30" i="1"/>
  <c r="CM32" i="1"/>
  <c r="CM21" i="1"/>
  <c r="CM23" i="1"/>
  <c r="CM25" i="1"/>
  <c r="CM27" i="1"/>
  <c r="CM29" i="1"/>
  <c r="CM31" i="1"/>
  <c r="CM33" i="1"/>
  <c r="CM34" i="1"/>
  <c r="CM35" i="1"/>
  <c r="CM36" i="1"/>
  <c r="CL22" i="1"/>
  <c r="CL24" i="1"/>
  <c r="CL26" i="1"/>
  <c r="CL28" i="1"/>
  <c r="CL30" i="1"/>
  <c r="CL32" i="1"/>
  <c r="CL21" i="1"/>
  <c r="CL23" i="1"/>
  <c r="CL25" i="1"/>
  <c r="CL27" i="1"/>
  <c r="CL29" i="1"/>
  <c r="CL31" i="1"/>
  <c r="CL33" i="1"/>
  <c r="CL34" i="1"/>
  <c r="CL35" i="1"/>
  <c r="CL36" i="1"/>
  <c r="CK22" i="1"/>
  <c r="CK24" i="1"/>
  <c r="CK26" i="1"/>
  <c r="CK28" i="1"/>
  <c r="CK30" i="1"/>
  <c r="CK32" i="1"/>
  <c r="CK21" i="1"/>
  <c r="CK23" i="1"/>
  <c r="CK25" i="1"/>
  <c r="CK27" i="1"/>
  <c r="CK29" i="1"/>
  <c r="CK31" i="1"/>
  <c r="CK33" i="1"/>
  <c r="CK34" i="1"/>
  <c r="CK35" i="1"/>
  <c r="CK36" i="1"/>
  <c r="CJ22" i="1"/>
  <c r="CJ24" i="1"/>
  <c r="CJ26" i="1"/>
  <c r="CJ28" i="1"/>
  <c r="CJ30" i="1"/>
  <c r="CJ32" i="1"/>
  <c r="CJ21" i="1"/>
  <c r="CJ23" i="1"/>
  <c r="CJ25" i="1"/>
  <c r="CJ27" i="1"/>
  <c r="CJ29" i="1"/>
  <c r="CJ31" i="1"/>
  <c r="CJ33" i="1"/>
  <c r="CJ34" i="1"/>
  <c r="CJ35" i="1"/>
  <c r="CJ36" i="1"/>
  <c r="CI22" i="1"/>
  <c r="CI24" i="1"/>
  <c r="CI26" i="1"/>
  <c r="CI28" i="1"/>
  <c r="CI30" i="1"/>
  <c r="CI32" i="1"/>
  <c r="CI21" i="1"/>
  <c r="CI23" i="1"/>
  <c r="CI25" i="1"/>
  <c r="CI27" i="1"/>
  <c r="CI29" i="1"/>
  <c r="CI31" i="1"/>
  <c r="CI33" i="1"/>
  <c r="CI34" i="1"/>
  <c r="CI35" i="1"/>
  <c r="CI36" i="1"/>
  <c r="CH22" i="1"/>
  <c r="CH24" i="1"/>
  <c r="CH26" i="1"/>
  <c r="CH28" i="1"/>
  <c r="CH30" i="1"/>
  <c r="CH32" i="1"/>
  <c r="CH21" i="1"/>
  <c r="CH23" i="1"/>
  <c r="CH25" i="1"/>
  <c r="CH27" i="1"/>
  <c r="CH29" i="1"/>
  <c r="CH31" i="1"/>
  <c r="CH33" i="1"/>
  <c r="CH34" i="1"/>
  <c r="CH35" i="1"/>
  <c r="CH36" i="1"/>
  <c r="CG22" i="1"/>
  <c r="CG24" i="1"/>
  <c r="CG26" i="1"/>
  <c r="CG28" i="1"/>
  <c r="CG30" i="1"/>
  <c r="CG32" i="1"/>
  <c r="CG21" i="1"/>
  <c r="CG23" i="1"/>
  <c r="CG25" i="1"/>
  <c r="CG27" i="1"/>
  <c r="CG29" i="1"/>
  <c r="CG31" i="1"/>
  <c r="CG33" i="1"/>
  <c r="CG34" i="1"/>
  <c r="CG35" i="1"/>
  <c r="CG36" i="1"/>
  <c r="CF22" i="1"/>
  <c r="CF24" i="1"/>
  <c r="CF26" i="1"/>
  <c r="CF28" i="1"/>
  <c r="CF30" i="1"/>
  <c r="CF32" i="1"/>
  <c r="CF21" i="1"/>
  <c r="CF23" i="1"/>
  <c r="CF25" i="1"/>
  <c r="CF27" i="1"/>
  <c r="CF29" i="1"/>
  <c r="CF31" i="1"/>
  <c r="CF33" i="1"/>
  <c r="CF34" i="1"/>
  <c r="CF35" i="1"/>
  <c r="CF36" i="1"/>
  <c r="CE22" i="1"/>
  <c r="CE24" i="1"/>
  <c r="CE26" i="1"/>
  <c r="CE28" i="1"/>
  <c r="CE30" i="1"/>
  <c r="CE32" i="1"/>
  <c r="CE21" i="1"/>
  <c r="CE23" i="1"/>
  <c r="CE25" i="1"/>
  <c r="CE27" i="1"/>
  <c r="CE29" i="1"/>
  <c r="CE31" i="1"/>
  <c r="CE33" i="1"/>
  <c r="CE34" i="1"/>
  <c r="CE35" i="1"/>
  <c r="CE36" i="1"/>
  <c r="CD22" i="1"/>
  <c r="CD24" i="1"/>
  <c r="CD26" i="1"/>
  <c r="CD28" i="1"/>
  <c r="CD30" i="1"/>
  <c r="CD32" i="1"/>
  <c r="CD21" i="1"/>
  <c r="CD23" i="1"/>
  <c r="CD25" i="1"/>
  <c r="CD27" i="1"/>
  <c r="CD29" i="1"/>
  <c r="CD31" i="1"/>
  <c r="CD33" i="1"/>
  <c r="CD34" i="1"/>
  <c r="CD35" i="1"/>
  <c r="CD36" i="1"/>
  <c r="CC22" i="1"/>
  <c r="CC24" i="1"/>
  <c r="CC26" i="1"/>
  <c r="CC28" i="1"/>
  <c r="CC30" i="1"/>
  <c r="CC32" i="1"/>
  <c r="CC21" i="1"/>
  <c r="CC23" i="1"/>
  <c r="CC25" i="1"/>
  <c r="CC27" i="1"/>
  <c r="CC29" i="1"/>
  <c r="CC31" i="1"/>
  <c r="CC33" i="1"/>
  <c r="CC34" i="1"/>
  <c r="CC35" i="1"/>
  <c r="CC36" i="1"/>
  <c r="CB22" i="1"/>
  <c r="CB24" i="1"/>
  <c r="CB26" i="1"/>
  <c r="CB28" i="1"/>
  <c r="CB30" i="1"/>
  <c r="CB32" i="1"/>
  <c r="CB21" i="1"/>
  <c r="CB23" i="1"/>
  <c r="CB25" i="1"/>
  <c r="CB27" i="1"/>
  <c r="CB29" i="1"/>
  <c r="CB31" i="1"/>
  <c r="CB33" i="1"/>
  <c r="CB34" i="1"/>
  <c r="CB35" i="1"/>
  <c r="CB36" i="1"/>
  <c r="BZ22" i="1"/>
  <c r="BY22" i="1" s="1"/>
  <c r="BZ24" i="1"/>
  <c r="BY24" i="1" s="1"/>
  <c r="BZ26" i="1"/>
  <c r="BY26" i="1" s="1"/>
  <c r="BZ28" i="1"/>
  <c r="BY28" i="1" s="1"/>
  <c r="BZ30" i="1"/>
  <c r="BY30" i="1" s="1"/>
  <c r="BZ32" i="1"/>
  <c r="BY32" i="1" s="1"/>
  <c r="BZ21" i="1"/>
  <c r="BY21" i="1" s="1"/>
  <c r="BZ23" i="1"/>
  <c r="BY23" i="1" s="1"/>
  <c r="BZ25" i="1"/>
  <c r="BY25" i="1" s="1"/>
  <c r="BZ27" i="1"/>
  <c r="BY27" i="1" s="1"/>
  <c r="BZ29" i="1"/>
  <c r="BY29" i="1" s="1"/>
  <c r="BZ31" i="1"/>
  <c r="BY31" i="1" s="1"/>
  <c r="BZ33" i="1"/>
  <c r="BY33" i="1" s="1"/>
  <c r="BZ34" i="1"/>
  <c r="BY34" i="1" s="1"/>
  <c r="BZ35" i="1"/>
  <c r="BY35" i="1" s="1"/>
  <c r="BZ36" i="1"/>
  <c r="BY36" i="1" s="1"/>
  <c r="BX22" i="1"/>
  <c r="BW22" i="1" s="1"/>
  <c r="BX24" i="1"/>
  <c r="BW24" i="1" s="1"/>
  <c r="BX26" i="1"/>
  <c r="BW26" i="1" s="1"/>
  <c r="BX28" i="1"/>
  <c r="BW28" i="1" s="1"/>
  <c r="BX30" i="1"/>
  <c r="BW30" i="1" s="1"/>
  <c r="BX32" i="1"/>
  <c r="BW32" i="1" s="1"/>
  <c r="BX21" i="1"/>
  <c r="BW21" i="1" s="1"/>
  <c r="BX23" i="1"/>
  <c r="BW23" i="1" s="1"/>
  <c r="BX25" i="1"/>
  <c r="BW25" i="1" s="1"/>
  <c r="BX27" i="1"/>
  <c r="BW27" i="1" s="1"/>
  <c r="BX29" i="1"/>
  <c r="BW29" i="1" s="1"/>
  <c r="BX31" i="1"/>
  <c r="BW31" i="1" s="1"/>
  <c r="BX33" i="1"/>
  <c r="BW33" i="1" s="1"/>
  <c r="BX34" i="1"/>
  <c r="BW34" i="1" s="1"/>
  <c r="BX35" i="1"/>
  <c r="BW35" i="1" s="1"/>
  <c r="BX36" i="1"/>
  <c r="BW36" i="1" s="1"/>
  <c r="BV22" i="1"/>
  <c r="BU22" i="1" s="1"/>
  <c r="BV24" i="1"/>
  <c r="BU24" i="1" s="1"/>
  <c r="BV26" i="1"/>
  <c r="BU26" i="1" s="1"/>
  <c r="BV28" i="1"/>
  <c r="BU28" i="1" s="1"/>
  <c r="BV30" i="1"/>
  <c r="BU30" i="1" s="1"/>
  <c r="BV32" i="1"/>
  <c r="BU32" i="1" s="1"/>
  <c r="BV21" i="1"/>
  <c r="BU21" i="1" s="1"/>
  <c r="BV23" i="1"/>
  <c r="BU23" i="1" s="1"/>
  <c r="BV25" i="1"/>
  <c r="BU25" i="1" s="1"/>
  <c r="BV27" i="1"/>
  <c r="BU27" i="1" s="1"/>
  <c r="BV29" i="1"/>
  <c r="BU29" i="1" s="1"/>
  <c r="BV31" i="1"/>
  <c r="BU31" i="1" s="1"/>
  <c r="BV33" i="1"/>
  <c r="BU33" i="1" s="1"/>
  <c r="BV34" i="1"/>
  <c r="BU34" i="1" s="1"/>
  <c r="BV35" i="1"/>
  <c r="BU35" i="1" s="1"/>
  <c r="BV36" i="1"/>
  <c r="BU36" i="1" s="1"/>
  <c r="BT22" i="1"/>
  <c r="BS22" i="1" s="1"/>
  <c r="BT24" i="1"/>
  <c r="BS24" i="1" s="1"/>
  <c r="BT26" i="1"/>
  <c r="BS26" i="1" s="1"/>
  <c r="BT28" i="1"/>
  <c r="BS28" i="1" s="1"/>
  <c r="BT30" i="1"/>
  <c r="BS30" i="1" s="1"/>
  <c r="BT32" i="1"/>
  <c r="BS32" i="1" s="1"/>
  <c r="BT21" i="1"/>
  <c r="BS21" i="1" s="1"/>
  <c r="BT23" i="1"/>
  <c r="BS23" i="1" s="1"/>
  <c r="BT25" i="1"/>
  <c r="BS25" i="1" s="1"/>
  <c r="BT27" i="1"/>
  <c r="BS27" i="1" s="1"/>
  <c r="BT29" i="1"/>
  <c r="BS29" i="1" s="1"/>
  <c r="BT31" i="1"/>
  <c r="BS31" i="1" s="1"/>
  <c r="BT33" i="1"/>
  <c r="BS33" i="1" s="1"/>
  <c r="BT34" i="1"/>
  <c r="BS34" i="1" s="1"/>
  <c r="BT35" i="1"/>
  <c r="BS35" i="1" s="1"/>
  <c r="BT36" i="1"/>
  <c r="BS36" i="1" s="1"/>
  <c r="BR22" i="1"/>
  <c r="BQ22" i="1" s="1"/>
  <c r="BR24" i="1"/>
  <c r="BQ24" i="1" s="1"/>
  <c r="BR26" i="1"/>
  <c r="BQ26" i="1" s="1"/>
  <c r="BR28" i="1"/>
  <c r="BQ28" i="1" s="1"/>
  <c r="BR30" i="1"/>
  <c r="BQ30" i="1" s="1"/>
  <c r="BR32" i="1"/>
  <c r="BQ32" i="1" s="1"/>
  <c r="BR21" i="1"/>
  <c r="BQ21" i="1" s="1"/>
  <c r="BR23" i="1"/>
  <c r="BQ23" i="1" s="1"/>
  <c r="BR25" i="1"/>
  <c r="BQ25" i="1" s="1"/>
  <c r="BR27" i="1"/>
  <c r="BQ27" i="1" s="1"/>
  <c r="BR29" i="1"/>
  <c r="BQ29" i="1" s="1"/>
  <c r="BR31" i="1"/>
  <c r="BQ31" i="1" s="1"/>
  <c r="BR33" i="1"/>
  <c r="BQ33" i="1" s="1"/>
  <c r="BR34" i="1"/>
  <c r="BQ34" i="1" s="1"/>
  <c r="BR35" i="1"/>
  <c r="BQ35" i="1" s="1"/>
  <c r="BR36" i="1"/>
  <c r="BQ36" i="1" s="1"/>
  <c r="BP22" i="1"/>
  <c r="BO22" i="1" s="1"/>
  <c r="BP24" i="1"/>
  <c r="BO24" i="1" s="1"/>
  <c r="BP26" i="1"/>
  <c r="BO26" i="1" s="1"/>
  <c r="BP28" i="1"/>
  <c r="BO28" i="1" s="1"/>
  <c r="BP30" i="1"/>
  <c r="BO30" i="1" s="1"/>
  <c r="BP32" i="1"/>
  <c r="BO32" i="1" s="1"/>
  <c r="BP21" i="1"/>
  <c r="BO21" i="1" s="1"/>
  <c r="BP23" i="1"/>
  <c r="BO23" i="1" s="1"/>
  <c r="BP25" i="1"/>
  <c r="BO25" i="1" s="1"/>
  <c r="BP27" i="1"/>
  <c r="BO27" i="1" s="1"/>
  <c r="BP29" i="1"/>
  <c r="BO29" i="1" s="1"/>
  <c r="BP31" i="1"/>
  <c r="BO31" i="1" s="1"/>
  <c r="BP33" i="1"/>
  <c r="BO33" i="1" s="1"/>
  <c r="BP34" i="1"/>
  <c r="BO34" i="1" s="1"/>
  <c r="BP35" i="1"/>
  <c r="BO35" i="1" s="1"/>
  <c r="BP36" i="1"/>
  <c r="BO36" i="1" s="1"/>
  <c r="BD22" i="1"/>
  <c r="BC22" i="1" s="1"/>
  <c r="BD24" i="1"/>
  <c r="BC24" i="1" s="1"/>
  <c r="BD26" i="1"/>
  <c r="BC26" i="1" s="1"/>
  <c r="BD28" i="1"/>
  <c r="BC28" i="1" s="1"/>
  <c r="BD30" i="1"/>
  <c r="BC30" i="1" s="1"/>
  <c r="BD32" i="1"/>
  <c r="BC32" i="1" s="1"/>
  <c r="BD21" i="1"/>
  <c r="BC21" i="1" s="1"/>
  <c r="BD23" i="1"/>
  <c r="BC23" i="1" s="1"/>
  <c r="BD25" i="1"/>
  <c r="BC25" i="1" s="1"/>
  <c r="BD27" i="1"/>
  <c r="BC27" i="1" s="1"/>
  <c r="BD29" i="1"/>
  <c r="BC29" i="1" s="1"/>
  <c r="BD31" i="1"/>
  <c r="BC31" i="1" s="1"/>
  <c r="BD33" i="1"/>
  <c r="BC33" i="1" s="1"/>
  <c r="BD34" i="1"/>
  <c r="BC34" i="1" s="1"/>
  <c r="BD35" i="1"/>
  <c r="BC35" i="1" s="1"/>
  <c r="BD36" i="1"/>
  <c r="BC36" i="1" s="1"/>
  <c r="BB22" i="1"/>
  <c r="BA22" i="1" s="1"/>
  <c r="BB24" i="1"/>
  <c r="BA24" i="1" s="1"/>
  <c r="BB26" i="1"/>
  <c r="BA26" i="1" s="1"/>
  <c r="BB28" i="1"/>
  <c r="BA28" i="1" s="1"/>
  <c r="BB30" i="1"/>
  <c r="BA30" i="1" s="1"/>
  <c r="BB32" i="1"/>
  <c r="BA32" i="1" s="1"/>
  <c r="BB21" i="1"/>
  <c r="BA21" i="1" s="1"/>
  <c r="BB23" i="1"/>
  <c r="BA23" i="1" s="1"/>
  <c r="BB25" i="1"/>
  <c r="BA25" i="1" s="1"/>
  <c r="BB27" i="1"/>
  <c r="BA27" i="1" s="1"/>
  <c r="BB29" i="1"/>
  <c r="BA29" i="1" s="1"/>
  <c r="BB31" i="1"/>
  <c r="BA31" i="1" s="1"/>
  <c r="BB33" i="1"/>
  <c r="BA33" i="1" s="1"/>
  <c r="BB34" i="1"/>
  <c r="BA34" i="1" s="1"/>
  <c r="BB35" i="1"/>
  <c r="BA35" i="1" s="1"/>
  <c r="BB36" i="1"/>
  <c r="BA36" i="1" s="1"/>
  <c r="AZ22" i="1"/>
  <c r="AY22" i="1" s="1"/>
  <c r="AZ24" i="1"/>
  <c r="AY24" i="1" s="1"/>
  <c r="AZ26" i="1"/>
  <c r="AY26" i="1" s="1"/>
  <c r="AZ28" i="1"/>
  <c r="AY28" i="1" s="1"/>
  <c r="AZ30" i="1"/>
  <c r="AY30" i="1" s="1"/>
  <c r="AZ32" i="1"/>
  <c r="AY32" i="1" s="1"/>
  <c r="AZ21" i="1"/>
  <c r="AY21" i="1" s="1"/>
  <c r="AZ23" i="1"/>
  <c r="AY23" i="1" s="1"/>
  <c r="AZ25" i="1"/>
  <c r="AY25" i="1" s="1"/>
  <c r="AZ27" i="1"/>
  <c r="AY27" i="1" s="1"/>
  <c r="AZ29" i="1"/>
  <c r="AY29" i="1" s="1"/>
  <c r="AZ31" i="1"/>
  <c r="AY31" i="1" s="1"/>
  <c r="AZ33" i="1"/>
  <c r="AY33" i="1" s="1"/>
  <c r="AZ34" i="1"/>
  <c r="AY34" i="1" s="1"/>
  <c r="AZ35" i="1"/>
  <c r="AY35" i="1" s="1"/>
  <c r="AZ36" i="1"/>
  <c r="AY36" i="1" s="1"/>
  <c r="AX22" i="1"/>
  <c r="AW22" i="1" s="1"/>
  <c r="AX24" i="1"/>
  <c r="AW24" i="1" s="1"/>
  <c r="AX26" i="1"/>
  <c r="AW26" i="1" s="1"/>
  <c r="AX28" i="1"/>
  <c r="AW28" i="1" s="1"/>
  <c r="AX30" i="1"/>
  <c r="AW30" i="1" s="1"/>
  <c r="AX32" i="1"/>
  <c r="AW32" i="1" s="1"/>
  <c r="AX21" i="1"/>
  <c r="AW21" i="1" s="1"/>
  <c r="AX23" i="1"/>
  <c r="AW23" i="1" s="1"/>
  <c r="AX25" i="1"/>
  <c r="AW25" i="1" s="1"/>
  <c r="AX27" i="1"/>
  <c r="AW27" i="1" s="1"/>
  <c r="AX29" i="1"/>
  <c r="AW29" i="1" s="1"/>
  <c r="AX31" i="1"/>
  <c r="AW31" i="1" s="1"/>
  <c r="AX33" i="1"/>
  <c r="AW33" i="1" s="1"/>
  <c r="AX34" i="1"/>
  <c r="AW34" i="1" s="1"/>
  <c r="AX35" i="1"/>
  <c r="AW35" i="1" s="1"/>
  <c r="AX36" i="1"/>
  <c r="AW36" i="1" s="1"/>
  <c r="AV22" i="1"/>
  <c r="AU22" i="1" s="1"/>
  <c r="AV24" i="1"/>
  <c r="AU24" i="1" s="1"/>
  <c r="AV26" i="1"/>
  <c r="AU26" i="1" s="1"/>
  <c r="AV28" i="1"/>
  <c r="AU28" i="1" s="1"/>
  <c r="AV30" i="1"/>
  <c r="AU30" i="1" s="1"/>
  <c r="AV32" i="1"/>
  <c r="AU32" i="1" s="1"/>
  <c r="AV21" i="1"/>
  <c r="AU21" i="1" s="1"/>
  <c r="AV23" i="1"/>
  <c r="AU23" i="1" s="1"/>
  <c r="AV25" i="1"/>
  <c r="AU25" i="1" s="1"/>
  <c r="AV27" i="1"/>
  <c r="AU27" i="1" s="1"/>
  <c r="AV29" i="1"/>
  <c r="AU29" i="1" s="1"/>
  <c r="AV31" i="1"/>
  <c r="AU31" i="1" s="1"/>
  <c r="AV33" i="1"/>
  <c r="AU33" i="1" s="1"/>
  <c r="AV34" i="1"/>
  <c r="AU34" i="1" s="1"/>
  <c r="AV35" i="1"/>
  <c r="AU35" i="1" s="1"/>
  <c r="AV36" i="1"/>
  <c r="AU36" i="1" s="1"/>
  <c r="AT22" i="1"/>
  <c r="AS22" i="1" s="1"/>
  <c r="AT24" i="1"/>
  <c r="AS24" i="1" s="1"/>
  <c r="AT26" i="1"/>
  <c r="AS26" i="1" s="1"/>
  <c r="AT28" i="1"/>
  <c r="AS28" i="1" s="1"/>
  <c r="AT30" i="1"/>
  <c r="AS30" i="1" s="1"/>
  <c r="AT32" i="1"/>
  <c r="AS32" i="1" s="1"/>
  <c r="AT21" i="1"/>
  <c r="AS21" i="1" s="1"/>
  <c r="AT23" i="1"/>
  <c r="AS23" i="1" s="1"/>
  <c r="AT25" i="1"/>
  <c r="AS25" i="1" s="1"/>
  <c r="AT27" i="1"/>
  <c r="AS27" i="1" s="1"/>
  <c r="AT29" i="1"/>
  <c r="AS29" i="1" s="1"/>
  <c r="AT31" i="1"/>
  <c r="AS31" i="1" s="1"/>
  <c r="AT33" i="1"/>
  <c r="AS33" i="1" s="1"/>
  <c r="AT34" i="1"/>
  <c r="AS34" i="1" s="1"/>
  <c r="AT35" i="1"/>
  <c r="AS35" i="1" s="1"/>
  <c r="AT36" i="1"/>
  <c r="AS36" i="1" s="1"/>
  <c r="AH22" i="1"/>
  <c r="AH24" i="1"/>
  <c r="AH26" i="1"/>
  <c r="AH28" i="1"/>
  <c r="AH30" i="1"/>
  <c r="AH32" i="1"/>
  <c r="AH21" i="1"/>
  <c r="AH23" i="1"/>
  <c r="AH25" i="1"/>
  <c r="AH27" i="1"/>
  <c r="AH29" i="1"/>
  <c r="AH31" i="1"/>
  <c r="AH33" i="1"/>
  <c r="AH34" i="1"/>
  <c r="AH35" i="1"/>
  <c r="AH36" i="1"/>
  <c r="AG22" i="1"/>
  <c r="AG24" i="1"/>
  <c r="AG26" i="1"/>
  <c r="AG28" i="1"/>
  <c r="AG30" i="1"/>
  <c r="AG32" i="1"/>
  <c r="AG21" i="1"/>
  <c r="AG23" i="1"/>
  <c r="AG25" i="1"/>
  <c r="AG27" i="1"/>
  <c r="AG29" i="1"/>
  <c r="AG31" i="1"/>
  <c r="AG33" i="1"/>
  <c r="AG34" i="1"/>
  <c r="AG35" i="1"/>
  <c r="AG36" i="1"/>
  <c r="AF22" i="1"/>
  <c r="AF24" i="1"/>
  <c r="AF26" i="1"/>
  <c r="AF28" i="1"/>
  <c r="AF30" i="1"/>
  <c r="AF32" i="1"/>
  <c r="AF21" i="1"/>
  <c r="AF23" i="1"/>
  <c r="AF25" i="1"/>
  <c r="AF27" i="1"/>
  <c r="AF29" i="1"/>
  <c r="AF31" i="1"/>
  <c r="AF33" i="1"/>
  <c r="AF34" i="1"/>
  <c r="AF35" i="1"/>
  <c r="AF36" i="1"/>
  <c r="AE22" i="1"/>
  <c r="AE24" i="1"/>
  <c r="AE26" i="1"/>
  <c r="AE28" i="1"/>
  <c r="AE30" i="1"/>
  <c r="AE32" i="1"/>
  <c r="AE21" i="1"/>
  <c r="AE23" i="1"/>
  <c r="AE25" i="1"/>
  <c r="AE27" i="1"/>
  <c r="AE29" i="1"/>
  <c r="AE31" i="1"/>
  <c r="AE33" i="1"/>
  <c r="AE34" i="1"/>
  <c r="AE35" i="1"/>
  <c r="AE36" i="1"/>
  <c r="AD22" i="1"/>
  <c r="AD24" i="1"/>
  <c r="AD26" i="1"/>
  <c r="AD28" i="1"/>
  <c r="AD30" i="1"/>
  <c r="AD32" i="1"/>
  <c r="AD21" i="1"/>
  <c r="AD23" i="1"/>
  <c r="AD25" i="1"/>
  <c r="AD27" i="1"/>
  <c r="AD29" i="1"/>
  <c r="AD31" i="1"/>
  <c r="AD33" i="1"/>
  <c r="AD34" i="1"/>
  <c r="AD35" i="1"/>
  <c r="AD36" i="1"/>
  <c r="AC22" i="1"/>
  <c r="AC24" i="1"/>
  <c r="AC26" i="1"/>
  <c r="AC28" i="1"/>
  <c r="AC30" i="1"/>
  <c r="AC32" i="1"/>
  <c r="AC21" i="1"/>
  <c r="AC23" i="1"/>
  <c r="AC25" i="1"/>
  <c r="AC27" i="1"/>
  <c r="AC29" i="1"/>
  <c r="AC31" i="1"/>
  <c r="AC33" i="1"/>
  <c r="AC34" i="1"/>
  <c r="AC35" i="1"/>
  <c r="AC36" i="1"/>
  <c r="AB22" i="1"/>
  <c r="AB24" i="1"/>
  <c r="AB26" i="1"/>
  <c r="AB28" i="1"/>
  <c r="AB30" i="1"/>
  <c r="AB32" i="1"/>
  <c r="AB21" i="1"/>
  <c r="AB23" i="1"/>
  <c r="AB25" i="1"/>
  <c r="AB27" i="1"/>
  <c r="AB29" i="1"/>
  <c r="AB31" i="1"/>
  <c r="AB33" i="1"/>
  <c r="AB34" i="1"/>
  <c r="AB35" i="1"/>
  <c r="AB36" i="1"/>
  <c r="AA22" i="1"/>
  <c r="AA24" i="1"/>
  <c r="AA26" i="1"/>
  <c r="AA28" i="1"/>
  <c r="AA30" i="1"/>
  <c r="AA32" i="1"/>
  <c r="AA21" i="1"/>
  <c r="AA23" i="1"/>
  <c r="AA25" i="1"/>
  <c r="AA27" i="1"/>
  <c r="AA29" i="1"/>
  <c r="AA31" i="1"/>
  <c r="AA33" i="1"/>
  <c r="AA34" i="1"/>
  <c r="AA35" i="1"/>
  <c r="AA36" i="1"/>
  <c r="Z22" i="1"/>
  <c r="Z24" i="1"/>
  <c r="Z26" i="1"/>
  <c r="Z28" i="1"/>
  <c r="Z30" i="1"/>
  <c r="Z32" i="1"/>
  <c r="Z21" i="1"/>
  <c r="Z23" i="1"/>
  <c r="Z25" i="1"/>
  <c r="Z27" i="1"/>
  <c r="Z29" i="1"/>
  <c r="Z31" i="1"/>
  <c r="Z33" i="1"/>
  <c r="Z34" i="1"/>
  <c r="Z35" i="1"/>
  <c r="Z36" i="1"/>
  <c r="W22" i="1"/>
  <c r="W24" i="1"/>
  <c r="W26" i="1"/>
  <c r="W28" i="1"/>
  <c r="W30" i="1"/>
  <c r="W32" i="1"/>
  <c r="W21" i="1"/>
  <c r="W23" i="1"/>
  <c r="W25" i="1"/>
  <c r="W27" i="1"/>
  <c r="W29" i="1"/>
  <c r="W31" i="1"/>
  <c r="W33" i="1"/>
  <c r="W34" i="1"/>
  <c r="W35" i="1"/>
  <c r="W36" i="1"/>
  <c r="V2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<sst xmlns="http://schemas.openxmlformats.org/spreadsheetml/2006/main" count="3541" uniqueCount="1275">
  <si>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</si>
  <si>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</si>
  <si>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</si>
  <si>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</si>
  <si>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</si>
  <si>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</si>
  <si>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</si>
  <si>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</si>
  <si>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</si>
  <si>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</si>
  <si>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</si>
  <si>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</si>
  <si>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</si>
  <si>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</si>
  <si>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</si>
  <si>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</si>
  <si>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</si>
  <si>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</si>
  <si>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</si>
  <si>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</si>
  <si>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</si>
  <si>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</si>
  <si>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</si>
  <si>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</si>
  <si>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</si>
  <si>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</si>
  <si>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</si>
  <si>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</si>
  <si>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</si>
  <si>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</si>
  <si>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</si>
  <si>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</si>
  <si>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</si>
  <si>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</si>
  <si>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</si>
  <si>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</si>
  <si>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</si>
  <si>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</si>
  <si>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</si>
  <si>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</si>
  <si>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</si>
  <si>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</si>
  <si>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</si>
  <si>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</si>
  <si>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</si>
  <si>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</si>
  <si>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</si>
  <si>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</si>
  <si>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</si>
  <si>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</si>
  <si>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</si>
  <si>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</si>
  <si>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</si>
  <si>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</si>
  <si>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</si>
  <si>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</si>
  <si>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</si>
  <si>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</si>
  <si>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</si>
  <si>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</si>
  <si>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</si>
  <si>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</si>
  <si>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</si>
  <si>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</si>
  <si>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</si>
  <si>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</si>
  <si>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</si>
  <si>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</si>
  <si>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</si>
  <si>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</si>
  <si>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</si>
  <si>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</si>
  <si>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</si>
  <si>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</si>
  <si>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</si>
  <si>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</si>
  <si>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</si>
  <si>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</si>
  <si>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</si>
  <si>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</si>
  <si>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</si>
  <si>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</si>
  <si>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</si>
  <si>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</si>
  <si>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</si>
  <si>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</si>
  <si>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</si>
  <si>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</si>
  <si>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</si>
  <si>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</si>
  <si>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</si>
  <si>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</si>
  <si>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</si>
  <si>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</si>
  <si>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</si>
  <si>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</si>
  <si>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</si>
  <si>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</si>
  <si>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</si>
  <si>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</si>
  <si>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</si>
  <si>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</si>
  <si>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</si>
  <si>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</si>
  <si>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</si>
  <si>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</si>
  <si>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</si>
  <si>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</si>
  <si>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</si>
  <si>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</si>
  <si>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</si>
  <si>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</si>
  <si>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</si>
  <si>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</si>
  <si>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</si>
  <si>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</si>
  <si>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</si>
  <si>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</si>
  <si>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</si>
  <si>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</si>
  <si>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</si>
  <si>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</si>
  <si>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</si>
  <si>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</si>
  <si>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</si>
  <si>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</si>
  <si>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</si>
  <si>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</si>
  <si>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</si>
  <si>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</si>
  <si>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</si>
  <si>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</si>
  <si>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</si>
  <si>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</si>
  <si>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</si>
  <si>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</si>
  <si>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</si>
  <si>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</si>
  <si>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</si>
  <si>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</si>
  <si>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</si>
  <si>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</si>
  <si>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</si>
  <si>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</si>
  <si>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</si>
  <si>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</si>
  <si>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</si>
  <si>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</si>
  <si>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</si>
  <si>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</si>
  <si>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</si>
  <si>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</si>
  <si>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</si>
  <si>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</si>
  <si>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</si>
  <si>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</si>
  <si>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</si>
  <si>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</si>
  <si>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</si>
  <si>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</si>
  <si>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</si>
  <si>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</si>
  <si>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</si>
  <si>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</si>
  <si>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</si>
  <si>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</si>
  <si>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</si>
  <si>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</si>
  <si>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</si>
  <si>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</si>
  <si>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</si>
  <si>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</si>
  <si>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</si>
  <si>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</si>
  <si>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</si>
  <si>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</si>
  <si>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</si>
  <si>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</si>
  <si>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</si>
  <si>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</si>
  <si>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</si>
  <si>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</si>
  <si>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</si>
  <si>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</si>
  <si>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</si>
  <si>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</si>
  <si>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</si>
  <si>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</si>
  <si>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</si>
  <si>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</si>
  <si>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</si>
  <si>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</si>
  <si>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</si>
  <si>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</si>
  <si>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</si>
  <si>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</si>
  <si>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</si>
  <si>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</si>
  <si>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</si>
  <si>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</si>
  <si>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</si>
  <si>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</si>
  <si>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</si>
  <si>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</si>
  <si>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</si>
  <si>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</si>
  <si>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</si>
  <si>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</si>
  <si>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</si>
  <si>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</si>
  <si>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</si>
  <si>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</si>
  <si>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</si>
  <si>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</si>
  <si>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</si>
  <si>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</si>
  <si>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</si>
  <si>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</si>
  <si>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</si>
  <si>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</si>
  <si>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</si>
  <si>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</si>
  <si>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</si>
  <si>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</si>
  <si>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</si>
  <si>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</si>
  <si>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</si>
  <si>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</si>
  <si>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</si>
  <si>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</si>
  <si>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</si>
  <si>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</si>
  <si>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</si>
  <si>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</si>
  <si>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</si>
  <si>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</si>
  <si>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</si>
  <si>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</si>
  <si>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</si>
  <si>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</si>
  <si>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</si>
  <si>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</si>
  <si>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</si>
  <si>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</si>
  <si>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</si>
  <si>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</si>
  <si>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</si>
  <si>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</si>
  <si>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</si>
  <si>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</si>
  <si>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</si>
  <si>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</si>
  <si>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</si>
  <si>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</si>
  <si>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</si>
  <si>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</si>
  <si>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</si>
  <si>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</si>
  <si>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</si>
  <si>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</si>
  <si>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</si>
  <si>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</si>
  <si>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</si>
  <si>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</si>
  <si>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</si>
  <si>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</si>
  <si>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</si>
  <si>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</si>
  <si>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</si>
  <si>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</si>
  <si>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</si>
  <si>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</si>
  <si>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</si>
  <si>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</si>
  <si>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</si>
  <si>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</si>
  <si>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</si>
  <si>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</si>
  <si>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</si>
  <si>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</si>
  <si>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</si>
  <si>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</si>
  <si>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</si>
  <si>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</si>
  <si>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</si>
  <si>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</si>
  <si>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</si>
  <si>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</si>
  <si>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</si>
  <si>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</si>
  <si>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</si>
  <si>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</si>
  <si>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</si>
  <si>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</si>
  <si>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</si>
  <si>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</si>
  <si>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</si>
  <si>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</si>
  <si>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</si>
  <si>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</si>
  <si>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</si>
  <si>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</si>
  <si>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</si>
  <si>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</si>
  <si>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</si>
  <si>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</si>
  <si>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</si>
  <si>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</si>
  <si>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</si>
  <si>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</si>
  <si>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</si>
  <si>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</si>
  <si>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</si>
  <si>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</si>
  <si>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</si>
  <si>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</si>
  <si>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</si>
  <si>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</si>
  <si>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</si>
  <si>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</si>
  <si>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</si>
  <si>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</si>
  <si>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</si>
  <si>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</si>
  <si>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</si>
  <si>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</si>
  <si>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</si>
  <si>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</si>
  <si>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</si>
  <si>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</si>
  <si>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</si>
  <si>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</si>
  <si>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</si>
  <si>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</si>
  <si>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</si>
  <si>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</si>
  <si>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</si>
  <si>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</si>
  <si>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</si>
  <si>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</si>
  <si>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</si>
  <si>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</si>
  <si>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</si>
  <si>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</si>
  <si>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</si>
  <si>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</si>
  <si>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</si>
  <si>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</si>
  <si>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</si>
  <si>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</si>
  <si>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</si>
  <si>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</si>
  <si>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</si>
  <si>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</si>
  <si>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</si>
  <si>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</si>
  <si>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</si>
  <si>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</si>
  <si>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</si>
  <si>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</si>
  <si>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</si>
  <si>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</si>
  <si>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</si>
  <si>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</si>
  <si>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</si>
  <si>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</si>
  <si>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</si>
  <si>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</si>
  <si>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</si>
  <si>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</si>
  <si>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</si>
  <si>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</si>
  <si>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</si>
  <si>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</si>
  <si>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</si>
  <si>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</si>
  <si>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</si>
  <si>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</si>
  <si>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</si>
  <si>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</si>
  <si>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</si>
  <si>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</si>
  <si>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</si>
  <si>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</si>
  <si>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</si>
  <si>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</si>
  <si>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</si>
  <si>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</si>
  <si>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</si>
  <si>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</si>
  <si>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</si>
  <si>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</si>
  <si>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</si>
  <si>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</si>
  <si>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</si>
  <si>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</si>
  <si>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</si>
  <si>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</si>
  <si>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</si>
  <si>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</si>
  <si>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</si>
  <si>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</si>
  <si>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</si>
  <si>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</si>
  <si>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</si>
  <si>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</si>
  <si>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</si>
  <si>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</si>
  <si>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</si>
  <si>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</si>
  <si>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</si>
  <si>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</si>
  <si>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</si>
  <si>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</si>
  <si>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</si>
  <si>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</si>
  <si>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</si>
  <si>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</si>
  <si>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</si>
  <si>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</si>
  <si>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</si>
  <si>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</si>
  <si>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</si>
  <si>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</si>
  <si>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</si>
  <si>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</si>
  <si>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</si>
  <si>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</si>
  <si>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</si>
  <si>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</si>
  <si>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</si>
  <si>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</si>
  <si>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</si>
  <si>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</si>
  <si>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</si>
  <si>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</si>
  <si>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</si>
  <si>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</si>
  <si>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</si>
  <si>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</si>
  <si>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</si>
  <si>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</si>
  <si>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</si>
  <si>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</si>
  <si>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</si>
  <si>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</si>
  <si>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</si>
  <si>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</si>
  <si>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</si>
  <si>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</si>
  <si>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</si>
  <si>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</si>
  <si>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</si>
  <si>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</si>
  <si>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</si>
  <si>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</si>
  <si>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</si>
  <si>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</si>
  <si>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</si>
  <si>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</si>
  <si>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</si>
  <si>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</si>
  <si>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</si>
  <si>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</si>
  <si>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</si>
  <si>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</si>
  <si>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</si>
  <si>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</si>
  <si>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</si>
  <si>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</si>
  <si>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</si>
  <si>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</si>
  <si>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</si>
  <si>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</si>
  <si>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</si>
  <si>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</si>
  <si>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</si>
  <si>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</si>
  <si>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</si>
  <si>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</si>
  <si>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</si>
  <si>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</si>
  <si>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</si>
  <si>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</si>
  <si>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</si>
  <si>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</si>
  <si>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</si>
  <si>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</si>
  <si>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</si>
  <si>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</si>
  <si>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</si>
  <si>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</si>
  <si>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</si>
  <si>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</si>
  <si>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</si>
  <si>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</si>
  <si>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</si>
  <si>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</si>
  <si>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</si>
  <si>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</si>
  <si>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</si>
  <si>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</si>
  <si>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</si>
  <si>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</si>
  <si>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</si>
  <si>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</si>
  <si>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</si>
  <si>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</si>
  <si>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</si>
  <si>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</si>
  <si>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</si>
  <si>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</si>
  <si>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</si>
  <si>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</si>
  <si>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</si>
  <si>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</si>
  <si>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</si>
  <si>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</si>
  <si>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</si>
  <si>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</si>
  <si>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</si>
  <si>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</si>
  <si>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</si>
  <si>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</si>
  <si>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</si>
  <si>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</si>
  <si>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</si>
  <si>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</si>
  <si>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</si>
  <si>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</si>
  <si>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</si>
  <si>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</si>
  <si>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</si>
  <si>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</si>
  <si>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</si>
  <si>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</si>
  <si>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</si>
  <si>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</si>
  <si>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</si>
  <si>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</si>
  <si>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</si>
  <si>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</si>
  <si>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</si>
  <si>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</si>
  <si>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</si>
  <si>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</si>
  <si>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</si>
  <si>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</si>
  <si>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</si>
  <si>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</si>
  <si>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</si>
  <si>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</si>
  <si>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</si>
  <si>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</si>
  <si>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</si>
  <si>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</si>
  <si>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</si>
  <si>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</si>
  <si>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</si>
  <si>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</si>
  <si>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</si>
  <si>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</si>
  <si>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</si>
  <si>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</si>
  <si>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</si>
  <si>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</si>
  <si>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</si>
  <si>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</si>
  <si>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</si>
  <si>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</si>
  <si>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</si>
  <si>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</si>
  <si>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</si>
  <si>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</si>
  <si>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</si>
  <si>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</si>
  <si>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</si>
  <si>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</si>
  <si>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</si>
  <si>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</si>
  <si>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</si>
  <si>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</si>
  <si>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</si>
  <si>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</si>
  <si>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</si>
  <si>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</si>
  <si>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</si>
  <si>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</si>
  <si>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</si>
  <si>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</si>
  <si>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</si>
  <si>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</si>
  <si>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</si>
  <si>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</si>
  <si>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</si>
  <si>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</si>
  <si>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</si>
  <si>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</si>
  <si>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</si>
  <si>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</si>
  <si>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</si>
  <si>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</si>
  <si>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</si>
  <si>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</si>
  <si>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</si>
  <si>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</si>
  <si>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</si>
  <si>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</si>
  <si>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</si>
  <si>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</si>
  <si>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</si>
  <si>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</si>
  <si>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</si>
  <si>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</si>
  <si>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</si>
  <si>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</si>
  <si>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</si>
  <si>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</si>
  <si>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</si>
  <si>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</si>
  <si>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</si>
  <si>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</si>
  <si>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</si>
  <si>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</si>
  <si>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</si>
  <si>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</si>
  <si>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</si>
  <si>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</si>
  <si>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</si>
  <si>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</si>
  <si>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</si>
  <si>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</si>
  <si>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</si>
  <si>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</si>
  <si>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</si>
  <si>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</si>
  <si>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</si>
  <si>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</si>
  <si>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</si>
  <si>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</si>
  <si>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</si>
  <si>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</si>
  <si>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</si>
  <si>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</si>
  <si>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</si>
  <si>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</si>
  <si>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</si>
  <si>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</si>
  <si>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</si>
  <si>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</si>
  <si>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</si>
  <si>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</si>
  <si>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</si>
  <si>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</si>
  <si>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</si>
  <si>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</si>
  <si>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</si>
  <si>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</si>
  <si>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</si>
  <si>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</si>
  <si>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</si>
  <si>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</si>
  <si>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</si>
  <si>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</si>
  <si>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</si>
  <si>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</si>
  <si>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</si>
  <si>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</si>
  <si>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</si>
  <si>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</si>
  <si>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</si>
  <si>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</si>
  <si>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</si>
  <si>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</si>
  <si>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</si>
  <si>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</si>
  <si>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</si>
  <si>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</si>
  <si>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</si>
  <si>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</si>
  <si>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</si>
  <si>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</si>
  <si>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</si>
  <si>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</si>
  <si>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</si>
  <si>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</si>
  <si>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</si>
  <si>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</si>
  <si>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</si>
  <si>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</si>
  <si>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</si>
  <si>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</si>
  <si>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</si>
  <si>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</si>
  <si>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</si>
  <si>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</si>
  <si>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</si>
  <si>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</si>
  <si>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</si>
  <si>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</si>
  <si>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</si>
  <si>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</si>
  <si>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</si>
  <si>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</si>
  <si>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</si>
  <si>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</si>
  <si>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</si>
  <si>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</si>
  <si>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</si>
  <si>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</si>
  <si>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</si>
  <si>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</si>
  <si>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</si>
  <si>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</si>
  <si>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</si>
  <si>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</si>
  <si>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</si>
  <si>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</si>
  <si>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</si>
  <si>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</si>
  <si>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</si>
  <si>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</si>
  <si>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</si>
  <si>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</si>
  <si>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</si>
  <si>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</si>
  <si>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</si>
  <si>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</si>
  <si>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</si>
  <si>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</si>
  <si>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</si>
  <si>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</si>
  <si>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</si>
  <si>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</si>
  <si>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</si>
  <si>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</si>
  <si>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</si>
  <si>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</si>
  <si>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</si>
  <si>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</si>
  <si>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</si>
  <si>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</si>
  <si>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</si>
  <si>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</si>
  <si>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</si>
  <si>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</si>
  <si>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</si>
  <si>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</si>
  <si>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</si>
  <si>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</si>
  <si>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</si>
  <si>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</si>
  <si>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</si>
  <si>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</si>
  <si>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</si>
  <si>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</si>
  <si>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</si>
  <si>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</si>
  <si>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</si>
  <si>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</si>
  <si>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</si>
  <si>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</si>
  <si>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</si>
  <si>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</si>
  <si>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</si>
  <si>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</si>
  <si>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</si>
  <si>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</si>
  <si>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</si>
  <si>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</si>
  <si>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</si>
  <si>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</si>
  <si>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</si>
  <si>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</si>
  <si>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</si>
  <si>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</si>
  <si>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</si>
  <si>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</si>
  <si>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</si>
  <si>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</si>
  <si>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</si>
  <si>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</si>
  <si>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</si>
  <si>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</si>
  <si>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</si>
  <si>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</si>
  <si>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</si>
  <si>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</si>
  <si>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</si>
  <si>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</si>
  <si>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</si>
  <si>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</si>
  <si>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</si>
  <si>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</si>
  <si>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</si>
  <si>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</si>
  <si>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</si>
  <si>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</si>
  <si>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</si>
  <si>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</si>
  <si>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</si>
  <si>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</si>
  <si>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</si>
  <si>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</si>
  <si>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</si>
  <si>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</si>
  <si>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</si>
  <si>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</si>
  <si>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</si>
  <si>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</si>
  <si>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</si>
  <si>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</si>
  <si>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</si>
  <si>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</si>
  <si>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</si>
  <si>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</si>
  <si>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</si>
  <si>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</si>
  <si>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</si>
  <si>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</si>
  <si>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</si>
  <si>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</si>
  <si>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</si>
  <si>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</si>
  <si>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</si>
  <si>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</si>
  <si>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</si>
  <si>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</si>
  <si>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</si>
  <si>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</si>
  <si>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</si>
  <si>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</si>
  <si>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</si>
  <si>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</si>
  <si>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</si>
  <si>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</si>
  <si>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</si>
  <si>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</si>
  <si>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</si>
  <si>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</si>
  <si>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</si>
  <si>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</si>
  <si>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</si>
  <si>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</si>
  <si>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</si>
  <si>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</si>
  <si>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</si>
  <si>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</si>
  <si>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</si>
  <si>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</si>
  <si>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</si>
  <si>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</si>
  <si>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</si>
  <si>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</si>
  <si>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</si>
  <si>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</si>
  <si>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</si>
  <si>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</si>
  <si>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</si>
  <si>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</si>
  <si>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</si>
  <si>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</si>
  <si>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</si>
  <si>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</si>
  <si>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</si>
  <si>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</si>
  <si>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</si>
  <si>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</si>
  <si>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</si>
  <si>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</si>
  <si>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</si>
  <si>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</si>
  <si>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</si>
  <si>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</si>
  <si>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</si>
  <si>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</si>
  <si>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</si>
  <si>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</si>
  <si>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</si>
  <si>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</si>
  <si>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</si>
  <si>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</si>
  <si>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</si>
  <si>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</si>
  <si>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</si>
  <si>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</si>
  <si>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</si>
  <si>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</si>
  <si>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</si>
  <si>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</si>
  <si>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</si>
  <si>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</si>
  <si>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</si>
  <si>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</si>
  <si>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</si>
  <si>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</si>
  <si>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</si>
  <si>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</si>
  <si>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</si>
  <si>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</si>
  <si>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</si>
  <si>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</si>
  <si>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</si>
  <si>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</si>
  <si>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</si>
  <si>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</si>
  <si>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</si>
  <si>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</si>
  <si>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</si>
  <si>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</si>
  <si>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</si>
  <si>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</si>
  <si>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</si>
  <si>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</si>
  <si>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</si>
  <si>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</si>
  <si>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</si>
  <si>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</si>
  <si>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</si>
  <si>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</si>
  <si>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</si>
  <si>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</si>
  <si>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</si>
  <si>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</si>
  <si>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</si>
  <si>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</si>
  <si>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</si>
  <si>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</si>
  <si>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</si>
  <si>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</si>
  <si>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</si>
  <si>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</si>
  <si>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</si>
  <si>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</si>
  <si>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</si>
  <si>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</si>
  <si>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</si>
  <si>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</si>
  <si>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</si>
  <si>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</si>
  <si>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</si>
  <si>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</si>
  <si>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</si>
  <si>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</si>
  <si>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</si>
  <si>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</si>
  <si>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</si>
  <si>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</si>
  <si>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</si>
  <si>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</si>
  <si>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</si>
  <si>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</si>
  <si>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</si>
  <si>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</si>
  <si>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</si>
  <si>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</si>
  <si>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</si>
  <si>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</si>
  <si>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</si>
  <si>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</si>
  <si>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</si>
  <si>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</si>
  <si>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</si>
  <si>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</si>
  <si>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</si>
  <si>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</si>
  <si>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</si>
  <si>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</si>
  <si>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</si>
  <si>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</si>
  <si>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</si>
  <si>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</si>
  <si>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</si>
  <si>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</si>
  <si>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</si>
  <si>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</si>
  <si>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</si>
  <si>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</si>
  <si>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</si>
  <si>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</si>
  <si>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</si>
  <si>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</si>
  <si>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</si>
  <si>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</si>
  <si>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</si>
  <si>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</si>
  <si>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</si>
  <si>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</si>
  <si>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</si>
  <si>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</si>
  <si>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</si>
  <si>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</si>
  <si>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</si>
  <si>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</si>
  <si>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</si>
  <si>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</si>
  <si>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</si>
  <si>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</si>
  <si>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</si>
  <si>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</si>
  <si>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</si>
  <si>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</si>
  <si>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</si>
  <si>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</si>
  <si>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</si>
  <si>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</si>
  <si>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</si>
  <si>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</si>
  <si>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</si>
  <si>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</si>
  <si>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</si>
  <si>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</si>
  <si>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</si>
  <si>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</si>
  <si>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</si>
  <si>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</si>
  <si>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</si>
  <si>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</si>
  <si>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</si>
  <si>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</si>
  <si>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</si>
  <si>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</si>
  <si>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</si>
  <si>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</si>
  <si>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</si>
  <si>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</si>
  <si>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</si>
  <si>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</si>
  <si>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</si>
  <si>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</si>
  <si>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</si>
  <si>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</si>
  <si>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</si>
  <si>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</si>
  <si>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</si>
  <si>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</si>
  <si>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</si>
  <si>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</si>
  <si>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</si>
  <si>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</si>
  <si>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</si>
  <si>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</si>
  <si>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</si>
  <si>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</si>
  <si>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</si>
  <si>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</si>
  <si>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</si>
  <si>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</si>
  <si>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</si>
  <si>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</si>
  <si>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</si>
  <si>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</si>
  <si>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</si>
  <si>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</si>
  <si>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</si>
  <si>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</si>
  <si>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</si>
  <si>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</si>
  <si>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</si>
  <si>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</si>
  <si>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</si>
  <si>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</si>
  <si>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</si>
  <si>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</si>
  <si>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</si>
  <si>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</si>
  <si>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</si>
  <si>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</si>
  <si>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</si>
  <si>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</si>
  <si>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</si>
  <si>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</si>
  <si>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</si>
  <si>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</si>
  <si>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</si>
  <si>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</si>
  <si>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</si>
  <si>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</si>
  <si>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</si>
  <si>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</si>
  <si>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</si>
  <si>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</si>
  <si>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</si>
  <si>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</si>
  <si>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</si>
  <si>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</si>
  <si>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</si>
  <si>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</si>
  <si>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</si>
  <si>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</si>
  <si>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</si>
  <si>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</si>
  <si>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</si>
  <si>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</si>
  <si>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</si>
  <si>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</si>
  <si>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</si>
  <si>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</si>
  <si>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</si>
  <si>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</si>
  <si>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</si>
  <si>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</si>
  <si>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</si>
  <si>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</si>
  <si>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</si>
  <si>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</si>
  <si>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</si>
  <si>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</si>
  <si>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</si>
  <si>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</si>
  <si>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</si>
  <si>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</si>
  <si>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</si>
  <si>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</si>
  <si>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</si>
  <si>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</si>
  <si>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</si>
  <si>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</si>
  <si>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</si>
  <si>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</si>
  <si>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</si>
  <si>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</si>
  <si>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</si>
  <si>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</si>
  <si>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</si>
  <si>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</si>
  <si>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</si>
  <si>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</si>
  <si>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</si>
  <si>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</si>
  <si>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</si>
  <si>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</si>
  <si>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</si>
  <si>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</si>
  <si>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</si>
  <si>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</si>
  <si>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</si>
  <si>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</si>
  <si>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</si>
  <si>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</si>
  <si>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</si>
  <si>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</si>
  <si>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</si>
  <si>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</si>
  <si>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</si>
  <si>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</si>
  <si>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</si>
  <si>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</si>
  <si>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</si>
  <si>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</si>
  <si>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</si>
  <si>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</si>
  <si>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</si>
  <si>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</si>
  <si>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</si>
  <si>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</si>
  <si>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</si>
  <si>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</si>
  <si>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</si>
  <si>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</si>
  <si>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</si>
  <si>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</si>
  <si>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</si>
  <si>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</si>
  <si>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</si>
  <si>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</si>
  <si>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</si>
  <si>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</si>
  <si>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</si>
  <si>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</si>
  <si>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</si>
  <si>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</si>
  <si>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</si>
  <si>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</si>
  <si>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</si>
  <si>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</si>
  <si>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</si>
  <si>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</si>
  <si>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</si>
  <si>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</si>
  <si>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</si>
  <si>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</si>
  <si>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</si>
  <si>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</si>
  <si>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</si>
  <si>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</si>
  <si>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</si>
  <si>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</si>
  <si>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</si>
  <si>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</si>
  <si>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</si>
  <si>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</si>
  <si>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</si>
  <si>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</si>
  <si>
    <t>PARLA BT VIVOPROZ015NG</t>
  </si>
  <si>
    <t>CABLE LIGHTNING TIPO C 2MT I2GO PRO GR</t>
  </si>
  <si>
    <t>AUDIF I2GO GAMMER PRO RJ</t>
  </si>
  <si>
    <t>AUDIF I2GO GAMMER PRO AZ</t>
  </si>
  <si>
    <t>XIA REDMINOT12128 GR SPEAKER</t>
  </si>
  <si>
    <t>XIA REDMINOT12128 GR</t>
  </si>
  <si>
    <t>XIA REDMINT12S256 NG REDMI BUDS</t>
  </si>
  <si>
    <t>XIAOMI REDMI NOTE 12S 256GB</t>
  </si>
  <si>
    <t>XIAOMI REDMI NOTE 9T 128GB</t>
  </si>
  <si>
    <t>LAMPARA LED ZTE MOVABLE DESK BL</t>
  </si>
  <si>
    <t>XIA REDMI12C64GB AZ IN EARPHON</t>
  </si>
  <si>
    <t>XIA REDMI A2 32GB VR IN EARPHON</t>
  </si>
  <si>
    <t>XIA REDMI A2 32GB AZ IN EARPHON</t>
  </si>
  <si>
    <t>MdTk Helio G96</t>
  </si>
  <si>
    <t>PARLA XTREME BT MOTOROLA MOTKBS-025 PR</t>
  </si>
  <si>
    <t>AUDIF BT XTRM KWH001 MOT NG</t>
  </si>
  <si>
    <t>AUDIF BT XTRM KWH001 MOT RJ</t>
  </si>
  <si>
    <t>XIA REDMINOT12128 AZ</t>
  </si>
  <si>
    <t>POLO PIQUE AZUL TALLA M MUJER</t>
  </si>
  <si>
    <t>SMG GS23U512S918B VR WATCH4</t>
  </si>
  <si>
    <t>AUDIF BSHEP TWS DRUMS BT NG</t>
  </si>
  <si>
    <t>PARLA BT BSHEP DOME NJ</t>
  </si>
  <si>
    <t>APP IPH14PMAXGOLD GD 256GB</t>
  </si>
  <si>
    <t>HONOR MAGIC 5 LITE 256GB 5G</t>
  </si>
  <si>
    <t>APP IPH14128GBBLU B1</t>
  </si>
  <si>
    <t>MOT E30NEOXT22451 VR</t>
  </si>
  <si>
    <t>XIA REDMINT12S256 NG</t>
  </si>
  <si>
    <t>XIAOMI REDMI NOTE 12 PRO PLUS 256GB 5G</t>
  </si>
  <si>
    <t>6.67 HDR10 120Hz</t>
  </si>
  <si>
    <t>MediaTek Dimensity 1080</t>
  </si>
  <si>
    <t>5.000 120W</t>
  </si>
  <si>
    <t>AUDIF BT SPORT ALTECMZX857 AZ</t>
  </si>
  <si>
    <t>XIA REDMI A2 32GB NG</t>
  </si>
  <si>
    <t>HOR MA5LITE256GB VE</t>
  </si>
  <si>
    <t>SMG GXA34256A346M NG CAMIST.PER</t>
  </si>
  <si>
    <t>SMG GXA54256A546E NG CAMIST.PER</t>
  </si>
  <si>
    <t>OPP RENO7 256GB NH CAMIST.PER</t>
  </si>
  <si>
    <t>HOR MA5LITE256GB VE CAMIST.PER</t>
  </si>
  <si>
    <t>SMG GXYS23U2568S9 NG CAMIST.PER</t>
  </si>
  <si>
    <t>SMG GXYS21FE128/6 GR CAMIST.PER</t>
  </si>
  <si>
    <t>PARLA BT HONOR HRG01D NG</t>
  </si>
  <si>
    <t>PARLA BT OPPO YD-07 NG</t>
  </si>
  <si>
    <t>PARLA BT XTREME NITRO 6W VR</t>
  </si>
  <si>
    <t>PARLA BT XTREME NITRO 6W BG</t>
  </si>
  <si>
    <t>PARLA BT XTREME NITRO 6W NG</t>
  </si>
  <si>
    <t>APP IPH14PROMAXGO GD 128GB</t>
  </si>
  <si>
    <t>AUDIF BT SKUL DIME NG</t>
  </si>
  <si>
    <t>APP IPH8PL56GOSAC DO SEED STOCK C/ ACCES</t>
  </si>
  <si>
    <t>ZTE WATCH LIVE 2 NG</t>
  </si>
  <si>
    <t>SMG GS23U512S918B NG WATCH4</t>
  </si>
  <si>
    <t>SMG GALA0464A045M NG AUDIFONO</t>
  </si>
  <si>
    <t>SMG GXA34256A346M NG BAT+ADAP</t>
  </si>
  <si>
    <t>SMG GA1451284146M NG ADAPTADOR</t>
  </si>
  <si>
    <t>MOT E30NEOXT22451 NG CAMIST.PER</t>
  </si>
  <si>
    <t>MOT E30NEOXT22451 MR CAMIST.PER</t>
  </si>
  <si>
    <t>6.52 HD+</t>
  </si>
  <si>
    <t>6.6 FullHD+</t>
  </si>
  <si>
    <t>Unisoc T616</t>
  </si>
  <si>
    <t>12 GO</t>
  </si>
  <si>
    <t>ADAPTADOR USB A MICRO USB (BIOMETRICO)</t>
  </si>
  <si>
    <t>HUA B612-533 BL REACONDICIONADO+CHIP</t>
  </si>
  <si>
    <t>HUA NOVAY70128GB AZ</t>
  </si>
  <si>
    <t>LECTOR BIOMÉTRICO MORPHO OEM E3</t>
  </si>
  <si>
    <t>LECTORES BIOMETRICOS</t>
  </si>
  <si>
    <t>OPP A57 128GB NG BTHSPEAKER</t>
  </si>
  <si>
    <t>PACK SIM CARD TELEFONO FIJO 256KB</t>
  </si>
  <si>
    <t>SIMCARD VIRGEN 256KB VOLTE 2FF3FF4FF CAD</t>
  </si>
  <si>
    <t>VI Y16 64GB DO</t>
  </si>
  <si>
    <t>VI Y35 128GB DO</t>
  </si>
  <si>
    <t>Libre utilización</t>
  </si>
  <si>
    <t>APP IPH6S32SPGSAC GR SEED STOCK C/ ACCES</t>
  </si>
  <si>
    <t>SMG GXA54256A546E NG BUDS2</t>
  </si>
  <si>
    <t>MOTOROLA MOTO EDGE 40 256GB</t>
  </si>
  <si>
    <t>XIAOMI REDMI 12C 128GB</t>
  </si>
  <si>
    <t>Ataque Competencia - 27 07 2023.xlsx</t>
  </si>
  <si>
    <t>Ataque Competencia Cuotas - 27.07.23.xls</t>
  </si>
  <si>
    <t>Full Claro - 27 07 2023.xlsx</t>
  </si>
  <si>
    <t>Linea Adicional Alta - 27 07 23.xlsx</t>
  </si>
  <si>
    <t>Linea Adicional Alta Cuotas - 27.07.23.xls</t>
  </si>
  <si>
    <t>Lista de Precios - 27 07 23.xlsx</t>
  </si>
  <si>
    <t>Lista Venta en Cuotas - 27.07.23.xls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</si>
</sst>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9" fillId="4" borderId="0" xfId="0" applyFont="1" applyFill="1"/>
    <xf numFmtId="0" fontId="0" fillId="4" borderId="7" xfId="0" applyFill="1" applyBorder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0" fillId="0" borderId="8" xfId="0" applyBorder="1"/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2"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503" totalsRowShown="0" headerRowDxfId="272">
  <autoFilter ref="B2:I503" xr:uid="{43069BA1-4CC5-4D10-8300-BFE15A4B236B}"/>
  <sortState xmlns:xlrd2="http://schemas.microsoft.com/office/spreadsheetml/2017/richdata2" ref="B3:I503">
    <sortCondition ref="E2:E503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65" totalsRowShown="0" headerRowDxfId="267">
  <autoFilter ref="K2:M165" xr:uid="{31EC6DFD-2D22-4C30-AEDC-6C487E6A88E8}"/>
  <sortState xmlns:xlrd2="http://schemas.microsoft.com/office/spreadsheetml/2017/richdata2" ref="K3:M165">
    <sortCondition ref="M2:M165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71" totalsRowShown="0" headerRowDxfId="22" dataDxfId="21" headerRowBorderDxfId="19" tableBorderDxfId="20">
  <autoFilter ref="D1:V171" xr:uid="{4B71F3B6-068C-4358-836F-C4B61EF2E6AC}"/>
  <sortState xmlns:xlrd2="http://schemas.microsoft.com/office/spreadsheetml/2017/richdata2" ref="D2:V171">
    <sortCondition ref="V1:V171"/>
  </sortState>
  <tableColumns count="19">
    <tableColumn id="1" xr3:uid="{D932A830-1C5D-47CD-BBF4-1814A1054A85}" name="EQUIPOS" dataDxfId="18"/>
    <tableColumn id="19" xr3:uid="{9D32459C-8A5D-45BF-9ECA-71459333AAD1}" name="img" dataDxfId="17"/>
    <tableColumn id="3" xr3:uid="{02C87839-D173-4682-B68D-6A8E17C3026E}" name="version" dataDxfId="16"/>
    <tableColumn id="4" xr3:uid="{7F464708-5AF1-412D-9306-7721B0311624}" name="display" dataDxfId="15"/>
    <tableColumn id="5" xr3:uid="{9840FEF3-82E3-486E-87E8-678814731646}" name="cam_princ" dataDxfId="14"/>
    <tableColumn id="6" xr3:uid="{058ED438-2AD3-4DB9-AEAB-2E7C99BBC6AE}" name="cam_cant" dataDxfId="13"/>
    <tableColumn id="7" xr3:uid="{AA0FC66C-C4A5-4EDF-90C9-3ABEFAF9A8F8}" name="cam_front" dataDxfId="12"/>
    <tableColumn id="8" xr3:uid="{742DEA9E-0461-46DA-9BAF-3C54F5A7BC83}" name="mem_int" dataDxfId="11"/>
    <tableColumn id="9" xr3:uid="{F57E3C51-9926-46FF-A8E3-C6E5CA8254FE}" name="mem_exp" dataDxfId="10"/>
    <tableColumn id="10" xr3:uid="{C33B6913-E8A1-44EA-BF2D-DCBBABF2F1A6}" name="nucleos" dataDxfId="9"/>
    <tableColumn id="11" xr3:uid="{81187736-8572-439C-85B5-499A56C17FEB}" name="ghz" dataDxfId="8"/>
    <tableColumn id="12" xr3:uid="{37711F67-6042-4E94-83CF-5CBD77B91949}" name="ram" dataDxfId="7"/>
    <tableColumn id="13" xr3:uid="{56D95EAF-5EAE-44AC-A841-42DDCC21DFFB}" name="peso" dataDxfId="6"/>
    <tableColumn id="14" xr3:uid="{0C8CFB70-FEE5-427A-A11A-C63234DF2631}" name="altura" dataDxfId="5"/>
    <tableColumn id="15" xr3:uid="{600F43F5-2CB9-4B9B-8E25-757F8BBEA8CD}" name="anchura" dataDxfId="4"/>
    <tableColumn id="16" xr3:uid="{475E1BE2-448C-41B3-8A8F-8249F2CF2181}" name="grosor" dataDxfId="3"/>
    <tableColumn id="17" xr3:uid="{F59BB169-5A84-4521-A4D6-3C5AE1F1D974}" name="bateria" dataDxfId="2"/>
    <tableColumn id="18" xr3:uid="{6B6EF8C5-DC23-4D45-81DB-283809974281}" name="red" dataDxfId="1"/>
    <tableColumn id="2" xr3:uid="{995E5915-F862-4EC5-9285-20817595BD9A}" name="Columna1" dataDxfId="0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34" totalsRowShown="0">
  <autoFilter ref="A1:B134" xr:uid="{9CCB71CE-9562-425E-B208-6EA8CB276A09}"/>
  <sortState xmlns:xlrd2="http://schemas.microsoft.com/office/spreadsheetml/2017/richdata2" ref="A2:B134">
    <sortCondition descending="1" ref="B1:B134"/>
  </sortState>
  <tableColumns count="2">
    <tableColumn id="1" xr3:uid="{733D7729-6E42-4F85-861F-E8C3B70BE830}" name="SEGÚN LISTA"/>
    <tableColumn id="2" xr3:uid="{603781F3-638F-4538-B5DC-897D283A8DB2}" name="ESTA?" dataDxfId="265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80" totalsRowShown="0" headerRowDxfId="264" dataDxfId="263">
  <autoFilter ref="C10:II180" xr:uid="{4BA569FF-27DC-4054-B512-1670EDBA5CF5}"/>
  <sortState xmlns:xlrd2="http://schemas.microsoft.com/office/spreadsheetml/2017/richdata2" ref="C11:II180">
    <sortCondition ref="U10:U180"/>
  </sortState>
  <tableColumns count="241">
    <tableColumn id="1" xr3:uid="{E9E6544D-CA73-49A8-A5E4-692B6C7C1F57}" name="Equipo"/>
    <tableColumn id="285" xr3:uid="{E9F3E7DB-7924-4F50-8268-2677BC52C1DF}" name="cant" dataDxfId="262">
      <calculatedColumnFormula>SUMIFS(DICCIONARIO[Cantidad],DICCIONARIO[Modelo],UNIFICADA[[#This Row],[Equipo]])</calculatedColumnFormula>
    </tableColumn>
    <tableColumn id="269" xr3:uid="{D07B1630-BEDF-42F4-AFF7-F13C41516397}" name="version" dataDxfId="261">
      <calculatedColumnFormula>IFERROR(VLOOKUP($C11,EQUIPOS[],UNIFICADO!E$9,0),"")</calculatedColumnFormula>
    </tableColumn>
    <tableColumn id="270" xr3:uid="{E773B4AD-ADCB-48F1-A5F9-576AB2B2A25A}" name="display" dataDxfId="260">
      <calculatedColumnFormula>IFERROR(VLOOKUP($C11,EQUIPOS[],UNIFICADO!F$9,0),"")</calculatedColumnFormula>
    </tableColumn>
    <tableColumn id="271" xr3:uid="{E5D555CB-E6A7-423A-AEC0-CDB583FDD6EB}" name="cam_princ" dataDxfId="259">
      <calculatedColumnFormula>IFERROR(VLOOKUP($C11,EQUIPOS[],UNIFICADO!G$9,0),"")</calculatedColumnFormula>
    </tableColumn>
    <tableColumn id="272" xr3:uid="{4150901E-1416-4645-9A56-4DF5800E7988}" name="cam_cant" dataDxfId="258">
      <calculatedColumnFormula>IFERROR(VLOOKUP($C11,EQUIPOS[],UNIFICADO!H$9,0),"")</calculatedColumnFormula>
    </tableColumn>
    <tableColumn id="273" xr3:uid="{9E68B7B1-0BF4-499B-ABB9-AF1BF137F67D}" name="cam_front" dataDxfId="257">
      <calculatedColumnFormula>IFERROR(VLOOKUP($C11,EQUIPOS[],UNIFICADO!I$9,0),"")</calculatedColumnFormula>
    </tableColumn>
    <tableColumn id="274" xr3:uid="{72639959-911E-402B-8DA0-F36D279BC07A}" name="mem_int" dataDxfId="256">
      <calculatedColumnFormula>IFERROR(VLOOKUP($C11,EQUIPOS[],UNIFICADO!J$9,0),"")</calculatedColumnFormula>
    </tableColumn>
    <tableColumn id="275" xr3:uid="{48AFCC39-FEE4-49C8-881B-4D6A49B2769D}" name="mem_exp" dataDxfId="255">
      <calculatedColumnFormula>IFERROR(VLOOKUP($C11,EQUIPOS[],UNIFICADO!K$9,0),"")</calculatedColumnFormula>
    </tableColumn>
    <tableColumn id="276" xr3:uid="{09447B07-5E4F-4926-9818-FA289C24555A}" name="nucleos" dataDxfId="254">
      <calculatedColumnFormula>IFERROR(VLOOKUP($C11,EQUIPOS[],UNIFICADO!L$9,0),"")</calculatedColumnFormula>
    </tableColumn>
    <tableColumn id="277" xr3:uid="{553A2E8B-3771-4B9A-94B4-564631E127D7}" name="ghz" dataDxfId="253">
      <calculatedColumnFormula>IFERROR(VLOOKUP($C11,EQUIPOS[],UNIFICADO!M$9,0),"")</calculatedColumnFormula>
    </tableColumn>
    <tableColumn id="278" xr3:uid="{6AD3E60F-131B-4990-ADD9-D39B09245E6A}" name="ram" dataDxfId="252">
      <calculatedColumnFormula>IFERROR(VLOOKUP($C11,EQUIPOS[],UNIFICADO!N$9,0),"")</calculatedColumnFormula>
    </tableColumn>
    <tableColumn id="279" xr3:uid="{745E96EC-AA41-4D17-8672-EA7180249A05}" name="peso" dataDxfId="251">
      <calculatedColumnFormula>IFERROR(VLOOKUP($C11,EQUIPOS[],UNIFICADO!O$9,0),"")</calculatedColumnFormula>
    </tableColumn>
    <tableColumn id="280" xr3:uid="{E8F78C04-36C6-4F84-B7A2-4BB090E3E3FD}" name="altura" dataDxfId="250">
      <calculatedColumnFormula>IFERROR(VLOOKUP($C11,EQUIPOS[],UNIFICADO!P$9,0),"")</calculatedColumnFormula>
    </tableColumn>
    <tableColumn id="281" xr3:uid="{53DB81BC-E5D3-4EDC-8376-CC24F1712F9D}" name="anchura" dataDxfId="249">
      <calculatedColumnFormula>IFERROR(VLOOKUP($C11,EQUIPOS[],UNIFICADO!Q$9,0),"")</calculatedColumnFormula>
    </tableColumn>
    <tableColumn id="282" xr3:uid="{DF616921-874D-4DF0-B7F0-354C03A07F94}" name="grosor" dataDxfId="248">
      <calculatedColumnFormula>IFERROR(VLOOKUP($C11,EQUIPOS[],UNIFICADO!R$9,0),"")</calculatedColumnFormula>
    </tableColumn>
    <tableColumn id="283" xr3:uid="{58FA6E1F-DEA0-421D-A258-3C918F8EE29B}" name="bateria" dataDxfId="247">
      <calculatedColumnFormula>IFERROR(VLOOKUP($C11,EQUIPOS[],UNIFICADO!S$9,0),"")</calculatedColumnFormula>
    </tableColumn>
    <tableColumn id="284" xr3:uid="{020AA76E-8546-4E8A-AB1D-5F00BDEAEC0A}" name="red" dataDxfId="246">
      <calculatedColumnFormula>IFERROR(VLOOKUP($C11,EQUIPOS[],UNIFICADO!T$9,0),"")</calculatedColumnFormula>
    </tableColumn>
    <tableColumn id="286" xr3:uid="{E7401C15-786D-4E07-BF5C-532670CFF140}" name="id" dataDxfId="245">
      <calculatedColumnFormula>VLOOKUP(UNIFICADA[[#This Row],[Equipo]],EQUIPOS[],19,0)</calculatedColumnFormula>
    </tableColumn>
    <tableColumn id="2" xr3:uid="{15CBBE6D-DC4F-4AE7-BABA-4CEFAEFA2FD4}" name="Prepago" dataDxfId="244">
      <calculatedColumnFormula>IFERROR(IF(V$9="ND","ND",VLOOKUP($C11,PAR,V$9,0)),"ND")</calculatedColumnFormula>
    </tableColumn>
    <tableColumn id="3" xr3:uid="{BD1C5EEC-6DC1-42A6-BE14-30BAA14E64EC}" name="PortRenPre" dataDxfId="243">
      <calculatedColumnFormula>IFERROR(IF(W$9="ND","ND",VLOOKUP($C11,PRP,W$9,0)),"ND")</calculatedColumnFormula>
    </tableColumn>
    <tableColumn id="235" xr3:uid="{4CF931AD-83FB-4130-A897-3FC33DD3102F}" name="ACOMP_29" dataDxfId="242">
      <calculatedColumnFormula>IF(X$9="ND","ND",VLOOKUP($C11,AC,X$9,0))</calculatedColumnFormula>
    </tableColumn>
    <tableColumn id="236" xr3:uid="{8CC452DA-19C8-44A1-ADA4-CCC08D134266}" name="ACOMP_39" dataDxfId="241">
      <calculatedColumnFormula>IF(Y$9="ND","ND",VLOOKUP($C11,AC,Y$9,0))</calculatedColumnFormula>
    </tableColumn>
    <tableColumn id="237" xr3:uid="{5D56DAA2-933B-4A75-B460-270554B35677}" name="ACOMP_49" dataDxfId="240">
      <calculatedColumnFormula>IFERROR(IF(Z$9="ND","ND",VLOOKUP($C11,AC,Z$9,0)),"ND")</calculatedColumnFormula>
    </tableColumn>
    <tableColumn id="238" xr3:uid="{E763E99F-CA61-472C-80AF-CCFA9FEDD24B}" name="ACOMP_55" dataDxfId="239">
      <calculatedColumnFormula>IFERROR(IF(AA$9="ND","ND",VLOOKUP($C11,AC,AA$9,0)),"ND")</calculatedColumnFormula>
    </tableColumn>
    <tableColumn id="239" xr3:uid="{BEF89A7A-6251-4371-8F9C-4239043E52D2}" name="ACOMP_69" dataDxfId="238">
      <calculatedColumnFormula>IFERROR(IF(AB$9="ND","ND",VLOOKUP($C11,AC,AB$9,0)),"ND")</calculatedColumnFormula>
    </tableColumn>
    <tableColumn id="240" xr3:uid="{B0331598-57FB-4A6E-AA63-D05DA4D4EA20}" name="ACOMP_79" dataDxfId="237">
      <calculatedColumnFormula>IFERROR(IF(AC$9="ND","ND",VLOOKUP($C11,AC,AC$9,0)),"ND")</calculatedColumnFormula>
    </tableColumn>
    <tableColumn id="241" xr3:uid="{C8EBCC3A-F761-43E5-AE1A-8A881BD6DB75}" name="ACOMP_95" dataDxfId="236">
      <calculatedColumnFormula>IFERROR(IF(AD$9="ND","ND",VLOOKUP($C11,AC,AD$9,0)),"ND")</calculatedColumnFormula>
    </tableColumn>
    <tableColumn id="242" xr3:uid="{63C68F08-6E07-45E4-84E0-BF70366BE6D9}" name="ACOMP_109" dataDxfId="235">
      <calculatedColumnFormula>IFERROR(IF(AE$9="ND","ND",VLOOKUP($C11,AC,AE$9,0)),"ND")</calculatedColumnFormula>
    </tableColumn>
    <tableColumn id="243" xr3:uid="{7BBD2F7E-EB62-4CF0-9B7A-F2049CCB0FA0}" name="ACOMP_159" dataDxfId="234">
      <calculatedColumnFormula>IFERROR(IF(AF$9="ND","ND",VLOOKUP($C11,AC,AF$9,0)),"ND")</calculatedColumnFormula>
    </tableColumn>
    <tableColumn id="244" xr3:uid="{B960E3CB-88B6-4071-995F-255203A3F4CD}" name="ACOMP_189" dataDxfId="233">
      <calculatedColumnFormula>IFERROR(IF(AG$9="ND","ND",VLOOKUP($C11,AC,AG$9,0)),"ND")</calculatedColumnFormula>
    </tableColumn>
    <tableColumn id="245" xr3:uid="{163E770B-5B51-4794-8E4C-8ADDD34D29F1}" name="ACOMP_289" dataDxfId="232">
      <calculatedColumnFormula>IFERROR(IF(AH$9="ND","ND",VLOOKUP($C11,AC,AH$9,0)),"ND")</calculatedColumnFormula>
    </tableColumn>
    <tableColumn id="4" xr3:uid="{26BFB238-657C-4A39-BBAD-2048EE48178A}" name="AC6MC_29" dataDxfId="231">
      <calculatedColumnFormula>IFERROR(ROUNDUP(AJ11/6,2)+29.9,"ND")</calculatedColumnFormula>
    </tableColumn>
    <tableColumn id="5" xr3:uid="{BF4427DB-10CB-4E3E-9697-6F76FEE22DE4}" name="AC6MT_29" dataDxfId="230">
      <calculatedColumnFormula>IFERROR(IF(AJ$9="ND","ND",ROUNDUP(VALUE(VLOOKUP($C11,A6M,AJ$9,0))/6,2)),"ND")</calculatedColumnFormula>
    </tableColumn>
    <tableColumn id="6" xr3:uid="{2184D458-08CA-40C8-822E-730E42E27777}" name="AC6MC_39" dataDxfId="229">
      <calculatedColumnFormula>IFERROR(ROUNDUP(AL11/6,2)+39.9,"ND")</calculatedColumnFormula>
    </tableColumn>
    <tableColumn id="7" xr3:uid="{3CCC7BC6-442D-4DDD-BCEA-983D443D81F5}" name="AC6MT_39" dataDxfId="228">
      <calculatedColumnFormula>IFERROR(IF(AL$9="ND","ND",ROUNDUP(VALUE(VLOOKUP($C11,A6M,AL$9,0))/6,2)),"ND")</calculatedColumnFormula>
    </tableColumn>
    <tableColumn id="8" xr3:uid="{4D503D8F-B6D1-4324-AF8C-CF8E9F00BBD9}" name="AC6MC_49" dataDxfId="227">
      <calculatedColumnFormula>IFERROR(ROUNDUP(AN11/6,2)+49.9,"ND")</calculatedColumnFormula>
    </tableColumn>
    <tableColumn id="9" xr3:uid="{3079D602-1866-4B2D-9AD7-80D9A3EF96CA}" name="AC6MT_49" dataDxfId="226">
      <calculatedColumnFormula>IFERROR(IF(AN$9="ND","ND",VLOOKUP($C11,A6M,AN$9,0)),"ND")</calculatedColumnFormula>
    </tableColumn>
    <tableColumn id="10" xr3:uid="{5A53B6C6-F074-4F67-8276-E52757C7FC95}" name="AC6MC_55" dataDxfId="225">
      <calculatedColumnFormula>IFERROR(ROUNDUP(AP11/6,2)+55.9,"ND")</calculatedColumnFormula>
    </tableColumn>
    <tableColumn id="11" xr3:uid="{FB2265FD-1AF7-4F7E-BD5D-FB1FE15EE7F2}" name="AC6MT_55" dataDxfId="224">
      <calculatedColumnFormula>IFERROR(IF(AP$9="ND","ND",VLOOKUP($C11,A6M,AP$9,0)),"ND")</calculatedColumnFormula>
    </tableColumn>
    <tableColumn id="12" xr3:uid="{C3043229-7841-4FD9-AF98-50D730D0072C}" name="AC6MC_69" dataDxfId="223">
      <calculatedColumnFormula>IFERROR(ROUNDUP(AR11/6,2)+69.9,"ND")</calculatedColumnFormula>
    </tableColumn>
    <tableColumn id="13" xr3:uid="{CBACE8B1-8F51-4199-812F-B4A01657A2B3}" name="AC6MT_69" dataDxfId="222">
      <calculatedColumnFormula>IFERROR(IF(AR$9="ND","ND",VLOOKUP($C11,A6M,AR$9,0)),"ND")</calculatedColumnFormula>
    </tableColumn>
    <tableColumn id="14" xr3:uid="{CF12CAA9-A820-4587-9254-4B792C9CB641}" name="AC6MC_79" dataDxfId="221">
      <calculatedColumnFormula>IFERROR(ROUNDUP(AT11/6,2)+79.9,"ND")</calculatedColumnFormula>
    </tableColumn>
    <tableColumn id="15" xr3:uid="{ADD49064-4515-4388-9A55-1B6AE1CF9DDE}" name="AC6MT_79" dataDxfId="220">
      <calculatedColumnFormula>IFERROR(IF(AT$9="ND","ND",VLOOKUP($C11,A6M,AT$9,0)),"ND")</calculatedColumnFormula>
    </tableColumn>
    <tableColumn id="16" xr3:uid="{E8C54F0B-EAEE-48A4-9A13-4BF6A35CC48F}" name="AC6MC_95" dataDxfId="219">
      <calculatedColumnFormula>IFERROR(ROUNDUP(AV11/6,2)+95.9,"ND")</calculatedColumnFormula>
    </tableColumn>
    <tableColumn id="17" xr3:uid="{33011E9D-6E09-4CF2-A0F2-E04A2A68C7ED}" name="AC6MT_95" dataDxfId="218">
      <calculatedColumnFormula>IFERROR(IF(AV$9="ND","ND",VLOOKUP($C11,A6M,AV$9,0)),"ND")</calculatedColumnFormula>
    </tableColumn>
    <tableColumn id="18" xr3:uid="{0A601385-F553-463C-BE13-513D070D4CDA}" name="AC6MC_109" dataDxfId="217">
      <calculatedColumnFormula>IFERROR(ROUNDUP(AX11/6,2)+109.9,"ND")</calculatedColumnFormula>
    </tableColumn>
    <tableColumn id="19" xr3:uid="{4CFC3D38-4BC9-44C8-97B6-29958DD91560}" name="AC6MT_109" dataDxfId="216">
      <calculatedColumnFormula>IFERROR(IF(AX$9="ND","ND",VLOOKUP($C11,A6M,AX$9,0)),"ND")</calculatedColumnFormula>
    </tableColumn>
    <tableColumn id="20" xr3:uid="{FC8B20E6-527B-4846-A74C-4AB58021C1E0}" name="AC6MC_159" dataDxfId="215">
      <calculatedColumnFormula>IFERROR(ROUNDUP(AZ11/6,2)+159.9,"ND")</calculatedColumnFormula>
    </tableColumn>
    <tableColumn id="21" xr3:uid="{F7DF58E3-C8F7-4D54-B666-B7E4291DC395}" name="AC6MT_159" dataDxfId="214">
      <calculatedColumnFormula>IFERROR(IF(AZ$9="ND","ND",VLOOKUP($C11,A6M,AZ$9,0)),"ND")</calculatedColumnFormula>
    </tableColumn>
    <tableColumn id="22" xr3:uid="{EA9E03A5-B3F1-4568-84C3-65708B2B3691}" name="AC6MC_189" dataDxfId="213">
      <calculatedColumnFormula>IFERROR(ROUNDUP(BB11/6,2)+189.9,"ND")</calculatedColumnFormula>
    </tableColumn>
    <tableColumn id="23" xr3:uid="{298965A3-79A2-4A38-8919-4A8710E25E76}" name="AC6MT_189" dataDxfId="212">
      <calculatedColumnFormula>IFERROR(IF(BB$9="ND","ND",VLOOKUP($C11,A6M,BB$9,0)),"ND")</calculatedColumnFormula>
    </tableColumn>
    <tableColumn id="24" xr3:uid="{EB2DD35C-60E8-485F-8902-139618E12F4B}" name="AC6MC_289" dataDxfId="211">
      <calculatedColumnFormula>IFERROR(ROUNDUP(BD11/6,2)+289.9,"ND")</calculatedColumnFormula>
    </tableColumn>
    <tableColumn id="25" xr3:uid="{B9D5BF8E-047F-4236-BFE0-114152FC0853}" name="AC6MT_289" dataDxfId="210">
      <calculatedColumnFormula>IFERROR(IF(BD$9="ND","ND",VLOOKUP($C11,A6M,BD$9,0)),"ND")</calculatedColumnFormula>
    </tableColumn>
    <tableColumn id="26" xr3:uid="{1F475233-2B48-4138-A742-DA46C1488A61}" name="AC12MC_29" dataDxfId="209">
      <calculatedColumnFormula>IFERROR(ROUNDUP(BF11/12,2)+29.9,"ND")</calculatedColumnFormula>
    </tableColumn>
    <tableColumn id="27" xr3:uid="{3BB5FD18-1F01-4573-B339-38F4A1FC7B4C}" name="AC12MT_29" dataDxfId="208">
      <calculatedColumnFormula>IFERROR(IF(BF$9="ND","ND",VLOOKUP($C11,A12M,BF$9,0)),"ND")</calculatedColumnFormula>
    </tableColumn>
    <tableColumn id="28" xr3:uid="{93CC2E53-4FB5-4B23-AF57-28A56DEB1FB7}" name="AC12MC_39" dataDxfId="207">
      <calculatedColumnFormula>IFERROR(ROUNDUP(BH11/12,2)+39.9,"ND")</calculatedColumnFormula>
    </tableColumn>
    <tableColumn id="29" xr3:uid="{4C4BB6FE-27AD-4918-AD70-F3A5DA752F6A}" name="AC12MT_39" dataDxfId="206">
      <calculatedColumnFormula>IFERROR(IF(BH$9="ND","ND",VLOOKUP($C11,A12M,BH$9,0)),"ND")</calculatedColumnFormula>
    </tableColumn>
    <tableColumn id="30" xr3:uid="{9F3E12ED-3995-4C51-9386-A5AEE2592F37}" name="AC12MC_49" dataDxfId="205">
      <calculatedColumnFormula>IFERROR(ROUNDUP(BJ11/12,2)+49.9,"ND")</calculatedColumnFormula>
    </tableColumn>
    <tableColumn id="31" xr3:uid="{0E250D77-A41A-45C9-9D02-EF91D4577ED2}" name="AC12MT_49" dataDxfId="204">
      <calculatedColumnFormula>IFERROR(IF(BJ$9="ND","ND",VLOOKUP($C11,A12M,BJ$9,0)),"ND")</calculatedColumnFormula>
    </tableColumn>
    <tableColumn id="32" xr3:uid="{607EC6B2-9E08-4356-9B0A-335B6DCA3633}" name="AC12MC_55" dataDxfId="203">
      <calculatedColumnFormula>IFERROR(ROUNDUP(BL11/12,2)+55.9,"ND")</calculatedColumnFormula>
    </tableColumn>
    <tableColumn id="33" xr3:uid="{F7DA22CD-A4FE-4221-94E9-C3BCA544471D}" name="AC12MT_55" dataDxfId="202">
      <calculatedColumnFormula>IFERROR(IF(BL$9="ND","ND",VLOOKUP($C11,A12M,BL$9,0)),"ND")</calculatedColumnFormula>
    </tableColumn>
    <tableColumn id="34" xr3:uid="{11750AA4-E9BA-4793-A60A-839FF1C68066}" name="AC12MC_69" dataDxfId="201">
      <calculatedColumnFormula>IFERROR(ROUNDUP(BN11/12,2)+69.9,"ND")</calculatedColumnFormula>
    </tableColumn>
    <tableColumn id="35" xr3:uid="{A600321D-B562-47AA-9EDE-4CF26F813E58}" name="AC12MT_69" dataDxfId="200">
      <calculatedColumnFormula>IFERROR(IF(BN$9="ND","ND",VLOOKUP($C11,A12M,BN$9,0)),"ND")</calculatedColumnFormula>
    </tableColumn>
    <tableColumn id="36" xr3:uid="{A14E4B61-7147-409E-8114-F8435BA6777B}" name="AC12MC_79" dataDxfId="199">
      <calculatedColumnFormula>IFERROR(ROUNDUP(BP11/12,2)+79.9,"ND")</calculatedColumnFormula>
    </tableColumn>
    <tableColumn id="37" xr3:uid="{8F803A56-E534-4A22-896D-6715A0936D2B}" name="AC12MT_79" dataDxfId="198">
      <calculatedColumnFormula>IFERROR(IF(BP$9="ND","ND",VLOOKUP($C11,A12M,BP$9,0)),"ND")</calculatedColumnFormula>
    </tableColumn>
    <tableColumn id="38" xr3:uid="{AABC01E4-65A5-48E8-B032-6502D9FA97C9}" name="AC12MC_95" dataDxfId="197">
      <calculatedColumnFormula>IFERROR(ROUNDUP(BR11/12,2)+95.9,"ND")</calculatedColumnFormula>
    </tableColumn>
    <tableColumn id="39" xr3:uid="{78DBDAE8-A51B-4BAB-B460-7DB306D457E0}" name="AC12MT_95" dataDxfId="196">
      <calculatedColumnFormula>IFERROR(IF(BR$9="ND","ND",VLOOKUP($C11,A12M,BR$9,0)),"ND")</calculatedColumnFormula>
    </tableColumn>
    <tableColumn id="40" xr3:uid="{B63454BD-A925-43A9-8852-D38F881EE61B}" name="AC12MC_109" dataDxfId="195">
      <calculatedColumnFormula>IFERROR(ROUNDUP(BT11/12,2)+109.9,"ND")</calculatedColumnFormula>
    </tableColumn>
    <tableColumn id="41" xr3:uid="{6022B41D-301D-4BC8-90B8-21EEF3AD3197}" name="AC12MT_109" dataDxfId="194">
      <calculatedColumnFormula>IFERROR(IF(BT$9="ND","ND",VLOOKUP($C11,A12M,BT$9,0)),"ND")</calculatedColumnFormula>
    </tableColumn>
    <tableColumn id="42" xr3:uid="{60D42515-44C2-48DE-8452-86A42CCF9DE7}" name="AC12MC_159" dataDxfId="193">
      <calculatedColumnFormula>IFERROR(ROUNDUP(BV11/12,2)+159.9,"ND")</calculatedColumnFormula>
    </tableColumn>
    <tableColumn id="43" xr3:uid="{C71CCB70-A842-43D1-A058-1F8D68E75B2F}" name="AC12MT_159" dataDxfId="192">
      <calculatedColumnFormula>IFERROR(IF(BV$9="ND","ND",VLOOKUP($C11,A12M,BV$9,0)),"ND")</calculatedColumnFormula>
    </tableColumn>
    <tableColumn id="44" xr3:uid="{2DEABF47-37BC-464E-BCCE-9B4073D56C2D}" name="AC12MC_189" dataDxfId="191">
      <calculatedColumnFormula>IFERROR(ROUNDUP(BX11/12,2)+189.9,"ND")</calculatedColumnFormula>
    </tableColumn>
    <tableColumn id="45" xr3:uid="{67E8F71C-CE91-4EEE-A3F4-2FEE0BE7CACA}" name="AC12MT_189" dataDxfId="190">
      <calculatedColumnFormula>IFERROR(IF(BX$9="ND","ND",VLOOKUP($C11,A12M,BX$9,0)),"ND")</calculatedColumnFormula>
    </tableColumn>
    <tableColumn id="46" xr3:uid="{3C1F0E49-33D0-4B7E-AB5C-3A8E2D4CF1B9}" name="AC12MC_289" dataDxfId="189">
      <calculatedColumnFormula>IFERROR(ROUNDUP(BZ11/12,2)+289.9,"ND")</calculatedColumnFormula>
    </tableColumn>
    <tableColumn id="47" xr3:uid="{895B3347-61B3-428F-9ABD-BD83D6288115}" name="AC12MT_289" dataDxfId="188">
      <calculatedColumnFormula>IFERROR(IF(BZ$9="ND","ND",VLOOKUP($C11,A12M,BZ$9,0)),"ND")</calculatedColumnFormula>
    </tableColumn>
    <tableColumn id="48" xr3:uid="{6AC77227-942A-41A4-91B4-1FF1A9515C04}" name="FULLC_29" dataDxfId="187">
      <calculatedColumnFormula>IFERROR(IF(CA$9="ND","ND",VLOOKUP($C11,FULLC,CA$9,0)),"ND")</calculatedColumnFormula>
    </tableColumn>
    <tableColumn id="49" xr3:uid="{29949A5D-2A0F-4EA3-B64B-AD49B270016C}" name="FULLC_39" dataDxfId="186">
      <calculatedColumnFormula>IFERROR(IF(CB$9="ND","ND",VLOOKUP($C11,FULLC,CB$9,0)),"ND")</calculatedColumnFormula>
    </tableColumn>
    <tableColumn id="50" xr3:uid="{40CC3D88-9B6E-490F-95D3-804D941BC30D}" name="FULLC_49" dataDxfId="185">
      <calculatedColumnFormula>IFERROR(IF(CC$9="ND","ND",VLOOKUP($C11,FULLC,CC$9,0)),"ND")</calculatedColumnFormula>
    </tableColumn>
    <tableColumn id="51" xr3:uid="{10881B88-1322-49AF-9901-172E378AC5DB}" name="FULLC_55" dataDxfId="184">
      <calculatedColumnFormula>IFERROR(IF(CD$9="ND","ND",VLOOKUP($C11,FULLC,CD$9,0)),"ND")</calculatedColumnFormula>
    </tableColumn>
    <tableColumn id="52" xr3:uid="{4F5F2B32-E3FF-421D-8982-FABDA7DD0325}" name="FULLC_69" dataDxfId="183">
      <calculatedColumnFormula>IFERROR(IF(CE$9="ND","ND",VLOOKUP($C11,FULLC,CE$9,0)),"ND")</calculatedColumnFormula>
    </tableColumn>
    <tableColumn id="53" xr3:uid="{8A8BF448-5A11-43F9-A5A4-82A9ABA6331F}" name="FULLC_79" dataDxfId="182">
      <calculatedColumnFormula>IFERROR(IF(CF$9="ND","ND",VLOOKUP($C11,FULLC,CF$9,0)),"ND")</calculatedColumnFormula>
    </tableColumn>
    <tableColumn id="54" xr3:uid="{874F94BB-60AE-4A5D-8B93-0B2BD2649069}" name="FULLC_95" dataDxfId="181">
      <calculatedColumnFormula>IFERROR(IF(CG$9="ND","ND",VLOOKUP($C11,FULLC,CG$9,0)),"ND")</calculatedColumnFormula>
    </tableColumn>
    <tableColumn id="55" xr3:uid="{4869533A-E388-4D38-A30B-6EECC3DB368D}" name="FULLC_109" dataDxfId="180">
      <calculatedColumnFormula>IFERROR(IF(CH$9="ND","ND",VLOOKUP($C11,FULLC,CH$9,0)),"ND")</calculatedColumnFormula>
    </tableColumn>
    <tableColumn id="56" xr3:uid="{8D50C548-E4E4-444D-8D9B-E1B247291559}" name="FULLC_159" dataDxfId="179">
      <calculatedColumnFormula>IFERROR(IF(CI$9="ND","ND",VLOOKUP($C11,FULLC,CI$9,0)),"ND")</calculatedColumnFormula>
    </tableColumn>
    <tableColumn id="57" xr3:uid="{270A1446-F6B0-4576-8BF3-9109DBAD7AC8}" name="FULLC_189" dataDxfId="178">
      <calculatedColumnFormula>IFERROR(IF(CJ$9="ND","ND",VLOOKUP($C11,FULLC,CJ$9,0)),"ND")</calculatedColumnFormula>
    </tableColumn>
    <tableColumn id="58" xr3:uid="{75754ECF-D295-4682-A2FA-DCD70C752F12}" name="FULLC_289" dataDxfId="177">
      <calculatedColumnFormula>IFERROR(IF(CK$9="ND","ND",VLOOKUP($C11,FULLC,CK$9,0)),"ND")</calculatedColumnFormula>
    </tableColumn>
    <tableColumn id="59" xr3:uid="{CA73C5BB-FF98-4EBE-948C-576CB9E96EEA}" name="LINA_29" dataDxfId="176">
      <calculatedColumnFormula>IFERROR(IF(CL$9="ND","ND",VLOOKUP($C11,LINA,CL$9,0)),"ND")</calculatedColumnFormula>
    </tableColumn>
    <tableColumn id="60" xr3:uid="{D1467787-2856-405C-9D13-8B18FC5D2245}" name="LINA_39" dataDxfId="175">
      <calculatedColumnFormula>IFERROR(IF(CM$9="ND","ND",VLOOKUP($C11,LINA,CM$9,0)),"ND")</calculatedColumnFormula>
    </tableColumn>
    <tableColumn id="61" xr3:uid="{17E0372B-9D1C-4327-9F30-CBCC2522E0C5}" name="LINA_49" dataDxfId="174">
      <calculatedColumnFormula>IFERROR(IF(CN$9="ND","ND",VLOOKUP($C11,LINA,CN$9,0)),"ND")</calculatedColumnFormula>
    </tableColumn>
    <tableColumn id="62" xr3:uid="{F90DCAF3-3489-440F-B219-9CB2D79B83D1}" name="LINA_55" dataDxfId="173">
      <calculatedColumnFormula>IFERROR(IF(CO$9="ND","ND",VLOOKUP($C11,LINA,CO$9,0)),"ND")</calculatedColumnFormula>
    </tableColumn>
    <tableColumn id="63" xr3:uid="{50E793FC-86CC-46E2-8099-502791B98495}" name="LINA_69" dataDxfId="172">
      <calculatedColumnFormula>IFERROR(IF(CP$9="ND","ND",VLOOKUP($C11,LINA,CP$9,0)),"ND")</calculatedColumnFormula>
    </tableColumn>
    <tableColumn id="64" xr3:uid="{DAD026BE-54F6-4255-AD8B-E073B11BB204}" name="LINA_79" dataDxfId="171">
      <calculatedColumnFormula>IFERROR(IF(CQ$9="ND","ND",VLOOKUP($C11,LINA,CQ$9,0)),"ND")</calculatedColumnFormula>
    </tableColumn>
    <tableColumn id="65" xr3:uid="{025E1983-C469-4A52-A41F-EAD6FD9B93CD}" name="LINA_95" dataDxfId="170">
      <calculatedColumnFormula>IFERROR(IF(CR$9="ND","ND",VLOOKUP($C11,LINA,CR$9,0)),"ND")</calculatedColumnFormula>
    </tableColumn>
    <tableColumn id="66" xr3:uid="{87D301F0-E632-4648-B926-DC7B64A40416}" name="LINA_109" dataDxfId="169">
      <calculatedColumnFormula>IFERROR(IF(CS$9="ND","ND",VLOOKUP($C11,LINA,CS$9,0)),"ND")</calculatedColumnFormula>
    </tableColumn>
    <tableColumn id="67" xr3:uid="{F9DFB099-2686-4D97-830E-24A088513C96}" name="LINA_159" dataDxfId="168">
      <calculatedColumnFormula>IFERROR(IF(CT$9="ND","ND",VLOOKUP($C11,LINA,CT$9,0)),"ND")</calculatedColumnFormula>
    </tableColumn>
    <tableColumn id="68" xr3:uid="{BB5B510E-9B99-484C-8C2D-83C4DEB61D7C}" name="LINA_189" dataDxfId="167">
      <calculatedColumnFormula>IFERROR(IF(CU$9="ND","ND",VLOOKUP($C11,LINA,CU$9,0)),"ND")</calculatedColumnFormula>
    </tableColumn>
    <tableColumn id="69" xr3:uid="{917C52C4-C03B-47F2-9A38-CAE6E6747A9C}" name="LINA_289" dataDxfId="166">
      <calculatedColumnFormula>IFERROR(IF(CV$9="ND","ND",VLOOKUP($C11,LINA,CV$9,0)),"ND")</calculatedColumnFormula>
    </tableColumn>
    <tableColumn id="70" xr3:uid="{9ACC6A10-FD3B-4DA5-B0B5-292C82C03BE8}" name="LAA6MC_29" dataDxfId="165">
      <calculatedColumnFormula>IFERROR(ROUNDUP(CX11/6,2)+29.9,"ND")</calculatedColumnFormula>
    </tableColumn>
    <tableColumn id="71" xr3:uid="{4BFDB82A-8683-4591-AD77-6EB04CD652BB}" name="LAA6MT_29" dataDxfId="164">
      <calculatedColumnFormula>IFERROR(IF(CX$9="ND","ND",VLOOKUP($C11,AC6M,CX$9,0)),"ND")</calculatedColumnFormula>
    </tableColumn>
    <tableColumn id="72" xr3:uid="{D7EC2FC6-8154-44BF-A084-2A7239C3E5BC}" name="LAA6MC_39" dataDxfId="163">
      <calculatedColumnFormula>IFERROR(ROUNDUP(CZ11/6,2)+39.9,"ND")</calculatedColumnFormula>
    </tableColumn>
    <tableColumn id="73" xr3:uid="{FF329A4D-502D-4D2E-9612-AF17E9AD5650}" name="LAA6MT_39" dataDxfId="162">
      <calculatedColumnFormula>IFERROR(IF(CZ$9="ND","ND",VLOOKUP($C11,AC6M,CZ$9,0)),"ND")</calculatedColumnFormula>
    </tableColumn>
    <tableColumn id="74" xr3:uid="{E39B198C-1BA1-457F-BAD2-1B6B28C1E0A0}" name="LAA6MC_49" dataDxfId="161">
      <calculatedColumnFormula>IFERROR(ROUNDUP(DB11/6,2)+49.9,"ND")</calculatedColumnFormula>
    </tableColumn>
    <tableColumn id="75" xr3:uid="{280E3840-4341-46B4-9B94-72B9AE67DA24}" name="LAA6MT_49" dataDxfId="160">
      <calculatedColumnFormula>IFERROR(IF(DB$9="ND","ND",VLOOKUP($C11,AC6M,DB$9,0)),"ND")</calculatedColumnFormula>
    </tableColumn>
    <tableColumn id="76" xr3:uid="{F210A407-3343-4005-A306-65ABD4C8D8B9}" name="LAA6MC_55" dataDxfId="159">
      <calculatedColumnFormula>IFERROR(ROUNDUP(DD11/6,2)+55.9,"ND")</calculatedColumnFormula>
    </tableColumn>
    <tableColumn id="77" xr3:uid="{F0385B07-C6F4-404F-B752-822678E15FAC}" name="LAA6MT_55" dataDxfId="158">
      <calculatedColumnFormula>IFERROR(IF(DD$9="ND","ND",VLOOKUP($C11,AC6M,DD$9,0)),"ND")</calculatedColumnFormula>
    </tableColumn>
    <tableColumn id="78" xr3:uid="{3C8696DC-EE50-457C-ABB5-86A82B929433}" name="LAA6MC_69" dataDxfId="157">
      <calculatedColumnFormula>IFERROR(ROUNDUP(DF11/6,2)+69.9,"ND")</calculatedColumnFormula>
    </tableColumn>
    <tableColumn id="79" xr3:uid="{2189F9CF-0FD4-4C6F-A3C3-5FCF4B12FC14}" name="LAA6MT_69" dataDxfId="156">
      <calculatedColumnFormula>IFERROR(IF(DF$9="ND","ND",VLOOKUP($C11,AC6M,DF$9,0)),"ND")</calculatedColumnFormula>
    </tableColumn>
    <tableColumn id="80" xr3:uid="{06A16153-1769-4A47-A1AF-FA1C5EB7145C}" name="LAA6MC_79" dataDxfId="155">
      <calculatedColumnFormula>IFERROR(ROUNDUP(DH11/6,2)+79.9,"ND")</calculatedColumnFormula>
    </tableColumn>
    <tableColumn id="81" xr3:uid="{91BA2102-00BC-4E87-977A-8753EF079AE0}" name="LAA6MT_79" dataDxfId="154">
      <calculatedColumnFormula>IFERROR(IF(DH$9="ND","ND",VLOOKUP($C11,AC6M,DH$9,0)),"ND")</calculatedColumnFormula>
    </tableColumn>
    <tableColumn id="82" xr3:uid="{FB4D10CE-8E6C-44DD-84B4-FC265E51E4E4}" name="LAA6MC_95" dataDxfId="153">
      <calculatedColumnFormula>IFERROR(ROUNDUP(DJ11/6,2)+95.9,"ND")</calculatedColumnFormula>
    </tableColumn>
    <tableColumn id="83" xr3:uid="{B5CF5928-818C-4C1D-BE92-68F73CAAEFFF}" name="LAA6MT_95" dataDxfId="152">
      <calculatedColumnFormula>IFERROR(IF(DJ$9="ND","ND",VLOOKUP($C11,AC6M,DJ$9,0)),"ND")</calculatedColumnFormula>
    </tableColumn>
    <tableColumn id="84" xr3:uid="{BF62BCDB-4CFE-47EB-BA61-9D75785E1441}" name="LAA6MC_109" dataDxfId="151">
      <calculatedColumnFormula>IFERROR(ROUNDUP(DL11/6,2)+109.9,"ND")</calculatedColumnFormula>
    </tableColumn>
    <tableColumn id="85" xr3:uid="{CB85B01E-E007-4A2D-A8DB-04FBCA6E27D0}" name="LAA6MT_109" dataDxfId="150">
      <calculatedColumnFormula>IFERROR(IF(DL$9="ND","ND",VLOOKUP($C11,AC6M,DL$9,0)),"ND")</calculatedColumnFormula>
    </tableColumn>
    <tableColumn id="86" xr3:uid="{DAB5CA00-D431-4D34-8610-55E68DCFD759}" name="LAA6MC_159" dataDxfId="149">
      <calculatedColumnFormula>IFERROR(ROUNDUP(DN11/6,2)+159.9,"ND")</calculatedColumnFormula>
    </tableColumn>
    <tableColumn id="87" xr3:uid="{5D114904-27B0-4E0A-958A-DCA080FB5406}" name="LAA6MT_159" dataDxfId="148">
      <calculatedColumnFormula>IFERROR(IF(DN$9="ND","ND",VLOOKUP($C11,AC6M,DN$9,0)),"ND")</calculatedColumnFormula>
    </tableColumn>
    <tableColumn id="88" xr3:uid="{C5D779A9-807E-42B8-853A-1492D62574D2}" name="LAA6MC_189" dataDxfId="147">
      <calculatedColumnFormula>IFERROR(ROUNDUP(DP11/6,2)+189.9,"ND")</calculatedColumnFormula>
    </tableColumn>
    <tableColumn id="89" xr3:uid="{BE0BFFB6-AE52-45BC-8799-94A62D70F499}" name="LAA6MT_189" dataDxfId="146">
      <calculatedColumnFormula>IFERROR(IF(DP$9="ND","ND",VLOOKUP($C11,AC6M,DP$9,0)),"ND")</calculatedColumnFormula>
    </tableColumn>
    <tableColumn id="90" xr3:uid="{4E7C3B70-6031-476B-8FEB-9280514374CB}" name="LAA6MC_289" dataDxfId="145">
      <calculatedColumnFormula>IFERROR(ROUNDUP(DR11/6,2)+289.9,"ND")</calculatedColumnFormula>
    </tableColumn>
    <tableColumn id="91" xr3:uid="{0C90A037-85D2-430E-9D59-7A98492A01F0}" name="LAA6MT_289" dataDxfId="144">
      <calculatedColumnFormula>IFERROR(IF(DR$9="ND","ND",VLOOKUP($C11,AC6M,DR$9,0)),"ND")</calculatedColumnFormula>
    </tableColumn>
    <tableColumn id="92" xr3:uid="{2BB73572-39B7-4087-94F6-9CF42CCBD97B}" name="LAA12MC_29" dataDxfId="143">
      <calculatedColumnFormula>IFERROR(ROUNDUP(DT11/12,2)+29.9,"ND")</calculatedColumnFormula>
    </tableColumn>
    <tableColumn id="93" xr3:uid="{BE82C51D-3A4C-4C64-B3CA-F8C380CBE0D4}" name="LAA12MT_29" dataDxfId="142">
      <calculatedColumnFormula>IFERROR(IF(DT$9="ND","ND",VLOOKUP($C11,AC12M,DT$9,0)),"ND")</calculatedColumnFormula>
    </tableColumn>
    <tableColumn id="94" xr3:uid="{D49263AD-C56C-47A3-B653-444B5CA15DEB}" name="LAA12MC_39" dataDxfId="141">
      <calculatedColumnFormula>IFERROR(ROUNDUP(DV11/12,2)+39.9,"ND")</calculatedColumnFormula>
    </tableColumn>
    <tableColumn id="95" xr3:uid="{AA4E6FF5-355B-4F86-972F-57ED66091F30}" name="LAA12MT_39" dataDxfId="140">
      <calculatedColumnFormula>IFERROR(IF(DV$9="ND","ND",VLOOKUP($C11,AC12M,DV$9,0)),"ND")</calculatedColumnFormula>
    </tableColumn>
    <tableColumn id="96" xr3:uid="{EDFD16F0-7960-4DC0-B122-4A330205094F}" name="LAA12MC_49" dataDxfId="139">
      <calculatedColumnFormula>IFERROR(ROUNDUP(DX11/12,2)+49.9,"ND")</calculatedColumnFormula>
    </tableColumn>
    <tableColumn id="97" xr3:uid="{0D0FD319-A79D-477B-94B5-58CAA859EAD3}" name="LAA12MT_49" dataDxfId="138">
      <calculatedColumnFormula>IFERROR(IF(DX$9="ND","ND",VLOOKUP($C11,AC12M,DX$9,0)),"ND")</calculatedColumnFormula>
    </tableColumn>
    <tableColumn id="98" xr3:uid="{E3E466FD-7798-4CB2-925A-F7E47B65CDC0}" name="LAA12MC_55" dataDxfId="137">
      <calculatedColumnFormula>IFERROR(ROUNDUP(DZ11/12,2)+55.9,"ND")</calculatedColumnFormula>
    </tableColumn>
    <tableColumn id="99" xr3:uid="{1C62783D-8CDA-47A1-95FF-0BECAD167604}" name="LAA12MT_55" dataDxfId="136">
      <calculatedColumnFormula>IFERROR(IF(DZ$9="ND","ND",VLOOKUP($C11,AC12M,DZ$9,0)),"ND")</calculatedColumnFormula>
    </tableColumn>
    <tableColumn id="100" xr3:uid="{EED974F9-DDC3-4432-A74B-7E7DB0264CC5}" name="LAA12MC_69" dataDxfId="135">
      <calculatedColumnFormula>IFERROR(ROUNDUP(EB11/12,2)+69.9,"ND")</calculatedColumnFormula>
    </tableColumn>
    <tableColumn id="101" xr3:uid="{025133E7-1125-49E5-B53F-FC7E8F291548}" name="LAA12MT_69" dataDxfId="134">
      <calculatedColumnFormula>IFERROR(IF(EB$9="ND","ND",VLOOKUP($C11,AC12M,EB$9,0)),"ND")</calculatedColumnFormula>
    </tableColumn>
    <tableColumn id="102" xr3:uid="{1AE0C225-982C-492A-BC0C-104CF15991E9}" name="LAA12MC_79" dataDxfId="133">
      <calculatedColumnFormula>IFERROR(ROUNDUP(ED11/12,2)+79.9,"ND")</calculatedColumnFormula>
    </tableColumn>
    <tableColumn id="103" xr3:uid="{6A1864D7-49AB-43CC-B632-EAEF3464B8FC}" name="LAA12MT_79" dataDxfId="132">
      <calculatedColumnFormula>IFERROR(IF(ED$9="ND","ND",VLOOKUP($C11,AC12M,ED$9,0)),"ND")</calculatedColumnFormula>
    </tableColumn>
    <tableColumn id="104" xr3:uid="{DCF1425F-8889-42CC-B2FD-1213250FA988}" name="LAA12MC_95" dataDxfId="131">
      <calculatedColumnFormula>IFERROR(ROUNDUP(EF11/12,2)+95.9,"ND")</calculatedColumnFormula>
    </tableColumn>
    <tableColumn id="105" xr3:uid="{E4804C92-6F54-47E0-955C-1329164A33BC}" name="LAA12MT_95" dataDxfId="130">
      <calculatedColumnFormula>IFERROR(IF(EF$9="ND","ND",VLOOKUP($C11,AC12M,EF$9,0)),"ND")</calculatedColumnFormula>
    </tableColumn>
    <tableColumn id="106" xr3:uid="{B73FAB32-A1A7-498A-8740-615709BFDBE9}" name="LAA12MC_109" dataDxfId="129">
      <calculatedColumnFormula>IFERROR(ROUNDUP(EH11/12,2)+109.9,"ND")</calculatedColumnFormula>
    </tableColumn>
    <tableColumn id="107" xr3:uid="{1C490CBE-6EDB-4046-8930-3C2F20DE0A12}" name="LAA12MT_109" dataDxfId="128">
      <calculatedColumnFormula>IFERROR(IF(EH$9="ND","ND",VLOOKUP($C11,AC12M,EH$9,0)),"ND")</calculatedColumnFormula>
    </tableColumn>
    <tableColumn id="108" xr3:uid="{B7415466-76A0-4730-B1BB-ED7D71784E76}" name="LAA12MC_159" dataDxfId="127">
      <calculatedColumnFormula>IFERROR(ROUNDUP(EJ11/12,2)+159.9,"ND")</calculatedColumnFormula>
    </tableColumn>
    <tableColumn id="109" xr3:uid="{D3A0CE11-A151-4E13-84E1-127EC84FCC04}" name="LAA12MT_159" dataDxfId="126">
      <calculatedColumnFormula>IFERROR(IF(EJ$9="ND","ND",VLOOKUP($C11,AC12M,EJ$9,0)),"ND")</calculatedColumnFormula>
    </tableColumn>
    <tableColumn id="110" xr3:uid="{908B0FDF-F65C-4FE1-ABC8-EDB589DEF829}" name="LAA12MC_189" dataDxfId="125">
      <calculatedColumnFormula>IFERROR(ROUNDUP(EL11/12,2)+189.9,"ND")</calculatedColumnFormula>
    </tableColumn>
    <tableColumn id="111" xr3:uid="{79F9DB54-98FB-4021-A453-4C35BE6ADC6E}" name="LAA12MT_189" dataDxfId="124">
      <calculatedColumnFormula>IFERROR(IF(EL$9="ND","ND",VLOOKUP($C11,AC12M,EL$9,0)),"ND")</calculatedColumnFormula>
    </tableColumn>
    <tableColumn id="112" xr3:uid="{65B348A5-2CBB-4656-8D03-B2680DE57FBB}" name="LAA12MC_289" dataDxfId="123">
      <calculatedColumnFormula>IFERROR(ROUNDUP(EN11/12,2)+289.9,"ND")</calculatedColumnFormula>
    </tableColumn>
    <tableColumn id="113" xr3:uid="{D864E8EE-D208-4690-92BB-82A0C98AB5E7}" name="LAA12MT_289" dataDxfId="122">
      <calculatedColumnFormula>IFERROR(IF(EN$9="ND","ND",VLOOKUP($C11,AC12M,EN$9,0)),"ND")</calculatedColumnFormula>
    </tableColumn>
    <tableColumn id="114" xr3:uid="{C64928C9-5DB1-43F5-9540-2163B6ED45EA}" name="PAR_29" dataDxfId="121">
      <calculatedColumnFormula>IFERROR(IF(EO$9="ND","ND",VLOOKUP($C11,PAR,EO$9,0)),"ND")</calculatedColumnFormula>
    </tableColumn>
    <tableColumn id="115" xr3:uid="{EC937F63-1BFE-4E50-8581-122ECEED9367}" name="PAR_39" dataDxfId="120">
      <calculatedColumnFormula>IFERROR(IF(EP$9="ND","ND",VLOOKUP($C11,PAR,EP$9,0)),"ND")</calculatedColumnFormula>
    </tableColumn>
    <tableColumn id="116" xr3:uid="{A1C26380-3EA5-4ED8-854E-8F31335879A9}" name="PAR_49" dataDxfId="119">
      <calculatedColumnFormula>IFERROR(IF(EQ$9="ND","ND",VLOOKUP($C11,PAR,EQ$9,0)),"ND")</calculatedColumnFormula>
    </tableColumn>
    <tableColumn id="117" xr3:uid="{569F671D-4927-4560-B7DF-855BE975B0B4}" name="PAR_55" dataDxfId="118">
      <calculatedColumnFormula>IFERROR(IF(ER$9="ND","ND",VLOOKUP($C11,PAR,ER$9,0)),"ND")</calculatedColumnFormula>
    </tableColumn>
    <tableColumn id="118" xr3:uid="{953160B8-3702-4407-8F67-1A7174649F97}" name="PAR_69" dataDxfId="117">
      <calculatedColumnFormula>IFERROR(IF(ES$9="ND","ND",VLOOKUP($C11,PAR,ES$9,0)),"ND")</calculatedColumnFormula>
    </tableColumn>
    <tableColumn id="119" xr3:uid="{289B149C-1026-4E68-85AF-C09CF532B95A}" name="PAR_79" dataDxfId="116">
      <calculatedColumnFormula>IFERROR(IF(ET$9="ND","ND",VLOOKUP($C11,PAR,ET$9,0)),"ND")</calculatedColumnFormula>
    </tableColumn>
    <tableColumn id="120" xr3:uid="{5A5ADF6E-8AC2-4842-9B15-83FCC7306B62}" name="PAR_95" dataDxfId="115">
      <calculatedColumnFormula>IFERROR(IF(EU$9="ND","ND",VLOOKUP($C11,PAR,EU$9,0)),"ND")</calculatedColumnFormula>
    </tableColumn>
    <tableColumn id="121" xr3:uid="{FD6FF857-9943-4174-9D67-2A0B69B606A8}" name="PAR_109" dataDxfId="114">
      <calculatedColumnFormula>IFERROR(IF(EV$9="ND","ND",VLOOKUP($C11,PAR,EV$9,0)),"ND")</calculatedColumnFormula>
    </tableColumn>
    <tableColumn id="122" xr3:uid="{6B82D2AF-C0E7-43D6-BC06-0F2B0A7BA1D3}" name="PAR_159" dataDxfId="113">
      <calculatedColumnFormula>IFERROR(IF(EW$9="ND","ND",VLOOKUP($C11,PAR,EW$9,0)),"ND")</calculatedColumnFormula>
    </tableColumn>
    <tableColumn id="123" xr3:uid="{9A1FA3BD-0D31-4128-9CC6-F6710F2807EB}" name="PAR_189" dataDxfId="112">
      <calculatedColumnFormula>IFERROR(IF(EX$9="ND","ND",VLOOKUP($C11,PAR,EX$9,0)),"ND")</calculatedColumnFormula>
    </tableColumn>
    <tableColumn id="124" xr3:uid="{826AB603-4E40-4E70-9C71-F4A3BF8D9A93}" name="PAR_289" dataDxfId="111">
      <calculatedColumnFormula>IFERROR(IF(EY$9="ND","ND",VLOOKUP($C11,PAR,EY$9,0)),"ND")</calculatedColumnFormula>
    </tableColumn>
    <tableColumn id="136" xr3:uid="{EEEB2259-0C28-42BD-8B80-92E43CEA3FCC}" name="PEXC_29" dataDxfId="110">
      <calculatedColumnFormula>IFERROR(IF(EZ$9="ND","ND",VLOOKUP($C11,PE,EZ$9,0)),"ND")</calculatedColumnFormula>
    </tableColumn>
    <tableColumn id="137" xr3:uid="{B1CF9012-AC22-48B5-BC7D-F4FE91BDEDB7}" name="PEXC_39" dataDxfId="109">
      <calculatedColumnFormula>IFERROR(IF(FA$9="ND","ND",VLOOKUP($C11,PE,FA$9,0)),"ND")</calculatedColumnFormula>
    </tableColumn>
    <tableColumn id="138" xr3:uid="{56259A1A-3177-4203-A55E-28895F6ECDA1}" name="PEXC_49" dataDxfId="108">
      <calculatedColumnFormula>IFERROR(IF(FB$9="ND","ND",VLOOKUP($C11,PE,FB$9,0)),"ND")</calculatedColumnFormula>
    </tableColumn>
    <tableColumn id="139" xr3:uid="{F321BAC5-9640-4DCA-903C-CC09A9F22151}" name="PEXC_55" dataDxfId="107">
      <calculatedColumnFormula>IFERROR(IF(FC$9="ND","ND",VLOOKUP($C11,PE,FC$9,0)),"ND")</calculatedColumnFormula>
    </tableColumn>
    <tableColumn id="140" xr3:uid="{4BA112FC-21FB-430A-A768-9587FC228067}" name="PEXC_69" dataDxfId="106">
      <calculatedColumnFormula>IFERROR(IF(FD$9="ND","ND",VLOOKUP($C11,PE,FD$9,0)),"ND")</calculatedColumnFormula>
    </tableColumn>
    <tableColumn id="141" xr3:uid="{91CC813F-3CA4-43A6-A7D4-D91149D29C7B}" name="PEXC_79" dataDxfId="105">
      <calculatedColumnFormula>IFERROR(IF(FE$9="ND","ND",VLOOKUP($C11,PE,FE$9,0)),"ND")</calculatedColumnFormula>
    </tableColumn>
    <tableColumn id="142" xr3:uid="{34E068EA-D53F-4175-B43B-2F9A7F196C99}" name="PEXC_95" dataDxfId="104">
      <calculatedColumnFormula>IFERROR(IF(FF$9="ND","ND",VLOOKUP($C11,PE,FF$9,0)),"ND")</calculatedColumnFormula>
    </tableColumn>
    <tableColumn id="143" xr3:uid="{09DCB9AC-C5B7-44E8-8912-204DCE303300}" name="PEXC_109" dataDxfId="103">
      <calculatedColumnFormula>IFERROR(IF(FG$9="ND","ND",VLOOKUP($C11,PE,FG$9,0)),"ND")</calculatedColumnFormula>
    </tableColumn>
    <tableColumn id="144" xr3:uid="{C9C86AF2-7A1D-40B2-8FF8-AE24B41AFA6B}" name="PEXC_159" dataDxfId="102">
      <calculatedColumnFormula>IFERROR(IF(FH$9="ND","ND",VLOOKUP($C11,PE,FH$9,0)),"ND")</calculatedColumnFormula>
    </tableColumn>
    <tableColumn id="145" xr3:uid="{E5A287C6-5047-482C-9993-56C108EB197A}" name="PEXC_189" dataDxfId="101">
      <calculatedColumnFormula>IFERROR(IF(FI$9="ND","ND",VLOOKUP($C11,PE,FI$9,0)),"ND")</calculatedColumnFormula>
    </tableColumn>
    <tableColumn id="146" xr3:uid="{1ECB283C-485D-41A8-BE0C-F1AE6F01C86F}" name="PEXC_289" dataDxfId="100">
      <calculatedColumnFormula>IFERROR(IF(FJ$9="ND","ND",VLOOKUP($C11,PE,FJ$9,0)),"ND")</calculatedColumnFormula>
    </tableColumn>
    <tableColumn id="147" xr3:uid="{FF5F072E-92B2-4C75-9F70-E542A2AD5F1E}" name="REXC_29" dataDxfId="99">
      <calculatedColumnFormula>IFERROR(IF(FK$9="ND","ND",VLOOKUP($C11,RE,FK$9,0)),"ND")</calculatedColumnFormula>
    </tableColumn>
    <tableColumn id="148" xr3:uid="{6FA982A6-C222-4287-A095-67DBE971FEA9}" name="REXC_39" dataDxfId="98">
      <calculatedColumnFormula>IFERROR(IF(FL$9="ND","ND",VLOOKUP($C11,RE,FL$9,0)),"ND")</calculatedColumnFormula>
    </tableColumn>
    <tableColumn id="149" xr3:uid="{E302D342-8155-40A7-9C0B-3B5258A932C9}" name="REXC_49" dataDxfId="97">
      <calculatedColumnFormula>IFERROR(IF(FM$9="ND","ND",VLOOKUP($C11,RE,FM$9,0)),"ND")</calculatedColumnFormula>
    </tableColumn>
    <tableColumn id="150" xr3:uid="{B491376C-E8B3-47F3-97EC-CED4827CC125}" name="REXC_55" dataDxfId="96">
      <calculatedColumnFormula>IFERROR(IF(FN$9="ND","ND",VLOOKUP($C11,RE,FN$9,0)),"ND")</calculatedColumnFormula>
    </tableColumn>
    <tableColumn id="151" xr3:uid="{A188B1FA-2519-4EC7-9EDC-11BDFBD620D7}" name="REXC_69" dataDxfId="95">
      <calculatedColumnFormula>IFERROR(IF(FO$9="ND","ND",VLOOKUP($C11,RE,FO$9,0)),"ND")</calculatedColumnFormula>
    </tableColumn>
    <tableColumn id="152" xr3:uid="{2F8CA690-34DE-4221-B98A-FCFB4D14EB3E}" name="REXC_79" dataDxfId="94">
      <calculatedColumnFormula>IFERROR(IF(FP$9="ND","ND",VLOOKUP($C11,RE,FP$9,0)),"ND")</calculatedColumnFormula>
    </tableColumn>
    <tableColumn id="153" xr3:uid="{2B4B1B55-189C-4641-9F5C-4B74A0941550}" name="REXC_95" dataDxfId="93">
      <calculatedColumnFormula>IFERROR(IF(FQ$9="ND","ND",VLOOKUP($C11,RE,FQ$9,0)),"ND")</calculatedColumnFormula>
    </tableColumn>
    <tableColumn id="154" xr3:uid="{4750A8F0-E681-4D50-93B1-23B5CC6B1B60}" name="REXC_109" dataDxfId="92">
      <calculatedColumnFormula>IFERROR(IF(FR$9="ND","ND",VLOOKUP($C11,RE,FR$9,0)),"ND")</calculatedColumnFormula>
    </tableColumn>
    <tableColumn id="155" xr3:uid="{53360774-79B9-4BFC-BB81-D4853CC2DAC8}" name="REXC_159" dataDxfId="91">
      <calculatedColumnFormula>IFERROR(IF(FS$9="ND","ND",VLOOKUP($C11,RE,FS$9,0)),"ND")</calculatedColumnFormula>
    </tableColumn>
    <tableColumn id="156" xr3:uid="{B8C8085C-0F91-4E01-BFAD-DE4821BEB060}" name="REXC_189" dataDxfId="90">
      <calculatedColumnFormula>IFERROR(IF(FT$9="ND","ND",VLOOKUP($C11,RE,FT$9,0)),"ND")</calculatedColumnFormula>
    </tableColumn>
    <tableColumn id="157" xr3:uid="{3FFF722E-08B3-4B1C-9CE3-117CB339A9E4}" name="REXC_289" dataDxfId="89">
      <calculatedColumnFormula>IFERROR(IF(FU$9="ND","ND",VLOOKUP($C11,RE,FU$9,0)),"ND")</calculatedColumnFormula>
    </tableColumn>
    <tableColumn id="158" xr3:uid="{B2F4692D-845D-4086-B43F-AE450D561FA7}" name="LC6MC_29" dataDxfId="88">
      <calculatedColumnFormula>IFERROR(ROUNDUP(FW11/6,2)+29.9,"ND")</calculatedColumnFormula>
    </tableColumn>
    <tableColumn id="159" xr3:uid="{61E9843A-D8E4-4209-80E7-DCDDCCE75652}" name="LC6MT_29" dataDxfId="87">
      <calculatedColumnFormula>IFERROR(IF(FW$9="ND","ND",VLOOKUP($C11,LC6M,FW$9,0)),"ND")</calculatedColumnFormula>
    </tableColumn>
    <tableColumn id="160" xr3:uid="{62FBDCA1-775B-4322-80F2-07BDAB3C184C}" name="LC6MC_39" dataDxfId="86">
      <calculatedColumnFormula>IFERROR(ROUNDUP(FY11/6,2)+39.9,"ND")</calculatedColumnFormula>
    </tableColumn>
    <tableColumn id="161" xr3:uid="{C50DE902-254E-4C42-BF01-05A4F878466A}" name="LC6MT_39" dataDxfId="85">
      <calculatedColumnFormula>IFERROR(IF(FY$9="ND","ND",VLOOKUP($C11,LC6M,FY$9,0)),"ND")</calculatedColumnFormula>
    </tableColumn>
    <tableColumn id="162" xr3:uid="{50F59B95-9255-4394-8B83-9F194846364D}" name="LC6MC_49" dataDxfId="84">
      <calculatedColumnFormula>IFERROR(ROUNDUP(GA11/6,2)+49.9,"ND")</calculatedColumnFormula>
    </tableColumn>
    <tableColumn id="163" xr3:uid="{685756B3-8A51-451C-975E-4A631FB16300}" name="LC6MT_49" dataDxfId="83">
      <calculatedColumnFormula>IFERROR(IF(GA$9="ND","ND",VLOOKUP($C11,LC6M,GA$9,0)),"ND")</calculatedColumnFormula>
    </tableColumn>
    <tableColumn id="164" xr3:uid="{B86B509A-12C8-4ED5-ABAE-60A781CDAE99}" name="LC6MC_55" dataDxfId="82">
      <calculatedColumnFormula>IFERROR(ROUNDUP(GC11/6,2)+55.9,"ND")</calculatedColumnFormula>
    </tableColumn>
    <tableColumn id="165" xr3:uid="{86602936-BFCE-4F38-B686-72A54F59FF10}" name="LC6MT_55" dataDxfId="81">
      <calculatedColumnFormula>IFERROR(IF(GC$9="ND","ND",VLOOKUP($C11,LC6M,GC$9,0)),"ND")</calculatedColumnFormula>
    </tableColumn>
    <tableColumn id="166" xr3:uid="{68F153A2-5A00-4882-9471-6F1E21E6848D}" name="LC6MC_69" dataDxfId="80">
      <calculatedColumnFormula>IFERROR(ROUNDUP(GE11/6,2)+69.9,"ND")</calculatedColumnFormula>
    </tableColumn>
    <tableColumn id="167" xr3:uid="{CFF40AE7-CB2F-4388-8F8E-8E1E0B7A1DBF}" name="LC6MT_69" dataDxfId="79">
      <calculatedColumnFormula>IFERROR(IF(GE$9="ND","ND",VLOOKUP($C11,LC6M,GE$9,0)),"ND")</calculatedColumnFormula>
    </tableColumn>
    <tableColumn id="168" xr3:uid="{20640A1F-DDA9-4E12-8AE5-D45877987BAD}" name="LC6MC_79" dataDxfId="78">
      <calculatedColumnFormula>IFERROR(ROUNDUP(GG11/6,2)+79.9,"ND")</calculatedColumnFormula>
    </tableColumn>
    <tableColumn id="169" xr3:uid="{7383A326-565D-4F96-814E-9B328DCD33AF}" name="LC6MT_79" dataDxfId="77">
      <calculatedColumnFormula>IFERROR(IF(GG$9="ND","ND",VLOOKUP($C11,LC6M,GG$9,0)),"ND")</calculatedColumnFormula>
    </tableColumn>
    <tableColumn id="170" xr3:uid="{D6ED4D9D-154D-4037-8E24-20F528B9AC26}" name="LC6MC_95" dataDxfId="76">
      <calculatedColumnFormula>IFERROR(ROUNDUP(GI11/6,2)+95.9,"ND")</calculatedColumnFormula>
    </tableColumn>
    <tableColumn id="171" xr3:uid="{C7AD2648-2D07-4B6E-B19D-1D2E0D1051FE}" name="LC6MT_95" dataDxfId="75">
      <calculatedColumnFormula>IFERROR(IF(GI$9="ND","ND",VLOOKUP($C11,LC6M,GI$9,0)),"ND")</calculatedColumnFormula>
    </tableColumn>
    <tableColumn id="172" xr3:uid="{4B96C59B-24FE-4F0A-8444-3C380623BA3A}" name="LC6MC_109" dataDxfId="74">
      <calculatedColumnFormula>IFERROR(ROUNDUP(GK11/6,2)+109.9,"ND")</calculatedColumnFormula>
    </tableColumn>
    <tableColumn id="173" xr3:uid="{18094C5F-21BC-4DD2-80DF-027224A0C04F}" name="LC6MT_109" dataDxfId="73">
      <calculatedColumnFormula>IFERROR(IF(GK$9="ND","ND",VLOOKUP($C11,LC6M,GK$9,0)),"ND")</calculatedColumnFormula>
    </tableColumn>
    <tableColumn id="174" xr3:uid="{F8C720A7-84DA-461C-B6F3-4F20D64CFEAB}" name="LC6MC_159" dataDxfId="72">
      <calculatedColumnFormula>IFERROR(ROUNDUP(GM11/6,2)+159.9,"ND")</calculatedColumnFormula>
    </tableColumn>
    <tableColumn id="175" xr3:uid="{B12DDC58-59C3-46FC-8FEA-5F695AC73697}" name="LC6MT_159" dataDxfId="71">
      <calculatedColumnFormula>IFERROR(IF(GM$9="ND","ND",VLOOKUP($C11,LC6M,GM$9,0)),"ND")</calculatedColumnFormula>
    </tableColumn>
    <tableColumn id="176" xr3:uid="{396A3C1B-5574-43D1-97AB-D9172D020B6F}" name="LC6MC_189" dataDxfId="70">
      <calculatedColumnFormula>IFERROR(ROUNDUP(GO11/6,2)+189.9,"ND")</calculatedColumnFormula>
    </tableColumn>
    <tableColumn id="177" xr3:uid="{BC7EDDC4-AF0F-42CA-B91B-DBAD808F41F0}" name="LC6MT_189" dataDxfId="69">
      <calculatedColumnFormula>IFERROR(IF(GO$9="ND","ND",VLOOKUP($C11,LC6M,GO$9,0)),"ND")</calculatedColumnFormula>
    </tableColumn>
    <tableColumn id="178" xr3:uid="{603F2EED-2143-45D2-9B91-B81C68FDEDD9}" name="LC6MC_289" dataDxfId="68">
      <calculatedColumnFormula>IFERROR(ROUNDUP(GQ11/6,2)+289.9,"ND")</calculatedColumnFormula>
    </tableColumn>
    <tableColumn id="179" xr3:uid="{FB1CADEE-9E93-4749-B75A-ADBDC4146CAF}" name="LC6MT_289" dataDxfId="67">
      <calculatedColumnFormula>IFERROR(IF(GQ$9="ND","ND",VLOOKUP($C11,LC6M,GQ$9,0)),"ND")</calculatedColumnFormula>
    </tableColumn>
    <tableColumn id="180" xr3:uid="{9046F6FA-ECFC-42BA-99B4-1551348D949A}" name="LP12MC_29" dataDxfId="66">
      <calculatedColumnFormula>IFERROR(ROUNDUP(GS11/12,2)+29.9,"ND")</calculatedColumnFormula>
    </tableColumn>
    <tableColumn id="181" xr3:uid="{6A39C5C2-7618-4EDB-8CC9-3CF9681D68F8}" name="LP12MT_29" dataDxfId="65">
      <calculatedColumnFormula>IFERROR(IF(GS$9="ND","ND",VLOOKUP($C11,LP12M,GS$9,0)),"ND")</calculatedColumnFormula>
    </tableColumn>
    <tableColumn id="182" xr3:uid="{749F3D9E-8095-4527-8734-59503E8C55C7}" name="LP12MC_39" dataDxfId="64">
      <calculatedColumnFormula>IFERROR(ROUNDUP(GU11/12,2)+39.9,"ND")</calculatedColumnFormula>
    </tableColumn>
    <tableColumn id="183" xr3:uid="{3A295F70-2149-4D07-A884-BD7A04B15D57}" name="LP12MT_39" dataDxfId="63">
      <calculatedColumnFormula>IFERROR(IF(GU$9="ND","ND",VLOOKUP($C11,LP12M,GU$9,0)),"ND")</calculatedColumnFormula>
    </tableColumn>
    <tableColumn id="184" xr3:uid="{F5E7A1A5-12B7-4068-9FC1-8CF3343C7FCB}" name="LP12MC_49" dataDxfId="62">
      <calculatedColumnFormula>IFERROR(ROUNDUP(GW11/12,2)+49.9,"ND")</calculatedColumnFormula>
    </tableColumn>
    <tableColumn id="185" xr3:uid="{F10E6281-4667-4085-A01A-181B4D82FC61}" name="LP12MT_49" dataDxfId="61">
      <calculatedColumnFormula>IFERROR(IF(GW$9="ND","ND",VLOOKUP($C11,LP12M,GW$9,0)),"ND")</calculatedColumnFormula>
    </tableColumn>
    <tableColumn id="186" xr3:uid="{0C419163-1349-4B1D-87E0-BEDE09811F71}" name="LP12MC_55" dataDxfId="60">
      <calculatedColumnFormula>IFERROR(ROUNDUP(GY11/12,2)+55.9,"ND")</calculatedColumnFormula>
    </tableColumn>
    <tableColumn id="187" xr3:uid="{17215517-7174-4CA3-84E9-CABADAED9045}" name="LP12MT_55" dataDxfId="59">
      <calculatedColumnFormula>IFERROR(IF(GY$9="ND","ND",VLOOKUP($C11,LP12M,GY$9,0)),"ND")</calculatedColumnFormula>
    </tableColumn>
    <tableColumn id="188" xr3:uid="{0F364B0E-7B0B-4EF4-BCC2-BF8B6E626A38}" name="LP12MC_69" dataDxfId="58">
      <calculatedColumnFormula>IFERROR(ROUNDUP(HA11/12,2)+69.9,"ND")</calculatedColumnFormula>
    </tableColumn>
    <tableColumn id="189" xr3:uid="{AE5261C7-E8FF-4985-8D3D-FD2560FD30DC}" name="LP12MT_69" dataDxfId="57">
      <calculatedColumnFormula>IFERROR(IF(HA$9="ND","ND",VLOOKUP($C11,LP12M,HA$9,0)),"ND")</calculatedColumnFormula>
    </tableColumn>
    <tableColumn id="190" xr3:uid="{A8C311E6-7355-4343-B042-93F8EAC833FF}" name="LP12MC_79" dataDxfId="56">
      <calculatedColumnFormula>IFERROR(ROUNDUP(HC11/12,2)+79.9,"ND")</calculatedColumnFormula>
    </tableColumn>
    <tableColumn id="191" xr3:uid="{6F1DB6FE-F9D9-46B6-8371-E0303262C600}" name="LP12MT_79" dataDxfId="55">
      <calculatedColumnFormula>IFERROR(IF(HC$9="ND","ND",VLOOKUP($C11,LP12M,HC$9,0)),"ND")</calculatedColumnFormula>
    </tableColumn>
    <tableColumn id="192" xr3:uid="{1D09D175-AE93-497D-B7B6-D4410D1B7322}" name="LP12MC_95" dataDxfId="54">
      <calculatedColumnFormula>IFERROR(ROUNDUP(HE11/12,2)+95.9,"ND")</calculatedColumnFormula>
    </tableColumn>
    <tableColumn id="193" xr3:uid="{8C38BFFC-E3FC-4560-BF2C-36B7BE7C905B}" name="LP12MT_95" dataDxfId="53">
      <calculatedColumnFormula>IFERROR(IF(HE$9="ND","ND",VLOOKUP($C11,LP12M,HE$9,0)),"ND")</calculatedColumnFormula>
    </tableColumn>
    <tableColumn id="194" xr3:uid="{B7B6304D-FA70-4548-82FD-A90FCA0C6F21}" name="LP12MC_109" dataDxfId="52">
      <calculatedColumnFormula>IFERROR(ROUNDUP(HG11/12,2)+109.9,"ND")</calculatedColumnFormula>
    </tableColumn>
    <tableColumn id="195" xr3:uid="{BDAAA5ED-DD7A-4B76-8EDD-1C8D5FD81420}" name="LP12MT_109" dataDxfId="51">
      <calculatedColumnFormula>IFERROR(IF(HG$9="ND","ND",VLOOKUP($C11,LP12M,HG$9,0)),"ND")</calculatedColumnFormula>
    </tableColumn>
    <tableColumn id="196" xr3:uid="{A08DA910-D084-4422-A955-98352D7BCCF9}" name="LP12MC_159" dataDxfId="50">
      <calculatedColumnFormula>IFERROR(ROUNDUP(HI11/12,2)+159.9,"ND")</calculatedColumnFormula>
    </tableColumn>
    <tableColumn id="197" xr3:uid="{D2C07FC3-5B54-4F15-BD0F-7662054C5B52}" name="LP12MT_159" dataDxfId="49">
      <calculatedColumnFormula>IFERROR(IF(HI$9="ND","ND",VLOOKUP($C11,LP12M,HI$9,0)),"ND")</calculatedColumnFormula>
    </tableColumn>
    <tableColumn id="198" xr3:uid="{C59C7CFB-C4DF-49D2-97DF-4BEA95535176}" name="LP12MC_189" dataDxfId="48">
      <calculatedColumnFormula>IFERROR(ROUNDUP(HK11/12,2)+189.9,"ND")</calculatedColumnFormula>
    </tableColumn>
    <tableColumn id="199" xr3:uid="{E8C93E6D-53A0-41F9-B526-B24608CE0384}" name="LP12MT_189" dataDxfId="47">
      <calculatedColumnFormula>IFERROR(IF(HK$9="ND","ND",VLOOKUP($C11,LP12M,HK$9,0)),"ND")</calculatedColumnFormula>
    </tableColumn>
    <tableColumn id="200" xr3:uid="{C268E7B2-33C9-4E71-8980-F4E4643BB18C}" name="LP12MC_289" dataDxfId="46">
      <calculatedColumnFormula>IFERROR(ROUNDUP(HM11/12,2)+289.9,"ND")</calculatedColumnFormula>
    </tableColumn>
    <tableColumn id="201" xr3:uid="{AA08E24D-4450-4FE2-815A-BDD70B952F0E}" name="LP12MT_289" dataDxfId="45">
      <calculatedColumnFormula>IFERROR(IF(HM$9="ND","ND",VLOOKUP($C11,LP12M,HM$9,0)),"ND")</calculatedColumnFormula>
    </tableColumn>
    <tableColumn id="202" xr3:uid="{DC1A2FE8-5C3C-4E8C-B24A-C10DF787F321}" name="LR12MC_29" dataDxfId="44">
      <calculatedColumnFormula>IFERROR(ROUNDUP(HO11/12,2)+29.9,"ND")</calculatedColumnFormula>
    </tableColumn>
    <tableColumn id="203" xr3:uid="{1A2A8BE4-F888-424E-9E9B-22586E7A357C}" name="LR12MT_29" dataDxfId="43">
      <calculatedColumnFormula>IFERROR(IF(HO$9="ND","ND",VLOOKUP($C11,LR12M,HO$9,0)),"ND")</calculatedColumnFormula>
    </tableColumn>
    <tableColumn id="204" xr3:uid="{35AA9911-DD2E-4769-8D5B-7846CA716301}" name="LR12MC_39" dataDxfId="42">
      <calculatedColumnFormula>IFERROR(ROUNDUP(HQ11/12,2)+39.9,"ND")</calculatedColumnFormula>
    </tableColumn>
    <tableColumn id="205" xr3:uid="{D7820D50-158B-4F1E-8159-A09629F78C7A}" name="LR12MT_39" dataDxfId="41">
      <calculatedColumnFormula>IFERROR(IF(HQ$9="ND","ND",VLOOKUP($C11,LR12M,HQ$9,0)),"ND")</calculatedColumnFormula>
    </tableColumn>
    <tableColumn id="206" xr3:uid="{AAA3F95A-E5B1-47ED-8FC2-9FC66D7EF3B1}" name="LR12MC_49" dataDxfId="40">
      <calculatedColumnFormula>IFERROR(ROUNDUP(HS11/12,2)+49.9,"ND")</calculatedColumnFormula>
    </tableColumn>
    <tableColumn id="207" xr3:uid="{76FC123C-B3A5-45C5-81BF-8E475CBBC846}" name="LR12MT_49" dataDxfId="39">
      <calculatedColumnFormula>IFERROR(IF(HS$9="ND","ND",VLOOKUP($C11,LR12M,HS$9,0)),"ND")</calculatedColumnFormula>
    </tableColumn>
    <tableColumn id="208" xr3:uid="{FB61F041-958F-440E-8FD4-88E7956100B9}" name="LR12MC_55" dataDxfId="38">
      <calculatedColumnFormula>IFERROR(ROUNDUP(HU11/12,2)+55.9,"ND")</calculatedColumnFormula>
    </tableColumn>
    <tableColumn id="209" xr3:uid="{6A74ED4F-8E2D-4DB7-9F40-00D3C1B67F8B}" name="LR12MT_55" dataDxfId="37">
      <calculatedColumnFormula>IFERROR(IF(HU$9="ND","ND",VLOOKUP($C11,LR12M,HU$9,0)),"ND")</calculatedColumnFormula>
    </tableColumn>
    <tableColumn id="210" xr3:uid="{8A44DD63-4FC4-4264-B9BF-CB2D8F340C30}" name="LR12MC_69" dataDxfId="36">
      <calculatedColumnFormula>IFERROR(ROUNDUP(HW11/12,2)+69.9,"ND")</calculatedColumnFormula>
    </tableColumn>
    <tableColumn id="211" xr3:uid="{7970FCE2-5FF4-45FB-8F41-DB3FFDC9D8D2}" name="LR12MT_69" dataDxfId="35">
      <calculatedColumnFormula>IFERROR(IF(HW$9="ND","ND",VLOOKUP($C11,LR12M,HW$9,0)),"ND")</calculatedColumnFormula>
    </tableColumn>
    <tableColumn id="212" xr3:uid="{1662DE2D-BB77-467A-ACA4-981D36E06DF2}" name="LR12MC_79" dataDxfId="34">
      <calculatedColumnFormula>IFERROR(ROUNDUP(HY11/12,2)+79.9,"ND")</calculatedColumnFormula>
    </tableColumn>
    <tableColumn id="213" xr3:uid="{428F4421-C4B3-4FBA-A219-D17FAD2421A2}" name="LR12MT_79" dataDxfId="33">
      <calculatedColumnFormula>IFERROR(IF(HY$9="ND","ND",VLOOKUP($C11,LR12M,HY$9,0)),"ND")</calculatedColumnFormula>
    </tableColumn>
    <tableColumn id="214" xr3:uid="{B4F20E9C-D4EE-4EF4-9A47-A3A63014D6C6}" name="LR12MC_95" dataDxfId="32">
      <calculatedColumnFormula>IFERROR(ROUNDUP(IA11/12,2)+95.9,"ND")</calculatedColumnFormula>
    </tableColumn>
    <tableColumn id="215" xr3:uid="{43CBD4FE-4593-4185-A0EE-3711B4A327CE}" name="LR12MT_95" dataDxfId="31">
      <calculatedColumnFormula>IFERROR(IF(IA$9="ND","ND",VLOOKUP($C11,LR12M,IA$9,0)),"ND")</calculatedColumnFormula>
    </tableColumn>
    <tableColumn id="216" xr3:uid="{8F6676AF-03E2-4A92-BCF7-4D724B9EEC26}" name="LR12MC_109" dataDxfId="30">
      <calculatedColumnFormula>IFERROR(ROUNDUP(IC11/12,2)+109.9,"ND")</calculatedColumnFormula>
    </tableColumn>
    <tableColumn id="217" xr3:uid="{4E89F20A-413D-47D6-93CE-2B12EB4C9147}" name="LR12MT_109" dataDxfId="29">
      <calculatedColumnFormula>IFERROR(IF(IC$9="ND","ND",VLOOKUP($C11,LR12M,IC$9,0)),"ND")</calculatedColumnFormula>
    </tableColumn>
    <tableColumn id="218" xr3:uid="{3C3D84E4-EE48-4C78-9002-D8A000B2400F}" name="LR12MC_159" dataDxfId="28">
      <calculatedColumnFormula>IFERROR(ROUNDUP(IE11/12,2)+159.9,"ND")</calculatedColumnFormula>
    </tableColumn>
    <tableColumn id="219" xr3:uid="{A5BFC262-4206-4783-85CA-1BC3DECC1E49}" name="LR12MT_159" dataDxfId="27">
      <calculatedColumnFormula>IFERROR(IF(IE$9="ND","ND",VLOOKUP($C11,LR12M,IE$9,0)),"ND")</calculatedColumnFormula>
    </tableColumn>
    <tableColumn id="220" xr3:uid="{C689A1B5-3C0B-4222-8A23-C157A410166E}" name="LR12MC_189" dataDxfId="26">
      <calculatedColumnFormula>IFERROR(ROUNDUP(IG11/12,2)+189.9,"ND")</calculatedColumnFormula>
    </tableColumn>
    <tableColumn id="221" xr3:uid="{A8C6C858-B853-438F-A480-85BBC46C044E}" name="LR12MT_189" dataDxfId="25">
      <calculatedColumnFormula>IFERROR(IF(IG$9="ND","ND",VLOOKUP($C11,LR12M,IG$9,0)),"ND")</calculatedColumnFormula>
    </tableColumn>
    <tableColumn id="222" xr3:uid="{964EB61C-5EAD-4ED1-B673-CC90CDB88239}" name="LR12MC_289" dataDxfId="24">
      <calculatedColumnFormula>IFERROR(ROUNDUP(II11/12,2)+289.9,"ND")</calculatedColumnFormula>
    </tableColumn>
    <tableColumn id="223" xr3:uid="{0CCDDA2E-4F11-40E2-8F62-E122412CF928}" name="LR12MT_289" dataDxfId="23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503"/>
  <sheetViews>
    <sheetView topLeftCell="A102" zoomScale="85" zoomScaleNormal="85" workbookViewId="0">
      <selection activeCell="C118" sqref="C118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857</v>
      </c>
      <c r="C2" t="s">
        <v>605</v>
      </c>
      <c r="D2" s="18" t="s">
        <v>604</v>
      </c>
      <c r="E2" s="18" t="s">
        <v>606</v>
      </c>
      <c r="F2" s="18" t="s">
        <v>940</v>
      </c>
      <c r="G2" s="18" t="s">
        <v>607</v>
      </c>
      <c r="H2" s="18" t="s">
        <v>201</v>
      </c>
      <c r="I2" s="18" t="s">
        <v>942</v>
      </c>
      <c r="K2" s="18" t="s">
        <v>858</v>
      </c>
      <c r="L2" s="18" t="s">
        <v>859</v>
      </c>
      <c r="M2" s="18" t="s">
        <v>941</v>
      </c>
    </row>
    <row r="3" spans="2:13" x14ac:dyDescent="0.25">
      <c r="C3" t="s">
        <v>1130</v>
      </c>
      <c r="D3" t="s">
        <v>1131</v>
      </c>
      <c r="E3" s="19" t="s">
        <v>1064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149</v>
      </c>
      <c r="K3" t="s">
        <v>1064</v>
      </c>
      <c r="L3">
        <v>149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1130</v>
      </c>
      <c r="D4" t="s">
        <v>1131</v>
      </c>
      <c r="E4" s="19" t="s">
        <v>1253</v>
      </c>
      <c r="F4" t="e">
        <f>VLOOKUP(DICCIONARIO[[#This Row],[Desc color]],ImportarStock[DESCRIPCION],1,0)</f>
        <v>#N/A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0</v>
      </c>
      <c r="K4" t="s">
        <v>1083</v>
      </c>
      <c r="L4">
        <v>3</v>
      </c>
      <c r="M4" t="str">
        <f>VLOOKUP(ImportarStock[[#This Row],[DESCRIPCION]],DICCIONARIO[Desc color],1,0)</f>
        <v>ADAPTADOR XIAO 33WBL</v>
      </c>
    </row>
    <row r="5" spans="2:13" x14ac:dyDescent="0.25">
      <c r="C5" t="s">
        <v>1130</v>
      </c>
      <c r="D5" t="s">
        <v>1131</v>
      </c>
      <c r="E5" s="19" t="s">
        <v>1083</v>
      </c>
      <c r="F5" t="str">
        <f>VLOOKUP(DICCIONARIO[[#This Row],[Desc color]],ImportarStock[DESCRIPCION],1,0)</f>
        <v>ADAPTADOR XIAO 33WBL</v>
      </c>
      <c r="H5" t="e">
        <f>VLOOKUP(DICCIONARIO[[#This Row],[Modelo]],UNIFICADA[Equipo],1,0)</f>
        <v>#N/A</v>
      </c>
      <c r="I5">
        <f>IFERROR(VLOOKUP(DICCIONARIO[[#This Row],[Desc color]],ImportarStock[[DESCRIPCION]:[LIBRE UTILIZACION]],2,0),0)</f>
        <v>3</v>
      </c>
      <c r="K5" t="s">
        <v>1080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92</v>
      </c>
      <c r="D6" t="s">
        <v>801</v>
      </c>
      <c r="E6" s="19" t="s">
        <v>756</v>
      </c>
      <c r="F6" t="e">
        <f>VLOOKUP(DICCIONARIO[[#This Row],[Desc color]],ImportarStock[DESCRIPCION],1,0)</f>
        <v>#N/A</v>
      </c>
      <c r="G6" t="s">
        <v>614</v>
      </c>
      <c r="H6" t="str">
        <f>VLOOKUP(DICCIONARIO[[#This Row],[Modelo]],UNIFICADA[Equipo],1,0)</f>
        <v>TCL 20 PRO 5G 256GB</v>
      </c>
      <c r="I6">
        <f>IFERROR(VLOOKUP(DICCIONARIO[[#This Row],[Desc color]],ImportarStock[[DESCRIPCION]:[LIBRE UTILIZACION]],2,0),0)</f>
        <v>0</v>
      </c>
      <c r="K6" t="s">
        <v>619</v>
      </c>
      <c r="L6">
        <v>17</v>
      </c>
      <c r="M6" t="str">
        <f>VLOOKUP(ImportarStock[[#This Row],[DESCRIPCION]],DICCIONARIO[Desc color],1,0)</f>
        <v>APP IPH1164GBLACK NG PB LTE</v>
      </c>
    </row>
    <row r="7" spans="2:13" x14ac:dyDescent="0.25">
      <c r="C7" t="s">
        <v>1130</v>
      </c>
      <c r="D7" t="s">
        <v>1131</v>
      </c>
      <c r="E7" s="19" t="s">
        <v>1080</v>
      </c>
      <c r="F7" t="str">
        <f>VLOOKUP(DICCIONARIO[[#This Row],[Desc color]],ImportarStock[DESCRIPCION],1,0)</f>
        <v>AMP WIFI NOVA MW6 KIT 3</v>
      </c>
      <c r="H7" t="e">
        <f>VLOOKUP(DICCIONARIO[[#This Row],[Modelo]],UNIFICADA[Equipo],1,0)</f>
        <v>#N/A</v>
      </c>
      <c r="I7">
        <f>IFERROR(VLOOKUP(DICCIONARIO[[#This Row],[Desc color]],ImportarStock[[DESCRIPCION]:[LIBRE UTILIZACION]],2,0),0)</f>
        <v>10</v>
      </c>
      <c r="K7" t="s">
        <v>953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70034095</v>
      </c>
      <c r="C8" t="s">
        <v>1</v>
      </c>
      <c r="D8" t="s">
        <v>611</v>
      </c>
      <c r="E8" s="19" t="s">
        <v>624</v>
      </c>
      <c r="F8" t="e">
        <f>VLOOKUP(DICCIONARIO[[#This Row],[Desc color]],ImportarStock[DESCRIPCION],1,0)</f>
        <v>#N/A</v>
      </c>
      <c r="G8" t="s">
        <v>625</v>
      </c>
      <c r="H8" t="str">
        <f>VLOOKUP(DICCIONARIO[[#This Row],[Modelo]],UNIFICADA[Equipo],1,0)</f>
        <v>APPLE IPHONE 11 64GB</v>
      </c>
      <c r="I8">
        <f>IFERROR(VLOOKUP(DICCIONARIO[[#This Row],[Desc color]],ImportarStock[[DESCRIPCION]:[LIBRE UTILIZACION]],2,0),0)</f>
        <v>0</v>
      </c>
      <c r="K8" t="s">
        <v>860</v>
      </c>
      <c r="L8">
        <v>6</v>
      </c>
      <c r="M8" t="str">
        <f>VLOOKUP(ImportarStock[[#This Row],[DESCRIPCION]],DICCIONARIO[Desc color],1,0)</f>
        <v>APP IPH1264GBLACK NG</v>
      </c>
    </row>
    <row r="9" spans="2:13" x14ac:dyDescent="0.25">
      <c r="B9">
        <v>70033160</v>
      </c>
      <c r="C9" t="s">
        <v>0</v>
      </c>
      <c r="D9" t="s">
        <v>611</v>
      </c>
      <c r="E9" s="19" t="s">
        <v>618</v>
      </c>
      <c r="F9" t="e">
        <f>VLOOKUP(DICCIONARIO[[#This Row],[Desc color]],ImportarStock[DESCRIPCION],1,0)</f>
        <v>#N/A</v>
      </c>
      <c r="G9" t="s">
        <v>610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698</v>
      </c>
      <c r="L9">
        <v>19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70037308</v>
      </c>
      <c r="C10" t="s">
        <v>0</v>
      </c>
      <c r="D10" t="s">
        <v>611</v>
      </c>
      <c r="E10" s="19" t="s">
        <v>643</v>
      </c>
      <c r="F10" t="e">
        <f>VLOOKUP(DICCIONARIO[[#This Row],[Desc color]],ImportarStock[DESCRIPCION],1,0)</f>
        <v>#N/A</v>
      </c>
      <c r="G10" t="s">
        <v>610</v>
      </c>
      <c r="H10" t="str">
        <f>VLOOKUP(DICCIONARIO[[#This Row],[Modelo]],UNIFICADA[Equipo],1,0)</f>
        <v>APPLE IPHONE 11 256GB</v>
      </c>
      <c r="I10">
        <f>IFERROR(VLOOKUP(DICCIONARIO[[#This Row],[Desc color]],ImportarStock[[DESCRIPCION]:[LIBRE UTILIZACION]],2,0),0)</f>
        <v>0</v>
      </c>
      <c r="K10" t="s">
        <v>700</v>
      </c>
      <c r="L10">
        <v>28</v>
      </c>
      <c r="M10" t="str">
        <f>VLOOKUP(ImportarStock[[#This Row],[DESCRIPCION]],DICCIONARIO[Desc color],1,0)</f>
        <v>APP IPH13128GSL SL PROCESADOR A15</v>
      </c>
    </row>
    <row r="11" spans="2:13" x14ac:dyDescent="0.25">
      <c r="B11">
        <v>70037304</v>
      </c>
      <c r="C11" t="s">
        <v>1</v>
      </c>
      <c r="D11" t="s">
        <v>611</v>
      </c>
      <c r="E11" s="19" t="s">
        <v>640</v>
      </c>
      <c r="F11" t="e">
        <f>VLOOKUP(DICCIONARIO[[#This Row],[Desc color]],ImportarStock[DESCRIPCION],1,0)</f>
        <v>#N/A</v>
      </c>
      <c r="G11" t="s">
        <v>610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0</v>
      </c>
      <c r="K11" t="s">
        <v>1218</v>
      </c>
      <c r="L11">
        <v>8</v>
      </c>
      <c r="M11" t="str">
        <f>VLOOKUP(ImportarStock[[#This Row],[DESCRIPCION]],DICCIONARIO[Desc color],1,0)</f>
        <v>APP IPH14128GBBLU B1</v>
      </c>
    </row>
    <row r="12" spans="2:13" x14ac:dyDescent="0.25">
      <c r="B12">
        <v>70033156</v>
      </c>
      <c r="C12" t="s">
        <v>1</v>
      </c>
      <c r="D12" t="s">
        <v>611</v>
      </c>
      <c r="E12" s="19" t="s">
        <v>619</v>
      </c>
      <c r="F12" t="str">
        <f>VLOOKUP(DICCIONARIO[[#This Row],[Desc color]],ImportarStock[DESCRIPCION],1,0)</f>
        <v>APP IPH1164GBLACK NG PB LTE</v>
      </c>
      <c r="G12" t="s">
        <v>610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17</v>
      </c>
      <c r="K12" t="s">
        <v>1019</v>
      </c>
      <c r="L12">
        <v>8</v>
      </c>
      <c r="M12" t="str">
        <f>VLOOKUP(ImportarStock[[#This Row],[DESCRIPCION]],DICCIONARIO[Desc color],1,0)</f>
        <v>APP IPH14128GBMID MN</v>
      </c>
    </row>
    <row r="13" spans="2:13" x14ac:dyDescent="0.25">
      <c r="C13" t="s">
        <v>1</v>
      </c>
      <c r="D13" t="s">
        <v>611</v>
      </c>
      <c r="E13" s="19" t="s">
        <v>953</v>
      </c>
      <c r="F13" t="str">
        <f>VLOOKUP(DICCIONARIO[[#This Row],[Desc color]],ImportarStock[DESCRIPCION],1,0)</f>
        <v>APP IPH1164GBLACK NG PB LTE SEED STOCK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1</v>
      </c>
      <c r="K13" t="s">
        <v>954</v>
      </c>
      <c r="L13">
        <v>1</v>
      </c>
      <c r="M13" t="str">
        <f>VLOOKUP(ImportarStock[[#This Row],[DESCRIPCION]],DICCIONARIO[Desc color],1,0)</f>
        <v>APP IPH14256GBBLU B1</v>
      </c>
    </row>
    <row r="14" spans="2:13" x14ac:dyDescent="0.25">
      <c r="B14">
        <v>70033157</v>
      </c>
      <c r="C14" t="s">
        <v>1</v>
      </c>
      <c r="D14" t="s">
        <v>611</v>
      </c>
      <c r="E14" s="19" t="s">
        <v>620</v>
      </c>
      <c r="F14" t="e">
        <f>VLOOKUP(DICCIONARIO[[#This Row],[Desc color]],ImportarStock[DESCRIPCION],1,0)</f>
        <v>#N/A</v>
      </c>
      <c r="G14" t="s">
        <v>621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1108</v>
      </c>
      <c r="L14">
        <v>1</v>
      </c>
      <c r="M14" t="str">
        <f>VLOOKUP(ImportarStock[[#This Row],[DESCRIPCION]],DICCIONARIO[Desc color],1,0)</f>
        <v>APP IPH14256GBSTA SL</v>
      </c>
    </row>
    <row r="15" spans="2:13" x14ac:dyDescent="0.25">
      <c r="B15">
        <v>70037305</v>
      </c>
      <c r="C15" t="s">
        <v>1</v>
      </c>
      <c r="D15" t="s">
        <v>611</v>
      </c>
      <c r="E15" s="19" t="s">
        <v>641</v>
      </c>
      <c r="F15" t="e">
        <f>VLOOKUP(DICCIONARIO[[#This Row],[Desc color]],ImportarStock[DESCRIPCION],1,0)</f>
        <v>#N/A</v>
      </c>
      <c r="G15" t="s">
        <v>621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955</v>
      </c>
      <c r="L15">
        <v>1</v>
      </c>
      <c r="M15" t="str">
        <f>VLOOKUP(ImportarStock[[#This Row],[DESCRIPCION]],DICCIONARIO[Desc color],1,0)</f>
        <v>APP IPH14512GBBLU B1</v>
      </c>
    </row>
    <row r="16" spans="2:13" x14ac:dyDescent="0.25">
      <c r="B16">
        <v>70033158</v>
      </c>
      <c r="C16" t="s">
        <v>1</v>
      </c>
      <c r="D16" t="s">
        <v>611</v>
      </c>
      <c r="E16" s="19" t="s">
        <v>622</v>
      </c>
      <c r="F16" t="e">
        <f>VLOOKUP(DICCIONARIO[[#This Row],[Desc color]],ImportarStock[DESCRIPCION],1,0)</f>
        <v>#N/A</v>
      </c>
      <c r="G16" t="s">
        <v>623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956</v>
      </c>
      <c r="L16">
        <v>1</v>
      </c>
      <c r="M16" t="str">
        <f>VLOOKUP(ImportarStock[[#This Row],[DESCRIPCION]],DICCIONARIO[Desc color],1,0)</f>
        <v>APP IPH14512GBMID MN</v>
      </c>
    </row>
    <row r="17" spans="2:13" x14ac:dyDescent="0.25">
      <c r="B17">
        <v>70037306</v>
      </c>
      <c r="C17" t="s">
        <v>1</v>
      </c>
      <c r="D17" t="s">
        <v>611</v>
      </c>
      <c r="E17" s="19" t="s">
        <v>642</v>
      </c>
      <c r="F17" t="e">
        <f>VLOOKUP(DICCIONARIO[[#This Row],[Desc color]],ImportarStock[DESCRIPCION],1,0)</f>
        <v>#N/A</v>
      </c>
      <c r="G17" t="s">
        <v>623</v>
      </c>
      <c r="H17" t="str">
        <f>VLOOKUP(DICCIONARIO[[#This Row],[Modelo]],UNIFICADA[Equipo],1,0)</f>
        <v>APPLE IPHONE 11 64GB</v>
      </c>
      <c r="I17">
        <f>IFERROR(VLOOKUP(DICCIONARIO[[#This Row],[Desc color]],ImportarStock[[DESCRIPCION]:[LIBRE UTILIZACION]],2,0),0)</f>
        <v>0</v>
      </c>
      <c r="K17" t="s">
        <v>1188</v>
      </c>
      <c r="L17">
        <v>1</v>
      </c>
      <c r="M17" t="str">
        <f>VLOOKUP(ImportarStock[[#This Row],[DESCRIPCION]],DICCIONARIO[Desc color],1,0)</f>
        <v>APP IPH14DPPURPLE DP 128GB</v>
      </c>
    </row>
    <row r="18" spans="2:13" x14ac:dyDescent="0.25">
      <c r="B18">
        <v>70037616</v>
      </c>
      <c r="C18" t="s">
        <v>2</v>
      </c>
      <c r="D18" t="s">
        <v>611</v>
      </c>
      <c r="E18" s="19" t="s">
        <v>647</v>
      </c>
      <c r="F18" t="e">
        <f>VLOOKUP(DICCIONARIO[[#This Row],[Desc color]],ImportarStock[DESCRIPCION],1,0)</f>
        <v>#N/A</v>
      </c>
      <c r="G18" t="s">
        <v>610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863</v>
      </c>
      <c r="L18">
        <v>2</v>
      </c>
      <c r="M18" t="str">
        <f>VLOOKUP(ImportarStock[[#This Row],[DESCRIPCION]],DICCIONARIO[Desc color],1,0)</f>
        <v>APP IPH14P128MIDN MN</v>
      </c>
    </row>
    <row r="19" spans="2:13" x14ac:dyDescent="0.25">
      <c r="B19">
        <v>70042264</v>
      </c>
      <c r="C19" t="s">
        <v>2</v>
      </c>
      <c r="D19" t="s">
        <v>611</v>
      </c>
      <c r="E19" s="19" t="s">
        <v>688</v>
      </c>
      <c r="F19" t="e">
        <f>VLOOKUP(DICCIONARIO[[#This Row],[Desc color]],ImportarStock[DESCRIPCION],1,0)</f>
        <v>#N/A</v>
      </c>
      <c r="G19" t="s">
        <v>681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866</v>
      </c>
      <c r="L19">
        <v>2</v>
      </c>
      <c r="M19" t="str">
        <f>VLOOKUP(ImportarStock[[#This Row],[DESCRIPCION]],DICCIONARIO[Desc color],1,0)</f>
        <v>APP IPH14PL256MID MN</v>
      </c>
    </row>
    <row r="20" spans="2:13" x14ac:dyDescent="0.25">
      <c r="B20">
        <v>70037612</v>
      </c>
      <c r="C20" t="s">
        <v>2</v>
      </c>
      <c r="D20" t="s">
        <v>611</v>
      </c>
      <c r="E20" s="19" t="s">
        <v>650</v>
      </c>
      <c r="F20" t="e">
        <f>VLOOKUP(DICCIONARIO[[#This Row],[Desc color]],ImportarStock[DESCRIPCION],1,0)</f>
        <v>#N/A</v>
      </c>
      <c r="G20" t="s">
        <v>617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867</v>
      </c>
      <c r="L20">
        <v>1</v>
      </c>
      <c r="M20" t="str">
        <f>VLOOKUP(ImportarStock[[#This Row],[DESCRIPCION]],DICCIONARIO[Desc color],1,0)</f>
        <v>APP IPH14PL256PUR LE</v>
      </c>
    </row>
    <row r="21" spans="2:13" x14ac:dyDescent="0.25">
      <c r="B21">
        <v>70037617</v>
      </c>
      <c r="C21" t="s">
        <v>2</v>
      </c>
      <c r="D21" t="s">
        <v>611</v>
      </c>
      <c r="E21" s="19" t="s">
        <v>648</v>
      </c>
      <c r="F21" t="e">
        <f>VLOOKUP(DICCIONARIO[[#This Row],[Desc color]],ImportarStock[DESCRIPCION],1,0)</f>
        <v>#N/A</v>
      </c>
      <c r="G21" t="s">
        <v>623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957</v>
      </c>
      <c r="L21">
        <v>1</v>
      </c>
      <c r="M21" t="str">
        <f>VLOOKUP(ImportarStock[[#This Row],[DESCRIPCION]],DICCIONARIO[Desc color],1,0)</f>
        <v>APP IPH14PL512MID MN</v>
      </c>
    </row>
    <row r="22" spans="2:13" x14ac:dyDescent="0.25">
      <c r="B22">
        <v>70042247</v>
      </c>
      <c r="C22" t="s">
        <v>2</v>
      </c>
      <c r="D22" t="s">
        <v>611</v>
      </c>
      <c r="E22" s="19" t="s">
        <v>686</v>
      </c>
      <c r="F22" t="e">
        <f>VLOOKUP(DICCIONARIO[[#This Row],[Desc color]],ImportarStock[DESCRIPCION],1,0)</f>
        <v>#N/A</v>
      </c>
      <c r="G22" t="s">
        <v>685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958</v>
      </c>
      <c r="L22">
        <v>1</v>
      </c>
      <c r="M22" t="str">
        <f>VLOOKUP(ImportarStock[[#This Row],[DESCRIPCION]],DICCIONARIO[Desc color],1,0)</f>
        <v>APP IPH14PLUS256G B1</v>
      </c>
    </row>
    <row r="23" spans="2:13" x14ac:dyDescent="0.25">
      <c r="B23">
        <v>70037611</v>
      </c>
      <c r="C23" t="s">
        <v>2</v>
      </c>
      <c r="D23" t="s">
        <v>611</v>
      </c>
      <c r="E23" s="19" t="s">
        <v>649</v>
      </c>
      <c r="F23" t="e">
        <f>VLOOKUP(DICCIONARIO[[#This Row],[Desc color]],ImportarStock[DESCRIPCION],1,0)</f>
        <v>#N/A</v>
      </c>
      <c r="G23" t="s">
        <v>625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1216</v>
      </c>
      <c r="L23">
        <v>3</v>
      </c>
      <c r="M23" t="str">
        <f>VLOOKUP(ImportarStock[[#This Row],[DESCRIPCION]],DICCIONARIO[Desc color],1,0)</f>
        <v>APP IPH14PMAXGOLD GD 256GB</v>
      </c>
    </row>
    <row r="24" spans="2:13" x14ac:dyDescent="0.25">
      <c r="B24">
        <v>70042269</v>
      </c>
      <c r="C24" t="s">
        <v>2</v>
      </c>
      <c r="D24" t="s">
        <v>611</v>
      </c>
      <c r="E24" s="19" t="s">
        <v>689</v>
      </c>
      <c r="F24" t="e">
        <f>VLOOKUP(DICCIONARIO[[#This Row],[Desc color]],ImportarStock[DESCRIPCION],1,0)</f>
        <v>#N/A</v>
      </c>
      <c r="G24" t="s">
        <v>690</v>
      </c>
      <c r="H24" t="str">
        <f>VLOOKUP(DICCIONARIO[[#This Row],[Modelo]],UNIFICADA[Equipo],1,0)</f>
        <v>APPLE IPHONE 12 128GB</v>
      </c>
      <c r="I24">
        <f>IFERROR(VLOOKUP(DICCIONARIO[[#This Row],[Desc color]],ImportarStock[[DESCRIPCION]:[LIBRE UTILIZACION]],2,0),0)</f>
        <v>0</v>
      </c>
      <c r="K24" t="s">
        <v>1002</v>
      </c>
      <c r="L24">
        <v>1</v>
      </c>
      <c r="M24" t="str">
        <f>VLOOKUP(ImportarStock[[#This Row],[DESCRIPCION]],DICCIONARIO[Desc color],1,0)</f>
        <v>APP IPH14PMAXSPBL SP 256GB</v>
      </c>
    </row>
    <row r="25" spans="2:13" x14ac:dyDescent="0.25">
      <c r="B25">
        <v>70037412</v>
      </c>
      <c r="C25" t="s">
        <v>3</v>
      </c>
      <c r="D25" t="s">
        <v>611</v>
      </c>
      <c r="E25" s="19" t="s">
        <v>860</v>
      </c>
      <c r="F25" t="str">
        <f>VLOOKUP(DICCIONARIO[[#This Row],[Desc color]],ImportarStock[DESCRIPCION],1,0)</f>
        <v>APP IPH1264GBLACK NG</v>
      </c>
      <c r="G25" t="s">
        <v>610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6</v>
      </c>
      <c r="K25" t="s">
        <v>1189</v>
      </c>
      <c r="L25">
        <v>2</v>
      </c>
      <c r="M25" t="str">
        <f>VLOOKUP(ImportarStock[[#This Row],[DESCRIPCION]],DICCIONARIO[Desc color],1,0)</f>
        <v>APP IPH14PRGOLD GD 256GB</v>
      </c>
    </row>
    <row r="26" spans="2:13" x14ac:dyDescent="0.25">
      <c r="B26">
        <v>70042253</v>
      </c>
      <c r="C26" t="s">
        <v>3</v>
      </c>
      <c r="D26" t="s">
        <v>611</v>
      </c>
      <c r="E26" s="19" t="s">
        <v>687</v>
      </c>
      <c r="F26" t="e">
        <f>VLOOKUP(DICCIONARIO[[#This Row],[Desc color]],ImportarStock[DESCRIPCION],1,0)</f>
        <v>#N/A</v>
      </c>
      <c r="G26" t="s">
        <v>681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872</v>
      </c>
      <c r="L26">
        <v>1</v>
      </c>
      <c r="M26" t="str">
        <f>VLOOKUP(ImportarStock[[#This Row],[DESCRIPCION]],DICCIONARIO[Desc color],1,0)</f>
        <v>APP IPH14PROMAXDP DP 256GB</v>
      </c>
    </row>
    <row r="27" spans="2:13" x14ac:dyDescent="0.25">
      <c r="B27">
        <v>70037615</v>
      </c>
      <c r="C27" t="s">
        <v>3</v>
      </c>
      <c r="D27" t="s">
        <v>611</v>
      </c>
      <c r="E27" s="19" t="s">
        <v>646</v>
      </c>
      <c r="F27" t="e">
        <f>VLOOKUP(DICCIONARIO[[#This Row],[Desc color]],ImportarStock[DESCRIPCION],1,0)</f>
        <v>#N/A</v>
      </c>
      <c r="G27" t="s">
        <v>617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1239</v>
      </c>
      <c r="L27">
        <v>4</v>
      </c>
      <c r="M27" t="str">
        <f>VLOOKUP(ImportarStock[[#This Row],[DESCRIPCION]],DICCIONARIO[Desc color],1,0)</f>
        <v>APP IPH14PROMAXGO GD 128GB</v>
      </c>
    </row>
    <row r="28" spans="2:13" x14ac:dyDescent="0.25">
      <c r="B28">
        <v>70042243</v>
      </c>
      <c r="C28" t="s">
        <v>3</v>
      </c>
      <c r="D28" t="s">
        <v>611</v>
      </c>
      <c r="E28" s="19" t="s">
        <v>682</v>
      </c>
      <c r="F28" t="e">
        <f>VLOOKUP(DICCIONARIO[[#This Row],[Desc color]],ImportarStock[DESCRIPCION],1,0)</f>
        <v>#N/A</v>
      </c>
      <c r="G28" t="s">
        <v>683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1004</v>
      </c>
      <c r="L28">
        <v>7</v>
      </c>
      <c r="M28" t="str">
        <f>VLOOKUP(ImportarStock[[#This Row],[DESCRIPCION]],DICCIONARIO[Desc color],1,0)</f>
        <v>APP IPH14PROMAXSP SP 128GB</v>
      </c>
    </row>
    <row r="29" spans="2:13" x14ac:dyDescent="0.25">
      <c r="B29">
        <v>70040357</v>
      </c>
      <c r="C29" t="s">
        <v>3</v>
      </c>
      <c r="D29" t="s">
        <v>611</v>
      </c>
      <c r="E29" s="19" t="s">
        <v>662</v>
      </c>
      <c r="F29" t="e">
        <f>VLOOKUP(DICCIONARIO[[#This Row],[Desc color]],ImportarStock[DESCRIPCION],1,0)</f>
        <v>#N/A</v>
      </c>
      <c r="G29" t="s">
        <v>621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873</v>
      </c>
      <c r="L29">
        <v>5</v>
      </c>
      <c r="M29" t="str">
        <f>VLOOKUP(ImportarStock[[#This Row],[DESCRIPCION]],DICCIONARIO[Desc color],1,0)</f>
        <v>APP IPH14PRSPACEB SP 256GB</v>
      </c>
    </row>
    <row r="30" spans="2:13" x14ac:dyDescent="0.25">
      <c r="B30">
        <v>70037614</v>
      </c>
      <c r="C30" t="s">
        <v>3</v>
      </c>
      <c r="D30" t="s">
        <v>611</v>
      </c>
      <c r="E30" s="19" t="s">
        <v>645</v>
      </c>
      <c r="F30" t="e">
        <f>VLOOKUP(DICCIONARIO[[#This Row],[Desc color]],ImportarStock[DESCRIPCION],1,0)</f>
        <v>#N/A</v>
      </c>
      <c r="G30" t="s">
        <v>625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1005</v>
      </c>
      <c r="L30">
        <v>2</v>
      </c>
      <c r="M30" t="str">
        <f>VLOOKUP(ImportarStock[[#This Row],[DESCRIPCION]],DICCIONARIO[Desc color],1,0)</f>
        <v>APP IPH14PRSPBLAC SP 128GB</v>
      </c>
    </row>
    <row r="31" spans="2:13" x14ac:dyDescent="0.25">
      <c r="B31">
        <v>70037413</v>
      </c>
      <c r="C31" t="s">
        <v>3</v>
      </c>
      <c r="D31" t="s">
        <v>611</v>
      </c>
      <c r="E31" s="19" t="s">
        <v>644</v>
      </c>
      <c r="F31" t="e">
        <f>VLOOKUP(DICCIONARIO[[#This Row],[Desc color]],ImportarStock[DESCRIPCION],1,0)</f>
        <v>#N/A</v>
      </c>
      <c r="G31" t="s">
        <v>623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1103</v>
      </c>
      <c r="L31">
        <v>5</v>
      </c>
      <c r="M31" t="str">
        <f>VLOOKUP(ImportarStock[[#This Row],[DESCRIPCION]],DICCIONARIO[Desc color],1,0)</f>
        <v>APP IPH732BSAC NG SEED STOCK C/ ACCES</v>
      </c>
    </row>
    <row r="32" spans="2:13" x14ac:dyDescent="0.25">
      <c r="B32">
        <v>70042246</v>
      </c>
      <c r="C32" t="s">
        <v>3</v>
      </c>
      <c r="D32" t="s">
        <v>611</v>
      </c>
      <c r="E32" s="19" t="s">
        <v>684</v>
      </c>
      <c r="F32" t="e">
        <f>VLOOKUP(DICCIONARIO[[#This Row],[Desc color]],ImportarStock[DESCRIPCION],1,0)</f>
        <v>#N/A</v>
      </c>
      <c r="G32" t="s">
        <v>685</v>
      </c>
      <c r="H32" t="str">
        <f>VLOOKUP(DICCIONARIO[[#This Row],[Modelo]],UNIFICADA[Equipo],1,0)</f>
        <v>APPLE IPHONE 12 64GB</v>
      </c>
      <c r="I32">
        <f>IFERROR(VLOOKUP(DICCIONARIO[[#This Row],[Desc color]],ImportarStock[[DESCRIPCION]:[LIBRE UTILIZACION]],2,0),0)</f>
        <v>0</v>
      </c>
      <c r="K32" t="s">
        <v>1106</v>
      </c>
      <c r="L32">
        <v>1</v>
      </c>
      <c r="M32" t="str">
        <f>VLOOKUP(ImportarStock[[#This Row],[DESCRIPCION]],DICCIONARIO[Desc color],1,0)</f>
        <v>APP IPH8P64SGSAC GR SEED STOCK C/ ACCES</v>
      </c>
    </row>
    <row r="33" spans="2:13" x14ac:dyDescent="0.25">
      <c r="B33">
        <v>70042636</v>
      </c>
      <c r="C33" t="s">
        <v>4</v>
      </c>
      <c r="D33" t="s">
        <v>611</v>
      </c>
      <c r="E33" s="19" t="s">
        <v>706</v>
      </c>
      <c r="F33" t="e">
        <f>VLOOKUP(DICCIONARIO[[#This Row],[Desc color]],ImportarStock[DESCRIPCION],1,0)</f>
        <v>#N/A</v>
      </c>
      <c r="G33" t="s">
        <v>707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0</v>
      </c>
      <c r="K33" t="s">
        <v>1241</v>
      </c>
      <c r="L33">
        <v>1</v>
      </c>
      <c r="M33" t="str">
        <f>VLOOKUP(ImportarStock[[#This Row],[DESCRIPCION]],DICCIONARIO[Desc color],1,0)</f>
        <v>APP IPH8PL56GOSAC DO SEED STOCK C/ ACCES</v>
      </c>
    </row>
    <row r="34" spans="2:13" x14ac:dyDescent="0.25">
      <c r="B34">
        <v>70042634</v>
      </c>
      <c r="C34" t="s">
        <v>4</v>
      </c>
      <c r="D34" t="s">
        <v>611</v>
      </c>
      <c r="E34" s="19" t="s">
        <v>698</v>
      </c>
      <c r="F34" t="str">
        <f>VLOOKUP(DICCIONARIO[[#This Row],[Desc color]],ImportarStock[DESCRIPCION],1,0)</f>
        <v>APP IPH13128GMN MN PROCESADOR A15</v>
      </c>
      <c r="G34" t="s">
        <v>699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19</v>
      </c>
      <c r="K34" t="s">
        <v>1107</v>
      </c>
      <c r="L34">
        <v>1</v>
      </c>
      <c r="M34" t="str">
        <f>VLOOKUP(ImportarStock[[#This Row],[DESCRIPCION]],DICCIONARIO[Desc color],1,0)</f>
        <v>APP IPHXS64SPGSAC GR SEED STOCK C/ ACCES</v>
      </c>
    </row>
    <row r="35" spans="2:13" x14ac:dyDescent="0.25">
      <c r="B35">
        <v>70042635</v>
      </c>
      <c r="C35" t="s">
        <v>4</v>
      </c>
      <c r="D35" t="s">
        <v>611</v>
      </c>
      <c r="E35" s="19" t="s">
        <v>702</v>
      </c>
      <c r="F35" t="e">
        <f>VLOOKUP(DICCIONARIO[[#This Row],[Desc color]],ImportarStock[DESCRIPCION],1,0)</f>
        <v>#N/A</v>
      </c>
      <c r="G35" t="s">
        <v>703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1075</v>
      </c>
      <c r="L35">
        <v>4</v>
      </c>
      <c r="M35" t="str">
        <f>VLOOKUP(ImportarStock[[#This Row],[DESCRIPCION]],DICCIONARIO[Desc color],1,0)</f>
        <v>AUDIF APP AIRPODS 3RDG BL</v>
      </c>
    </row>
    <row r="36" spans="2:13" x14ac:dyDescent="0.25">
      <c r="B36">
        <v>70042762</v>
      </c>
      <c r="C36" t="s">
        <v>4</v>
      </c>
      <c r="D36" t="s">
        <v>611</v>
      </c>
      <c r="E36" s="19" t="s">
        <v>704</v>
      </c>
      <c r="F36" t="e">
        <f>VLOOKUP(DICCIONARIO[[#This Row],[Desc color]],ImportarStock[DESCRIPCION],1,0)</f>
        <v>#N/A</v>
      </c>
      <c r="G36" t="s">
        <v>705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0</v>
      </c>
      <c r="K36" t="s">
        <v>1074</v>
      </c>
      <c r="L36">
        <v>7</v>
      </c>
      <c r="M36" t="str">
        <f>VLOOKUP(ImportarStock[[#This Row],[DESCRIPCION]],DICCIONARIO[Desc color],1,0)</f>
        <v>AUDIF APP AIRPODSPROCASEWRLS</v>
      </c>
    </row>
    <row r="37" spans="2:13" x14ac:dyDescent="0.25">
      <c r="B37">
        <v>70042644</v>
      </c>
      <c r="C37" t="s">
        <v>4</v>
      </c>
      <c r="D37" t="s">
        <v>611</v>
      </c>
      <c r="E37" s="19" t="s">
        <v>700</v>
      </c>
      <c r="F37" t="str">
        <f>VLOOKUP(DICCIONARIO[[#This Row],[Desc color]],ImportarStock[DESCRIPCION],1,0)</f>
        <v>APP IPH13128GSL SL PROCESADOR A15</v>
      </c>
      <c r="G37" t="s">
        <v>701</v>
      </c>
      <c r="H37" t="str">
        <f>VLOOKUP(DICCIONARIO[[#This Row],[Modelo]],UNIFICADA[Equipo],1,0)</f>
        <v>APPLE IPHONE 13 128GB</v>
      </c>
      <c r="I37">
        <f>IFERROR(VLOOKUP(DICCIONARIO[[#This Row],[Desc color]],ImportarStock[[DESCRIPCION]:[LIBRE UTILIZACION]],2,0),0)</f>
        <v>28</v>
      </c>
      <c r="K37" t="s">
        <v>1214</v>
      </c>
      <c r="L37">
        <v>53</v>
      </c>
      <c r="M37" t="str">
        <f>VLOOKUP(ImportarStock[[#This Row],[DESCRIPCION]],DICCIONARIO[Desc color],1,0)</f>
        <v>AUDIF BSHEP TWS DRUMS BT NG</v>
      </c>
    </row>
    <row r="38" spans="2:13" x14ac:dyDescent="0.25">
      <c r="B38">
        <v>70042664</v>
      </c>
      <c r="C38" t="s">
        <v>5</v>
      </c>
      <c r="D38" t="s">
        <v>611</v>
      </c>
      <c r="E38" s="19" t="s">
        <v>712</v>
      </c>
      <c r="F38" t="e">
        <f>VLOOKUP(DICCIONARIO[[#This Row],[Desc color]],ImportarStock[DESCRIPCION],1,0)</f>
        <v>#N/A</v>
      </c>
      <c r="G38" t="s">
        <v>707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1240</v>
      </c>
      <c r="L38">
        <v>4</v>
      </c>
      <c r="M38" t="str">
        <f>VLOOKUP(ImportarStock[[#This Row],[DESCRIPCION]],DICCIONARIO[Desc color],1,0)</f>
        <v>AUDIF BT SKUL DIME NG</v>
      </c>
    </row>
    <row r="39" spans="2:13" x14ac:dyDescent="0.25">
      <c r="B39">
        <v>70042763</v>
      </c>
      <c r="C39" t="s">
        <v>5</v>
      </c>
      <c r="D39" t="s">
        <v>611</v>
      </c>
      <c r="E39" s="19" t="s">
        <v>708</v>
      </c>
      <c r="F39" t="e">
        <f>VLOOKUP(DICCIONARIO[[#This Row],[Desc color]],ImportarStock[DESCRIPCION],1,0)</f>
        <v>#N/A</v>
      </c>
      <c r="G39" t="s">
        <v>699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1210</v>
      </c>
      <c r="L39">
        <v>1</v>
      </c>
      <c r="M39" t="str">
        <f>VLOOKUP(ImportarStock[[#This Row],[DESCRIPCION]],DICCIONARIO[Desc color],1,0)</f>
        <v>AUDIF BT XTRM KWH001 MOT RJ</v>
      </c>
    </row>
    <row r="40" spans="2:13" x14ac:dyDescent="0.25">
      <c r="B40">
        <v>70042637</v>
      </c>
      <c r="C40" t="s">
        <v>5</v>
      </c>
      <c r="D40" t="s">
        <v>611</v>
      </c>
      <c r="E40" s="19" t="s">
        <v>710</v>
      </c>
      <c r="F40" t="e">
        <f>VLOOKUP(DICCIONARIO[[#This Row],[Desc color]],ImportarStock[DESCRIPCION],1,0)</f>
        <v>#N/A</v>
      </c>
      <c r="G40" t="s">
        <v>703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1101</v>
      </c>
      <c r="L40">
        <v>8</v>
      </c>
      <c r="M40" t="str">
        <f>VLOOKUP(ImportarStock[[#This Row],[DESCRIPCION]],DICCIONARIO[Desc color],1,0)</f>
        <v>AUDIF BT ZTE HIFI SPORT BL</v>
      </c>
    </row>
    <row r="41" spans="2:13" x14ac:dyDescent="0.25">
      <c r="B41">
        <v>70042638</v>
      </c>
      <c r="C41" t="s">
        <v>5</v>
      </c>
      <c r="D41" t="s">
        <v>611</v>
      </c>
      <c r="E41" s="19" t="s">
        <v>711</v>
      </c>
      <c r="F41" t="e">
        <f>VLOOKUP(DICCIONARIO[[#This Row],[Desc color]],ImportarStock[DESCRIPCION],1,0)</f>
        <v>#N/A</v>
      </c>
      <c r="G41" t="s">
        <v>705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1085</v>
      </c>
      <c r="L41">
        <v>8</v>
      </c>
      <c r="M41" t="str">
        <f>VLOOKUP(ImportarStock[[#This Row],[DESCRIPCION]],DICCIONARIO[Desc color],1,0)</f>
        <v>AUDIF CABLE LIGHTNING APPIPH BL</v>
      </c>
    </row>
    <row r="42" spans="2:13" x14ac:dyDescent="0.25">
      <c r="B42">
        <v>70042654</v>
      </c>
      <c r="C42" t="s">
        <v>5</v>
      </c>
      <c r="D42" t="s">
        <v>611</v>
      </c>
      <c r="E42" s="19" t="s">
        <v>709</v>
      </c>
      <c r="F42" t="e">
        <f>VLOOKUP(DICCIONARIO[[#This Row],[Desc color]],ImportarStock[DESCRIPCION],1,0)</f>
        <v>#N/A</v>
      </c>
      <c r="G42" t="s">
        <v>701</v>
      </c>
      <c r="H42" t="str">
        <f>VLOOKUP(DICCIONARIO[[#This Row],[Modelo]],UNIFICADA[Equipo],1,0)</f>
        <v>APPLE IPHONE 13 256GB</v>
      </c>
      <c r="I42">
        <f>IFERROR(VLOOKUP(DICCIONARIO[[#This Row],[Desc color]],ImportarStock[[DESCRIPCION]:[LIBRE UTILIZACION]],2,0),0)</f>
        <v>0</v>
      </c>
      <c r="K42" t="s">
        <v>1063</v>
      </c>
      <c r="L42">
        <v>1</v>
      </c>
      <c r="M42" t="str">
        <f>VLOOKUP(ImportarStock[[#This Row],[DESCRIPCION]],DICCIONARIO[Desc color],1,0)</f>
        <v>AUDIF HUA FREEBUDS3 SHARKBL_SED</v>
      </c>
    </row>
    <row r="43" spans="2:13" x14ac:dyDescent="0.25">
      <c r="B43">
        <v>70042640</v>
      </c>
      <c r="C43" t="s">
        <v>6</v>
      </c>
      <c r="D43" t="s">
        <v>611</v>
      </c>
      <c r="E43" s="19" t="s">
        <v>717</v>
      </c>
      <c r="F43" t="e">
        <f>VLOOKUP(DICCIONARIO[[#This Row],[Desc color]],ImportarStock[DESCRIPCION],1,0)</f>
        <v>#N/A</v>
      </c>
      <c r="G43" t="s">
        <v>707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1197</v>
      </c>
      <c r="L43">
        <v>1</v>
      </c>
      <c r="M43" t="str">
        <f>VLOOKUP(ImportarStock[[#This Row],[DESCRIPCION]],DICCIONARIO[Desc color],1,0)</f>
        <v>AUDIF I2GO GAMMER PRO AZ</v>
      </c>
    </row>
    <row r="44" spans="2:13" x14ac:dyDescent="0.25">
      <c r="B44">
        <v>70042665</v>
      </c>
      <c r="C44" t="s">
        <v>6</v>
      </c>
      <c r="D44" t="s">
        <v>611</v>
      </c>
      <c r="E44" s="19" t="s">
        <v>713</v>
      </c>
      <c r="F44" t="e">
        <f>VLOOKUP(DICCIONARIO[[#This Row],[Desc color]],ImportarStock[DESCRIPCION],1,0)</f>
        <v>#N/A</v>
      </c>
      <c r="G44" t="s">
        <v>699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1196</v>
      </c>
      <c r="L44">
        <v>1</v>
      </c>
      <c r="M44" t="str">
        <f>VLOOKUP(ImportarStock[[#This Row],[DESCRIPCION]],DICCIONARIO[Desc color],1,0)</f>
        <v>AUDIF I2GO GAMMER PRO RJ</v>
      </c>
    </row>
    <row r="45" spans="2:13" x14ac:dyDescent="0.25">
      <c r="B45">
        <v>70042667</v>
      </c>
      <c r="C45" t="s">
        <v>6</v>
      </c>
      <c r="D45" t="s">
        <v>611</v>
      </c>
      <c r="E45" s="19" t="s">
        <v>715</v>
      </c>
      <c r="F45" t="e">
        <f>VLOOKUP(DICCIONARIO[[#This Row],[Desc color]],ImportarStock[DESCRIPCION],1,0)</f>
        <v>#N/A</v>
      </c>
      <c r="G45" t="s">
        <v>703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1087</v>
      </c>
      <c r="L45">
        <v>6</v>
      </c>
      <c r="M45" t="str">
        <f>VLOOKUP(ImportarStock[[#This Row],[DESCRIPCION]],DICCIONARIO[Desc color],1,0)</f>
        <v>BALANZA XIAOMI SCALE 2BL</v>
      </c>
    </row>
    <row r="46" spans="2:13" x14ac:dyDescent="0.25">
      <c r="B46">
        <v>70042639</v>
      </c>
      <c r="C46" t="s">
        <v>6</v>
      </c>
      <c r="D46" t="s">
        <v>611</v>
      </c>
      <c r="E46" s="19" t="s">
        <v>716</v>
      </c>
      <c r="F46" t="e">
        <f>VLOOKUP(DICCIONARIO[[#This Row],[Desc color]],ImportarStock[DESCRIPCION],1,0)</f>
        <v>#N/A</v>
      </c>
      <c r="G46" t="s">
        <v>705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1195</v>
      </c>
      <c r="L46">
        <v>5</v>
      </c>
      <c r="M46" t="str">
        <f>VLOOKUP(ImportarStock[[#This Row],[DESCRIPCION]],DICCIONARIO[Desc color],1,0)</f>
        <v>CABLE LIGHTNING TIPO C 2MT I2GO PRO GR</v>
      </c>
    </row>
    <row r="47" spans="2:13" x14ac:dyDescent="0.25">
      <c r="B47">
        <v>70042666</v>
      </c>
      <c r="C47" t="s">
        <v>6</v>
      </c>
      <c r="D47" t="s">
        <v>611</v>
      </c>
      <c r="E47" s="19" t="s">
        <v>714</v>
      </c>
      <c r="F47" t="e">
        <f>VLOOKUP(DICCIONARIO[[#This Row],[Desc color]],ImportarStock[DESCRIPCION],1,0)</f>
        <v>#N/A</v>
      </c>
      <c r="G47" t="s">
        <v>701</v>
      </c>
      <c r="H47" t="str">
        <f>VLOOKUP(DICCIONARIO[[#This Row],[Modelo]],UNIFICADA[Equipo],1,0)</f>
        <v>APPLE IPHONE 13 512GB</v>
      </c>
      <c r="I47">
        <f>IFERROR(VLOOKUP(DICCIONARIO[[#This Row],[Desc color]],ImportarStock[[DESCRIPCION]:[LIBRE UTILIZACION]],2,0),0)</f>
        <v>0</v>
      </c>
      <c r="K47" t="s">
        <v>1088</v>
      </c>
      <c r="L47">
        <v>1</v>
      </c>
      <c r="M47" t="str">
        <f>VLOOKUP(ImportarStock[[#This Row],[DESCRIPCION]],DICCIONARIO[Desc color],1,0)</f>
        <v>CAMARA SMART NEXT 2K INTERIOR</v>
      </c>
    </row>
    <row r="48" spans="2:13" x14ac:dyDescent="0.25">
      <c r="B48">
        <v>70042675</v>
      </c>
      <c r="C48" t="s">
        <v>7</v>
      </c>
      <c r="D48" t="s">
        <v>611</v>
      </c>
      <c r="E48" s="19" t="s">
        <v>722</v>
      </c>
      <c r="F48" t="e">
        <f>VLOOKUP(DICCIONARIO[[#This Row],[Desc color]],ImportarStock[DESCRIPCION],1,0)</f>
        <v>#N/A</v>
      </c>
      <c r="G48" t="s">
        <v>707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1089</v>
      </c>
      <c r="L48">
        <v>2</v>
      </c>
      <c r="M48" t="str">
        <f>VLOOKUP(ImportarStock[[#This Row],[DESCRIPCION]],DICCIONARIO[Desc color],1,0)</f>
        <v>CAMARA SMART NEXT 2K INTERIOR PK2</v>
      </c>
    </row>
    <row r="49" spans="2:13" x14ac:dyDescent="0.25">
      <c r="B49">
        <v>70042641</v>
      </c>
      <c r="C49" t="s">
        <v>7</v>
      </c>
      <c r="D49" t="s">
        <v>611</v>
      </c>
      <c r="E49" s="19" t="s">
        <v>718</v>
      </c>
      <c r="F49" t="e">
        <f>VLOOKUP(DICCIONARIO[[#This Row],[Desc color]],ImportarStock[DESCRIPCION],1,0)</f>
        <v>#N/A</v>
      </c>
      <c r="G49" t="s">
        <v>699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1090</v>
      </c>
      <c r="L49">
        <v>2</v>
      </c>
      <c r="M49" t="str">
        <f>VLOOKUP(ImportarStock[[#This Row],[DESCRIPCION]],DICCIONARIO[Desc color],1,0)</f>
        <v>CAMARA SMART NEXT PTZ2K INTERIOR</v>
      </c>
    </row>
    <row r="50" spans="2:13" x14ac:dyDescent="0.25">
      <c r="B50">
        <v>70042643</v>
      </c>
      <c r="C50" t="s">
        <v>7</v>
      </c>
      <c r="D50" t="s">
        <v>611</v>
      </c>
      <c r="E50" s="19" t="s">
        <v>720</v>
      </c>
      <c r="F50" t="e">
        <f>VLOOKUP(DICCIONARIO[[#This Row],[Desc color]],ImportarStock[DESCRIPCION],1,0)</f>
        <v>#N/A</v>
      </c>
      <c r="G50" t="s">
        <v>703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1060</v>
      </c>
      <c r="L50">
        <v>1</v>
      </c>
      <c r="M50" t="str">
        <f>VLOOKUP(ImportarStock[[#This Row],[DESCRIPCION]],DICCIONARIO[Desc color],1,0)</f>
        <v>CAMISA BLANCA REGU FIT TXL(17 1/2)V/19</v>
      </c>
    </row>
    <row r="51" spans="2:13" x14ac:dyDescent="0.25">
      <c r="B51">
        <v>70042674</v>
      </c>
      <c r="C51" t="s">
        <v>7</v>
      </c>
      <c r="D51" t="s">
        <v>611</v>
      </c>
      <c r="E51" s="19" t="s">
        <v>721</v>
      </c>
      <c r="F51" t="e">
        <f>VLOOKUP(DICCIONARIO[[#This Row],[Desc color]],ImportarStock[DESCRIPCION],1,0)</f>
        <v>#N/A</v>
      </c>
      <c r="G51" t="s">
        <v>705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1062</v>
      </c>
      <c r="L51">
        <v>1</v>
      </c>
      <c r="M51" t="str">
        <f>VLOOKUP(ImportarStock[[#This Row],[DESCRIPCION]],DICCIONARIO[Desc color],1,0)</f>
        <v>CAMISA BLANCA SLIM FIT TM(15 1/2)V/19</v>
      </c>
    </row>
    <row r="52" spans="2:13" x14ac:dyDescent="0.25">
      <c r="B52">
        <v>70042642</v>
      </c>
      <c r="C52" t="s">
        <v>7</v>
      </c>
      <c r="D52" t="s">
        <v>611</v>
      </c>
      <c r="E52" s="19" t="s">
        <v>719</v>
      </c>
      <c r="F52" t="e">
        <f>VLOOKUP(DICCIONARIO[[#This Row],[Desc color]],ImportarStock[DESCRIPCION],1,0)</f>
        <v>#N/A</v>
      </c>
      <c r="G52" t="s">
        <v>701</v>
      </c>
      <c r="H52" t="str">
        <f>VLOOKUP(DICCIONARIO[[#This Row],[Modelo]],UNIFICADA[Equipo],1,0)</f>
        <v>APPLE IPHONE 13 MINI 128GB</v>
      </c>
      <c r="I52">
        <f>IFERROR(VLOOKUP(DICCIONARIO[[#This Row],[Desc color]],ImportarStock[[DESCRIPCION]:[LIBRE UTILIZACION]],2,0),0)</f>
        <v>0</v>
      </c>
      <c r="K52" t="s">
        <v>1059</v>
      </c>
      <c r="L52">
        <v>1</v>
      </c>
      <c r="M52" t="str">
        <f>VLOOKUP(ImportarStock[[#This Row],[DESCRIPCION]],DICCIONARIO[Desc color],1,0)</f>
        <v>CAMISA CELESTE REGU FIT TXL(17 1/2)V/19</v>
      </c>
    </row>
    <row r="53" spans="2:13" x14ac:dyDescent="0.25">
      <c r="B53">
        <v>70042682</v>
      </c>
      <c r="C53" t="s">
        <v>8</v>
      </c>
      <c r="D53" t="s">
        <v>611</v>
      </c>
      <c r="E53" s="19" t="s">
        <v>727</v>
      </c>
      <c r="F53" t="e">
        <f>VLOOKUP(DICCIONARIO[[#This Row],[Desc color]],ImportarStock[DESCRIPCION],1,0)</f>
        <v>#N/A</v>
      </c>
      <c r="G53" t="s">
        <v>707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1061</v>
      </c>
      <c r="L53">
        <v>2</v>
      </c>
      <c r="M53" t="str">
        <f>VLOOKUP(ImportarStock[[#This Row],[DESCRIPCION]],DICCIONARIO[Desc color],1,0)</f>
        <v>CAMISA CELESTE SLIM FIT TM(15 1/2)V/19</v>
      </c>
    </row>
    <row r="54" spans="2:13" x14ac:dyDescent="0.25">
      <c r="B54">
        <v>70042676</v>
      </c>
      <c r="C54" t="s">
        <v>8</v>
      </c>
      <c r="D54" t="s">
        <v>611</v>
      </c>
      <c r="E54" s="19" t="s">
        <v>723</v>
      </c>
      <c r="F54" t="e">
        <f>VLOOKUP(DICCIONARIO[[#This Row],[Desc color]],ImportarStock[DESCRIPCION],1,0)</f>
        <v>#N/A</v>
      </c>
      <c r="G54" t="s">
        <v>699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1066</v>
      </c>
      <c r="L54">
        <v>14</v>
      </c>
      <c r="M54" t="str">
        <f>VLOOKUP(ImportarStock[[#This Row],[DESCRIPCION]],DICCIONARIO[Desc color],1,0)</f>
        <v>CONTROL REMOTO AN-4803 ECOSS</v>
      </c>
    </row>
    <row r="55" spans="2:13" x14ac:dyDescent="0.25">
      <c r="B55">
        <v>70042678</v>
      </c>
      <c r="C55" t="s">
        <v>8</v>
      </c>
      <c r="D55" t="s">
        <v>611</v>
      </c>
      <c r="E55" s="19" t="s">
        <v>725</v>
      </c>
      <c r="F55" t="e">
        <f>VLOOKUP(DICCIONARIO[[#This Row],[Desc color]],ImportarStock[DESCRIPCION],1,0)</f>
        <v>#N/A</v>
      </c>
      <c r="G55" t="s">
        <v>703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1054</v>
      </c>
      <c r="L55">
        <v>1</v>
      </c>
      <c r="M55" t="str">
        <f>VLOOKUP(ImportarStock[[#This Row],[DESCRIPCION]],DICCIONARIO[Desc color],1,0)</f>
        <v>CONTROL REMOTO ARION ESTANDAR - HD</v>
      </c>
    </row>
    <row r="56" spans="2:13" x14ac:dyDescent="0.25">
      <c r="B56">
        <v>70042679</v>
      </c>
      <c r="C56" t="s">
        <v>8</v>
      </c>
      <c r="D56" t="s">
        <v>611</v>
      </c>
      <c r="E56" s="19" t="s">
        <v>726</v>
      </c>
      <c r="F56" t="e">
        <f>VLOOKUP(DICCIONARIO[[#This Row],[Desc color]],ImportarStock[DESCRIPCION],1,0)</f>
        <v>#N/A</v>
      </c>
      <c r="G56" t="s">
        <v>705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1055</v>
      </c>
      <c r="L56">
        <v>2</v>
      </c>
      <c r="M56" t="str">
        <f>VLOOKUP(ImportarStock[[#This Row],[DESCRIPCION]],DICCIONARIO[Desc color],1,0)</f>
        <v>CONTROL REMOTO COSHIP N90851 MPEG4 HDMI</v>
      </c>
    </row>
    <row r="57" spans="2:13" x14ac:dyDescent="0.25">
      <c r="B57">
        <v>70042677</v>
      </c>
      <c r="C57" t="s">
        <v>8</v>
      </c>
      <c r="D57" t="s">
        <v>611</v>
      </c>
      <c r="E57" s="19" t="s">
        <v>724</v>
      </c>
      <c r="F57" t="e">
        <f>VLOOKUP(DICCIONARIO[[#This Row],[Desc color]],ImportarStock[DESCRIPCION],1,0)</f>
        <v>#N/A</v>
      </c>
      <c r="G57" t="s">
        <v>701</v>
      </c>
      <c r="H57" t="str">
        <f>VLOOKUP(DICCIONARIO[[#This Row],[Modelo]],UNIFICADA[Equipo],1,0)</f>
        <v>APPLE IPHONE 13 MINI 256GB</v>
      </c>
      <c r="I57">
        <f>IFERROR(VLOOKUP(DICCIONARIO[[#This Row],[Desc color]],ImportarStock[[DESCRIPCION]:[LIBRE UTILIZACION]],2,0),0)</f>
        <v>0</v>
      </c>
      <c r="K57" t="s">
        <v>1056</v>
      </c>
      <c r="L57">
        <v>6</v>
      </c>
      <c r="M57" t="str">
        <f>VLOOKUP(ImportarStock[[#This Row],[DESCRIPCION]],DICCIONARIO[Desc color],1,0)</f>
        <v>CONTROL REMOTO HANDAN CD-1004SN</v>
      </c>
    </row>
    <row r="58" spans="2:13" x14ac:dyDescent="0.25">
      <c r="B58">
        <v>70042703</v>
      </c>
      <c r="C58" t="s">
        <v>43</v>
      </c>
      <c r="D58" t="s">
        <v>611</v>
      </c>
      <c r="E58" s="19" t="s">
        <v>742</v>
      </c>
      <c r="F58" t="e">
        <f>VLOOKUP(DICCIONARIO[[#This Row],[Desc color]],ImportarStock[DESCRIPCION],1,0)</f>
        <v>#N/A</v>
      </c>
      <c r="G58" t="s">
        <v>733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1098</v>
      </c>
      <c r="L58">
        <v>2</v>
      </c>
      <c r="M58" t="str">
        <f>VLOOKUP(ImportarStock[[#This Row],[DESCRIPCION]],DICCIONARIO[Desc color],1,0)</f>
        <v>ENCHUF SMART NEXT 220V 2PUSB NHPD610</v>
      </c>
    </row>
    <row r="59" spans="2:13" x14ac:dyDescent="0.25">
      <c r="B59">
        <v>70042701</v>
      </c>
      <c r="C59" t="s">
        <v>43</v>
      </c>
      <c r="D59" t="s">
        <v>611</v>
      </c>
      <c r="E59" s="19" t="s">
        <v>740</v>
      </c>
      <c r="F59" t="e">
        <f>VLOOKUP(DICCIONARIO[[#This Row],[Desc color]],ImportarStock[DESCRIPCION],1,0)</f>
        <v>#N/A</v>
      </c>
      <c r="G59" t="s">
        <v>729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1099</v>
      </c>
      <c r="L59">
        <v>2</v>
      </c>
      <c r="M59" t="str">
        <f>VLOOKUP(ImportarStock[[#This Row],[DESCRIPCION]],DICCIONARIO[Desc color],1,0)</f>
        <v>ENCHUF SMART NEXT 220V 4PUSB NHPT610</v>
      </c>
    </row>
    <row r="60" spans="2:13" x14ac:dyDescent="0.25">
      <c r="B60">
        <v>70042704</v>
      </c>
      <c r="C60" t="s">
        <v>43</v>
      </c>
      <c r="D60" t="s">
        <v>611</v>
      </c>
      <c r="E60" s="19" t="s">
        <v>743</v>
      </c>
      <c r="F60" t="e">
        <f>VLOOKUP(DICCIONARIO[[#This Row],[Desc color]],ImportarStock[DESCRIPCION],1,0)</f>
        <v>#N/A</v>
      </c>
      <c r="G60" t="s">
        <v>735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1096</v>
      </c>
      <c r="L60">
        <v>2</v>
      </c>
      <c r="M60" t="str">
        <f>VLOOKUP(ImportarStock[[#This Row],[DESCRIPCION]],DICCIONARIO[Desc color],1,0)</f>
        <v>ENCHUF SMART NEXT 220V AHIWPSO4U1PK1</v>
      </c>
    </row>
    <row r="61" spans="2:13" x14ac:dyDescent="0.25">
      <c r="B61">
        <v>70042702</v>
      </c>
      <c r="C61" t="s">
        <v>43</v>
      </c>
      <c r="D61" t="s">
        <v>611</v>
      </c>
      <c r="E61" s="19" t="s">
        <v>741</v>
      </c>
      <c r="F61" t="e">
        <f>VLOOKUP(DICCIONARIO[[#This Row],[Desc color]],ImportarStock[DESCRIPCION],1,0)</f>
        <v>#N/A</v>
      </c>
      <c r="G61" t="s">
        <v>731</v>
      </c>
      <c r="H61" t="str">
        <f>VLOOKUP(DICCIONARIO[[#This Row],[Modelo]],UNIFICADA[Equipo],1,0)</f>
        <v>APPLE IPHONE 13 PRO MAX 128GB</v>
      </c>
      <c r="I61">
        <f>IFERROR(VLOOKUP(DICCIONARIO[[#This Row],[Desc color]],ImportarStock[[DESCRIPCION]:[LIBRE UTILIZACION]],2,0),0)</f>
        <v>0</v>
      </c>
      <c r="K61" t="s">
        <v>1097</v>
      </c>
      <c r="L61">
        <v>2</v>
      </c>
      <c r="M61" t="str">
        <f>VLOOKUP(ImportarStock[[#This Row],[DESCRIPCION]],DICCIONARIO[Desc color],1,0)</f>
        <v>ENCHUF SMART NEXT 220V AHIWPSO4U1PK2</v>
      </c>
    </row>
    <row r="62" spans="2:13" x14ac:dyDescent="0.25">
      <c r="B62">
        <v>70042715</v>
      </c>
      <c r="C62" t="s">
        <v>44</v>
      </c>
      <c r="D62" t="s">
        <v>611</v>
      </c>
      <c r="E62" s="19" t="s">
        <v>754</v>
      </c>
      <c r="F62" t="e">
        <f>VLOOKUP(DICCIONARIO[[#This Row],[Desc color]],ImportarStock[DESCRIPCION],1,0)</f>
        <v>#N/A</v>
      </c>
      <c r="G62" t="s">
        <v>733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1067</v>
      </c>
      <c r="L62">
        <v>2</v>
      </c>
      <c r="M62" t="str">
        <f>VLOOKUP(ImportarStock[[#This Row],[DESCRIPCION]],DICCIONARIO[Desc color],1,0)</f>
        <v>EQUIPO CONTROL REMOTO UNIV URC NEGRO</v>
      </c>
    </row>
    <row r="63" spans="2:13" x14ac:dyDescent="0.25">
      <c r="B63">
        <v>70042713</v>
      </c>
      <c r="C63" t="s">
        <v>44</v>
      </c>
      <c r="D63" t="s">
        <v>611</v>
      </c>
      <c r="E63" s="19" t="s">
        <v>752</v>
      </c>
      <c r="F63" t="e">
        <f>VLOOKUP(DICCIONARIO[[#This Row],[Desc color]],ImportarStock[DESCRIPCION],1,0)</f>
        <v>#N/A</v>
      </c>
      <c r="G63" t="s">
        <v>729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1091</v>
      </c>
      <c r="L63">
        <v>1</v>
      </c>
      <c r="M63" t="str">
        <f>VLOOKUP(ImportarStock[[#This Row],[DESCRIPCION]],DICCIONARIO[Desc color],1,0)</f>
        <v>FOCO SMARTNEXT C120 LUZCL PK2</v>
      </c>
    </row>
    <row r="64" spans="2:13" x14ac:dyDescent="0.25">
      <c r="B64">
        <v>70042716</v>
      </c>
      <c r="C64" t="s">
        <v>44</v>
      </c>
      <c r="D64" t="s">
        <v>611</v>
      </c>
      <c r="E64" s="19" t="s">
        <v>755</v>
      </c>
      <c r="F64" t="e">
        <f>VLOOKUP(DICCIONARIO[[#This Row],[Desc color]],ImportarStock[DESCRIPCION],1,0)</f>
        <v>#N/A</v>
      </c>
      <c r="G64" t="s">
        <v>735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1092</v>
      </c>
      <c r="L64">
        <v>2</v>
      </c>
      <c r="M64" t="str">
        <f>VLOOKUP(ImportarStock[[#This Row],[DESCRIPCION]],DICCIONARIO[Desc color],1,0)</f>
        <v>FOCO SMARTNEXT C120 LUZCL PK3</v>
      </c>
    </row>
    <row r="65" spans="2:13" x14ac:dyDescent="0.25">
      <c r="B65">
        <v>70042714</v>
      </c>
      <c r="C65" t="s">
        <v>44</v>
      </c>
      <c r="D65" t="s">
        <v>611</v>
      </c>
      <c r="E65" s="19" t="s">
        <v>753</v>
      </c>
      <c r="F65" t="e">
        <f>VLOOKUP(DICCIONARIO[[#This Row],[Desc color]],ImportarStock[DESCRIPCION],1,0)</f>
        <v>#N/A</v>
      </c>
      <c r="G65" t="s">
        <v>731</v>
      </c>
      <c r="H65" t="str">
        <f>VLOOKUP(DICCIONARIO[[#This Row],[Modelo]],UNIFICADA[Equipo],1,0)</f>
        <v>APPLE IPHONE 13 PRO MAX 1TB</v>
      </c>
      <c r="I65">
        <f>IFERROR(VLOOKUP(DICCIONARIO[[#This Row],[Desc color]],ImportarStock[[DESCRIPCION]:[LIBRE UTILIZACION]],2,0),0)</f>
        <v>0</v>
      </c>
      <c r="K65" t="s">
        <v>1093</v>
      </c>
      <c r="L65">
        <v>1</v>
      </c>
      <c r="M65" t="str">
        <f>VLOOKUP(ImportarStock[[#This Row],[DESCRIPCION]],DICCIONARIO[Desc color],1,0)</f>
        <v>FOCO SMARTNEXT W120 LUZBL</v>
      </c>
    </row>
    <row r="66" spans="2:13" x14ac:dyDescent="0.25">
      <c r="B66">
        <v>70042707</v>
      </c>
      <c r="C66" t="s">
        <v>59</v>
      </c>
      <c r="D66" t="s">
        <v>611</v>
      </c>
      <c r="E66" s="19" t="s">
        <v>746</v>
      </c>
      <c r="F66" t="e">
        <f>VLOOKUP(DICCIONARIO[[#This Row],[Desc color]],ImportarStock[DESCRIPCION],1,0)</f>
        <v>#N/A</v>
      </c>
      <c r="G66" t="s">
        <v>733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1094</v>
      </c>
      <c r="L66">
        <v>2</v>
      </c>
      <c r="M66" t="str">
        <f>VLOOKUP(ImportarStock[[#This Row],[DESCRIPCION]],DICCIONARIO[Desc color],1,0)</f>
        <v>FOCO SMARTNEXT W120 LUZBL PK2</v>
      </c>
    </row>
    <row r="67" spans="2:13" x14ac:dyDescent="0.25">
      <c r="B67">
        <v>70042705</v>
      </c>
      <c r="C67" t="s">
        <v>59</v>
      </c>
      <c r="D67" t="s">
        <v>611</v>
      </c>
      <c r="E67" s="19" t="s">
        <v>744</v>
      </c>
      <c r="F67" t="e">
        <f>VLOOKUP(DICCIONARIO[[#This Row],[Desc color]],ImportarStock[DESCRIPCION],1,0)</f>
        <v>#N/A</v>
      </c>
      <c r="G67" t="s">
        <v>729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1095</v>
      </c>
      <c r="L67">
        <v>2</v>
      </c>
      <c r="M67" t="str">
        <f>VLOOKUP(ImportarStock[[#This Row],[DESCRIPCION]],DICCIONARIO[Desc color],1,0)</f>
        <v>FOCO SMARTNEXT W120 LUZBLPK3</v>
      </c>
    </row>
    <row r="68" spans="2:13" x14ac:dyDescent="0.25">
      <c r="B68">
        <v>70042708</v>
      </c>
      <c r="C68" t="s">
        <v>59</v>
      </c>
      <c r="D68" t="s">
        <v>611</v>
      </c>
      <c r="E68" s="19" t="s">
        <v>747</v>
      </c>
      <c r="F68" t="e">
        <f>VLOOKUP(DICCIONARIO[[#This Row],[Desc color]],ImportarStock[DESCRIPCION],1,0)</f>
        <v>#N/A</v>
      </c>
      <c r="G68" t="s">
        <v>735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874</v>
      </c>
      <c r="L68">
        <v>7</v>
      </c>
      <c r="M68" t="str">
        <f>VLOOKUP(ImportarStock[[#This Row],[DESCRIPCION]],DICCIONARIO[Desc color],1,0)</f>
        <v>HOR 70 256GB CP MINISPEAK</v>
      </c>
    </row>
    <row r="69" spans="2:13" x14ac:dyDescent="0.25">
      <c r="B69">
        <v>70042706</v>
      </c>
      <c r="C69" t="s">
        <v>59</v>
      </c>
      <c r="D69" t="s">
        <v>611</v>
      </c>
      <c r="E69" s="19" t="s">
        <v>745</v>
      </c>
      <c r="F69" t="e">
        <f>VLOOKUP(DICCIONARIO[[#This Row],[Desc color]],ImportarStock[DESCRIPCION],1,0)</f>
        <v>#N/A</v>
      </c>
      <c r="G69" t="s">
        <v>731</v>
      </c>
      <c r="H69" t="str">
        <f>VLOOKUP(DICCIONARIO[[#This Row],[Modelo]],UNIFICADA[Equipo],1,0)</f>
        <v>APPLE IPHONE 13 PRO MAX 256GB</v>
      </c>
      <c r="I69">
        <f>IFERROR(VLOOKUP(DICCIONARIO[[#This Row],[Desc color]],ImportarStock[[DESCRIPCION]:[LIBRE UTILIZACION]],2,0),0)</f>
        <v>0</v>
      </c>
      <c r="K69" t="s">
        <v>1227</v>
      </c>
      <c r="L69">
        <v>12</v>
      </c>
      <c r="M69" t="str">
        <f>VLOOKUP(ImportarStock[[#This Row],[DESCRIPCION]],DICCIONARIO[Desc color],1,0)</f>
        <v>HOR MA5LITE256GB VE</v>
      </c>
    </row>
    <row r="70" spans="2:13" x14ac:dyDescent="0.25">
      <c r="B70">
        <v>70042711</v>
      </c>
      <c r="C70" t="s">
        <v>45</v>
      </c>
      <c r="D70" t="s">
        <v>611</v>
      </c>
      <c r="E70" s="19" t="s">
        <v>750</v>
      </c>
      <c r="F70" t="e">
        <f>VLOOKUP(DICCIONARIO[[#This Row],[Desc color]],ImportarStock[DESCRIPCION],1,0)</f>
        <v>#N/A</v>
      </c>
      <c r="G70" t="s">
        <v>733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1231</v>
      </c>
      <c r="L70">
        <v>0</v>
      </c>
      <c r="M70" t="str">
        <f>VLOOKUP(ImportarStock[[#This Row],[DESCRIPCION]],DICCIONARIO[Desc color],1,0)</f>
        <v>HOR MA5LITE256GB VE CAMIST.PER</v>
      </c>
    </row>
    <row r="71" spans="2:13" x14ac:dyDescent="0.25">
      <c r="B71">
        <v>70042709</v>
      </c>
      <c r="C71" t="s">
        <v>45</v>
      </c>
      <c r="D71" t="s">
        <v>611</v>
      </c>
      <c r="E71" s="19" t="s">
        <v>748</v>
      </c>
      <c r="F71" t="e">
        <f>VLOOKUP(DICCIONARIO[[#This Row],[Desc color]],ImportarStock[DESCRIPCION],1,0)</f>
        <v>#N/A</v>
      </c>
      <c r="G71" t="s">
        <v>729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1119</v>
      </c>
      <c r="L71">
        <v>15</v>
      </c>
      <c r="M71" t="str">
        <f>VLOOKUP(ImportarStock[[#This Row],[DESCRIPCION]],DICCIONARIO[Desc color],1,0)</f>
        <v>HOR WATCT900PMAXL RO</v>
      </c>
    </row>
    <row r="72" spans="2:13" x14ac:dyDescent="0.25">
      <c r="B72">
        <v>70042712</v>
      </c>
      <c r="C72" t="s">
        <v>45</v>
      </c>
      <c r="D72" t="s">
        <v>611</v>
      </c>
      <c r="E72" s="19" t="s">
        <v>751</v>
      </c>
      <c r="F72" t="e">
        <f>VLOOKUP(DICCIONARIO[[#This Row],[Desc color]],ImportarStock[DESCRIPCION],1,0)</f>
        <v>#N/A</v>
      </c>
      <c r="G72" t="s">
        <v>735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876</v>
      </c>
      <c r="L72">
        <v>49</v>
      </c>
      <c r="M72" t="str">
        <f>VLOOKUP(ImportarStock[[#This Row],[DESCRIPCION]],DICCIONARIO[Desc color],1,0)</f>
        <v>HOR X6 64GB NP AUDIFONO</v>
      </c>
    </row>
    <row r="73" spans="2:13" x14ac:dyDescent="0.25">
      <c r="B73">
        <v>70042710</v>
      </c>
      <c r="C73" t="s">
        <v>45</v>
      </c>
      <c r="D73" t="s">
        <v>611</v>
      </c>
      <c r="E73" s="19" t="s">
        <v>749</v>
      </c>
      <c r="F73" t="e">
        <f>VLOOKUP(DICCIONARIO[[#This Row],[Desc color]],ImportarStock[DESCRIPCION],1,0)</f>
        <v>#N/A</v>
      </c>
      <c r="G73" t="s">
        <v>731</v>
      </c>
      <c r="H73" t="str">
        <f>VLOOKUP(DICCIONARIO[[#This Row],[Modelo]],UNIFICADA[Equipo],1,0)</f>
        <v>APPLE IPHONE 13 PRO MAX 512GB</v>
      </c>
      <c r="I73">
        <f>IFERROR(VLOOKUP(DICCIONARIO[[#This Row],[Desc color]],ImportarStock[[DESCRIPCION]:[LIBRE UTILIZACION]],2,0),0)</f>
        <v>0</v>
      </c>
      <c r="K73" t="s">
        <v>878</v>
      </c>
      <c r="L73">
        <v>4</v>
      </c>
      <c r="M73" t="str">
        <f>VLOOKUP(ImportarStock[[#This Row],[DESCRIPCION]],DICCIONARIO[Desc color],1,0)</f>
        <v>HOR X6 64GB ZN AUDIFONO</v>
      </c>
    </row>
    <row r="74" spans="2:13" x14ac:dyDescent="0.25">
      <c r="B74">
        <v>70042690</v>
      </c>
      <c r="C74" t="s">
        <v>10</v>
      </c>
      <c r="D74" t="s">
        <v>611</v>
      </c>
      <c r="E74" s="19" t="s">
        <v>732</v>
      </c>
      <c r="F74" t="e">
        <f>VLOOKUP(DICCIONARIO[[#This Row],[Desc color]],ImportarStock[DESCRIPCION],1,0)</f>
        <v>#N/A</v>
      </c>
      <c r="G74" t="s">
        <v>733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963</v>
      </c>
      <c r="L74">
        <v>2</v>
      </c>
      <c r="M74" t="str">
        <f>VLOOKUP(ImportarStock[[#This Row],[DESCRIPCION]],DICCIONARIO[Desc color],1,0)</f>
        <v>HOR X6S 128GB PS AUDIFONOS</v>
      </c>
    </row>
    <row r="75" spans="2:13" x14ac:dyDescent="0.25">
      <c r="B75">
        <v>70042688</v>
      </c>
      <c r="C75" t="s">
        <v>10</v>
      </c>
      <c r="D75" t="s">
        <v>611</v>
      </c>
      <c r="E75" s="19" t="s">
        <v>728</v>
      </c>
      <c r="F75" t="e">
        <f>VLOOKUP(DICCIONARIO[[#This Row],[Desc color]],ImportarStock[DESCRIPCION],1,0)</f>
        <v>#N/A</v>
      </c>
      <c r="G75" t="s">
        <v>729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879</v>
      </c>
      <c r="L75">
        <v>13</v>
      </c>
      <c r="M75" t="str">
        <f>VLOOKUP(ImportarStock[[#This Row],[DESCRIPCION]],DICCIONARIO[Desc color],1,0)</f>
        <v>HOR X6S 128GB ZN AUDIFONOS</v>
      </c>
    </row>
    <row r="76" spans="2:13" x14ac:dyDescent="0.25">
      <c r="B76">
        <v>70042691</v>
      </c>
      <c r="C76" t="s">
        <v>10</v>
      </c>
      <c r="D76" t="s">
        <v>611</v>
      </c>
      <c r="E76" s="19" t="s">
        <v>734</v>
      </c>
      <c r="F76" t="e">
        <f>VLOOKUP(DICCIONARIO[[#This Row],[Desc color]],ImportarStock[DESCRIPCION],1,0)</f>
        <v>#N/A</v>
      </c>
      <c r="G76" t="s">
        <v>735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880</v>
      </c>
      <c r="L76">
        <v>27</v>
      </c>
      <c r="M76" t="str">
        <f>VLOOKUP(ImportarStock[[#This Row],[DESCRIPCION]],DICCIONARIO[Desc color],1,0)</f>
        <v>HOR X7A 128GB ND CASE</v>
      </c>
    </row>
    <row r="77" spans="2:13" x14ac:dyDescent="0.25">
      <c r="B77">
        <v>70042689</v>
      </c>
      <c r="C77" t="s">
        <v>10</v>
      </c>
      <c r="D77" t="s">
        <v>611</v>
      </c>
      <c r="E77" s="19" t="s">
        <v>730</v>
      </c>
      <c r="F77" t="e">
        <f>VLOOKUP(DICCIONARIO[[#This Row],[Desc color]],ImportarStock[DESCRIPCION],1,0)</f>
        <v>#N/A</v>
      </c>
      <c r="G77" t="s">
        <v>731</v>
      </c>
      <c r="H77" t="str">
        <f>VLOOKUP(DICCIONARIO[[#This Row],[Modelo]],UNIFICADA[Equipo],1,0)</f>
        <v>APPLE IPHONE 13 PRO 128GB</v>
      </c>
      <c r="I77">
        <f>IFERROR(VLOOKUP(DICCIONARIO[[#This Row],[Desc color]],ImportarStock[[DESCRIPCION]:[LIBRE UTILIZACION]],2,0),0)</f>
        <v>0</v>
      </c>
      <c r="K77" t="s">
        <v>965</v>
      </c>
      <c r="L77">
        <v>20</v>
      </c>
      <c r="M77" t="str">
        <f>VLOOKUP(ImportarStock[[#This Row],[DESCRIPCION]],DICCIONARIO[Desc color],1,0)</f>
        <v>HOR X7A 128GB PN</v>
      </c>
    </row>
    <row r="78" spans="2:13" x14ac:dyDescent="0.25">
      <c r="B78">
        <v>70042660</v>
      </c>
      <c r="C78" t="s">
        <v>12</v>
      </c>
      <c r="D78" t="s">
        <v>611</v>
      </c>
      <c r="E78" s="19" t="s">
        <v>739</v>
      </c>
      <c r="F78" t="e">
        <f>VLOOKUP(DICCIONARIO[[#This Row],[Desc color]],ImportarStock[DESCRIPCION],1,0)</f>
        <v>#N/A</v>
      </c>
      <c r="G78" t="s">
        <v>733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881</v>
      </c>
      <c r="L78">
        <v>2</v>
      </c>
      <c r="M78" t="str">
        <f>VLOOKUP(ImportarStock[[#This Row],[DESCRIPCION]],DICCIONARIO[Desc color],1,0)</f>
        <v>HOR X7A 128GB PN CASE</v>
      </c>
    </row>
    <row r="79" spans="2:13" x14ac:dyDescent="0.25">
      <c r="B79">
        <v>70042692</v>
      </c>
      <c r="C79" t="s">
        <v>12</v>
      </c>
      <c r="D79" t="s">
        <v>611</v>
      </c>
      <c r="E79" s="19" t="s">
        <v>736</v>
      </c>
      <c r="F79" t="e">
        <f>VLOOKUP(DICCIONARIO[[#This Row],[Desc color]],ImportarStock[DESCRIPCION],1,0)</f>
        <v>#N/A</v>
      </c>
      <c r="G79" t="s">
        <v>729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989</v>
      </c>
      <c r="L79">
        <v>7</v>
      </c>
      <c r="M79" t="str">
        <f>VLOOKUP(ImportarStock[[#This Row],[DESCRIPCION]],DICCIONARIO[Desc color],1,0)</f>
        <v>HOR X7A 128GB ZN</v>
      </c>
    </row>
    <row r="80" spans="2:13" x14ac:dyDescent="0.25">
      <c r="B80">
        <v>70042694</v>
      </c>
      <c r="C80" t="s">
        <v>12</v>
      </c>
      <c r="D80" t="s">
        <v>611</v>
      </c>
      <c r="E80" s="19" t="s">
        <v>738</v>
      </c>
      <c r="F80" t="e">
        <f>VLOOKUP(DICCIONARIO[[#This Row],[Desc color]],ImportarStock[DESCRIPCION],1,0)</f>
        <v>#N/A</v>
      </c>
      <c r="G80" t="s">
        <v>735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1111</v>
      </c>
      <c r="L80">
        <v>9</v>
      </c>
      <c r="M80" t="str">
        <f>VLOOKUP(ImportarStock[[#This Row],[DESCRIPCION]],DICCIONARIO[Desc color],1,0)</f>
        <v>HOR X8A 128GB NI</v>
      </c>
    </row>
    <row r="81" spans="2:13" x14ac:dyDescent="0.25">
      <c r="B81">
        <v>70042854</v>
      </c>
      <c r="C81" t="s">
        <v>12</v>
      </c>
      <c r="D81" t="s">
        <v>611</v>
      </c>
      <c r="E81" s="19" t="s">
        <v>737</v>
      </c>
      <c r="F81" t="e">
        <f>VLOOKUP(DICCIONARIO[[#This Row],[Desc color]],ImportarStock[DESCRIPCION],1,0)</f>
        <v>#N/A</v>
      </c>
      <c r="G81" t="s">
        <v>731</v>
      </c>
      <c r="H81" t="str">
        <f>VLOOKUP(DICCIONARIO[[#This Row],[Modelo]],UNIFICADA[Equipo],1,0)</f>
        <v>APPLE IPHONE 13 PRO 256GB</v>
      </c>
      <c r="I81">
        <f>IFERROR(VLOOKUP(DICCIONARIO[[#This Row],[Desc color]],ImportarStock[[DESCRIPCION]:[LIBRE UTILIZACION]],2,0),0)</f>
        <v>0</v>
      </c>
      <c r="K81" t="s">
        <v>1042</v>
      </c>
      <c r="L81">
        <v>2</v>
      </c>
      <c r="M81" t="str">
        <f>VLOOKUP(ImportarStock[[#This Row],[DESCRIPCION]],DICCIONARIO[Desc color],1,0)</f>
        <v>HOR X8A 128GB QA</v>
      </c>
    </row>
    <row r="82" spans="2:13" x14ac:dyDescent="0.25">
      <c r="C82" t="s">
        <v>106</v>
      </c>
      <c r="D82" t="s">
        <v>611</v>
      </c>
      <c r="E82" s="19" t="s">
        <v>1218</v>
      </c>
      <c r="F82" t="str">
        <f>VLOOKUP(DICCIONARIO[[#This Row],[Desc color]],ImportarStock[DESCRIPCION],1,0)</f>
        <v>APP IPH14128GBBLU B1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8</v>
      </c>
      <c r="K82" t="s">
        <v>883</v>
      </c>
      <c r="L82">
        <v>1</v>
      </c>
      <c r="M82" t="str">
        <f>VLOOKUP(ImportarStock[[#This Row],[DESCRIPCION]],DICCIONARIO[Desc color],1,0)</f>
        <v>HOR X8A 128GB QA PARLANTE</v>
      </c>
    </row>
    <row r="83" spans="2:13" x14ac:dyDescent="0.25">
      <c r="C83" t="s">
        <v>106</v>
      </c>
      <c r="D83" t="s">
        <v>611</v>
      </c>
      <c r="E83" s="19" t="s">
        <v>1019</v>
      </c>
      <c r="F83" t="str">
        <f>VLOOKUP(DICCIONARIO[[#This Row],[Desc color]],ImportarStock[DESCRIPCION],1,0)</f>
        <v>APP IPH14128GBMID MN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8</v>
      </c>
      <c r="K83" t="s">
        <v>1113</v>
      </c>
      <c r="L83">
        <v>10</v>
      </c>
      <c r="M83" t="str">
        <f>VLOOKUP(ImportarStock[[#This Row],[DESCRIPCION]],DICCIONARIO[Desc color],1,0)</f>
        <v>HUA BAND 7 NG</v>
      </c>
    </row>
    <row r="84" spans="2:13" x14ac:dyDescent="0.25">
      <c r="C84" t="s">
        <v>106</v>
      </c>
      <c r="D84" t="s">
        <v>611</v>
      </c>
      <c r="E84" s="19" t="s">
        <v>861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14 128GB</v>
      </c>
      <c r="I84">
        <f>IFERROR(VLOOKUP(DICCIONARIO[[#This Row],[Desc color]],ImportarStock[[DESCRIPCION]:[LIBRE UTILIZACION]],2,0),0)</f>
        <v>0</v>
      </c>
      <c r="K84" t="s">
        <v>1086</v>
      </c>
      <c r="L84">
        <v>12</v>
      </c>
      <c r="M84" t="str">
        <f>VLOOKUP(ImportarStock[[#This Row],[DESCRIPCION]],DICCIONARIO[Desc color],1,0)</f>
        <v>HUA WA8021V5 BL</v>
      </c>
    </row>
    <row r="85" spans="2:13" x14ac:dyDescent="0.25">
      <c r="C85" t="s">
        <v>106</v>
      </c>
      <c r="D85" t="s">
        <v>611</v>
      </c>
      <c r="E85" s="19" t="s">
        <v>954</v>
      </c>
      <c r="F85" t="str">
        <f>VLOOKUP(DICCIONARIO[[#This Row],[Desc color]],ImportarStock[DESCRIPCION],1,0)</f>
        <v>APP IPH14256GBBLU B1</v>
      </c>
      <c r="H85" t="str">
        <f>VLOOKUP(DICCIONARIO[[#This Row],[Modelo]],UNIFICADA[Equipo],1,0)</f>
        <v>APPLE IPHONE 14 128GB</v>
      </c>
      <c r="I85">
        <f>IFERROR(VLOOKUP(DICCIONARIO[[#This Row],[Desc color]],ImportarStock[[DESCRIPCION]:[LIBRE UTILIZACION]],2,0),0)</f>
        <v>1</v>
      </c>
      <c r="K85" t="s">
        <v>1203</v>
      </c>
      <c r="L85">
        <v>10</v>
      </c>
      <c r="M85" t="str">
        <f>VLOOKUP(ImportarStock[[#This Row],[DESCRIPCION]],DICCIONARIO[Desc color],1,0)</f>
        <v>LAMPARA LED ZTE MOVABLE DESK BL</v>
      </c>
    </row>
    <row r="86" spans="2:13" x14ac:dyDescent="0.25">
      <c r="C86" t="s">
        <v>107</v>
      </c>
      <c r="D86" t="s">
        <v>611</v>
      </c>
      <c r="E86" s="19" t="s">
        <v>862</v>
      </c>
      <c r="F86" t="e">
        <f>VLOOKUP(DICCIONARIO[[#This Row],[Desc color]],ImportarStock[DESCRIPCION],1,0)</f>
        <v>#N/A</v>
      </c>
      <c r="H86" t="str">
        <f>VLOOKUP(DICCIONARIO[[#This Row],[Modelo]],UNIFICADA[Equipo],1,0)</f>
        <v>APPLE IPHONE 14 256GB</v>
      </c>
      <c r="I86">
        <f>IFERROR(VLOOKUP(DICCIONARIO[[#This Row],[Desc color]],ImportarStock[[DESCRIPCION]:[LIBRE UTILIZACION]],2,0),0)</f>
        <v>0</v>
      </c>
      <c r="K86" t="s">
        <v>1186</v>
      </c>
      <c r="L86">
        <v>8</v>
      </c>
      <c r="M86" t="str">
        <f>VLOOKUP(ImportarStock[[#This Row],[DESCRIPCION]],DICCIONARIO[Desc color],1,0)</f>
        <v>MOT E30NEOXT22451 MR</v>
      </c>
    </row>
    <row r="87" spans="2:13" x14ac:dyDescent="0.25">
      <c r="C87" t="s">
        <v>107</v>
      </c>
      <c r="D87" t="s">
        <v>611</v>
      </c>
      <c r="E87" s="19" t="s">
        <v>1108</v>
      </c>
      <c r="F87" t="str">
        <f>VLOOKUP(DICCIONARIO[[#This Row],[Desc color]],ImportarStock[DESCRIPCION],1,0)</f>
        <v>APP IPH14256GBSTA SL</v>
      </c>
      <c r="H87" t="str">
        <f>VLOOKUP(DICCIONARIO[[#This Row],[Modelo]],UNIFICADA[Equipo],1,0)</f>
        <v>APPLE IPHONE 14 256GB</v>
      </c>
      <c r="I87">
        <f>IFERROR(VLOOKUP(DICCIONARIO[[#This Row],[Desc color]],ImportarStock[[DESCRIPCION]:[LIBRE UTILIZACION]],2,0),0)</f>
        <v>1</v>
      </c>
      <c r="K87" t="s">
        <v>1248</v>
      </c>
      <c r="L87">
        <v>7</v>
      </c>
      <c r="M87" t="str">
        <f>VLOOKUP(ImportarStock[[#This Row],[DESCRIPCION]],DICCIONARIO[Desc color],1,0)</f>
        <v>MOT E30NEOXT22451 MR CAMIST.PER</v>
      </c>
    </row>
    <row r="88" spans="2:13" x14ac:dyDescent="0.25">
      <c r="C88" t="s">
        <v>108</v>
      </c>
      <c r="D88" t="s">
        <v>611</v>
      </c>
      <c r="E88" s="19" t="s">
        <v>955</v>
      </c>
      <c r="F88" t="str">
        <f>VLOOKUP(DICCIONARIO[[#This Row],[Desc color]],ImportarStock[DESCRIPCION],1,0)</f>
        <v>APP IPH14512GBBLU B1</v>
      </c>
      <c r="H88" t="str">
        <f>VLOOKUP(DICCIONARIO[[#This Row],[Modelo]],UNIFICADA[Equipo],1,0)</f>
        <v>APPLE IPHONE 14 512GB</v>
      </c>
      <c r="I88">
        <f>IFERROR(VLOOKUP(DICCIONARIO[[#This Row],[Desc color]],ImportarStock[[DESCRIPCION]:[LIBRE UTILIZACION]],2,0),0)</f>
        <v>1</v>
      </c>
      <c r="K88" t="s">
        <v>1247</v>
      </c>
      <c r="L88">
        <v>5</v>
      </c>
      <c r="M88" t="str">
        <f>VLOOKUP(ImportarStock[[#This Row],[DESCRIPCION]],DICCIONARIO[Desc color],1,0)</f>
        <v>MOT E30NEOXT22451 NG CAMIST.PER</v>
      </c>
    </row>
    <row r="89" spans="2:13" x14ac:dyDescent="0.25">
      <c r="C89" t="s">
        <v>108</v>
      </c>
      <c r="D89" t="s">
        <v>611</v>
      </c>
      <c r="E89" s="19" t="s">
        <v>956</v>
      </c>
      <c r="F89" t="str">
        <f>VLOOKUP(DICCIONARIO[[#This Row],[Desc color]],ImportarStock[DESCRIPCION],1,0)</f>
        <v>APP IPH14512GBMID MN</v>
      </c>
      <c r="H89" t="str">
        <f>VLOOKUP(DICCIONARIO[[#This Row],[Modelo]],UNIFICADA[Equipo],1,0)</f>
        <v>APPLE IPHONE 14 512GB</v>
      </c>
      <c r="I89">
        <f>IFERROR(VLOOKUP(DICCIONARIO[[#This Row],[Desc color]],ImportarStock[[DESCRIPCION]:[LIBRE UTILIZACION]],2,0),0)</f>
        <v>1</v>
      </c>
      <c r="K89" t="s">
        <v>1023</v>
      </c>
      <c r="L89">
        <v>48</v>
      </c>
      <c r="M89" t="str">
        <f>VLOOKUP(ImportarStock[[#This Row],[DESCRIPCION]],DICCIONARIO[Desc color],1,0)</f>
        <v>MOT ME1364XT23452 BM</v>
      </c>
    </row>
    <row r="90" spans="2:13" x14ac:dyDescent="0.25">
      <c r="C90" t="s">
        <v>106</v>
      </c>
      <c r="D90" t="s">
        <v>611</v>
      </c>
      <c r="E90" s="19" t="s">
        <v>1188</v>
      </c>
      <c r="F90" t="str">
        <f>VLOOKUP(DICCIONARIO[[#This Row],[Desc color]],ImportarStock[DESCRIPCION],1,0)</f>
        <v>APP IPH14DPPURPLE DP 128GB</v>
      </c>
      <c r="H90" t="str">
        <f>VLOOKUP(DICCIONARIO[[#This Row],[Modelo]],UNIFICADA[Equipo],1,0)</f>
        <v>APPLE IPHONE 14 128GB</v>
      </c>
      <c r="I90">
        <f>IFERROR(VLOOKUP(DICCIONARIO[[#This Row],[Desc color]],ImportarStock[[DESCRIPCION]:[LIBRE UTILIZACION]],2,0),0)</f>
        <v>1</v>
      </c>
      <c r="K90" t="s">
        <v>1024</v>
      </c>
      <c r="L90">
        <v>36</v>
      </c>
      <c r="M90" t="str">
        <f>VLOOKUP(ImportarStock[[#This Row],[DESCRIPCION]],DICCIONARIO[Desc color],1,0)</f>
        <v>MOT ME1364XT23452 VD</v>
      </c>
    </row>
    <row r="91" spans="2:13" x14ac:dyDescent="0.25">
      <c r="C91" t="s">
        <v>112</v>
      </c>
      <c r="D91" t="s">
        <v>611</v>
      </c>
      <c r="E91" s="19" t="s">
        <v>863</v>
      </c>
      <c r="F91" t="str">
        <f>VLOOKUP(DICCIONARIO[[#This Row],[Desc color]],ImportarStock[DESCRIPCION],1,0)</f>
        <v>APP IPH14P128MIDN MN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2</v>
      </c>
      <c r="K91" t="s">
        <v>884</v>
      </c>
      <c r="L91">
        <v>9</v>
      </c>
      <c r="M91" t="str">
        <f>VLOOKUP(ImportarStock[[#This Row],[DESCRIPCION]],DICCIONARIO[Desc color],1,0)</f>
        <v>MOT ME22IXT223917 BL</v>
      </c>
    </row>
    <row r="92" spans="2:13" x14ac:dyDescent="0.25">
      <c r="C92" t="s">
        <v>112</v>
      </c>
      <c r="D92" t="s">
        <v>611</v>
      </c>
      <c r="E92" s="19" t="s">
        <v>864</v>
      </c>
      <c r="F92" t="e">
        <f>VLOOKUP(DICCIONARIO[[#This Row],[Desc color]],ImportarStock[DESCRIPCION],1,0)</f>
        <v>#N/A</v>
      </c>
      <c r="H92" t="str">
        <f>VLOOKUP(DICCIONARIO[[#This Row],[Modelo]],UNIFICADA[Equipo],1,0)</f>
        <v>APPLE IPHONE 14 PRO 128GB</v>
      </c>
      <c r="I92">
        <f>IFERROR(VLOOKUP(DICCIONARIO[[#This Row],[Desc color]],ImportarStock[[DESCRIPCION]:[LIBRE UTILIZACION]],2,0),0)</f>
        <v>0</v>
      </c>
      <c r="K92" t="s">
        <v>885</v>
      </c>
      <c r="L92">
        <v>30</v>
      </c>
      <c r="M92" t="str">
        <f>VLOOKUP(ImportarStock[[#This Row],[DESCRIPCION]],DICCIONARIO[Desc color],1,0)</f>
        <v>MOT ME22IXT223917 GR</v>
      </c>
    </row>
    <row r="93" spans="2:13" x14ac:dyDescent="0.25">
      <c r="C93" t="s">
        <v>112</v>
      </c>
      <c r="D93" t="s">
        <v>611</v>
      </c>
      <c r="E93" s="19" t="s">
        <v>865</v>
      </c>
      <c r="F93" t="e">
        <f>VLOOKUP(DICCIONARIO[[#This Row],[Desc color]],ImportarStock[DESCRIPCION],1,0)</f>
        <v>#N/A</v>
      </c>
      <c r="H93" t="str">
        <f>VLOOKUP(DICCIONARIO[[#This Row],[Modelo]],UNIFICADA[Equipo],1,0)</f>
        <v>APPLE IPHONE 14 PRO 128GB</v>
      </c>
      <c r="I93">
        <f>IFERROR(VLOOKUP(DICCIONARIO[[#This Row],[Desc color]],ImportarStock[[DESCRIPCION]:[LIBRE UTILIZACION]],2,0),0)</f>
        <v>0</v>
      </c>
      <c r="K93" t="s">
        <v>1026</v>
      </c>
      <c r="L93">
        <v>80</v>
      </c>
      <c r="M93" t="str">
        <f>VLOOKUP(ImportarStock[[#This Row],[DESCRIPCION]],DICCIONARIO[Desc color],1,0)</f>
        <v>MOT MG23128X23331 AX</v>
      </c>
    </row>
    <row r="94" spans="2:13" x14ac:dyDescent="0.25">
      <c r="C94" t="s">
        <v>110</v>
      </c>
      <c r="D94" t="s">
        <v>611</v>
      </c>
      <c r="E94" s="19" t="s">
        <v>866</v>
      </c>
      <c r="F94" t="str">
        <f>VLOOKUP(DICCIONARIO[[#This Row],[Desc color]],ImportarStock[DESCRIPCION],1,0)</f>
        <v>APP IPH14PL256MID MN</v>
      </c>
      <c r="H94" t="str">
        <f>VLOOKUP(DICCIONARIO[[#This Row],[Modelo]],UNIFICADA[Equipo],1,0)</f>
        <v>APPLE IPHONE 14 PLUS 256GB</v>
      </c>
      <c r="I94">
        <f>IFERROR(VLOOKUP(DICCIONARIO[[#This Row],[Desc color]],ImportarStock[[DESCRIPCION]:[LIBRE UTILIZACION]],2,0),0)</f>
        <v>2</v>
      </c>
      <c r="K94" t="s">
        <v>1007</v>
      </c>
      <c r="L94">
        <v>103</v>
      </c>
      <c r="M94" t="str">
        <f>VLOOKUP(ImportarStock[[#This Row],[DESCRIPCION]],DICCIONARIO[Desc color],1,0)</f>
        <v>MOT MG23128X23331 GX</v>
      </c>
    </row>
    <row r="95" spans="2:13" x14ac:dyDescent="0.25">
      <c r="C95" t="s">
        <v>110</v>
      </c>
      <c r="D95" t="s">
        <v>611</v>
      </c>
      <c r="E95" s="19" t="s">
        <v>867</v>
      </c>
      <c r="F95" t="str">
        <f>VLOOKUP(DICCIONARIO[[#This Row],[Desc color]],ImportarStock[DESCRIPCION],1,0)</f>
        <v>APP IPH14PL256PUR LE</v>
      </c>
      <c r="H95" t="str">
        <f>VLOOKUP(DICCIONARIO[[#This Row],[Modelo]],UNIFICADA[Equipo],1,0)</f>
        <v>APPLE IPHONE 14 PLUS 256GB</v>
      </c>
      <c r="I95">
        <f>IFERROR(VLOOKUP(DICCIONARIO[[#This Row],[Desc color]],ImportarStock[[DESCRIPCION]:[LIBRE UTILIZACION]],2,0),0)</f>
        <v>1</v>
      </c>
      <c r="K95" t="s">
        <v>1183</v>
      </c>
      <c r="L95">
        <v>1</v>
      </c>
      <c r="M95" t="str">
        <f>VLOOKUP(ImportarStock[[#This Row],[DESCRIPCION]],DICCIONARIO[Desc color],1,0)</f>
        <v>MOT MG53128X23351 PI</v>
      </c>
    </row>
    <row r="96" spans="2:13" x14ac:dyDescent="0.25">
      <c r="C96" t="s">
        <v>111</v>
      </c>
      <c r="D96" t="s">
        <v>611</v>
      </c>
      <c r="E96" s="19" t="s">
        <v>957</v>
      </c>
      <c r="F96" t="str">
        <f>VLOOKUP(DICCIONARIO[[#This Row],[Desc color]],ImportarStock[DESCRIPCION],1,0)</f>
        <v>APP IPH14PL512MID MN</v>
      </c>
      <c r="H96" t="str">
        <f>VLOOKUP(DICCIONARIO[[#This Row],[Modelo]],UNIFICADA[Equipo],1,0)</f>
        <v>APPLE IPHONE 14 PLUS 512GB</v>
      </c>
      <c r="I96">
        <f>IFERROR(VLOOKUP(DICCIONARIO[[#This Row],[Desc color]],ImportarStock[[DESCRIPCION]:[LIBRE UTILIZACION]],2,0),0)</f>
        <v>1</v>
      </c>
      <c r="K96" t="s">
        <v>889</v>
      </c>
      <c r="L96">
        <v>3</v>
      </c>
      <c r="M96" t="str">
        <f>VLOOKUP(ImportarStock[[#This Row],[DESCRIPCION]],DICCIONARIO[Desc color],1,0)</f>
        <v>OPP A17 64GB NG</v>
      </c>
    </row>
    <row r="97" spans="3:13" x14ac:dyDescent="0.25">
      <c r="C97" t="s">
        <v>111</v>
      </c>
      <c r="D97" t="s">
        <v>611</v>
      </c>
      <c r="E97" s="19" t="s">
        <v>868</v>
      </c>
      <c r="F97" t="e">
        <f>VLOOKUP(DICCIONARIO[[#This Row],[Desc color]],ImportarStock[DESCRIPCION],1,0)</f>
        <v>#N/A</v>
      </c>
      <c r="H97" t="str">
        <f>VLOOKUP(DICCIONARIO[[#This Row],[Modelo]],UNIFICADA[Equipo],1,0)</f>
        <v>APPLE IPHONE 14 PLUS 512GB</v>
      </c>
      <c r="I97">
        <f>IFERROR(VLOOKUP(DICCIONARIO[[#This Row],[Desc color]],ImportarStock[[DESCRIPCION]:[LIBRE UTILIZACION]],2,0),0)</f>
        <v>0</v>
      </c>
      <c r="K97" t="s">
        <v>1008</v>
      </c>
      <c r="L97">
        <v>7</v>
      </c>
      <c r="M97" t="str">
        <f>VLOOKUP(ImportarStock[[#This Row],[DESCRIPCION]],DICCIONARIO[Desc color],1,0)</f>
        <v>OPP A17 64GB NG EARPHONE</v>
      </c>
    </row>
    <row r="98" spans="3:13" x14ac:dyDescent="0.25">
      <c r="C98" t="s">
        <v>109</v>
      </c>
      <c r="D98" t="s">
        <v>611</v>
      </c>
      <c r="E98" s="19" t="s">
        <v>869</v>
      </c>
      <c r="F98" t="e">
        <f>VLOOKUP(DICCIONARIO[[#This Row],[Desc color]],ImportarStock[DESCRIPCION],1,0)</f>
        <v>#N/A</v>
      </c>
      <c r="H98" t="str">
        <f>VLOOKUP(DICCIONARIO[[#This Row],[Modelo]],UNIFICADA[Equipo],1,0)</f>
        <v>APPLE IPHONE 14 PLUS 128GB</v>
      </c>
      <c r="I98">
        <f>IFERROR(VLOOKUP(DICCIONARIO[[#This Row],[Desc color]],ImportarStock[[DESCRIPCION]:[LIBRE UTILIZACION]],2,0),0)</f>
        <v>0</v>
      </c>
      <c r="K98" t="s">
        <v>890</v>
      </c>
      <c r="L98">
        <v>14</v>
      </c>
      <c r="M98" t="str">
        <f>VLOOKUP(ImportarStock[[#This Row],[DESCRIPCION]],DICCIONARIO[Desc color],1,0)</f>
        <v>OPP A57 128GB NG</v>
      </c>
    </row>
    <row r="99" spans="3:13" x14ac:dyDescent="0.25">
      <c r="C99" t="s">
        <v>110</v>
      </c>
      <c r="D99" t="s">
        <v>611</v>
      </c>
      <c r="E99" s="19" t="s">
        <v>958</v>
      </c>
      <c r="F99" t="str">
        <f>VLOOKUP(DICCIONARIO[[#This Row],[Desc color]],ImportarStock[DESCRIPCION],1,0)</f>
        <v>APP IPH14PLUS256G B1</v>
      </c>
      <c r="H99" t="str">
        <f>VLOOKUP(DICCIONARIO[[#This Row],[Modelo]],UNIFICADA[Equipo],1,0)</f>
        <v>APPLE IPHONE 14 PLUS 256GB</v>
      </c>
      <c r="I99">
        <f>IFERROR(VLOOKUP(DICCIONARIO[[#This Row],[Desc color]],ImportarStock[[DESCRIPCION]:[LIBRE UTILIZACION]],2,0),0)</f>
        <v>1</v>
      </c>
      <c r="K99" t="s">
        <v>891</v>
      </c>
      <c r="L99">
        <v>2</v>
      </c>
      <c r="M99" t="str">
        <f>VLOOKUP(ImportarStock[[#This Row],[DESCRIPCION]],DICCIONARIO[Desc color],1,0)</f>
        <v>OPP A57 128GB NG EARPHONES</v>
      </c>
    </row>
    <row r="100" spans="3:13" x14ac:dyDescent="0.25">
      <c r="C100" t="s">
        <v>118</v>
      </c>
      <c r="D100" t="s">
        <v>611</v>
      </c>
      <c r="E100" s="19" t="s">
        <v>1216</v>
      </c>
      <c r="F100" t="str">
        <f>VLOOKUP(DICCIONARIO[[#This Row],[Desc color]],ImportarStock[DESCRIPCION],1,0)</f>
        <v>APP IPH14PMAXGOLD GD 256GB</v>
      </c>
      <c r="H100" t="str">
        <f>VLOOKUP(DICCIONARIO[[#This Row],[Modelo]],UNIFICADA[Equipo],1,0)</f>
        <v>APPLE IPHONE 14 PRO MAX 256GB</v>
      </c>
      <c r="I100">
        <f>IFERROR(VLOOKUP(DICCIONARIO[[#This Row],[Desc color]],ImportarStock[[DESCRIPCION]:[LIBRE UTILIZACION]],2,0),0)</f>
        <v>3</v>
      </c>
      <c r="K100" t="s">
        <v>893</v>
      </c>
      <c r="L100">
        <v>2</v>
      </c>
      <c r="M100" t="str">
        <f>VLOOKUP(ImportarStock[[#This Row],[DESCRIPCION]],DICCIONARIO[Desc color],1,0)</f>
        <v>OPP A57 128GB VR EARPHONES</v>
      </c>
    </row>
    <row r="101" spans="3:13" x14ac:dyDescent="0.25">
      <c r="C101" t="s">
        <v>118</v>
      </c>
      <c r="D101" t="s">
        <v>611</v>
      </c>
      <c r="E101" s="19" t="s">
        <v>1002</v>
      </c>
      <c r="F101" t="str">
        <f>VLOOKUP(DICCIONARIO[[#This Row],[Desc color]],ImportarStock[DESCRIPCION],1,0)</f>
        <v>APP IPH14PMAXSPBL SP 256GB</v>
      </c>
      <c r="H101" t="str">
        <f>VLOOKUP(DICCIONARIO[[#This Row],[Modelo]],UNIFICADA[Equipo],1,0)</f>
        <v>APPLE IPHONE 14 PRO MAX 256GB</v>
      </c>
      <c r="I101">
        <f>IFERROR(VLOOKUP(DICCIONARIO[[#This Row],[Desc color]],ImportarStock[[DESCRIPCION]:[LIBRE UTILIZACION]],2,0),0)</f>
        <v>1</v>
      </c>
      <c r="K101" t="s">
        <v>1190</v>
      </c>
      <c r="L101">
        <v>18</v>
      </c>
      <c r="M101" t="str">
        <f>VLOOKUP(ImportarStock[[#This Row],[DESCRIPCION]],DICCIONARIO[Desc color],1,0)</f>
        <v>OPP A78 128GB AZ</v>
      </c>
    </row>
    <row r="102" spans="3:13" x14ac:dyDescent="0.25">
      <c r="C102" t="s">
        <v>112</v>
      </c>
      <c r="D102" t="s">
        <v>611</v>
      </c>
      <c r="E102" s="19" t="s">
        <v>870</v>
      </c>
      <c r="F102" t="e">
        <f>VLOOKUP(DICCIONARIO[[#This Row],[Desc color]],ImportarStock[DESCRIPCION],1,0)</f>
        <v>#N/A</v>
      </c>
      <c r="H102" t="str">
        <f>VLOOKUP(DICCIONARIO[[#This Row],[Modelo]],UNIFICADA[Equipo],1,0)</f>
        <v>APPLE IPHONE 14 PRO 128GB</v>
      </c>
      <c r="I102">
        <f>IFERROR(VLOOKUP(DICCIONARIO[[#This Row],[Desc color]],ImportarStock[[DESCRIPCION]:[LIBRE UTILIZACION]],2,0),0)</f>
        <v>0</v>
      </c>
      <c r="K102" t="s">
        <v>1191</v>
      </c>
      <c r="L102">
        <v>14</v>
      </c>
      <c r="M102" t="str">
        <f>VLOOKUP(ImportarStock[[#This Row],[DESCRIPCION]],DICCIONARIO[Desc color],1,0)</f>
        <v>OPP A78 128GB NG</v>
      </c>
    </row>
    <row r="103" spans="3:13" x14ac:dyDescent="0.25">
      <c r="C103" t="s">
        <v>114</v>
      </c>
      <c r="D103" t="s">
        <v>611</v>
      </c>
      <c r="E103" s="19" t="s">
        <v>871</v>
      </c>
      <c r="F103" t="e">
        <f>VLOOKUP(DICCIONARIO[[#This Row],[Desc color]],ImportarStock[DESCRIPCION],1,0)</f>
        <v>#N/A</v>
      </c>
      <c r="H103" t="str">
        <f>VLOOKUP(DICCIONARIO[[#This Row],[Modelo]],UNIFICADA[Equipo],1,0)</f>
        <v>APPLE IPHONE 14 PRO 256GB</v>
      </c>
      <c r="I103">
        <f>IFERROR(VLOOKUP(DICCIONARIO[[#This Row],[Desc color]],ImportarStock[[DESCRIPCION]:[LIBRE UTILIZACION]],2,0),0)</f>
        <v>0</v>
      </c>
      <c r="K103" t="s">
        <v>1048</v>
      </c>
      <c r="L103">
        <v>15</v>
      </c>
      <c r="M103" t="str">
        <f>VLOOKUP(ImportarStock[[#This Row],[DESCRIPCION]],DICCIONARIO[Desc color],1,0)</f>
        <v>OPP RENO7 256GB D1</v>
      </c>
    </row>
    <row r="104" spans="3:13" x14ac:dyDescent="0.25">
      <c r="C104" t="s">
        <v>114</v>
      </c>
      <c r="D104" t="s">
        <v>611</v>
      </c>
      <c r="E104" s="19" t="s">
        <v>1189</v>
      </c>
      <c r="F104" t="str">
        <f>VLOOKUP(DICCIONARIO[[#This Row],[Desc color]],ImportarStock[DESCRIPCION],1,0)</f>
        <v>APP IPH14PRGOLD GD 256GB</v>
      </c>
      <c r="H104" t="str">
        <f>VLOOKUP(DICCIONARIO[[#This Row],[Modelo]],UNIFICADA[Equipo],1,0)</f>
        <v>APPLE IPHONE 14 PRO 256GB</v>
      </c>
      <c r="I104">
        <f>IFERROR(VLOOKUP(DICCIONARIO[[#This Row],[Desc color]],ImportarStock[[DESCRIPCION]:[LIBRE UTILIZACION]],2,0),0)</f>
        <v>2</v>
      </c>
      <c r="K104" t="s">
        <v>1230</v>
      </c>
      <c r="L104">
        <v>1</v>
      </c>
      <c r="M104" t="str">
        <f>VLOOKUP(ImportarStock[[#This Row],[DESCRIPCION]],DICCIONARIO[Desc color],1,0)</f>
        <v>OPP RENO7 256GB NH CAMIST.PER</v>
      </c>
    </row>
    <row r="105" spans="3:13" x14ac:dyDescent="0.25">
      <c r="C105" t="s">
        <v>117</v>
      </c>
      <c r="D105" t="s">
        <v>611</v>
      </c>
      <c r="E105" s="19" t="s">
        <v>959</v>
      </c>
      <c r="F105" t="e">
        <f>VLOOKUP(DICCIONARIO[[#This Row],[Desc color]],ImportarStock[DESCRIPCION],1,0)</f>
        <v>#N/A</v>
      </c>
      <c r="H105" t="str">
        <f>VLOOKUP(DICCIONARIO[[#This Row],[Modelo]],UNIFICADA[Equipo],1,0)</f>
        <v>APPLE IPHONE 14 PRO MAX 1TB</v>
      </c>
      <c r="I105">
        <f>IFERROR(VLOOKUP(DICCIONARIO[[#This Row],[Desc color]],ImportarStock[[DESCRIPCION]:[LIBRE UTILIZACION]],2,0),0)</f>
        <v>0</v>
      </c>
      <c r="K105" t="s">
        <v>1068</v>
      </c>
      <c r="L105">
        <v>3</v>
      </c>
      <c r="M105" t="str">
        <f>VLOOKUP(ImportarStock[[#This Row],[DESCRIPCION]],DICCIONARIO[Desc color],1,0)</f>
        <v>PACK SIM CARD PRE ASOC 256KB TELF FIJO</v>
      </c>
    </row>
    <row r="106" spans="3:13" x14ac:dyDescent="0.25">
      <c r="C106" t="s">
        <v>59</v>
      </c>
      <c r="D106" t="s">
        <v>611</v>
      </c>
      <c r="E106" s="19" t="s">
        <v>872</v>
      </c>
      <c r="F106" t="str">
        <f>VLOOKUP(DICCIONARIO[[#This Row],[Desc color]],ImportarStock[DESCRIPCION],1,0)</f>
        <v>APP IPH14PROMAXDP DP 256GB</v>
      </c>
      <c r="H106" t="str">
        <f>VLOOKUP(DICCIONARIO[[#This Row],[Modelo]],UNIFICADA[Equipo],1,0)</f>
        <v>APPLE IPHONE 13 PRO MAX 256GB</v>
      </c>
      <c r="I106">
        <f>IFERROR(VLOOKUP(DICCIONARIO[[#This Row],[Desc color]],ImportarStock[[DESCRIPCION]:[LIBRE UTILIZACION]],2,0),0)</f>
        <v>1</v>
      </c>
      <c r="K106" t="s">
        <v>1069</v>
      </c>
      <c r="L106">
        <v>7</v>
      </c>
      <c r="M106" t="str">
        <f>VLOOKUP(ImportarStock[[#This Row],[DESCRIPCION]],DICCIONARIO[Desc color],1,0)</f>
        <v>PACK SIM CARD REPUESTO TFI 256KB</v>
      </c>
    </row>
    <row r="107" spans="3:13" x14ac:dyDescent="0.25">
      <c r="C107" t="s">
        <v>116</v>
      </c>
      <c r="D107" t="s">
        <v>611</v>
      </c>
      <c r="E107" s="19" t="s">
        <v>1239</v>
      </c>
      <c r="F107" t="str">
        <f>VLOOKUP(DICCIONARIO[[#This Row],[Desc color]],ImportarStock[DESCRIPCION],1,0)</f>
        <v>APP IPH14PROMAXGO GD 128GB</v>
      </c>
      <c r="H107" t="str">
        <f>VLOOKUP(DICCIONARIO[[#This Row],[Modelo]],UNIFICADA[Equipo],1,0)</f>
        <v>APPLE IPHONE 14 PRO MAX 128GB</v>
      </c>
      <c r="I107">
        <f>IFERROR(VLOOKUP(DICCIONARIO[[#This Row],[Desc color]],ImportarStock[[DESCRIPCION]:[LIBRE UTILIZACION]],2,0),0)</f>
        <v>4</v>
      </c>
      <c r="K107" t="s">
        <v>1057</v>
      </c>
      <c r="L107">
        <v>1</v>
      </c>
      <c r="M107" t="str">
        <f>VLOOKUP(ImportarStock[[#This Row],[DESCRIPCION]],DICCIONARIO[Desc color],1,0)</f>
        <v>PACK SIM CARD REPUESTO TFI 64KB</v>
      </c>
    </row>
    <row r="108" spans="3:13" x14ac:dyDescent="0.25">
      <c r="C108" t="s">
        <v>116</v>
      </c>
      <c r="D108" t="s">
        <v>611</v>
      </c>
      <c r="E108" s="19" t="s">
        <v>1003</v>
      </c>
      <c r="F108" t="e">
        <f>VLOOKUP(DICCIONARIO[[#This Row],[Desc color]],ImportarStock[DESCRIPCION],1,0)</f>
        <v>#N/A</v>
      </c>
      <c r="H108" t="str">
        <f>VLOOKUP(DICCIONARIO[[#This Row],[Modelo]],UNIFICADA[Equipo],1,0)</f>
        <v>APPLE IPHONE 14 PRO MAX 128GB</v>
      </c>
      <c r="I108">
        <f>IFERROR(VLOOKUP(DICCIONARIO[[#This Row],[Desc color]],ImportarStock[[DESCRIPCION]:[LIBRE UTILIZACION]],2,0),0)</f>
        <v>0</v>
      </c>
      <c r="K108" t="s">
        <v>1215</v>
      </c>
      <c r="L108">
        <v>22</v>
      </c>
      <c r="M108" t="str">
        <f>VLOOKUP(ImportarStock[[#This Row],[DESCRIPCION]],DICCIONARIO[Desc color],1,0)</f>
        <v>PARLA BT BSHEP DOME NJ</v>
      </c>
    </row>
    <row r="109" spans="3:13" x14ac:dyDescent="0.25">
      <c r="C109" t="s">
        <v>116</v>
      </c>
      <c r="D109" t="s">
        <v>611</v>
      </c>
      <c r="E109" s="19" t="s">
        <v>1004</v>
      </c>
      <c r="F109" t="str">
        <f>VLOOKUP(DICCIONARIO[[#This Row],[Desc color]],ImportarStock[DESCRIPCION],1,0)</f>
        <v>APP IPH14PROMAXSP SP 128GB</v>
      </c>
      <c r="H109" t="str">
        <f>VLOOKUP(DICCIONARIO[[#This Row],[Modelo]],UNIFICADA[Equipo],1,0)</f>
        <v>APPLE IPHONE 14 PRO MAX 128GB</v>
      </c>
      <c r="I109">
        <f>IFERROR(VLOOKUP(DICCIONARIO[[#This Row],[Desc color]],ImportarStock[[DESCRIPCION]:[LIBRE UTILIZACION]],2,0),0)</f>
        <v>7</v>
      </c>
      <c r="K109" t="s">
        <v>1234</v>
      </c>
      <c r="L109">
        <v>8</v>
      </c>
      <c r="M109" t="str">
        <f>VLOOKUP(ImportarStock[[#This Row],[DESCRIPCION]],DICCIONARIO[Desc color],1,0)</f>
        <v>PARLA BT HONOR HRG01D NG</v>
      </c>
    </row>
    <row r="110" spans="3:13" x14ac:dyDescent="0.25">
      <c r="C110" t="s">
        <v>112</v>
      </c>
      <c r="D110" t="s">
        <v>611</v>
      </c>
      <c r="E110" s="19" t="s">
        <v>1110</v>
      </c>
      <c r="F110" t="e">
        <f>VLOOKUP(DICCIONARIO[[#This Row],[Desc color]],ImportarStock[DESCRIPCION],1,0)</f>
        <v>#N/A</v>
      </c>
      <c r="H110" t="str">
        <f>VLOOKUP(DICCIONARIO[[#This Row],[Modelo]],UNIFICADA[Equipo],1,0)</f>
        <v>APPLE IPHONE 14 PRO 128GB</v>
      </c>
      <c r="I110">
        <f>IFERROR(VLOOKUP(DICCIONARIO[[#This Row],[Desc color]],ImportarStock[[DESCRIPCION]:[LIBRE UTILIZACION]],2,0),0)</f>
        <v>0</v>
      </c>
      <c r="K110" t="s">
        <v>1235</v>
      </c>
      <c r="L110">
        <v>15</v>
      </c>
      <c r="M110" t="str">
        <f>VLOOKUP(ImportarStock[[#This Row],[DESCRIPCION]],DICCIONARIO[Desc color],1,0)</f>
        <v>PARLA BT OPPO YD-07 NG</v>
      </c>
    </row>
    <row r="111" spans="3:13" x14ac:dyDescent="0.25">
      <c r="C111" t="s">
        <v>114</v>
      </c>
      <c r="D111" t="s">
        <v>611</v>
      </c>
      <c r="E111" s="19" t="s">
        <v>873</v>
      </c>
      <c r="F111" t="str">
        <f>VLOOKUP(DICCIONARIO[[#This Row],[Desc color]],ImportarStock[DESCRIPCION],1,0)</f>
        <v>APP IPH14PRSPACEB SP 256GB</v>
      </c>
      <c r="H111" t="str">
        <f>VLOOKUP(DICCIONARIO[[#This Row],[Modelo]],UNIFICADA[Equipo],1,0)</f>
        <v>APPLE IPHONE 14 PRO 256GB</v>
      </c>
      <c r="I111">
        <f>IFERROR(VLOOKUP(DICCIONARIO[[#This Row],[Desc color]],ImportarStock[[DESCRIPCION]:[LIBRE UTILIZACION]],2,0),0)</f>
        <v>5</v>
      </c>
      <c r="K111" t="s">
        <v>1237</v>
      </c>
      <c r="L111">
        <v>4</v>
      </c>
      <c r="M111" t="str">
        <f>VLOOKUP(ImportarStock[[#This Row],[DESCRIPCION]],DICCIONARIO[Desc color],1,0)</f>
        <v>PARLA BT XTREME NITRO 6W BG</v>
      </c>
    </row>
    <row r="112" spans="3:13" x14ac:dyDescent="0.25">
      <c r="C112" t="s">
        <v>112</v>
      </c>
      <c r="D112" t="s">
        <v>611</v>
      </c>
      <c r="E112" s="19" t="s">
        <v>1005</v>
      </c>
      <c r="F112" t="str">
        <f>VLOOKUP(DICCIONARIO[[#This Row],[Desc color]],ImportarStock[DESCRIPCION],1,0)</f>
        <v>APP IPH14PRSPBLAC SP 128GB</v>
      </c>
      <c r="H112" t="str">
        <f>VLOOKUP(DICCIONARIO[[#This Row],[Modelo]],UNIFICADA[Equipo],1,0)</f>
        <v>APPLE IPHONE 14 PRO 128GB</v>
      </c>
      <c r="I112">
        <f>IFERROR(VLOOKUP(DICCIONARIO[[#This Row],[Desc color]],ImportarStock[[DESCRIPCION]:[LIBRE UTILIZACION]],2,0),0)</f>
        <v>2</v>
      </c>
      <c r="K112" t="s">
        <v>1238</v>
      </c>
      <c r="L112">
        <v>5</v>
      </c>
      <c r="M112" t="str">
        <f>VLOOKUP(ImportarStock[[#This Row],[DESCRIPCION]],DICCIONARIO[Desc color],1,0)</f>
        <v>PARLA BT XTREME NITRO 6W NG</v>
      </c>
    </row>
    <row r="113" spans="3:13" x14ac:dyDescent="0.25">
      <c r="C113" t="s">
        <v>1130</v>
      </c>
      <c r="D113" t="s">
        <v>611</v>
      </c>
      <c r="E113" s="19" t="s">
        <v>1264</v>
      </c>
      <c r="F113" t="str">
        <f>VLOOKUP(DICCIONARIO[[#This Row],[Desc color]],ImportarStock[DESCRIPCION],1,0)</f>
        <v>APP IPH6S32SPGSAC GR SEED STOCK C/ ACCES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1</v>
      </c>
      <c r="K113" t="s">
        <v>1236</v>
      </c>
      <c r="L113">
        <v>2</v>
      </c>
      <c r="M113" t="str">
        <f>VLOOKUP(ImportarStock[[#This Row],[DESCRIPCION]],DICCIONARIO[Desc color],1,0)</f>
        <v>PARLA BT XTREME NITRO 6W VR</v>
      </c>
    </row>
    <row r="114" spans="3:13" x14ac:dyDescent="0.25">
      <c r="C114" t="s">
        <v>1130</v>
      </c>
      <c r="D114" t="s">
        <v>611</v>
      </c>
      <c r="E114" s="19" t="s">
        <v>1103</v>
      </c>
      <c r="F114" t="str">
        <f>VLOOKUP(DICCIONARIO[[#This Row],[Desc color]],ImportarStock[DESCRIPCION],1,0)</f>
        <v>APP IPH732BSAC NG SEED STOCK C/ ACCES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5</v>
      </c>
      <c r="K114" t="s">
        <v>1058</v>
      </c>
      <c r="L114">
        <v>1</v>
      </c>
      <c r="M114" t="str">
        <f>VLOOKUP(ImportarStock[[#This Row],[DESCRIPCION]],DICCIONARIO[Desc color],1,0)</f>
        <v>Parlante bluetooth</v>
      </c>
    </row>
    <row r="115" spans="3:13" x14ac:dyDescent="0.25">
      <c r="C115" t="s">
        <v>1130</v>
      </c>
      <c r="D115" t="s">
        <v>611</v>
      </c>
      <c r="E115" s="19" t="s">
        <v>1106</v>
      </c>
      <c r="F115" t="str">
        <f>VLOOKUP(DICCIONARIO[[#This Row],[Desc color]],ImportarStock[DESCRIPCION],1,0)</f>
        <v>APP IPH8P64SGSAC GR SEED STOCK C/ ACCES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1</v>
      </c>
      <c r="K115" t="s">
        <v>1178</v>
      </c>
      <c r="L115">
        <v>1</v>
      </c>
      <c r="M115" t="str">
        <f>VLOOKUP(ImportarStock[[#This Row],[DESCRIPCION]],DICCIONARIO[Desc color],1,0)</f>
        <v>POLO PIQUE AZUL TALLA L MUJER</v>
      </c>
    </row>
    <row r="116" spans="3:13" x14ac:dyDescent="0.25">
      <c r="C116" t="s">
        <v>1130</v>
      </c>
      <c r="D116" t="s">
        <v>1131</v>
      </c>
      <c r="E116" s="19" t="s">
        <v>1241</v>
      </c>
      <c r="F116" t="str">
        <f>VLOOKUP(DICCIONARIO[[#This Row],[Desc color]],ImportarStock[DESCRIPCION],1,0)</f>
        <v>APP IPH8PL56GOSAC DO SEED STOCK C/ ACCES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1</v>
      </c>
      <c r="K116" t="s">
        <v>1180</v>
      </c>
      <c r="L116">
        <v>2</v>
      </c>
      <c r="M116" t="str">
        <f>VLOOKUP(ImportarStock[[#This Row],[DESCRIPCION]],DICCIONARIO[Desc color],1,0)</f>
        <v>POLO PIQUE AZUL TALLA M HOMBRE</v>
      </c>
    </row>
    <row r="117" spans="3:13" x14ac:dyDescent="0.25">
      <c r="C117" t="s">
        <v>1130</v>
      </c>
      <c r="D117" t="s">
        <v>611</v>
      </c>
      <c r="E117" s="19" t="s">
        <v>1107</v>
      </c>
      <c r="F117" t="str">
        <f>VLOOKUP(DICCIONARIO[[#This Row],[Desc color]],ImportarStock[DESCRIPCION],1,0)</f>
        <v>APP IPHXS64SPGSAC GR SEED STOCK C/ ACCES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1</v>
      </c>
      <c r="K117" t="s">
        <v>1212</v>
      </c>
      <c r="L117">
        <v>2</v>
      </c>
      <c r="M117" t="str">
        <f>VLOOKUP(ImportarStock[[#This Row],[DESCRIPCION]],DICCIONARIO[Desc color],1,0)</f>
        <v>POLO PIQUE AZUL TALLA M MUJER</v>
      </c>
    </row>
    <row r="118" spans="3:13" x14ac:dyDescent="0.25">
      <c r="C118" t="s">
        <v>1130</v>
      </c>
      <c r="D118" t="s">
        <v>1131</v>
      </c>
      <c r="E118" s="19" t="s">
        <v>1075</v>
      </c>
      <c r="F118" t="str">
        <f>VLOOKUP(DICCIONARIO[[#This Row],[Desc color]],ImportarStock[DESCRIPCION],1,0)</f>
        <v>AUDIF APP AIRPODS 3RDG BL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4</v>
      </c>
      <c r="K118" t="s">
        <v>1177</v>
      </c>
      <c r="L118">
        <v>1</v>
      </c>
      <c r="M118" t="str">
        <f>VLOOKUP(ImportarStock[[#This Row],[DESCRIPCION]],DICCIONARIO[Desc color],1,0)</f>
        <v>POLO PIQUE GRIS TALLA L MUJER</v>
      </c>
    </row>
    <row r="119" spans="3:13" x14ac:dyDescent="0.25">
      <c r="C119" t="s">
        <v>1130</v>
      </c>
      <c r="D119" t="s">
        <v>1131</v>
      </c>
      <c r="E119" s="19" t="s">
        <v>1074</v>
      </c>
      <c r="F119" t="str">
        <f>VLOOKUP(DICCIONARIO[[#This Row],[Desc color]],ImportarStock[DESCRIPCION],1,0)</f>
        <v>AUDIF APP AIRPODSPROCASEWRLS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7</v>
      </c>
      <c r="K119" t="s">
        <v>1179</v>
      </c>
      <c r="L119">
        <v>2</v>
      </c>
      <c r="M119" t="str">
        <f>VLOOKUP(ImportarStock[[#This Row],[DESCRIPCION]],DICCIONARIO[Desc color],1,0)</f>
        <v>POLO PIQUE GRIS TALLA M HOMBRE</v>
      </c>
    </row>
    <row r="120" spans="3:13" x14ac:dyDescent="0.25">
      <c r="C120" t="s">
        <v>1130</v>
      </c>
      <c r="D120" t="s">
        <v>1131</v>
      </c>
      <c r="E120" s="19" t="s">
        <v>1214</v>
      </c>
      <c r="F120" t="str">
        <f>VLOOKUP(DICCIONARIO[[#This Row],[Desc color]],ImportarStock[DESCRIPCION],1,0)</f>
        <v>AUDIF BSHEP TWS DRUMS BT NG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53</v>
      </c>
      <c r="K120" t="s">
        <v>902</v>
      </c>
      <c r="L120">
        <v>7</v>
      </c>
      <c r="M120" t="str">
        <f>VLOOKUP(ImportarStock[[#This Row],[DESCRIPCION]],DICCIONARIO[Desc color],1,0)</f>
        <v>SIM CARD VIRGEN 256KB INTERNET</v>
      </c>
    </row>
    <row r="121" spans="3:13" x14ac:dyDescent="0.25">
      <c r="C121" t="s">
        <v>1130</v>
      </c>
      <c r="D121" t="s">
        <v>1131</v>
      </c>
      <c r="E121" s="19" t="s">
        <v>1084</v>
      </c>
      <c r="F121" t="e">
        <f>VLOOKUP(DICCIONARIO[[#This Row],[Desc color]],ImportarStock[DESCRIPCION],1,0)</f>
        <v>#N/A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0</v>
      </c>
      <c r="K121" t="s">
        <v>903</v>
      </c>
      <c r="L121">
        <v>1368</v>
      </c>
      <c r="M121" t="str">
        <f>VLOOKUP(ImportarStock[[#This Row],[DESCRIPCION]],DICCIONARIO[Desc color],1,0)</f>
        <v>SIM CARD VIRGEN 256KB VOLTE 2FF-3FF-4FF</v>
      </c>
    </row>
    <row r="122" spans="3:13" x14ac:dyDescent="0.25">
      <c r="C122" t="s">
        <v>1130</v>
      </c>
      <c r="D122" t="s">
        <v>1131</v>
      </c>
      <c r="E122" s="19" t="s">
        <v>1144</v>
      </c>
      <c r="F122" t="e">
        <f>VLOOKUP(DICCIONARIO[[#This Row],[Desc color]],ImportarStock[DESCRIPCION],1,0)</f>
        <v>#N/A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0</v>
      </c>
      <c r="K122" t="s">
        <v>1082</v>
      </c>
      <c r="L122">
        <v>3</v>
      </c>
      <c r="M122" t="str">
        <f>VLOOKUP(ImportarStock[[#This Row],[DESCRIPCION]],DICCIONARIO[Desc color],1,0)</f>
        <v>SMARTBAND XIAO MIBAND 7 NG</v>
      </c>
    </row>
    <row r="123" spans="3:13" x14ac:dyDescent="0.25">
      <c r="C123" t="s">
        <v>1130</v>
      </c>
      <c r="D123" t="s">
        <v>1131</v>
      </c>
      <c r="E123" s="19" t="s">
        <v>1071</v>
      </c>
      <c r="F123" t="e">
        <f>VLOOKUP(DICCIONARIO[[#This Row],[Desc color]],ImportarStock[DESCRIPCION],1,0)</f>
        <v>#N/A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0</v>
      </c>
      <c r="K123" t="s">
        <v>1027</v>
      </c>
      <c r="L123">
        <v>73</v>
      </c>
      <c r="M123" t="str">
        <f>VLOOKUP(ImportarStock[[#This Row],[DESCRIPCION]],DICCIONARIO[Desc color],1,0)</f>
        <v>SMG GA1451284146M NG</v>
      </c>
    </row>
    <row r="124" spans="3:13" x14ac:dyDescent="0.25">
      <c r="C124" t="s">
        <v>1130</v>
      </c>
      <c r="D124" t="s">
        <v>1131</v>
      </c>
      <c r="E124" s="19" t="s">
        <v>1078</v>
      </c>
      <c r="F124" t="e">
        <f>VLOOKUP(DICCIONARIO[[#This Row],[Desc color]],ImportarStock[DESCRIPCION],1,0)</f>
        <v>#N/A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0</v>
      </c>
      <c r="K124" t="s">
        <v>1246</v>
      </c>
      <c r="L124">
        <v>1</v>
      </c>
      <c r="M124" t="str">
        <f>VLOOKUP(ImportarStock[[#This Row],[DESCRIPCION]],DICCIONARIO[Desc color],1,0)</f>
        <v>SMG GA1451284146M NG ADAPTADOR</v>
      </c>
    </row>
    <row r="125" spans="3:13" x14ac:dyDescent="0.25">
      <c r="C125" t="s">
        <v>1130</v>
      </c>
      <c r="D125" t="s">
        <v>1131</v>
      </c>
      <c r="E125" s="19" t="s">
        <v>1240</v>
      </c>
      <c r="F125" t="str">
        <f>VLOOKUP(DICCIONARIO[[#This Row],[Desc color]],ImportarStock[DESCRIPCION],1,0)</f>
        <v>AUDIF BT SKUL DIME NG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4</v>
      </c>
      <c r="K125" t="s">
        <v>1244</v>
      </c>
      <c r="L125">
        <v>6</v>
      </c>
      <c r="M125" t="str">
        <f>VLOOKUP(ImportarStock[[#This Row],[DESCRIPCION]],DICCIONARIO[Desc color],1,0)</f>
        <v>SMG GALA0464A045M NG AUDIFONO</v>
      </c>
    </row>
    <row r="126" spans="3:13" x14ac:dyDescent="0.25">
      <c r="C126" t="s">
        <v>1130</v>
      </c>
      <c r="D126" t="s">
        <v>1131</v>
      </c>
      <c r="E126" s="19" t="s">
        <v>1081</v>
      </c>
      <c r="F126" t="e">
        <f>VLOOKUP(DICCIONARIO[[#This Row],[Desc color]],ImportarStock[DESCRIPCION],1,0)</f>
        <v>#N/A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0</v>
      </c>
      <c r="K126" t="s">
        <v>975</v>
      </c>
      <c r="L126">
        <v>2</v>
      </c>
      <c r="M126" t="str">
        <f>VLOOKUP(ImportarStock[[#This Row],[DESCRIPCION]],DICCIONARIO[Desc color],1,0)</f>
        <v>SMG GAS23256S911B NG</v>
      </c>
    </row>
    <row r="127" spans="3:13" x14ac:dyDescent="0.25">
      <c r="C127" t="s">
        <v>1130</v>
      </c>
      <c r="D127" t="s">
        <v>1131</v>
      </c>
      <c r="E127" s="19" t="s">
        <v>1079</v>
      </c>
      <c r="F127" t="e">
        <f>VLOOKUP(DICCIONARIO[[#This Row],[Desc color]],ImportarStock[DESCRIPCION],1,0)</f>
        <v>#N/A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0</v>
      </c>
      <c r="K127" t="s">
        <v>906</v>
      </c>
      <c r="L127">
        <v>19</v>
      </c>
      <c r="M127" t="str">
        <f>VLOOKUP(ImportarStock[[#This Row],[DESCRIPCION]],DICCIONARIO[Desc color],1,0)</f>
        <v>SMG GLA04E32A042M NG</v>
      </c>
    </row>
    <row r="128" spans="3:13" x14ac:dyDescent="0.25">
      <c r="C128" t="s">
        <v>1130</v>
      </c>
      <c r="D128" t="s">
        <v>1131</v>
      </c>
      <c r="E128" s="19" t="s">
        <v>1225</v>
      </c>
      <c r="F128" t="e">
        <f>VLOOKUP(DICCIONARIO[[#This Row],[Desc color]],ImportarStock[DESCRIPCION],1,0)</f>
        <v>#N/A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0</v>
      </c>
      <c r="K128" t="s">
        <v>976</v>
      </c>
      <c r="L128">
        <v>30</v>
      </c>
      <c r="M128" t="str">
        <f>VLOOKUP(ImportarStock[[#This Row],[DESCRIPCION]],DICCIONARIO[Desc color],1,0)</f>
        <v>SMG GLA04S64A047M NG</v>
      </c>
    </row>
    <row r="129" spans="3:13" x14ac:dyDescent="0.25">
      <c r="C129" t="s">
        <v>1130</v>
      </c>
      <c r="D129" t="s">
        <v>1131</v>
      </c>
      <c r="E129" s="19" t="s">
        <v>1209</v>
      </c>
      <c r="F129" t="e">
        <f>VLOOKUP(DICCIONARIO[[#This Row],[Desc color]],ImportarStock[DESCRIPCION],1,0)</f>
        <v>#N/A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0</v>
      </c>
      <c r="K129" t="s">
        <v>907</v>
      </c>
      <c r="L129">
        <v>1</v>
      </c>
      <c r="M129" t="str">
        <f>VLOOKUP(ImportarStock[[#This Row],[DESCRIPCION]],DICCIONARIO[Desc color],1,0)</f>
        <v>SMG GS23P512S916B NG</v>
      </c>
    </row>
    <row r="130" spans="3:13" x14ac:dyDescent="0.25">
      <c r="C130" t="s">
        <v>1130</v>
      </c>
      <c r="D130" t="s">
        <v>1131</v>
      </c>
      <c r="E130" s="19" t="s">
        <v>1185</v>
      </c>
      <c r="F130" t="e">
        <f>VLOOKUP(DICCIONARIO[[#This Row],[Desc color]],ImportarStock[DESCRIPCION],1,0)</f>
        <v>#N/A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0</v>
      </c>
      <c r="K130" t="s">
        <v>978</v>
      </c>
      <c r="L130">
        <v>1</v>
      </c>
      <c r="M130" t="str">
        <f>VLOOKUP(ImportarStock[[#This Row],[DESCRIPCION]],DICCIONARIO[Desc color],1,0)</f>
        <v>SMG GS23U512S918B BE</v>
      </c>
    </row>
    <row r="131" spans="3:13" x14ac:dyDescent="0.25">
      <c r="C131" t="s">
        <v>1130</v>
      </c>
      <c r="D131" t="s">
        <v>1131</v>
      </c>
      <c r="E131" s="19" t="s">
        <v>1210</v>
      </c>
      <c r="F131" t="str">
        <f>VLOOKUP(DICCIONARIO[[#This Row],[Desc color]],ImportarStock[DESCRIPCION],1,0)</f>
        <v>AUDIF BT XTRM KWH001 MOT RJ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1</v>
      </c>
      <c r="K131" t="s">
        <v>908</v>
      </c>
      <c r="L131">
        <v>2</v>
      </c>
      <c r="M131" t="str">
        <f>VLOOKUP(ImportarStock[[#This Row],[DESCRIPCION]],DICCIONARIO[Desc color],1,0)</f>
        <v>SMG GS23U512S918B NG</v>
      </c>
    </row>
    <row r="132" spans="3:13" x14ac:dyDescent="0.25">
      <c r="C132" t="s">
        <v>1130</v>
      </c>
      <c r="D132" t="s">
        <v>1131</v>
      </c>
      <c r="E132" s="19" t="s">
        <v>1101</v>
      </c>
      <c r="F132" t="str">
        <f>VLOOKUP(DICCIONARIO[[#This Row],[Desc color]],ImportarStock[DESCRIPCION],1,0)</f>
        <v>AUDIF BT ZTE HIFI SPORT BL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8</v>
      </c>
      <c r="K132" t="s">
        <v>979</v>
      </c>
      <c r="L132">
        <v>1</v>
      </c>
      <c r="M132" t="str">
        <f>VLOOKUP(ImportarStock[[#This Row],[DESCRIPCION]],DICCIONARIO[Desc color],1,0)</f>
        <v>SMG GS23U512S918B VR</v>
      </c>
    </row>
    <row r="133" spans="3:13" x14ac:dyDescent="0.25">
      <c r="C133" t="s">
        <v>1130</v>
      </c>
      <c r="D133" t="s">
        <v>1131</v>
      </c>
      <c r="E133" s="19" t="s">
        <v>1085</v>
      </c>
      <c r="F133" t="str">
        <f>VLOOKUP(DICCIONARIO[[#This Row],[Desc color]],ImportarStock[DESCRIPCION],1,0)</f>
        <v>AUDIF CABLE LIGHTNING APPIPH BL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8</v>
      </c>
      <c r="K133" t="s">
        <v>1213</v>
      </c>
      <c r="L133">
        <v>1</v>
      </c>
      <c r="M133" t="str">
        <f>VLOOKUP(ImportarStock[[#This Row],[DESCRIPCION]],DICCIONARIO[Desc color],1,0)</f>
        <v>SMG GS23U512S918B VR WATCH4</v>
      </c>
    </row>
    <row r="134" spans="3:13" x14ac:dyDescent="0.25">
      <c r="C134" t="s">
        <v>1130</v>
      </c>
      <c r="D134" t="s">
        <v>1131</v>
      </c>
      <c r="E134" s="19" t="s">
        <v>1063</v>
      </c>
      <c r="F134" t="str">
        <f>VLOOKUP(DICCIONARIO[[#This Row],[Desc color]],ImportarStock[DESCRIPCION],1,0)</f>
        <v>AUDIF HUA FREEBUDS3 SHARKBL_SED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1</v>
      </c>
      <c r="K134" t="s">
        <v>1035</v>
      </c>
      <c r="L134">
        <v>24</v>
      </c>
      <c r="M134" t="str">
        <f>VLOOKUP(ImportarStock[[#This Row],[DESCRIPCION]],DICCIONARIO[Desc color],1,0)</f>
        <v>SMG GXA34256A346M NG</v>
      </c>
    </row>
    <row r="135" spans="3:13" x14ac:dyDescent="0.25">
      <c r="C135" t="s">
        <v>1130</v>
      </c>
      <c r="D135" t="s">
        <v>1131</v>
      </c>
      <c r="E135" s="19" t="s">
        <v>1197</v>
      </c>
      <c r="F135" t="str">
        <f>VLOOKUP(DICCIONARIO[[#This Row],[Desc color]],ImportarStock[DESCRIPCION],1,0)</f>
        <v>AUDIF I2GO GAMMER PRO AZ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1</v>
      </c>
      <c r="K135" t="s">
        <v>1245</v>
      </c>
      <c r="L135">
        <v>20</v>
      </c>
      <c r="M135" t="str">
        <f>VLOOKUP(ImportarStock[[#This Row],[DESCRIPCION]],DICCIONARIO[Desc color],1,0)</f>
        <v>SMG GXA34256A346M NG BAT+ADAP</v>
      </c>
    </row>
    <row r="136" spans="3:13" x14ac:dyDescent="0.25">
      <c r="C136" t="s">
        <v>1130</v>
      </c>
      <c r="D136" t="s">
        <v>1131</v>
      </c>
      <c r="E136" s="19" t="s">
        <v>1196</v>
      </c>
      <c r="F136" t="str">
        <f>VLOOKUP(DICCIONARIO[[#This Row],[Desc color]],ImportarStock[DESCRIPCION],1,0)</f>
        <v>AUDIF I2GO GAMMER PRO RJ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1</v>
      </c>
      <c r="K136" t="s">
        <v>1228</v>
      </c>
      <c r="L136">
        <v>3</v>
      </c>
      <c r="M136" t="str">
        <f>VLOOKUP(ImportarStock[[#This Row],[DESCRIPCION]],DICCIONARIO[Desc color],1,0)</f>
        <v>SMG GXA34256A346M NG CAMIST.PER</v>
      </c>
    </row>
    <row r="137" spans="3:13" x14ac:dyDescent="0.25">
      <c r="C137" t="s">
        <v>1130</v>
      </c>
      <c r="D137" t="s">
        <v>1131</v>
      </c>
      <c r="E137" s="19" t="s">
        <v>1065</v>
      </c>
      <c r="F137" t="e">
        <f>VLOOKUP(DICCIONARIO[[#This Row],[Desc color]],ImportarStock[DESCRIPCION],1,0)</f>
        <v>#N/A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0</v>
      </c>
      <c r="K137" t="s">
        <v>1036</v>
      </c>
      <c r="L137">
        <v>42</v>
      </c>
      <c r="M137" t="str">
        <f>VLOOKUP(ImportarStock[[#This Row],[DESCRIPCION]],DICCIONARIO[Desc color],1,0)</f>
        <v>SMG GXA54256A546E NG</v>
      </c>
    </row>
    <row r="138" spans="3:13" x14ac:dyDescent="0.25">
      <c r="C138" t="s">
        <v>1130</v>
      </c>
      <c r="D138" t="s">
        <v>1131</v>
      </c>
      <c r="E138" s="19" t="s">
        <v>1076</v>
      </c>
      <c r="F138" t="e">
        <f>VLOOKUP(DICCIONARIO[[#This Row],[Desc color]],ImportarStock[DESCRIPCION],1,0)</f>
        <v>#N/A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0</v>
      </c>
      <c r="K138" t="s">
        <v>1229</v>
      </c>
      <c r="L138">
        <v>5</v>
      </c>
      <c r="M138" t="str">
        <f>VLOOKUP(ImportarStock[[#This Row],[DESCRIPCION]],DICCIONARIO[Desc color],1,0)</f>
        <v>SMG GXA54256A546E NG CAMIST.PER</v>
      </c>
    </row>
    <row r="139" spans="3:13" x14ac:dyDescent="0.25">
      <c r="C139" t="s">
        <v>1130</v>
      </c>
      <c r="D139" t="s">
        <v>1131</v>
      </c>
      <c r="E139" s="19" t="s">
        <v>1087</v>
      </c>
      <c r="F139" t="str">
        <f>VLOOKUP(DICCIONARIO[[#This Row],[Desc color]],ImportarStock[DESCRIPCION],1,0)</f>
        <v>BALANZA XIAOMI SCALE 2BL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6</v>
      </c>
      <c r="K139" t="s">
        <v>1124</v>
      </c>
      <c r="L139">
        <v>28</v>
      </c>
      <c r="M139" t="str">
        <f>VLOOKUP(ImportarStock[[#This Row],[DESCRIPCION]],DICCIONARIO[Desc color],1,0)</f>
        <v>SMG GXYA245M128/4 NG</v>
      </c>
    </row>
    <row r="140" spans="3:13" x14ac:dyDescent="0.25">
      <c r="C140" t="s">
        <v>1130</v>
      </c>
      <c r="D140" t="s">
        <v>1131</v>
      </c>
      <c r="E140" s="19" t="s">
        <v>1195</v>
      </c>
      <c r="F140" t="str">
        <f>VLOOKUP(DICCIONARIO[[#This Row],[Desc color]],ImportarStock[DESCRIPCION],1,0)</f>
        <v>CABLE LIGHTNING TIPO C 2MT I2GO PRO GR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5</v>
      </c>
      <c r="K140" t="s">
        <v>912</v>
      </c>
      <c r="L140">
        <v>1</v>
      </c>
      <c r="M140" t="str">
        <f>VLOOKUP(ImportarStock[[#This Row],[DESCRIPCION]],DICCIONARIO[Desc color],1,0)</f>
        <v>SMG GXYS20FEGT80F AZ</v>
      </c>
    </row>
    <row r="141" spans="3:13" x14ac:dyDescent="0.25">
      <c r="C141" t="s">
        <v>1130</v>
      </c>
      <c r="D141" t="s">
        <v>1131</v>
      </c>
      <c r="E141" s="19" t="s">
        <v>1088</v>
      </c>
      <c r="F141" t="str">
        <f>VLOOKUP(DICCIONARIO[[#This Row],[Desc color]],ImportarStock[DESCRIPCION],1,0)</f>
        <v>CAMARA SMART NEXT 2K INTERIOR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1</v>
      </c>
      <c r="K141" t="s">
        <v>980</v>
      </c>
      <c r="L141">
        <v>7</v>
      </c>
      <c r="M141" t="str">
        <f>VLOOKUP(ImportarStock[[#This Row],[DESCRIPCION]],DICCIONARIO[Desc color],1,0)</f>
        <v>SMG GXYS21FE128/6 GR</v>
      </c>
    </row>
    <row r="142" spans="3:13" x14ac:dyDescent="0.25">
      <c r="C142" t="s">
        <v>1130</v>
      </c>
      <c r="D142" t="s">
        <v>1131</v>
      </c>
      <c r="E142" s="19" t="s">
        <v>1089</v>
      </c>
      <c r="F142" t="str">
        <f>VLOOKUP(DICCIONARIO[[#This Row],[Desc color]],ImportarStock[DESCRIPCION],1,0)</f>
        <v>CAMARA SMART NEXT 2K INTERIOR PK2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2</v>
      </c>
      <c r="K142" t="s">
        <v>1233</v>
      </c>
      <c r="L142">
        <v>4</v>
      </c>
      <c r="M142" t="str">
        <f>VLOOKUP(ImportarStock[[#This Row],[DESCRIPCION]],DICCIONARIO[Desc color],1,0)</f>
        <v>SMG GXYS21FE128/6 GR CAMIST.PER</v>
      </c>
    </row>
    <row r="143" spans="3:13" x14ac:dyDescent="0.25">
      <c r="C143" t="s">
        <v>1130</v>
      </c>
      <c r="D143" t="s">
        <v>1131</v>
      </c>
      <c r="E143" s="19" t="s">
        <v>1090</v>
      </c>
      <c r="F143" t="str">
        <f>VLOOKUP(DICCIONARIO[[#This Row],[Desc color]],ImportarStock[DESCRIPCION],1,0)</f>
        <v>CAMARA SMART NEXT PTZ2K INTERIOR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  <c r="K143" t="s">
        <v>983</v>
      </c>
      <c r="L143">
        <v>3</v>
      </c>
      <c r="M143" t="str">
        <f>VLOOKUP(ImportarStock[[#This Row],[DESCRIPCION]],DICCIONARIO[Desc color],1,0)</f>
        <v>SMG GXYS23U2568S9 NG</v>
      </c>
    </row>
    <row r="144" spans="3:13" x14ac:dyDescent="0.25">
      <c r="C144" t="s">
        <v>1130</v>
      </c>
      <c r="D144" t="s">
        <v>1131</v>
      </c>
      <c r="E144" s="19" t="s">
        <v>1060</v>
      </c>
      <c r="F144" t="str">
        <f>VLOOKUP(DICCIONARIO[[#This Row],[Desc color]],ImportarStock[DESCRIPCION],1,0)</f>
        <v>CAMISA BLANCA REGU FIT TXL(17 1/2)V/19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1</v>
      </c>
      <c r="K144" t="s">
        <v>1232</v>
      </c>
      <c r="L144">
        <v>1</v>
      </c>
      <c r="M144" t="str">
        <f>VLOOKUP(ImportarStock[[#This Row],[DESCRIPCION]],DICCIONARIO[Desc color],1,0)</f>
        <v>SMG GXYS23U2568S9 NG CAMIST.PER</v>
      </c>
    </row>
    <row r="145" spans="3:13" x14ac:dyDescent="0.25">
      <c r="C145" t="s">
        <v>1130</v>
      </c>
      <c r="D145" t="s">
        <v>1131</v>
      </c>
      <c r="E145" s="19" t="s">
        <v>1062</v>
      </c>
      <c r="F145" t="str">
        <f>VLOOKUP(DICCIONARIO[[#This Row],[Desc color]],ImportarStock[DESCRIPCION],1,0)</f>
        <v>CAMISA BLANCA SLIM FIT TM(15 1/2)V/19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1</v>
      </c>
      <c r="K145" t="s">
        <v>915</v>
      </c>
      <c r="L145">
        <v>2</v>
      </c>
      <c r="M145" t="str">
        <f>VLOOKUP(ImportarStock[[#This Row],[DESCRIPCION]],DICCIONARIO[Desc color],1,0)</f>
        <v>TARJETA SIM CARD 2FF/3FF 256KB IFI ALTA</v>
      </c>
    </row>
    <row r="146" spans="3:13" x14ac:dyDescent="0.25">
      <c r="C146" t="s">
        <v>1130</v>
      </c>
      <c r="D146" t="s">
        <v>1131</v>
      </c>
      <c r="E146" s="19" t="s">
        <v>1059</v>
      </c>
      <c r="F146" t="str">
        <f>VLOOKUP(DICCIONARIO[[#This Row],[Desc color]],ImportarStock[DESCRIPCION],1,0)</f>
        <v>CAMISA CELESTE REGU FIT TXL(17 1/2)V/19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1</v>
      </c>
      <c r="K146" t="s">
        <v>916</v>
      </c>
      <c r="L146">
        <v>1</v>
      </c>
      <c r="M146" t="str">
        <f>VLOOKUP(ImportarStock[[#This Row],[DESCRIPCION]],DICCIONARIO[Desc color],1,0)</f>
        <v>TARJETA SIM CARD 2FF/3FF 256KB IFI REPO</v>
      </c>
    </row>
    <row r="147" spans="3:13" x14ac:dyDescent="0.25">
      <c r="C147" t="s">
        <v>1130</v>
      </c>
      <c r="D147" t="s">
        <v>1131</v>
      </c>
      <c r="E147" s="19" t="s">
        <v>1061</v>
      </c>
      <c r="F147" t="str">
        <f>VLOOKUP(DICCIONARIO[[#This Row],[Desc color]],ImportarStock[DESCRIPCION],1,0)</f>
        <v>CAMISA CELESTE SLIM FIT TM(15 1/2)V/19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2</v>
      </c>
      <c r="K147" t="s">
        <v>1128</v>
      </c>
      <c r="L147" t="s">
        <v>1263</v>
      </c>
      <c r="M147" t="str">
        <f>VLOOKUP(ImportarStock[[#This Row],[DESCRIPCION]],DICCIONARIO[Desc color],1,0)</f>
        <v>Texto breve de material</v>
      </c>
    </row>
    <row r="148" spans="3:13" x14ac:dyDescent="0.25">
      <c r="C148" t="s">
        <v>1130</v>
      </c>
      <c r="D148" t="s">
        <v>1131</v>
      </c>
      <c r="E148" s="19" t="s">
        <v>1066</v>
      </c>
      <c r="F148" t="str">
        <f>VLOOKUP(DICCIONARIO[[#This Row],[Desc color]],ImportarStock[DESCRIPCION],1,0)</f>
        <v>CONTROL REMOTO AN-4803 ECOSS</v>
      </c>
      <c r="H148" t="e">
        <f>VLOOKUP(DICCIONARIO[[#This Row],[Modelo]],UNIFICADA[Equipo],1,0)</f>
        <v>#N/A</v>
      </c>
      <c r="I148">
        <f>IFERROR(VLOOKUP(DICCIONARIO[[#This Row],[Desc color]],ImportarStock[[DESCRIPCION]:[LIBRE UTILIZACION]],2,0),0)</f>
        <v>14</v>
      </c>
      <c r="K148" t="s">
        <v>917</v>
      </c>
      <c r="L148">
        <v>3</v>
      </c>
      <c r="M148" t="str">
        <f>VLOOKUP(ImportarStock[[#This Row],[DESCRIPCION]],DICCIONARIO[Desc color],1,0)</f>
        <v>TMC LOGICFIXO100G NG FIJO</v>
      </c>
    </row>
    <row r="149" spans="3:13" x14ac:dyDescent="0.25">
      <c r="C149" t="s">
        <v>1130</v>
      </c>
      <c r="D149" t="s">
        <v>1131</v>
      </c>
      <c r="E149" s="19" t="s">
        <v>1054</v>
      </c>
      <c r="F149" t="str">
        <f>VLOOKUP(DICCIONARIO[[#This Row],[Desc color]],ImportarStock[DESCRIPCION],1,0)</f>
        <v>CONTROL REMOTO ARION ESTANDAR - HD</v>
      </c>
      <c r="H149" t="e">
        <f>VLOOKUP(DICCIONARIO[[#This Row],[Modelo]],UNIFICADA[Equipo],1,0)</f>
        <v>#N/A</v>
      </c>
      <c r="I149">
        <f>IFERROR(VLOOKUP(DICCIONARIO[[#This Row],[Desc color]],ImportarStock[[DESCRIPCION]:[LIBRE UTILIZACION]],2,0),0)</f>
        <v>1</v>
      </c>
      <c r="K149" t="s">
        <v>1102</v>
      </c>
      <c r="L149">
        <v>2</v>
      </c>
      <c r="M149" t="str">
        <f>VLOOKUP(ImportarStock[[#This Row],[DESCRIPCION]],DICCIONARIO[Desc color],1,0)</f>
        <v>TMC LOGICFIXO100G NG FIJO SEED STOCK</v>
      </c>
    </row>
    <row r="150" spans="3:13" x14ac:dyDescent="0.25">
      <c r="C150" t="s">
        <v>1130</v>
      </c>
      <c r="D150" t="s">
        <v>1131</v>
      </c>
      <c r="E150" s="19" t="s">
        <v>1055</v>
      </c>
      <c r="F150" t="str">
        <f>VLOOKUP(DICCIONARIO[[#This Row],[Desc color]],ImportarStock[DESCRIPCION],1,0)</f>
        <v>CONTROL REMOTO COSHIP N90851 MPEG4 HDMI</v>
      </c>
      <c r="H150" t="e">
        <f>VLOOKUP(DICCIONARIO[[#This Row],[Modelo]],UNIFICADA[Equipo],1,0)</f>
        <v>#N/A</v>
      </c>
      <c r="I150">
        <f>IFERROR(VLOOKUP(DICCIONARIO[[#This Row],[Desc color]],ImportarStock[[DESCRIPCION]:[LIBRE UTILIZACION]],2,0),0)</f>
        <v>2</v>
      </c>
      <c r="K150" t="s">
        <v>797</v>
      </c>
      <c r="L150">
        <v>4</v>
      </c>
      <c r="M150" t="str">
        <f>VLOOKUP(ImportarStock[[#This Row],[DESCRIPCION]],DICCIONARIO[Desc color],1,0)</f>
        <v>VI V21 128GB 5G SD</v>
      </c>
    </row>
    <row r="151" spans="3:13" x14ac:dyDescent="0.25">
      <c r="C151" t="s">
        <v>1130</v>
      </c>
      <c r="D151" t="s">
        <v>1131</v>
      </c>
      <c r="E151" s="19" t="s">
        <v>1056</v>
      </c>
      <c r="F151" t="str">
        <f>VLOOKUP(DICCIONARIO[[#This Row],[Desc color]],ImportarStock[DESCRIPCION],1,0)</f>
        <v>CONTROL REMOTO HANDAN CD-1004SN</v>
      </c>
      <c r="H151" t="e">
        <f>VLOOKUP(DICCIONARIO[[#This Row],[Modelo]],UNIFICADA[Equipo],1,0)</f>
        <v>#N/A</v>
      </c>
      <c r="I151">
        <f>IFERROR(VLOOKUP(DICCIONARIO[[#This Row],[Desc color]],ImportarStock[[DESCRIPCION]:[LIBRE UTILIZACION]],2,0),0)</f>
        <v>6</v>
      </c>
      <c r="K151" t="s">
        <v>1117</v>
      </c>
      <c r="L151">
        <v>10</v>
      </c>
      <c r="M151" t="str">
        <f>VLOOKUP(ImportarStock[[#This Row],[DESCRIPCION]],DICCIONARIO[Desc color],1,0)</f>
        <v>VI Y16 64GB NG BUND AUDIF</v>
      </c>
    </row>
    <row r="152" spans="3:13" x14ac:dyDescent="0.25">
      <c r="C152" t="s">
        <v>1130</v>
      </c>
      <c r="D152" t="s">
        <v>1131</v>
      </c>
      <c r="E152" s="19" t="s">
        <v>1098</v>
      </c>
      <c r="F152" t="str">
        <f>VLOOKUP(DICCIONARIO[[#This Row],[Desc color]],ImportarStock[DESCRIPCION],1,0)</f>
        <v>ENCHUF SMART NEXT 220V 2PUSB NHPD610</v>
      </c>
      <c r="H152" t="e">
        <f>VLOOKUP(DICCIONARIO[[#This Row],[Modelo]],UNIFICADA[Equipo],1,0)</f>
        <v>#N/A</v>
      </c>
      <c r="I152">
        <f>IFERROR(VLOOKUP(DICCIONARIO[[#This Row],[Desc color]],ImportarStock[[DESCRIPCION]:[LIBRE UTILIZACION]],2,0),0)</f>
        <v>2</v>
      </c>
      <c r="K152" t="s">
        <v>1192</v>
      </c>
      <c r="L152">
        <v>5</v>
      </c>
      <c r="M152" t="str">
        <f>VLOOKUP(ImportarStock[[#This Row],[DESCRIPCION]],DICCIONARIO[Desc color],1,0)</f>
        <v>VI Y22S 128/6GB BL</v>
      </c>
    </row>
    <row r="153" spans="3:13" x14ac:dyDescent="0.25">
      <c r="C153" t="s">
        <v>1130</v>
      </c>
      <c r="D153" t="s">
        <v>1131</v>
      </c>
      <c r="E153" s="19" t="s">
        <v>1099</v>
      </c>
      <c r="F153" t="str">
        <f>VLOOKUP(DICCIONARIO[[#This Row],[Desc color]],ImportarStock[DESCRIPCION],1,0)</f>
        <v>ENCHUF SMART NEXT 220V 4PUSB NHPT610</v>
      </c>
      <c r="H153" t="e">
        <f>VLOOKUP(DICCIONARIO[[#This Row],[Modelo]],UNIFICADA[Equipo],1,0)</f>
        <v>#N/A</v>
      </c>
      <c r="I153">
        <f>IFERROR(VLOOKUP(DICCIONARIO[[#This Row],[Desc color]],ImportarStock[[DESCRIPCION]:[LIBRE UTILIZACION]],2,0),0)</f>
        <v>2</v>
      </c>
      <c r="K153" t="s">
        <v>1187</v>
      </c>
      <c r="L153">
        <v>5</v>
      </c>
      <c r="M153" t="str">
        <f>VLOOKUP(ImportarStock[[#This Row],[DESCRIPCION]],DICCIONARIO[Desc color],1,0)</f>
        <v>VI Y22S 128/6GB SU</v>
      </c>
    </row>
    <row r="154" spans="3:13" x14ac:dyDescent="0.25">
      <c r="C154" t="s">
        <v>1130</v>
      </c>
      <c r="D154" t="s">
        <v>1131</v>
      </c>
      <c r="E154" s="19" t="s">
        <v>1096</v>
      </c>
      <c r="F154" t="str">
        <f>VLOOKUP(DICCIONARIO[[#This Row],[Desc color]],ImportarStock[DESCRIPCION],1,0)</f>
        <v>ENCHUF SMART NEXT 220V AHIWPSO4U1PK1</v>
      </c>
      <c r="H154" t="e">
        <f>VLOOKUP(DICCIONARIO[[#This Row],[Modelo]],UNIFICADA[Equipo],1,0)</f>
        <v>#N/A</v>
      </c>
      <c r="I154">
        <f>IFERROR(VLOOKUP(DICCIONARIO[[#This Row],[Desc color]],ImportarStock[[DESCRIPCION]:[LIBRE UTILIZACION]],2,0),0)</f>
        <v>2</v>
      </c>
      <c r="K154" t="s">
        <v>1115</v>
      </c>
      <c r="L154">
        <v>4</v>
      </c>
      <c r="M154" t="str">
        <f>VLOOKUP(ImportarStock[[#This Row],[DESCRIPCION]],DICCIONARIO[Desc color],1,0)</f>
        <v>VI Y35 128GB DO BUND RELOJ</v>
      </c>
    </row>
    <row r="155" spans="3:13" x14ac:dyDescent="0.25">
      <c r="C155" t="s">
        <v>1130</v>
      </c>
      <c r="D155" t="s">
        <v>1131</v>
      </c>
      <c r="E155" s="19" t="s">
        <v>1097</v>
      </c>
      <c r="F155" t="str">
        <f>VLOOKUP(DICCIONARIO[[#This Row],[Desc color]],ImportarStock[DESCRIPCION],1,0)</f>
        <v>ENCHUF SMART NEXT 220V AHIWPSO4U1PK2</v>
      </c>
      <c r="H155" t="e">
        <f>VLOOKUP(DICCIONARIO[[#This Row],[Modelo]],UNIFICADA[Equipo],1,0)</f>
        <v>#N/A</v>
      </c>
      <c r="I155">
        <f>IFERROR(VLOOKUP(DICCIONARIO[[#This Row],[Desc color]],ImportarStock[[DESCRIPCION]:[LIBRE UTILIZACION]],2,0),0)</f>
        <v>2</v>
      </c>
      <c r="K155" t="s">
        <v>1226</v>
      </c>
      <c r="L155">
        <v>9</v>
      </c>
      <c r="M155" t="str">
        <f>VLOOKUP(ImportarStock[[#This Row],[DESCRIPCION]],DICCIONARIO[Desc color],1,0)</f>
        <v>XIA REDMI A2 32GB NG</v>
      </c>
    </row>
    <row r="156" spans="3:13" x14ac:dyDescent="0.25">
      <c r="C156" t="s">
        <v>1130</v>
      </c>
      <c r="D156" t="s">
        <v>1131</v>
      </c>
      <c r="E156" s="19" t="s">
        <v>1067</v>
      </c>
      <c r="F156" t="str">
        <f>VLOOKUP(DICCIONARIO[[#This Row],[Desc color]],ImportarStock[DESCRIPCION],1,0)</f>
        <v>EQUIPO CONTROL REMOTO UNIV URC NEGRO</v>
      </c>
      <c r="H156" t="e">
        <f>VLOOKUP(DICCIONARIO[[#This Row],[Modelo]],UNIFICADA[Equipo],1,0)</f>
        <v>#N/A</v>
      </c>
      <c r="I156">
        <f>IFERROR(VLOOKUP(DICCIONARIO[[#This Row],[Desc color]],ImportarStock[[DESCRIPCION]:[LIBRE UTILIZACION]],2,0),0)</f>
        <v>2</v>
      </c>
      <c r="K156" t="s">
        <v>1199</v>
      </c>
      <c r="L156">
        <v>24</v>
      </c>
      <c r="M156" t="str">
        <f>VLOOKUP(ImportarStock[[#This Row],[DESCRIPCION]],DICCIONARIO[Desc color],1,0)</f>
        <v>XIA REDMINOT12128 GR</v>
      </c>
    </row>
    <row r="157" spans="3:13" x14ac:dyDescent="0.25">
      <c r="C157" t="s">
        <v>1130</v>
      </c>
      <c r="D157" t="s">
        <v>1131</v>
      </c>
      <c r="E157" s="19" t="s">
        <v>1091</v>
      </c>
      <c r="F157" t="str">
        <f>VLOOKUP(DICCIONARIO[[#This Row],[Desc color]],ImportarStock[DESCRIPCION],1,0)</f>
        <v>FOCO SMARTNEXT C120 LUZCL PK2</v>
      </c>
      <c r="H157" t="e">
        <f>VLOOKUP(DICCIONARIO[[#This Row],[Modelo]],UNIFICADA[Equipo],1,0)</f>
        <v>#N/A</v>
      </c>
      <c r="I157">
        <f>IFERROR(VLOOKUP(DICCIONARIO[[#This Row],[Desc color]],ImportarStock[[DESCRIPCION]:[LIBRE UTILIZACION]],2,0),0)</f>
        <v>1</v>
      </c>
      <c r="K157" t="s">
        <v>1126</v>
      </c>
      <c r="L157">
        <v>28</v>
      </c>
      <c r="M157" t="str">
        <f>VLOOKUP(ImportarStock[[#This Row],[DESCRIPCION]],DICCIONARIO[Desc color],1,0)</f>
        <v>XIA REDMISMARTBA2 NG</v>
      </c>
    </row>
    <row r="158" spans="3:13" x14ac:dyDescent="0.25">
      <c r="C158" t="s">
        <v>1130</v>
      </c>
      <c r="D158" t="s">
        <v>1131</v>
      </c>
      <c r="E158" s="19" t="s">
        <v>1092</v>
      </c>
      <c r="F158" t="str">
        <f>VLOOKUP(DICCIONARIO[[#This Row],[Desc color]],ImportarStock[DESCRIPCION],1,0)</f>
        <v>FOCO SMARTNEXT C120 LUZCL PK3</v>
      </c>
      <c r="H158" t="e">
        <f>VLOOKUP(DICCIONARIO[[#This Row],[Modelo]],UNIFICADA[Equipo],1,0)</f>
        <v>#N/A</v>
      </c>
      <c r="I158">
        <f>IFERROR(VLOOKUP(DICCIONARIO[[#This Row],[Desc color]],ImportarStock[[DESCRIPCION]:[LIBRE UTILIZACION]],2,0),0)</f>
        <v>2</v>
      </c>
      <c r="K158" t="s">
        <v>667</v>
      </c>
      <c r="L158">
        <v>5</v>
      </c>
      <c r="M158" t="str">
        <f>VLOOKUP(ImportarStock[[#This Row],[DESCRIPCION]],DICCIONARIO[Desc color],1,0)</f>
        <v>ZTE BLADE A71 64G AZ</v>
      </c>
    </row>
    <row r="159" spans="3:13" x14ac:dyDescent="0.25">
      <c r="C159" t="s">
        <v>1130</v>
      </c>
      <c r="D159" t="s">
        <v>1131</v>
      </c>
      <c r="E159" s="19" t="s">
        <v>1093</v>
      </c>
      <c r="F159" t="str">
        <f>VLOOKUP(DICCIONARIO[[#This Row],[Desc color]],ImportarStock[DESCRIPCION],1,0)</f>
        <v>FOCO SMARTNEXT W120 LUZBL</v>
      </c>
      <c r="H159" t="e">
        <f>VLOOKUP(DICCIONARIO[[#This Row],[Modelo]],UNIFICADA[Equipo],1,0)</f>
        <v>#N/A</v>
      </c>
      <c r="I159">
        <f>IFERROR(VLOOKUP(DICCIONARIO[[#This Row],[Desc color]],ImportarStock[[DESCRIPCION]:[LIBRE UTILIZACION]],2,0),0)</f>
        <v>1</v>
      </c>
      <c r="K159" t="s">
        <v>936</v>
      </c>
      <c r="L159">
        <v>3</v>
      </c>
      <c r="M159" t="str">
        <f>VLOOKUP(ImportarStock[[#This Row],[DESCRIPCION]],DICCIONARIO[Desc color],1,0)</f>
        <v>ZTE BLADEA31P321G AZ</v>
      </c>
    </row>
    <row r="160" spans="3:13" x14ac:dyDescent="0.25">
      <c r="C160" t="s">
        <v>1130</v>
      </c>
      <c r="D160" t="s">
        <v>1131</v>
      </c>
      <c r="E160" s="19" t="s">
        <v>1094</v>
      </c>
      <c r="F160" t="str">
        <f>VLOOKUP(DICCIONARIO[[#This Row],[Desc color]],ImportarStock[DESCRIPCION],1,0)</f>
        <v>FOCO SMARTNEXT W120 LUZBL PK2</v>
      </c>
      <c r="H160" t="e">
        <f>VLOOKUP(DICCIONARIO[[#This Row],[Modelo]],UNIFICADA[Equipo],1,0)</f>
        <v>#N/A</v>
      </c>
      <c r="I160">
        <f>IFERROR(VLOOKUP(DICCIONARIO[[#This Row],[Desc color]],ImportarStock[[DESCRIPCION]:[LIBRE UTILIZACION]],2,0),0)</f>
        <v>2</v>
      </c>
      <c r="K160" t="s">
        <v>664</v>
      </c>
      <c r="L160">
        <v>9</v>
      </c>
      <c r="M160" t="str">
        <f>VLOOKUP(ImportarStock[[#This Row],[DESCRIPCION]],DICCIONARIO[Desc color],1,0)</f>
        <v>ZTE BLADEA5132GB AZ</v>
      </c>
    </row>
    <row r="161" spans="3:13" x14ac:dyDescent="0.25">
      <c r="C161" t="s">
        <v>1130</v>
      </c>
      <c r="D161" t="s">
        <v>1131</v>
      </c>
      <c r="E161" s="19" t="s">
        <v>1095</v>
      </c>
      <c r="F161" t="str">
        <f>VLOOKUP(DICCIONARIO[[#This Row],[Desc color]],ImportarStock[DESCRIPCION],1,0)</f>
        <v>FOCO SMARTNEXT W120 LUZBLPK3</v>
      </c>
      <c r="H161" t="e">
        <f>VLOOKUP(DICCIONARIO[[#This Row],[Modelo]],UNIFICADA[Equipo],1,0)</f>
        <v>#N/A</v>
      </c>
      <c r="I161">
        <f>IFERROR(VLOOKUP(DICCIONARIO[[#This Row],[Desc color]],ImportarStock[[DESCRIPCION]:[LIBRE UTILIZACION]],2,0),0)</f>
        <v>2</v>
      </c>
      <c r="K161" t="s">
        <v>938</v>
      </c>
      <c r="L161">
        <v>2</v>
      </c>
      <c r="M161" t="str">
        <f>VLOOKUP(ImportarStock[[#This Row],[DESCRIPCION]],DICCIONARIO[Desc color],1,0)</f>
        <v>ZTE MF286C BL</v>
      </c>
    </row>
    <row r="162" spans="3:13" x14ac:dyDescent="0.25">
      <c r="C162" t="s">
        <v>121</v>
      </c>
      <c r="D162" t="s">
        <v>679</v>
      </c>
      <c r="E162" s="19" t="s">
        <v>1104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HONOR 70 256GB</v>
      </c>
      <c r="I162">
        <f>IFERROR(VLOOKUP(DICCIONARIO[[#This Row],[Desc color]],ImportarStock[[DESCRIPCION]:[LIBRE UTILIZACION]],2,0),0)</f>
        <v>0</v>
      </c>
      <c r="K162" t="s">
        <v>939</v>
      </c>
      <c r="L162">
        <v>7</v>
      </c>
      <c r="M162" t="str">
        <f>VLOOKUP(ImportarStock[[#This Row],[DESCRIPCION]],DICCIONARIO[Desc color],1,0)</f>
        <v>ZTE MF920U BL PB LTE</v>
      </c>
    </row>
    <row r="163" spans="3:13" x14ac:dyDescent="0.25">
      <c r="C163" t="s">
        <v>121</v>
      </c>
      <c r="D163" t="s">
        <v>679</v>
      </c>
      <c r="E163" s="19" t="s">
        <v>874</v>
      </c>
      <c r="F163" t="str">
        <f>VLOOKUP(DICCIONARIO[[#This Row],[Desc color]],ImportarStock[DESCRIPCION],1,0)</f>
        <v>HOR 70 256GB CP MINISPEAK</v>
      </c>
      <c r="H163" t="str">
        <f>VLOOKUP(DICCIONARIO[[#This Row],[Modelo]],UNIFICADA[Equipo],1,0)</f>
        <v>HONOR 70 256GB</v>
      </c>
      <c r="I163">
        <f>IFERROR(VLOOKUP(DICCIONARIO[[#This Row],[Desc color]],ImportarStock[[DESCRIPCION]:[LIBRE UTILIZACION]],2,0),0)</f>
        <v>7</v>
      </c>
      <c r="K163" t="s">
        <v>1242</v>
      </c>
      <c r="L163">
        <v>5</v>
      </c>
      <c r="M163" t="str">
        <f>VLOOKUP(ImportarStock[[#This Row],[DESCRIPCION]],DICCIONARIO[Desc color],1,0)</f>
        <v>ZTE WATCH LIVE 2 NG</v>
      </c>
    </row>
    <row r="164" spans="3:13" x14ac:dyDescent="0.25">
      <c r="C164" t="s">
        <v>121</v>
      </c>
      <c r="D164" t="s">
        <v>679</v>
      </c>
      <c r="E164" s="19" t="s">
        <v>1105</v>
      </c>
      <c r="F164" t="e">
        <f>VLOOKUP(DICCIONARIO[[#This Row],[Desc color]],ImportarStock[DESCRIPCION],1,0)</f>
        <v>#N/A</v>
      </c>
      <c r="H164" t="str">
        <f>VLOOKUP(DICCIONARIO[[#This Row],[Modelo]],UNIFICADA[Equipo],1,0)</f>
        <v>HONOR 70 256GB</v>
      </c>
      <c r="I164">
        <f>IFERROR(VLOOKUP(DICCIONARIO[[#This Row],[Desc color]],ImportarStock[[DESCRIPCION]:[LIBRE UTILIZACION]],2,0),0)</f>
        <v>0</v>
      </c>
      <c r="K164" t="s">
        <v>1264</v>
      </c>
      <c r="L164">
        <v>1</v>
      </c>
      <c r="M164" t="str">
        <f>VLOOKUP(ImportarStock[[#This Row],[DESCRIPCION]],DICCIONARIO[Desc color],1,0)</f>
        <v>APP IPH6S32SPGSAC GR SEED STOCK C/ ACCES</v>
      </c>
    </row>
    <row r="165" spans="3:13" x14ac:dyDescent="0.25">
      <c r="C165" t="s">
        <v>121</v>
      </c>
      <c r="D165" t="s">
        <v>679</v>
      </c>
      <c r="E165" s="19" t="s">
        <v>875</v>
      </c>
      <c r="F165" t="e">
        <f>VLOOKUP(DICCIONARIO[[#This Row],[Desc color]],ImportarStock[DESCRIPCION],1,0)</f>
        <v>#N/A</v>
      </c>
      <c r="H165" t="str">
        <f>VLOOKUP(DICCIONARIO[[#This Row],[Modelo]],UNIFICADA[Equipo],1,0)</f>
        <v>HONOR 70 256GB</v>
      </c>
      <c r="I165">
        <f>IFERROR(VLOOKUP(DICCIONARIO[[#This Row],[Desc color]],ImportarStock[[DESCRIPCION]:[LIBRE UTILIZACION]],2,0),0)</f>
        <v>0</v>
      </c>
      <c r="K165" t="s">
        <v>1265</v>
      </c>
      <c r="L165">
        <v>7</v>
      </c>
      <c r="M165" t="str">
        <f>VLOOKUP(ImportarStock[[#This Row],[DESCRIPCION]],DICCIONARIO[Desc color],1,0)</f>
        <v>SMG GXA54256A546E NG BUDS2</v>
      </c>
    </row>
    <row r="166" spans="3:13" x14ac:dyDescent="0.25">
      <c r="C166" t="s">
        <v>1217</v>
      </c>
      <c r="D166" t="s">
        <v>679</v>
      </c>
      <c r="E166" s="19" t="s">
        <v>1227</v>
      </c>
      <c r="F166" t="str">
        <f>VLOOKUP(DICCIONARIO[[#This Row],[Desc color]],ImportarStock[DESCRIPCION],1,0)</f>
        <v>HOR MA5LITE256GB VE</v>
      </c>
      <c r="H166" t="str">
        <f>VLOOKUP(DICCIONARIO[[#This Row],[Modelo]],UNIFICADA[Equipo],1,0)</f>
        <v>HONOR MAGIC 5 LITE 256GB 5G</v>
      </c>
      <c r="I166">
        <f>IFERROR(VLOOKUP(DICCIONARIO[[#This Row],[Desc color]],ImportarStock[[DESCRIPCION]:[LIBRE UTILIZACION]],2,0),0)</f>
        <v>12</v>
      </c>
    </row>
    <row r="167" spans="3:13" x14ac:dyDescent="0.25">
      <c r="C167" t="s">
        <v>1217</v>
      </c>
      <c r="D167" t="s">
        <v>679</v>
      </c>
      <c r="E167" s="19" t="s">
        <v>1231</v>
      </c>
      <c r="F167" t="str">
        <f>VLOOKUP(DICCIONARIO[[#This Row],[Desc color]],ImportarStock[DESCRIPCION],1,0)</f>
        <v>HOR MA5LITE256GB VE CAMIST.PER</v>
      </c>
      <c r="H167" t="str">
        <f>VLOOKUP(DICCIONARIO[[#This Row],[Modelo]],UNIFICADA[Equipo],1,0)</f>
        <v>HONOR MAGIC 5 LITE 256GB 5G</v>
      </c>
      <c r="I167">
        <f>IFERROR(VLOOKUP(DICCIONARIO[[#This Row],[Desc color]],ImportarStock[[DESCRIPCION]:[LIBRE UTILIZACION]],2,0),0)</f>
        <v>0</v>
      </c>
    </row>
    <row r="168" spans="3:13" x14ac:dyDescent="0.25">
      <c r="C168" t="s">
        <v>946</v>
      </c>
      <c r="D168" t="s">
        <v>679</v>
      </c>
      <c r="E168" s="19" t="s">
        <v>960</v>
      </c>
      <c r="F168" t="e">
        <f>VLOOKUP(DICCIONARIO[[#This Row],[Desc color]],ImportarStock[DESCRIPCION],1,0)</f>
        <v>#N/A</v>
      </c>
      <c r="H168" t="str">
        <f>VLOOKUP(DICCIONARIO[[#This Row],[Modelo]],UNIFICADA[Equipo],1,0)</f>
        <v>HONOR MAGIC 5 LITE 128GB 5G</v>
      </c>
      <c r="I168">
        <f>IFERROR(VLOOKUP(DICCIONARIO[[#This Row],[Desc color]],ImportarStock[[DESCRIPCION]:[LIBRE UTILIZACION]],2,0),0)</f>
        <v>0</v>
      </c>
    </row>
    <row r="169" spans="3:13" x14ac:dyDescent="0.25">
      <c r="C169" t="s">
        <v>946</v>
      </c>
      <c r="D169" t="s">
        <v>679</v>
      </c>
      <c r="E169" s="19" t="s">
        <v>1046</v>
      </c>
      <c r="F169" t="e">
        <f>VLOOKUP(DICCIONARIO[[#This Row],[Desc color]],ImportarStock[DESCRIPCION],1,0)</f>
        <v>#N/A</v>
      </c>
      <c r="H169" t="str">
        <f>VLOOKUP(DICCIONARIO[[#This Row],[Modelo]],UNIFICADA[Equipo],1,0)</f>
        <v>HONOR MAGIC 5 LITE 128GB 5G</v>
      </c>
      <c r="I169">
        <f>IFERROR(VLOOKUP(DICCIONARIO[[#This Row],[Desc color]],ImportarStock[[DESCRIPCION]:[LIBRE UTILIZACION]],2,0),0)</f>
        <v>0</v>
      </c>
    </row>
    <row r="170" spans="3:13" x14ac:dyDescent="0.25">
      <c r="C170" t="s">
        <v>946</v>
      </c>
      <c r="D170" t="s">
        <v>679</v>
      </c>
      <c r="E170" s="19" t="s">
        <v>961</v>
      </c>
      <c r="F170" t="e">
        <f>VLOOKUP(DICCIONARIO[[#This Row],[Desc color]],ImportarStock[DESCRIPCION],1,0)</f>
        <v>#N/A</v>
      </c>
      <c r="H170" t="str">
        <f>VLOOKUP(DICCIONARIO[[#This Row],[Modelo]],UNIFICADA[Equipo],1,0)</f>
        <v>HONOR MAGIC 5 LITE 128GB 5G</v>
      </c>
      <c r="I170">
        <f>IFERROR(VLOOKUP(DICCIONARIO[[#This Row],[Desc color]],ImportarStock[[DESCRIPCION]:[LIBRE UTILIZACION]],2,0),0)</f>
        <v>0</v>
      </c>
    </row>
    <row r="171" spans="3:13" x14ac:dyDescent="0.25">
      <c r="C171" t="s">
        <v>946</v>
      </c>
      <c r="D171" t="s">
        <v>679</v>
      </c>
      <c r="E171" s="19" t="s">
        <v>962</v>
      </c>
      <c r="F171" t="e">
        <f>VLOOKUP(DICCIONARIO[[#This Row],[Desc color]],ImportarStock[DESCRIPCION],1,0)</f>
        <v>#N/A</v>
      </c>
      <c r="H171" t="str">
        <f>VLOOKUP(DICCIONARIO[[#This Row],[Modelo]],UNIFICADA[Equipo],1,0)</f>
        <v>HONOR MAGIC 5 LITE 128GB 5G</v>
      </c>
      <c r="I171">
        <f>IFERROR(VLOOKUP(DICCIONARIO[[#This Row],[Desc color]],ImportarStock[[DESCRIPCION]:[LIBRE UTILIZACION]],2,0),0)</f>
        <v>0</v>
      </c>
    </row>
    <row r="172" spans="3:13" x14ac:dyDescent="0.25">
      <c r="C172" t="s">
        <v>1130</v>
      </c>
      <c r="D172" t="s">
        <v>1131</v>
      </c>
      <c r="E172" s="19" t="s">
        <v>1118</v>
      </c>
      <c r="F172" t="e">
        <f>VLOOKUP(DICCIONARIO[[#This Row],[Desc color]],ImportarStock[DESCRIPCION],1,0)</f>
        <v>#N/A</v>
      </c>
      <c r="H172" t="e">
        <f>VLOOKUP(DICCIONARIO[[#This Row],[Modelo]],UNIFICADA[Equipo],1,0)</f>
        <v>#N/A</v>
      </c>
      <c r="I172">
        <f>IFERROR(VLOOKUP(DICCIONARIO[[#This Row],[Desc color]],ImportarStock[[DESCRIPCION]:[LIBRE UTILIZACION]],2,0),0)</f>
        <v>0</v>
      </c>
    </row>
    <row r="173" spans="3:13" x14ac:dyDescent="0.25">
      <c r="C173" t="s">
        <v>1130</v>
      </c>
      <c r="D173" t="s">
        <v>1131</v>
      </c>
      <c r="E173" s="19" t="s">
        <v>1119</v>
      </c>
      <c r="F173" t="str">
        <f>VLOOKUP(DICCIONARIO[[#This Row],[Desc color]],ImportarStock[DESCRIPCION],1,0)</f>
        <v>HOR WATCT900PMAXL RO</v>
      </c>
      <c r="H173" t="e">
        <f>VLOOKUP(DICCIONARIO[[#This Row],[Modelo]],UNIFICADA[Equipo],1,0)</f>
        <v>#N/A</v>
      </c>
      <c r="I173">
        <f>IFERROR(VLOOKUP(DICCIONARIO[[#This Row],[Desc color]],ImportarStock[[DESCRIPCION]:[LIBRE UTILIZACION]],2,0),0)</f>
        <v>15</v>
      </c>
    </row>
    <row r="174" spans="3:13" x14ac:dyDescent="0.25">
      <c r="C174" t="s">
        <v>122</v>
      </c>
      <c r="D174" t="s">
        <v>679</v>
      </c>
      <c r="E174" s="19" t="s">
        <v>876</v>
      </c>
      <c r="F174" t="str">
        <f>VLOOKUP(DICCIONARIO[[#This Row],[Desc color]],ImportarStock[DESCRIPCION],1,0)</f>
        <v>HOR X6 64GB NP AUDIFONO</v>
      </c>
      <c r="H174" t="str">
        <f>VLOOKUP(DICCIONARIO[[#This Row],[Modelo]],UNIFICADA[Equipo],1,0)</f>
        <v>HONOR X6 64GB</v>
      </c>
      <c r="I174">
        <f>IFERROR(VLOOKUP(DICCIONARIO[[#This Row],[Desc color]],ImportarStock[[DESCRIPCION]:[LIBRE UTILIZACION]],2,0),0)</f>
        <v>49</v>
      </c>
    </row>
    <row r="175" spans="3:13" x14ac:dyDescent="0.25">
      <c r="C175" t="s">
        <v>122</v>
      </c>
      <c r="D175" t="s">
        <v>679</v>
      </c>
      <c r="E175" s="19" t="s">
        <v>877</v>
      </c>
      <c r="F175" t="e">
        <f>VLOOKUP(DICCIONARIO[[#This Row],[Desc color]],ImportarStock[DESCRIPCION],1,0)</f>
        <v>#N/A</v>
      </c>
      <c r="H175" t="str">
        <f>VLOOKUP(DICCIONARIO[[#This Row],[Modelo]],UNIFICADA[Equipo],1,0)</f>
        <v>HONOR X6 64GB</v>
      </c>
      <c r="I175">
        <f>IFERROR(VLOOKUP(DICCIONARIO[[#This Row],[Desc color]],ImportarStock[[DESCRIPCION]:[LIBRE UTILIZACION]],2,0),0)</f>
        <v>0</v>
      </c>
    </row>
    <row r="176" spans="3:13" x14ac:dyDescent="0.25">
      <c r="C176" t="s">
        <v>122</v>
      </c>
      <c r="D176" t="s">
        <v>679</v>
      </c>
      <c r="E176" s="19" t="s">
        <v>878</v>
      </c>
      <c r="F176" t="str">
        <f>VLOOKUP(DICCIONARIO[[#This Row],[Desc color]],ImportarStock[DESCRIPCION],1,0)</f>
        <v>HOR X6 64GB ZN AUDIFONO</v>
      </c>
      <c r="H176" t="str">
        <f>VLOOKUP(DICCIONARIO[[#This Row],[Modelo]],UNIFICADA[Equipo],1,0)</f>
        <v>HONOR X6 64GB</v>
      </c>
      <c r="I176">
        <f>IFERROR(VLOOKUP(DICCIONARIO[[#This Row],[Desc color]],ImportarStock[[DESCRIPCION]:[LIBRE UTILIZACION]],2,0),0)</f>
        <v>4</v>
      </c>
    </row>
    <row r="177" spans="3:9" x14ac:dyDescent="0.25">
      <c r="C177" t="s">
        <v>589</v>
      </c>
      <c r="D177" t="s">
        <v>679</v>
      </c>
      <c r="E177" s="19" t="s">
        <v>963</v>
      </c>
      <c r="F177" t="str">
        <f>VLOOKUP(DICCIONARIO[[#This Row],[Desc color]],ImportarStock[DESCRIPCION],1,0)</f>
        <v>HOR X6S 128GB PS AUDIFONOS</v>
      </c>
      <c r="H177" t="str">
        <f>VLOOKUP(DICCIONARIO[[#This Row],[Modelo]],UNIFICADA[Equipo],1,0)</f>
        <v>HONOR X6S 128GB</v>
      </c>
      <c r="I177">
        <f>IFERROR(VLOOKUP(DICCIONARIO[[#This Row],[Desc color]],ImportarStock[[DESCRIPCION]:[LIBRE UTILIZACION]],2,0),0)</f>
        <v>2</v>
      </c>
    </row>
    <row r="178" spans="3:9" x14ac:dyDescent="0.25">
      <c r="C178" t="s">
        <v>589</v>
      </c>
      <c r="D178" t="s">
        <v>679</v>
      </c>
      <c r="E178" s="19" t="s">
        <v>879</v>
      </c>
      <c r="F178" t="str">
        <f>VLOOKUP(DICCIONARIO[[#This Row],[Desc color]],ImportarStock[DESCRIPCION],1,0)</f>
        <v>HOR X6S 128GB ZN AUDIFONOS</v>
      </c>
      <c r="H178" t="str">
        <f>VLOOKUP(DICCIONARIO[[#This Row],[Modelo]],UNIFICADA[Equipo],1,0)</f>
        <v>HONOR X6S 128GB</v>
      </c>
      <c r="I178">
        <f>IFERROR(VLOOKUP(DICCIONARIO[[#This Row],[Desc color]],ImportarStock[[DESCRIPCION]:[LIBRE UTILIZACION]],2,0),0)</f>
        <v>13</v>
      </c>
    </row>
    <row r="179" spans="3:9" x14ac:dyDescent="0.25">
      <c r="C179" t="s">
        <v>100</v>
      </c>
      <c r="D179" t="s">
        <v>679</v>
      </c>
      <c r="E179" s="19" t="s">
        <v>1020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HONOR X7 128GB PRO</v>
      </c>
      <c r="I179">
        <f>IFERROR(VLOOKUP(DICCIONARIO[[#This Row],[Desc color]],ImportarStock[[DESCRIPCION]:[LIBRE UTILIZACION]],2,0),0)</f>
        <v>0</v>
      </c>
    </row>
    <row r="180" spans="3:9" x14ac:dyDescent="0.25">
      <c r="C180" t="s">
        <v>100</v>
      </c>
      <c r="D180" t="s">
        <v>679</v>
      </c>
      <c r="E180" s="19" t="s">
        <v>1021</v>
      </c>
      <c r="F180" t="e">
        <f>VLOOKUP(DICCIONARIO[[#This Row],[Desc color]],ImportarStock[DESCRIPCION],1,0)</f>
        <v>#N/A</v>
      </c>
      <c r="H180" t="str">
        <f>VLOOKUP(DICCIONARIO[[#This Row],[Modelo]],UNIFICADA[Equipo],1,0)</f>
        <v>HONOR X7 128GB PRO</v>
      </c>
      <c r="I180">
        <f>IFERROR(VLOOKUP(DICCIONARIO[[#This Row],[Desc color]],ImportarStock[[DESCRIPCION]:[LIBRE UTILIZACION]],2,0),0)</f>
        <v>0</v>
      </c>
    </row>
    <row r="181" spans="3:9" x14ac:dyDescent="0.25">
      <c r="C181" t="s">
        <v>590</v>
      </c>
      <c r="D181" t="s">
        <v>679</v>
      </c>
      <c r="E181" s="19" t="s">
        <v>964</v>
      </c>
      <c r="F181" t="e">
        <f>VLOOKUP(DICCIONARIO[[#This Row],[Desc color]],ImportarStock[DESCRIPCION],1,0)</f>
        <v>#N/A</v>
      </c>
      <c r="H181" t="str">
        <f>VLOOKUP(DICCIONARIO[[#This Row],[Modelo]],UNIFICADA[Equipo],1,0)</f>
        <v>HONOR X7A 128GB</v>
      </c>
      <c r="I181">
        <f>IFERROR(VLOOKUP(DICCIONARIO[[#This Row],[Desc color]],ImportarStock[[DESCRIPCION]:[LIBRE UTILIZACION]],2,0),0)</f>
        <v>0</v>
      </c>
    </row>
    <row r="182" spans="3:9" x14ac:dyDescent="0.25">
      <c r="C182" t="s">
        <v>590</v>
      </c>
      <c r="D182" t="s">
        <v>679</v>
      </c>
      <c r="E182" s="19" t="s">
        <v>880</v>
      </c>
      <c r="F182" t="str">
        <f>VLOOKUP(DICCIONARIO[[#This Row],[Desc color]],ImportarStock[DESCRIPCION],1,0)</f>
        <v>HOR X7A 128GB ND CASE</v>
      </c>
      <c r="H182" t="str">
        <f>VLOOKUP(DICCIONARIO[[#This Row],[Modelo]],UNIFICADA[Equipo],1,0)</f>
        <v>HONOR X7A 128GB</v>
      </c>
      <c r="I182">
        <f>IFERROR(VLOOKUP(DICCIONARIO[[#This Row],[Desc color]],ImportarStock[[DESCRIPCION]:[LIBRE UTILIZACION]],2,0),0)</f>
        <v>27</v>
      </c>
    </row>
    <row r="183" spans="3:9" x14ac:dyDescent="0.25">
      <c r="C183" t="s">
        <v>590</v>
      </c>
      <c r="D183" t="s">
        <v>679</v>
      </c>
      <c r="E183" s="19" t="s">
        <v>965</v>
      </c>
      <c r="F183" t="str">
        <f>VLOOKUP(DICCIONARIO[[#This Row],[Desc color]],ImportarStock[DESCRIPCION],1,0)</f>
        <v>HOR X7A 128GB PN</v>
      </c>
      <c r="H183" t="str">
        <f>VLOOKUP(DICCIONARIO[[#This Row],[Modelo]],UNIFICADA[Equipo],1,0)</f>
        <v>HONOR X7A 128GB</v>
      </c>
      <c r="I183">
        <f>IFERROR(VLOOKUP(DICCIONARIO[[#This Row],[Desc color]],ImportarStock[[DESCRIPCION]:[LIBRE UTILIZACION]],2,0),0)</f>
        <v>20</v>
      </c>
    </row>
    <row r="184" spans="3:9" x14ac:dyDescent="0.25">
      <c r="C184" t="s">
        <v>590</v>
      </c>
      <c r="D184" t="s">
        <v>679</v>
      </c>
      <c r="E184" s="19" t="s">
        <v>881</v>
      </c>
      <c r="F184" t="str">
        <f>VLOOKUP(DICCIONARIO[[#This Row],[Desc color]],ImportarStock[DESCRIPCION],1,0)</f>
        <v>HOR X7A 128GB PN CASE</v>
      </c>
      <c r="H184" t="str">
        <f>VLOOKUP(DICCIONARIO[[#This Row],[Modelo]],UNIFICADA[Equipo],1,0)</f>
        <v>HONOR X7A 128GB</v>
      </c>
      <c r="I184">
        <f>IFERROR(VLOOKUP(DICCIONARIO[[#This Row],[Desc color]],ImportarStock[[DESCRIPCION]:[LIBRE UTILIZACION]],2,0),0)</f>
        <v>2</v>
      </c>
    </row>
    <row r="185" spans="3:9" x14ac:dyDescent="0.25">
      <c r="C185" t="s">
        <v>590</v>
      </c>
      <c r="D185" t="s">
        <v>679</v>
      </c>
      <c r="E185" s="19" t="s">
        <v>989</v>
      </c>
      <c r="F185" t="str">
        <f>VLOOKUP(DICCIONARIO[[#This Row],[Desc color]],ImportarStock[DESCRIPCION],1,0)</f>
        <v>HOR X7A 128GB ZN</v>
      </c>
      <c r="H185" t="str">
        <f>VLOOKUP(DICCIONARIO[[#This Row],[Modelo]],UNIFICADA[Equipo],1,0)</f>
        <v>HONOR X7A 128GB</v>
      </c>
      <c r="I185">
        <f>IFERROR(VLOOKUP(DICCIONARIO[[#This Row],[Desc color]],ImportarStock[[DESCRIPCION]:[LIBRE UTILIZACION]],2,0),0)</f>
        <v>7</v>
      </c>
    </row>
    <row r="186" spans="3:9" x14ac:dyDescent="0.25">
      <c r="C186" t="s">
        <v>590</v>
      </c>
      <c r="D186" t="s">
        <v>679</v>
      </c>
      <c r="E186" s="19" t="s">
        <v>1006</v>
      </c>
      <c r="F186" t="e">
        <f>VLOOKUP(DICCIONARIO[[#This Row],[Desc color]],ImportarStock[DESCRIPCION],1,0)</f>
        <v>#N/A</v>
      </c>
      <c r="H186" t="str">
        <f>VLOOKUP(DICCIONARIO[[#This Row],[Modelo]],UNIFICADA[Equipo],1,0)</f>
        <v>HONOR X7A 128GB</v>
      </c>
      <c r="I186">
        <f>IFERROR(VLOOKUP(DICCIONARIO[[#This Row],[Desc color]],ImportarStock[[DESCRIPCION]:[LIBRE UTILIZACION]],2,0),0)</f>
        <v>0</v>
      </c>
    </row>
    <row r="187" spans="3:9" x14ac:dyDescent="0.25">
      <c r="C187" t="s">
        <v>77</v>
      </c>
      <c r="D187" t="s">
        <v>679</v>
      </c>
      <c r="E187" s="19" t="s">
        <v>990</v>
      </c>
      <c r="F187" t="e">
        <f>VLOOKUP(DICCIONARIO[[#This Row],[Desc color]],ImportarStock[DESCRIPCION],1,0)</f>
        <v>#N/A</v>
      </c>
      <c r="H187" t="str">
        <f>VLOOKUP(DICCIONARIO[[#This Row],[Modelo]],UNIFICADA[Equipo],1,0)</f>
        <v>HONOR X8 128GB</v>
      </c>
      <c r="I187">
        <f>IFERROR(VLOOKUP(DICCIONARIO[[#This Row],[Desc color]],ImportarStock[[DESCRIPCION]:[LIBRE UTILIZACION]],2,0),0)</f>
        <v>0</v>
      </c>
    </row>
    <row r="188" spans="3:9" x14ac:dyDescent="0.25">
      <c r="C188" t="s">
        <v>602</v>
      </c>
      <c r="D188" t="s">
        <v>679</v>
      </c>
      <c r="E188" s="19" t="s">
        <v>1111</v>
      </c>
      <c r="F188" t="str">
        <f>VLOOKUP(DICCIONARIO[[#This Row],[Desc color]],ImportarStock[DESCRIPCION],1,0)</f>
        <v>HOR X8A 128GB NI</v>
      </c>
      <c r="H188" t="str">
        <f>VLOOKUP(DICCIONARIO[[#This Row],[Modelo]],UNIFICADA[Equipo],1,0)</f>
        <v>HONOR X8A 128GB</v>
      </c>
      <c r="I188">
        <f>IFERROR(VLOOKUP(DICCIONARIO[[#This Row],[Desc color]],ImportarStock[[DESCRIPCION]:[LIBRE UTILIZACION]],2,0),0)</f>
        <v>9</v>
      </c>
    </row>
    <row r="189" spans="3:9" x14ac:dyDescent="0.25">
      <c r="C189" t="s">
        <v>602</v>
      </c>
      <c r="D189" t="s">
        <v>679</v>
      </c>
      <c r="E189" s="19" t="s">
        <v>991</v>
      </c>
      <c r="F189" t="e">
        <f>VLOOKUP(DICCIONARIO[[#This Row],[Desc color]],ImportarStock[DESCRIPCION],1,0)</f>
        <v>#N/A</v>
      </c>
      <c r="H189" t="str">
        <f>VLOOKUP(DICCIONARIO[[#This Row],[Modelo]],UNIFICADA[Equipo],1,0)</f>
        <v>HONOR X8A 128GB</v>
      </c>
      <c r="I189">
        <f>IFERROR(VLOOKUP(DICCIONARIO[[#This Row],[Desc color]],ImportarStock[[DESCRIPCION]:[LIBRE UTILIZACION]],2,0),0)</f>
        <v>0</v>
      </c>
    </row>
    <row r="190" spans="3:9" x14ac:dyDescent="0.25">
      <c r="C190" t="s">
        <v>602</v>
      </c>
      <c r="D190" t="s">
        <v>679</v>
      </c>
      <c r="E190" s="19" t="s">
        <v>1041</v>
      </c>
      <c r="F190" t="e">
        <f>VLOOKUP(DICCIONARIO[[#This Row],[Desc color]],ImportarStock[DESCRIPCION],1,0)</f>
        <v>#N/A</v>
      </c>
      <c r="H190" t="str">
        <f>VLOOKUP(DICCIONARIO[[#This Row],[Modelo]],UNIFICADA[Equipo],1,0)</f>
        <v>HONOR X8A 128GB</v>
      </c>
      <c r="I190">
        <f>IFERROR(VLOOKUP(DICCIONARIO[[#This Row],[Desc color]],ImportarStock[[DESCRIPCION]:[LIBRE UTILIZACION]],2,0),0)</f>
        <v>0</v>
      </c>
    </row>
    <row r="191" spans="3:9" x14ac:dyDescent="0.25">
      <c r="C191" t="s">
        <v>602</v>
      </c>
      <c r="D191" t="s">
        <v>679</v>
      </c>
      <c r="E191" s="19" t="s">
        <v>882</v>
      </c>
      <c r="F191" t="e">
        <f>VLOOKUP(DICCIONARIO[[#This Row],[Desc color]],ImportarStock[DESCRIPCION],1,0)</f>
        <v>#N/A</v>
      </c>
      <c r="H191" t="str">
        <f>VLOOKUP(DICCIONARIO[[#This Row],[Modelo]],UNIFICADA[Equipo],1,0)</f>
        <v>HONOR X8A 128GB</v>
      </c>
      <c r="I191">
        <f>IFERROR(VLOOKUP(DICCIONARIO[[#This Row],[Desc color]],ImportarStock[[DESCRIPCION]:[LIBRE UTILIZACION]],2,0),0)</f>
        <v>0</v>
      </c>
    </row>
    <row r="192" spans="3:9" x14ac:dyDescent="0.25">
      <c r="C192" t="s">
        <v>602</v>
      </c>
      <c r="D192" t="s">
        <v>679</v>
      </c>
      <c r="E192" s="19" t="s">
        <v>1042</v>
      </c>
      <c r="F192" t="str">
        <f>VLOOKUP(DICCIONARIO[[#This Row],[Desc color]],ImportarStock[DESCRIPCION],1,0)</f>
        <v>HOR X8A 128GB QA</v>
      </c>
      <c r="H192" t="str">
        <f>VLOOKUP(DICCIONARIO[[#This Row],[Modelo]],UNIFICADA[Equipo],1,0)</f>
        <v>HONOR X8A 128GB</v>
      </c>
      <c r="I192">
        <f>IFERROR(VLOOKUP(DICCIONARIO[[#This Row],[Desc color]],ImportarStock[[DESCRIPCION]:[LIBRE UTILIZACION]],2,0),0)</f>
        <v>2</v>
      </c>
    </row>
    <row r="193" spans="2:9" x14ac:dyDescent="0.25">
      <c r="C193" t="s">
        <v>602</v>
      </c>
      <c r="D193" t="s">
        <v>679</v>
      </c>
      <c r="E193" s="19" t="s">
        <v>883</v>
      </c>
      <c r="F193" t="str">
        <f>VLOOKUP(DICCIONARIO[[#This Row],[Desc color]],ImportarStock[DESCRIPCION],1,0)</f>
        <v>HOR X8A 128GB QA PARLANTE</v>
      </c>
      <c r="H193" t="str">
        <f>VLOOKUP(DICCIONARIO[[#This Row],[Modelo]],UNIFICADA[Equipo],1,0)</f>
        <v>HONOR X8A 128GB</v>
      </c>
      <c r="I193">
        <f>IFERROR(VLOOKUP(DICCIONARIO[[#This Row],[Desc color]],ImportarStock[[DESCRIPCION]:[LIBRE UTILIZACION]],2,0),0)</f>
        <v>1</v>
      </c>
    </row>
    <row r="194" spans="2:9" x14ac:dyDescent="0.25">
      <c r="C194" t="s">
        <v>1130</v>
      </c>
      <c r="D194" t="s">
        <v>1131</v>
      </c>
      <c r="E194" s="19" t="s">
        <v>1254</v>
      </c>
      <c r="F194" t="e">
        <f>VLOOKUP(DICCIONARIO[[#This Row],[Desc color]],ImportarStock[DESCRIPCION],1,0)</f>
        <v>#N/A</v>
      </c>
      <c r="H194" t="e">
        <f>VLOOKUP(DICCIONARIO[[#This Row],[Modelo]],UNIFICADA[Equipo],1,0)</f>
        <v>#N/A</v>
      </c>
      <c r="I194">
        <f>IFERROR(VLOOKUP(DICCIONARIO[[#This Row],[Desc color]],ImportarStock[[DESCRIPCION]:[LIBRE UTILIZACION]],2,0),0)</f>
        <v>0</v>
      </c>
    </row>
    <row r="195" spans="2:9" x14ac:dyDescent="0.25">
      <c r="C195" t="s">
        <v>1130</v>
      </c>
      <c r="D195" t="s">
        <v>1131</v>
      </c>
      <c r="E195" s="19" t="s">
        <v>1113</v>
      </c>
      <c r="F195" t="str">
        <f>VLOOKUP(DICCIONARIO[[#This Row],[Desc color]],ImportarStock[DESCRIPCION],1,0)</f>
        <v>HUA BAND 7 NG</v>
      </c>
      <c r="H195" t="e">
        <f>VLOOKUP(DICCIONARIO[[#This Row],[Modelo]],UNIFICADA[Equipo],1,0)</f>
        <v>#N/A</v>
      </c>
      <c r="I195">
        <f>IFERROR(VLOOKUP(DICCIONARIO[[#This Row],[Desc color]],ImportarStock[[DESCRIPCION]:[LIBRE UTILIZACION]],2,0),0)</f>
        <v>10</v>
      </c>
    </row>
    <row r="196" spans="2:9" x14ac:dyDescent="0.25">
      <c r="B196">
        <v>70043510</v>
      </c>
      <c r="C196" t="s">
        <v>16</v>
      </c>
      <c r="D196" t="s">
        <v>679</v>
      </c>
      <c r="E196" s="19" t="s">
        <v>784</v>
      </c>
      <c r="F196" t="e">
        <f>VLOOKUP(DICCIONARIO[[#This Row],[Desc color]],ImportarStock[DESCRIPCION],1,0)</f>
        <v>#N/A</v>
      </c>
      <c r="G196" t="s">
        <v>617</v>
      </c>
      <c r="H196" t="str">
        <f>VLOOKUP(DICCIONARIO[[#This Row],[Modelo]],UNIFICADA[Equipo],1,0)</f>
        <v>HUAWEI NOVA 9 128GB</v>
      </c>
      <c r="I196">
        <f>IFERROR(VLOOKUP(DICCIONARIO[[#This Row],[Desc color]],ImportarStock[[DESCRIPCION]:[LIBRE UTILIZACION]],2,0),0)</f>
        <v>0</v>
      </c>
    </row>
    <row r="197" spans="2:9" x14ac:dyDescent="0.25">
      <c r="C197" t="s">
        <v>16</v>
      </c>
      <c r="D197" t="s">
        <v>629</v>
      </c>
      <c r="E197" s="19" t="s">
        <v>966</v>
      </c>
      <c r="F197" t="e">
        <f>VLOOKUP(DICCIONARIO[[#This Row],[Desc color]],ImportarStock[DESCRIPCION],1,0)</f>
        <v>#N/A</v>
      </c>
      <c r="H197" t="str">
        <f>VLOOKUP(DICCIONARIO[[#This Row],[Modelo]],UNIFICADA[Equipo],1,0)</f>
        <v>HUAWEI NOVA 9 128GB</v>
      </c>
      <c r="I197">
        <f>IFERROR(VLOOKUP(DICCIONARIO[[#This Row],[Desc color]],ImportarStock[[DESCRIPCION]:[LIBRE UTILIZACION]],2,0),0)</f>
        <v>0</v>
      </c>
    </row>
    <row r="198" spans="2:9" x14ac:dyDescent="0.25">
      <c r="B198">
        <v>70043509</v>
      </c>
      <c r="C198" t="s">
        <v>16</v>
      </c>
      <c r="D198" t="s">
        <v>629</v>
      </c>
      <c r="E198" s="19" t="s">
        <v>783</v>
      </c>
      <c r="F198" t="e">
        <f>VLOOKUP(DICCIONARIO[[#This Row],[Desc color]],ImportarStock[DESCRIPCION],1,0)</f>
        <v>#N/A</v>
      </c>
      <c r="G198" t="s">
        <v>617</v>
      </c>
      <c r="H198" t="str">
        <f>VLOOKUP(DICCIONARIO[[#This Row],[Modelo]],UNIFICADA[Equipo],1,0)</f>
        <v>HUAWEI NOVA 9 128GB</v>
      </c>
      <c r="I198">
        <f>IFERROR(VLOOKUP(DICCIONARIO[[#This Row],[Desc color]],ImportarStock[[DESCRIPCION]:[LIBRE UTILIZACION]],2,0),0)</f>
        <v>0</v>
      </c>
    </row>
    <row r="199" spans="2:9" x14ac:dyDescent="0.25">
      <c r="B199">
        <v>70043513</v>
      </c>
      <c r="C199" t="s">
        <v>16</v>
      </c>
      <c r="D199" t="s">
        <v>629</v>
      </c>
      <c r="E199" s="19" t="s">
        <v>785</v>
      </c>
      <c r="F199" t="e">
        <f>VLOOKUP(DICCIONARIO[[#This Row],[Desc color]],ImportarStock[DESCRIPCION],1,0)</f>
        <v>#N/A</v>
      </c>
      <c r="G199" t="s">
        <v>610</v>
      </c>
      <c r="H199" t="str">
        <f>VLOOKUP(DICCIONARIO[[#This Row],[Modelo]],UNIFICADA[Equipo],1,0)</f>
        <v>HUAWEI NOVA 9 128GB</v>
      </c>
      <c r="I199">
        <f>IFERROR(VLOOKUP(DICCIONARIO[[#This Row],[Desc color]],ImportarStock[[DESCRIPCION]:[LIBRE UTILIZACION]],2,0),0)</f>
        <v>0</v>
      </c>
    </row>
    <row r="200" spans="2:9" x14ac:dyDescent="0.25">
      <c r="C200" t="s">
        <v>127</v>
      </c>
      <c r="D200" t="s">
        <v>629</v>
      </c>
      <c r="E200" s="19" t="s">
        <v>967</v>
      </c>
      <c r="F200" t="e">
        <f>VLOOKUP(DICCIONARIO[[#This Row],[Desc color]],ImportarStock[DESCRIPCION],1,0)</f>
        <v>#N/A</v>
      </c>
      <c r="H200" t="str">
        <f>VLOOKUP(DICCIONARIO[[#This Row],[Modelo]],UNIFICADA[Equipo],1,0)</f>
        <v>HUAWEI NOVA Y90 128GB</v>
      </c>
      <c r="I200">
        <f>IFERROR(VLOOKUP(DICCIONARIO[[#This Row],[Desc color]],ImportarStock[[DESCRIPCION]:[LIBRE UTILIZACION]],2,0),0)</f>
        <v>0</v>
      </c>
    </row>
    <row r="201" spans="2:9" x14ac:dyDescent="0.25">
      <c r="C201" t="s">
        <v>95</v>
      </c>
      <c r="D201" t="s">
        <v>629</v>
      </c>
      <c r="E201" s="19" t="s">
        <v>1255</v>
      </c>
      <c r="F201" t="e">
        <f>VLOOKUP(DICCIONARIO[[#This Row],[Desc color]],ImportarStock[DESCRIPCION],1,0)</f>
        <v>#N/A</v>
      </c>
      <c r="H201" t="str">
        <f>VLOOKUP(DICCIONARIO[[#This Row],[Modelo]],UNIFICADA[Equipo],1,0)</f>
        <v>HUAWEI NOVA Y70 128GB</v>
      </c>
      <c r="I201">
        <f>IFERROR(VLOOKUP(DICCIONARIO[[#This Row],[Desc color]],ImportarStock[[DESCRIPCION]:[LIBRE UTILIZACION]],2,0),0)</f>
        <v>0</v>
      </c>
    </row>
    <row r="202" spans="2:9" x14ac:dyDescent="0.25">
      <c r="B202">
        <v>70045207</v>
      </c>
      <c r="C202" t="s">
        <v>60</v>
      </c>
      <c r="D202" t="s">
        <v>854</v>
      </c>
      <c r="E202" s="19" t="s">
        <v>856</v>
      </c>
      <c r="F202" t="e">
        <f>VLOOKUP(DICCIONARIO[[#This Row],[Desc color]],ImportarStock[DESCRIPCION],1,0)</f>
        <v>#N/A</v>
      </c>
      <c r="G202" t="s">
        <v>612</v>
      </c>
      <c r="H202" t="str">
        <f>VLOOKUP(DICCIONARIO[[#This Row],[Modelo]],UNIFICADA[Equipo],1,0)</f>
        <v>HUAWEI P50 PRO 256GB</v>
      </c>
      <c r="I202">
        <f>IFERROR(VLOOKUP(DICCIONARIO[[#This Row],[Desc color]],ImportarStock[[DESCRIPCION]:[LIBRE UTILIZACION]],2,0),0)</f>
        <v>0</v>
      </c>
    </row>
    <row r="203" spans="2:9" x14ac:dyDescent="0.25">
      <c r="B203">
        <v>70045206</v>
      </c>
      <c r="C203" t="s">
        <v>60</v>
      </c>
      <c r="D203" t="s">
        <v>854</v>
      </c>
      <c r="E203" s="19" t="s">
        <v>855</v>
      </c>
      <c r="F203" t="e">
        <f>VLOOKUP(DICCIONARIO[[#This Row],[Desc color]],ImportarStock[DESCRIPCION],1,0)</f>
        <v>#N/A</v>
      </c>
      <c r="G203" t="s">
        <v>612</v>
      </c>
      <c r="H203" t="str">
        <f>VLOOKUP(DICCIONARIO[[#This Row],[Modelo]],UNIFICADA[Equipo],1,0)</f>
        <v>HUAWEI P50 PRO 256GB</v>
      </c>
      <c r="I203">
        <f>IFERROR(VLOOKUP(DICCIONARIO[[#This Row],[Desc color]],ImportarStock[[DESCRIPCION]:[LIBRE UTILIZACION]],2,0),0)</f>
        <v>0</v>
      </c>
    </row>
    <row r="204" spans="2:9" x14ac:dyDescent="0.25">
      <c r="C204" t="s">
        <v>60</v>
      </c>
      <c r="D204" t="s">
        <v>629</v>
      </c>
      <c r="E204" s="19" t="s">
        <v>968</v>
      </c>
      <c r="F204" t="e">
        <f>VLOOKUP(DICCIONARIO[[#This Row],[Desc color]],ImportarStock[DESCRIPCION],1,0)</f>
        <v>#N/A</v>
      </c>
      <c r="H204" t="str">
        <f>VLOOKUP(DICCIONARIO[[#This Row],[Modelo]],UNIFICADA[Equipo],1,0)</f>
        <v>HUAWEI P50 PRO 256GB</v>
      </c>
      <c r="I204">
        <f>IFERROR(VLOOKUP(DICCIONARIO[[#This Row],[Desc color]],ImportarStock[[DESCRIPCION]:[LIBRE UTILIZACION]],2,0),0)</f>
        <v>0</v>
      </c>
    </row>
    <row r="205" spans="2:9" x14ac:dyDescent="0.25">
      <c r="C205" t="s">
        <v>1130</v>
      </c>
      <c r="D205" t="s">
        <v>1131</v>
      </c>
      <c r="E205" s="19" t="s">
        <v>1086</v>
      </c>
      <c r="F205" t="str">
        <f>VLOOKUP(DICCIONARIO[[#This Row],[Desc color]],ImportarStock[DESCRIPCION],1,0)</f>
        <v>HUA WA8021V5 BL</v>
      </c>
      <c r="H205" t="e">
        <f>VLOOKUP(DICCIONARIO[[#This Row],[Modelo]],UNIFICADA[Equipo],1,0)</f>
        <v>#N/A</v>
      </c>
      <c r="I205">
        <f>IFERROR(VLOOKUP(DICCIONARIO[[#This Row],[Desc color]],ImportarStock[[DESCRIPCION]:[LIBRE UTILIZACION]],2,0),0)</f>
        <v>12</v>
      </c>
    </row>
    <row r="206" spans="2:9" x14ac:dyDescent="0.25">
      <c r="C206" t="s">
        <v>17</v>
      </c>
      <c r="D206" t="s">
        <v>629</v>
      </c>
      <c r="E206" s="19" t="s">
        <v>992</v>
      </c>
      <c r="F206" t="e">
        <f>VLOOKUP(DICCIONARIO[[#This Row],[Desc color]],ImportarStock[DESCRIPCION],1,0)</f>
        <v>#N/A</v>
      </c>
      <c r="H206" t="str">
        <f>VLOOKUP(DICCIONARIO[[#This Row],[Modelo]],UNIFICADA[Equipo],1,0)</f>
        <v>HUAWEI Y9A 128GB</v>
      </c>
      <c r="I206">
        <f>IFERROR(VLOOKUP(DICCIONARIO[[#This Row],[Desc color]],ImportarStock[[DESCRIPCION]:[LIBRE UTILIZACION]],2,0),0)</f>
        <v>0</v>
      </c>
    </row>
    <row r="207" spans="2:9" x14ac:dyDescent="0.25">
      <c r="B207">
        <v>70038858</v>
      </c>
      <c r="C207" t="s">
        <v>17</v>
      </c>
      <c r="D207" t="s">
        <v>629</v>
      </c>
      <c r="E207" s="19" t="s">
        <v>653</v>
      </c>
      <c r="F207" t="e">
        <f>VLOOKUP(DICCIONARIO[[#This Row],[Desc color]],ImportarStock[DESCRIPCION],1,0)</f>
        <v>#N/A</v>
      </c>
      <c r="G207" t="s">
        <v>610</v>
      </c>
      <c r="H207" t="str">
        <f>VLOOKUP(DICCIONARIO[[#This Row],[Modelo]],UNIFICADA[Equipo],1,0)</f>
        <v>HUAWEI Y9A 128GB</v>
      </c>
      <c r="I207">
        <f>IFERROR(VLOOKUP(DICCIONARIO[[#This Row],[Desc color]],ImportarStock[[DESCRIPCION]:[LIBRE UTILIZACION]],2,0),0)</f>
        <v>0</v>
      </c>
    </row>
    <row r="208" spans="2:9" x14ac:dyDescent="0.25">
      <c r="B208">
        <v>70038859</v>
      </c>
      <c r="C208" t="s">
        <v>17</v>
      </c>
      <c r="D208" t="s">
        <v>629</v>
      </c>
      <c r="E208" s="19" t="s">
        <v>654</v>
      </c>
      <c r="F208" t="e">
        <f>VLOOKUP(DICCIONARIO[[#This Row],[Desc color]],ImportarStock[DESCRIPCION],1,0)</f>
        <v>#N/A</v>
      </c>
      <c r="G208" t="s">
        <v>630</v>
      </c>
      <c r="H208" t="str">
        <f>VLOOKUP(DICCIONARIO[[#This Row],[Modelo]],UNIFICADA[Equipo],1,0)</f>
        <v>HUAWEI Y9A 128GB</v>
      </c>
      <c r="I208">
        <f>IFERROR(VLOOKUP(DICCIONARIO[[#This Row],[Desc color]],ImportarStock[[DESCRIPCION]:[LIBRE UTILIZACION]],2,0),0)</f>
        <v>0</v>
      </c>
    </row>
    <row r="209" spans="2:9" x14ac:dyDescent="0.25">
      <c r="C209" t="s">
        <v>1130</v>
      </c>
      <c r="D209" t="s">
        <v>1131</v>
      </c>
      <c r="E209" s="19" t="s">
        <v>1203</v>
      </c>
      <c r="F209" t="str">
        <f>VLOOKUP(DICCIONARIO[[#This Row],[Desc color]],ImportarStock[DESCRIPCION],1,0)</f>
        <v>LAMPARA LED ZTE MOVABLE DESK BL</v>
      </c>
      <c r="H209" t="e">
        <f>VLOOKUP(DICCIONARIO[[#This Row],[Modelo]],UNIFICADA[Equipo],1,0)</f>
        <v>#N/A</v>
      </c>
      <c r="I209">
        <f>IFERROR(VLOOKUP(DICCIONARIO[[#This Row],[Desc color]],ImportarStock[[DESCRIPCION]:[LIBRE UTILIZACION]],2,0),0)</f>
        <v>10</v>
      </c>
    </row>
    <row r="210" spans="2:9" x14ac:dyDescent="0.25">
      <c r="C210" t="s">
        <v>1130</v>
      </c>
      <c r="D210" t="s">
        <v>1131</v>
      </c>
      <c r="E210" s="19" t="s">
        <v>1256</v>
      </c>
      <c r="F210" t="e">
        <f>VLOOKUP(DICCIONARIO[[#This Row],[Desc color]],ImportarStock[DESCRIPCION],1,0)</f>
        <v>#N/A</v>
      </c>
      <c r="H210" t="e">
        <f>VLOOKUP(DICCIONARIO[[#This Row],[Modelo]],UNIFICADA[Equipo],1,0)</f>
        <v>#N/A</v>
      </c>
      <c r="I210">
        <f>IFERROR(VLOOKUP(DICCIONARIO[[#This Row],[Desc color]],ImportarStock[[DESCRIPCION]:[LIBRE UTILIZACION]],2,0),0)</f>
        <v>0</v>
      </c>
    </row>
    <row r="211" spans="2:9" x14ac:dyDescent="0.25">
      <c r="C211" t="s">
        <v>1130</v>
      </c>
      <c r="D211" t="s">
        <v>1131</v>
      </c>
      <c r="E211" s="19" t="s">
        <v>1257</v>
      </c>
      <c r="F211" t="e">
        <f>VLOOKUP(DICCIONARIO[[#This Row],[Desc color]],ImportarStock[DESCRIPCION],1,0)</f>
        <v>#N/A</v>
      </c>
      <c r="H211" t="e">
        <f>VLOOKUP(DICCIONARIO[[#This Row],[Modelo]],UNIFICADA[Equipo],1,0)</f>
        <v>#N/A</v>
      </c>
      <c r="I211">
        <f>IFERROR(VLOOKUP(DICCIONARIO[[#This Row],[Desc color]],ImportarStock[[DESCRIPCION]:[LIBRE UTILIZACION]],2,0),0)</f>
        <v>0</v>
      </c>
    </row>
    <row r="212" spans="2:9" x14ac:dyDescent="0.25">
      <c r="C212" t="s">
        <v>46</v>
      </c>
      <c r="D212" t="s">
        <v>633</v>
      </c>
      <c r="E212" s="19" t="s">
        <v>1186</v>
      </c>
      <c r="F212" t="str">
        <f>VLOOKUP(DICCIONARIO[[#This Row],[Desc color]],ImportarStock[DESCRIPCION],1,0)</f>
        <v>MOT E30NEOXT22451 MR</v>
      </c>
      <c r="H212" t="str">
        <f>VLOOKUP(DICCIONARIO[[#This Row],[Modelo]],UNIFICADA[Equipo],1,0)</f>
        <v>MOTOROLA MOTO E30 32GB</v>
      </c>
      <c r="I212">
        <f>IFERROR(VLOOKUP(DICCIONARIO[[#This Row],[Desc color]],ImportarStock[[DESCRIPCION]:[LIBRE UTILIZACION]],2,0),0)</f>
        <v>8</v>
      </c>
    </row>
    <row r="213" spans="2:9" x14ac:dyDescent="0.25">
      <c r="C213" t="s">
        <v>46</v>
      </c>
      <c r="D213" t="s">
        <v>633</v>
      </c>
      <c r="E213" s="19" t="s">
        <v>1248</v>
      </c>
      <c r="F213" t="str">
        <f>VLOOKUP(DICCIONARIO[[#This Row],[Desc color]],ImportarStock[DESCRIPCION],1,0)</f>
        <v>MOT E30NEOXT22451 MR CAMIST.PER</v>
      </c>
      <c r="H213" t="str">
        <f>VLOOKUP(DICCIONARIO[[#This Row],[Modelo]],UNIFICADA[Equipo],1,0)</f>
        <v>MOTOROLA MOTO E30 32GB</v>
      </c>
      <c r="I213">
        <f>IFERROR(VLOOKUP(DICCIONARIO[[#This Row],[Desc color]],ImportarStock[[DESCRIPCION]:[LIBRE UTILIZACION]],2,0),0)</f>
        <v>7</v>
      </c>
    </row>
    <row r="214" spans="2:9" x14ac:dyDescent="0.25">
      <c r="C214" t="s">
        <v>46</v>
      </c>
      <c r="D214" t="s">
        <v>633</v>
      </c>
      <c r="E214" s="19" t="s">
        <v>1022</v>
      </c>
      <c r="F214" t="e">
        <f>VLOOKUP(DICCIONARIO[[#This Row],[Desc color]],ImportarStock[DESCRIPCION],1,0)</f>
        <v>#N/A</v>
      </c>
      <c r="H214" t="str">
        <f>VLOOKUP(DICCIONARIO[[#This Row],[Modelo]],UNIFICADA[Equipo],1,0)</f>
        <v>MOTOROLA MOTO E30 32GB</v>
      </c>
      <c r="I214">
        <f>IFERROR(VLOOKUP(DICCIONARIO[[#This Row],[Desc color]],ImportarStock[[DESCRIPCION]:[LIBRE UTILIZACION]],2,0),0)</f>
        <v>0</v>
      </c>
    </row>
    <row r="215" spans="2:9" x14ac:dyDescent="0.25">
      <c r="C215" t="s">
        <v>46</v>
      </c>
      <c r="D215" t="s">
        <v>633</v>
      </c>
      <c r="E215" s="19" t="s">
        <v>1247</v>
      </c>
      <c r="F215" t="str">
        <f>VLOOKUP(DICCIONARIO[[#This Row],[Desc color]],ImportarStock[DESCRIPCION],1,0)</f>
        <v>MOT E30NEOXT22451 NG CAMIST.PER</v>
      </c>
      <c r="H215" t="str">
        <f>VLOOKUP(DICCIONARIO[[#This Row],[Modelo]],UNIFICADA[Equipo],1,0)</f>
        <v>MOTOROLA MOTO E30 32GB</v>
      </c>
      <c r="I215">
        <f>IFERROR(VLOOKUP(DICCIONARIO[[#This Row],[Desc color]],ImportarStock[[DESCRIPCION]:[LIBRE UTILIZACION]],2,0),0)</f>
        <v>5</v>
      </c>
    </row>
    <row r="216" spans="2:9" x14ac:dyDescent="0.25">
      <c r="C216" t="s">
        <v>46</v>
      </c>
      <c r="D216" t="s">
        <v>633</v>
      </c>
      <c r="E216" s="19" t="s">
        <v>1219</v>
      </c>
      <c r="F216" t="e">
        <f>VLOOKUP(DICCIONARIO[[#This Row],[Desc color]],ImportarStock[DESCRIPCION],1,0)</f>
        <v>#N/A</v>
      </c>
      <c r="H216" t="str">
        <f>VLOOKUP(DICCIONARIO[[#This Row],[Modelo]],UNIFICADA[Equipo],1,0)</f>
        <v>MOTOROLA MOTO E30 32GB</v>
      </c>
      <c r="I216">
        <f>IFERROR(VLOOKUP(DICCIONARIO[[#This Row],[Desc color]],ImportarStock[[DESCRIPCION]:[LIBRE UTILIZACION]],2,0),0)</f>
        <v>0</v>
      </c>
    </row>
    <row r="217" spans="2:9" x14ac:dyDescent="0.25">
      <c r="C217" t="s">
        <v>1012</v>
      </c>
      <c r="D217" t="s">
        <v>633</v>
      </c>
      <c r="E217" s="19" t="s">
        <v>1023</v>
      </c>
      <c r="F217" t="str">
        <f>VLOOKUP(DICCIONARIO[[#This Row],[Desc color]],ImportarStock[DESCRIPCION],1,0)</f>
        <v>MOT ME1364XT23452 BM</v>
      </c>
      <c r="H217" t="str">
        <f>VLOOKUP(DICCIONARIO[[#This Row],[Modelo]],UNIFICADA[Equipo],1,0)</f>
        <v>MOTOROLA MOTO E13 64GB</v>
      </c>
      <c r="I217">
        <f>IFERROR(VLOOKUP(DICCIONARIO[[#This Row],[Desc color]],ImportarStock[[DESCRIPCION]:[LIBRE UTILIZACION]],2,0),0)</f>
        <v>48</v>
      </c>
    </row>
    <row r="218" spans="2:9" x14ac:dyDescent="0.25">
      <c r="C218" t="s">
        <v>1012</v>
      </c>
      <c r="D218" t="s">
        <v>633</v>
      </c>
      <c r="E218" s="19" t="s">
        <v>1024</v>
      </c>
      <c r="F218" t="str">
        <f>VLOOKUP(DICCIONARIO[[#This Row],[Desc color]],ImportarStock[DESCRIPCION],1,0)</f>
        <v>MOT ME1364XT23452 VD</v>
      </c>
      <c r="H218" t="str">
        <f>VLOOKUP(DICCIONARIO[[#This Row],[Modelo]],UNIFICADA[Equipo],1,0)</f>
        <v>MOTOROLA MOTO E13 64GB</v>
      </c>
      <c r="I218">
        <f>IFERROR(VLOOKUP(DICCIONARIO[[#This Row],[Desc color]],ImportarStock[[DESCRIPCION]:[LIBRE UTILIZACION]],2,0),0)</f>
        <v>36</v>
      </c>
    </row>
    <row r="219" spans="2:9" x14ac:dyDescent="0.25">
      <c r="B219">
        <v>70042479</v>
      </c>
      <c r="C219" t="s">
        <v>18</v>
      </c>
      <c r="D219" t="s">
        <v>633</v>
      </c>
      <c r="E219" s="19" t="s">
        <v>695</v>
      </c>
      <c r="F219" t="e">
        <f>VLOOKUP(DICCIONARIO[[#This Row],[Desc color]],ImportarStock[DESCRIPCION],1,0)</f>
        <v>#N/A</v>
      </c>
      <c r="G219" t="s">
        <v>673</v>
      </c>
      <c r="H219" t="str">
        <f>VLOOKUP(DICCIONARIO[[#This Row],[Modelo]],UNIFICADA[Equipo],1,0)</f>
        <v>MOTOROLA MOTO E20 32GB</v>
      </c>
      <c r="I219">
        <f>IFERROR(VLOOKUP(DICCIONARIO[[#This Row],[Desc color]],ImportarStock[[DESCRIPCION]:[LIBRE UTILIZACION]],2,0),0)</f>
        <v>0</v>
      </c>
    </row>
    <row r="220" spans="2:9" x14ac:dyDescent="0.25">
      <c r="B220">
        <v>70043064</v>
      </c>
      <c r="C220" t="s">
        <v>18</v>
      </c>
      <c r="D220" t="s">
        <v>633</v>
      </c>
      <c r="E220" s="19" t="s">
        <v>694</v>
      </c>
      <c r="F220" t="e">
        <f>VLOOKUP(DICCIONARIO[[#This Row],[Desc color]],ImportarStock[DESCRIPCION],1,0)</f>
        <v>#N/A</v>
      </c>
      <c r="G220" t="s">
        <v>692</v>
      </c>
      <c r="H220" t="str">
        <f>VLOOKUP(DICCIONARIO[[#This Row],[Modelo]],UNIFICADA[Equipo],1,0)</f>
        <v>MOTOROLA MOTO E20 32GB</v>
      </c>
      <c r="I220">
        <f>IFERROR(VLOOKUP(DICCIONARIO[[#This Row],[Desc color]],ImportarStock[[DESCRIPCION]:[LIBRE UTILIZACION]],2,0),0)</f>
        <v>0</v>
      </c>
    </row>
    <row r="221" spans="2:9" x14ac:dyDescent="0.25">
      <c r="B221">
        <v>70042480</v>
      </c>
      <c r="C221" t="s">
        <v>18</v>
      </c>
      <c r="D221" t="s">
        <v>633</v>
      </c>
      <c r="E221" s="19" t="s">
        <v>693</v>
      </c>
      <c r="F221" t="e">
        <f>VLOOKUP(DICCIONARIO[[#This Row],[Desc color]],ImportarStock[DESCRIPCION],1,0)</f>
        <v>#N/A</v>
      </c>
      <c r="G221" t="s">
        <v>673</v>
      </c>
      <c r="H221" t="str">
        <f>VLOOKUP(DICCIONARIO[[#This Row],[Modelo]],UNIFICADA[Equipo],1,0)</f>
        <v>MOTOROLA MOTO E20 32GB</v>
      </c>
      <c r="I221">
        <f>IFERROR(VLOOKUP(DICCIONARIO[[#This Row],[Desc color]],ImportarStock[[DESCRIPCION]:[LIBRE UTILIZACION]],2,0),0)</f>
        <v>0</v>
      </c>
    </row>
    <row r="222" spans="2:9" x14ac:dyDescent="0.25">
      <c r="B222">
        <v>70043063</v>
      </c>
      <c r="C222" t="s">
        <v>18</v>
      </c>
      <c r="D222" t="s">
        <v>633</v>
      </c>
      <c r="E222" s="19" t="s">
        <v>691</v>
      </c>
      <c r="F222" t="e">
        <f>VLOOKUP(DICCIONARIO[[#This Row],[Desc color]],ImportarStock[DESCRIPCION],1,0)</f>
        <v>#N/A</v>
      </c>
      <c r="G222" t="s">
        <v>692</v>
      </c>
      <c r="H222" t="str">
        <f>VLOOKUP(DICCIONARIO[[#This Row],[Modelo]],UNIFICADA[Equipo],1,0)</f>
        <v>MOTOROLA MOTO E20 32GB</v>
      </c>
      <c r="I222">
        <f>IFERROR(VLOOKUP(DICCIONARIO[[#This Row],[Desc color]],ImportarStock[[DESCRIPCION]:[LIBRE UTILIZACION]],2,0),0)</f>
        <v>0</v>
      </c>
    </row>
    <row r="223" spans="2:9" x14ac:dyDescent="0.25">
      <c r="C223" t="s">
        <v>594</v>
      </c>
      <c r="D223" t="s">
        <v>633</v>
      </c>
      <c r="E223" s="19" t="s">
        <v>884</v>
      </c>
      <c r="F223" t="str">
        <f>VLOOKUP(DICCIONARIO[[#This Row],[Desc color]],ImportarStock[DESCRIPCION],1,0)</f>
        <v>MOT ME22IXT223917 BL</v>
      </c>
      <c r="H223" t="str">
        <f>VLOOKUP(DICCIONARIO[[#This Row],[Modelo]],UNIFICADA[Equipo],1,0)</f>
        <v>MOTOROLA MOTO E22i 64GB</v>
      </c>
      <c r="I223">
        <f>IFERROR(VLOOKUP(DICCIONARIO[[#This Row],[Desc color]],ImportarStock[[DESCRIPCION]:[LIBRE UTILIZACION]],2,0),0)</f>
        <v>9</v>
      </c>
    </row>
    <row r="224" spans="2:9" x14ac:dyDescent="0.25">
      <c r="C224" t="s">
        <v>594</v>
      </c>
      <c r="D224" t="s">
        <v>633</v>
      </c>
      <c r="E224" s="19" t="s">
        <v>885</v>
      </c>
      <c r="F224" t="str">
        <f>VLOOKUP(DICCIONARIO[[#This Row],[Desc color]],ImportarStock[DESCRIPCION],1,0)</f>
        <v>MOT ME22IXT223917 GR</v>
      </c>
      <c r="H224" t="str">
        <f>VLOOKUP(DICCIONARIO[[#This Row],[Modelo]],UNIFICADA[Equipo],1,0)</f>
        <v>MOTOROLA MOTO E22i 64GB</v>
      </c>
      <c r="I224">
        <f>IFERROR(VLOOKUP(DICCIONARIO[[#This Row],[Desc color]],ImportarStock[[DESCRIPCION]:[LIBRE UTILIZACION]],2,0),0)</f>
        <v>30</v>
      </c>
    </row>
    <row r="225" spans="2:9" x14ac:dyDescent="0.25">
      <c r="B225">
        <v>70043065</v>
      </c>
      <c r="C225" t="s">
        <v>46</v>
      </c>
      <c r="D225" t="s">
        <v>633</v>
      </c>
      <c r="E225" s="19" t="s">
        <v>696</v>
      </c>
      <c r="F225" t="e">
        <f>VLOOKUP(DICCIONARIO[[#This Row],[Desc color]],ImportarStock[DESCRIPCION],1,0)</f>
        <v>#N/A</v>
      </c>
      <c r="G225" t="s">
        <v>697</v>
      </c>
      <c r="H225" t="str">
        <f>VLOOKUP(DICCIONARIO[[#This Row],[Modelo]],UNIFICADA[Equipo],1,0)</f>
        <v>MOTOROLA MOTO E30 32GB</v>
      </c>
      <c r="I225">
        <f>IFERROR(VLOOKUP(DICCIONARIO[[#This Row],[Desc color]],ImportarStock[[DESCRIPCION]:[LIBRE UTILIZACION]],2,0),0)</f>
        <v>0</v>
      </c>
    </row>
    <row r="226" spans="2:9" x14ac:dyDescent="0.25">
      <c r="C226" t="s">
        <v>101</v>
      </c>
      <c r="D226" t="s">
        <v>633</v>
      </c>
      <c r="E226" s="19" t="s">
        <v>1025</v>
      </c>
      <c r="F226" t="e">
        <f>VLOOKUP(DICCIONARIO[[#This Row],[Desc color]],ImportarStock[DESCRIPCION],1,0)</f>
        <v>#N/A</v>
      </c>
      <c r="H226" t="str">
        <f>VLOOKUP(DICCIONARIO[[#This Row],[Modelo]],UNIFICADA[Equipo],1,0)</f>
        <v>MOTOROLA MOTO E32 64GB</v>
      </c>
      <c r="I226">
        <f>IFERROR(VLOOKUP(DICCIONARIO[[#This Row],[Desc color]],ImportarStock[[DESCRIPCION]:[LIBRE UTILIZACION]],2,0),0)</f>
        <v>0</v>
      </c>
    </row>
    <row r="227" spans="2:9" x14ac:dyDescent="0.25">
      <c r="C227" t="s">
        <v>56</v>
      </c>
      <c r="D227" t="s">
        <v>633</v>
      </c>
      <c r="E227" s="19" t="s">
        <v>852</v>
      </c>
      <c r="F227" t="e">
        <f>VLOOKUP(DICCIONARIO[[#This Row],[Desc color]],ImportarStock[DESCRIPCION],1,0)</f>
        <v>#N/A</v>
      </c>
      <c r="H227" t="str">
        <f>VLOOKUP(DICCIONARIO[[#This Row],[Modelo]],UNIFICADA[Equipo],1,0)</f>
        <v>MOTOROLA G200 5G 128GB</v>
      </c>
      <c r="I227">
        <f>IFERROR(VLOOKUP(DICCIONARIO[[#This Row],[Desc color]],ImportarStock[[DESCRIPCION]:[LIBRE UTILIZACION]],2,0),0)</f>
        <v>0</v>
      </c>
    </row>
    <row r="228" spans="2:9" x14ac:dyDescent="0.25">
      <c r="C228" t="s">
        <v>76</v>
      </c>
      <c r="D228" t="s">
        <v>633</v>
      </c>
      <c r="E228" s="19" t="s">
        <v>969</v>
      </c>
      <c r="F228" t="e">
        <f>VLOOKUP(DICCIONARIO[[#This Row],[Desc color]],ImportarStock[DESCRIPCION],1,0)</f>
        <v>#N/A</v>
      </c>
      <c r="H228" t="str">
        <f>VLOOKUP(DICCIONARIO[[#This Row],[Modelo]],UNIFICADA[Equipo],1,0)</f>
        <v>MOTOROLA G22 128GB</v>
      </c>
      <c r="I228">
        <f>IFERROR(VLOOKUP(DICCIONARIO[[#This Row],[Desc color]],ImportarStock[[DESCRIPCION]:[LIBRE UTILIZACION]],2,0),0)</f>
        <v>0</v>
      </c>
    </row>
    <row r="229" spans="2:9" x14ac:dyDescent="0.25">
      <c r="C229" t="s">
        <v>76</v>
      </c>
      <c r="D229" t="s">
        <v>633</v>
      </c>
      <c r="E229" s="19" t="s">
        <v>886</v>
      </c>
      <c r="F229" t="e">
        <f>VLOOKUP(DICCIONARIO[[#This Row],[Desc color]],ImportarStock[DESCRIPCION],1,0)</f>
        <v>#N/A</v>
      </c>
      <c r="H229" t="str">
        <f>VLOOKUP(DICCIONARIO[[#This Row],[Modelo]],UNIFICADA[Equipo],1,0)</f>
        <v>MOTOROLA G22 128GB</v>
      </c>
      <c r="I229">
        <f>IFERROR(VLOOKUP(DICCIONARIO[[#This Row],[Desc color]],ImportarStock[[DESCRIPCION]:[LIBRE UTILIZACION]],2,0),0)</f>
        <v>0</v>
      </c>
    </row>
    <row r="230" spans="2:9" x14ac:dyDescent="0.25">
      <c r="C230" t="s">
        <v>988</v>
      </c>
      <c r="D230" t="s">
        <v>633</v>
      </c>
      <c r="E230" s="19" t="s">
        <v>1026</v>
      </c>
      <c r="F230" t="str">
        <f>VLOOKUP(DICCIONARIO[[#This Row],[Desc color]],ImportarStock[DESCRIPCION],1,0)</f>
        <v>MOT MG23128X23331 AX</v>
      </c>
      <c r="H230" t="str">
        <f>VLOOKUP(DICCIONARIO[[#This Row],[Modelo]],UNIFICADA[Equipo],1,0)</f>
        <v>MOTOROLA MOTO G23 128GB</v>
      </c>
      <c r="I230">
        <f>IFERROR(VLOOKUP(DICCIONARIO[[#This Row],[Desc color]],ImportarStock[[DESCRIPCION]:[LIBRE UTILIZACION]],2,0),0)</f>
        <v>80</v>
      </c>
    </row>
    <row r="231" spans="2:9" x14ac:dyDescent="0.25">
      <c r="C231" t="s">
        <v>988</v>
      </c>
      <c r="D231" t="s">
        <v>633</v>
      </c>
      <c r="E231" s="19" t="s">
        <v>1007</v>
      </c>
      <c r="F231" t="str">
        <f>VLOOKUP(DICCIONARIO[[#This Row],[Desc color]],ImportarStock[DESCRIPCION],1,0)</f>
        <v>MOT MG23128X23331 GX</v>
      </c>
      <c r="H231" t="str">
        <f>VLOOKUP(DICCIONARIO[[#This Row],[Modelo]],UNIFICADA[Equipo],1,0)</f>
        <v>MOTOROLA MOTO G23 128GB</v>
      </c>
      <c r="I231">
        <f>IFERROR(VLOOKUP(DICCIONARIO[[#This Row],[Desc color]],ImportarStock[[DESCRIPCION]:[LIBRE UTILIZACION]],2,0),0)</f>
        <v>103</v>
      </c>
    </row>
    <row r="232" spans="2:9" x14ac:dyDescent="0.25">
      <c r="B232">
        <v>70044459</v>
      </c>
      <c r="C232" t="s">
        <v>54</v>
      </c>
      <c r="D232" t="s">
        <v>633</v>
      </c>
      <c r="E232" s="19" t="s">
        <v>847</v>
      </c>
      <c r="F232" t="e">
        <f>VLOOKUP(DICCIONARIO[[#This Row],[Desc color]],ImportarStock[DESCRIPCION],1,0)</f>
        <v>#N/A</v>
      </c>
      <c r="G232" t="s">
        <v>848</v>
      </c>
      <c r="H232" t="str">
        <f>VLOOKUP(DICCIONARIO[[#This Row],[Modelo]],UNIFICADA[Equipo],1,0)</f>
        <v>MOTOROLA MOTO G51 128GB</v>
      </c>
      <c r="I232">
        <f>IFERROR(VLOOKUP(DICCIONARIO[[#This Row],[Desc color]],ImportarStock[[DESCRIPCION]:[LIBRE UTILIZACION]],2,0),0)</f>
        <v>0</v>
      </c>
    </row>
    <row r="233" spans="2:9" x14ac:dyDescent="0.25">
      <c r="B233">
        <v>70044486</v>
      </c>
      <c r="C233" t="s">
        <v>54</v>
      </c>
      <c r="D233" t="s">
        <v>633</v>
      </c>
      <c r="E233" s="19" t="s">
        <v>849</v>
      </c>
      <c r="F233" t="e">
        <f>VLOOKUP(DICCIONARIO[[#This Row],[Desc color]],ImportarStock[DESCRIPCION],1,0)</f>
        <v>#N/A</v>
      </c>
      <c r="G233" t="s">
        <v>850</v>
      </c>
      <c r="H233" t="str">
        <f>VLOOKUP(DICCIONARIO[[#This Row],[Modelo]],UNIFICADA[Equipo],1,0)</f>
        <v>MOTOROLA MOTO G51 128GB</v>
      </c>
      <c r="I233">
        <f>IFERROR(VLOOKUP(DICCIONARIO[[#This Row],[Desc color]],ImportarStock[[DESCRIPCION]:[LIBRE UTILIZACION]],2,0),0)</f>
        <v>0</v>
      </c>
    </row>
    <row r="234" spans="2:9" x14ac:dyDescent="0.25">
      <c r="C234" t="s">
        <v>1145</v>
      </c>
      <c r="D234" t="s">
        <v>633</v>
      </c>
      <c r="E234" s="19" t="s">
        <v>1184</v>
      </c>
      <c r="F234" t="e">
        <f>VLOOKUP(DICCIONARIO[[#This Row],[Desc color]],ImportarStock[DESCRIPCION],1,0)</f>
        <v>#N/A</v>
      </c>
      <c r="H234" t="str">
        <f>VLOOKUP(DICCIONARIO[[#This Row],[Modelo]],UNIFICADA[Equipo],1,0)</f>
        <v>MOTOROLA MOTO G53 128GB 5G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1145</v>
      </c>
      <c r="D235" t="s">
        <v>633</v>
      </c>
      <c r="E235" s="19" t="s">
        <v>1183</v>
      </c>
      <c r="F235" t="str">
        <f>VLOOKUP(DICCIONARIO[[#This Row],[Desc color]],ImportarStock[DESCRIPCION],1,0)</f>
        <v>MOT MG53128X23351 PI</v>
      </c>
      <c r="H235" t="str">
        <f>VLOOKUP(DICCIONARIO[[#This Row],[Modelo]],UNIFICADA[Equipo],1,0)</f>
        <v>MOTOROLA MOTO G53 128GB 5G</v>
      </c>
      <c r="I235">
        <f>IFERROR(VLOOKUP(DICCIONARIO[[#This Row],[Desc color]],ImportarStock[[DESCRIPCION]:[LIBRE UTILIZACION]],2,0),0)</f>
        <v>1</v>
      </c>
    </row>
    <row r="236" spans="2:9" x14ac:dyDescent="0.25">
      <c r="B236">
        <v>70041221</v>
      </c>
      <c r="C236" t="s">
        <v>21</v>
      </c>
      <c r="D236" t="s">
        <v>633</v>
      </c>
      <c r="E236" s="19" t="s">
        <v>672</v>
      </c>
      <c r="F236" t="e">
        <f>VLOOKUP(DICCIONARIO[[#This Row],[Desc color]],ImportarStock[DESCRIPCION],1,0)</f>
        <v>#N/A</v>
      </c>
      <c r="G236" t="s">
        <v>673</v>
      </c>
      <c r="H236" t="str">
        <f>VLOOKUP(DICCIONARIO[[#This Row],[Modelo]],UNIFICADA[Equipo],1,0)</f>
        <v>MOTOROLA MOTO G60S 128GB</v>
      </c>
      <c r="I236">
        <f>IFERROR(VLOOKUP(DICCIONARIO[[#This Row],[Desc color]],ImportarStock[[DESCRIPCION]:[LIBRE UTILIZACION]],2,0),0)</f>
        <v>0</v>
      </c>
    </row>
    <row r="237" spans="2:9" x14ac:dyDescent="0.25">
      <c r="B237">
        <v>70041242</v>
      </c>
      <c r="C237" t="s">
        <v>21</v>
      </c>
      <c r="D237" t="s">
        <v>633</v>
      </c>
      <c r="E237" s="19" t="s">
        <v>671</v>
      </c>
      <c r="F237" t="e">
        <f>VLOOKUP(DICCIONARIO[[#This Row],[Desc color]],ImportarStock[DESCRIPCION],1,0)</f>
        <v>#N/A</v>
      </c>
      <c r="G237" t="s">
        <v>617</v>
      </c>
      <c r="H237" t="str">
        <f>VLOOKUP(DICCIONARIO[[#This Row],[Modelo]],UNIFICADA[Equipo],1,0)</f>
        <v>MOTOROLA MOTO G60S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69</v>
      </c>
      <c r="D238" t="s">
        <v>633</v>
      </c>
      <c r="E238" s="19" t="s">
        <v>851</v>
      </c>
      <c r="F238" t="e">
        <f>VLOOKUP(DICCIONARIO[[#This Row],[Desc color]],ImportarStock[DESCRIPCION],1,0)</f>
        <v>#N/A</v>
      </c>
      <c r="H238" t="str">
        <f>VLOOKUP(DICCIONARIO[[#This Row],[Modelo]],UNIFICADA[Equipo],1,0)</f>
        <v>MOTOROLA MOTO G71 128GB</v>
      </c>
      <c r="I238">
        <f>IFERROR(VLOOKUP(DICCIONARIO[[#This Row],[Desc color]],ImportarStock[[DESCRIPCION]:[LIBRE UTILIZACION]],2,0),0)</f>
        <v>0</v>
      </c>
    </row>
    <row r="239" spans="2:9" x14ac:dyDescent="0.25">
      <c r="C239" t="s">
        <v>103</v>
      </c>
      <c r="D239" t="s">
        <v>633</v>
      </c>
      <c r="E239" s="19" t="s">
        <v>887</v>
      </c>
      <c r="F239" t="e">
        <f>VLOOKUP(DICCIONARIO[[#This Row],[Desc color]],ImportarStock[DESCRIPCION],1,0)</f>
        <v>#N/A</v>
      </c>
      <c r="H239" t="str">
        <f>VLOOKUP(DICCIONARIO[[#This Row],[Modelo]],UNIFICADA[Equipo],1,0)</f>
        <v>MOTOROLA MOTO G82 128GB 5G</v>
      </c>
      <c r="I239">
        <f>IFERROR(VLOOKUP(DICCIONARIO[[#This Row],[Desc color]],ImportarStock[[DESCRIPCION]:[LIBRE UTILIZACION]],2,0),0)</f>
        <v>0</v>
      </c>
    </row>
    <row r="240" spans="2:9" x14ac:dyDescent="0.25">
      <c r="C240" t="s">
        <v>1130</v>
      </c>
      <c r="D240" t="s">
        <v>1131</v>
      </c>
      <c r="E240" s="19" t="s">
        <v>1125</v>
      </c>
      <c r="F240" t="e">
        <f>VLOOKUP(DICCIONARIO[[#This Row],[Desc color]],ImportarStock[DESCRIPCION],1,0)</f>
        <v>#N/A</v>
      </c>
      <c r="H240" t="e">
        <f>VLOOKUP(DICCIONARIO[[#This Row],[Modelo]],UNIFICADA[Equipo],1,0)</f>
        <v>#N/A</v>
      </c>
      <c r="I240">
        <f>IFERROR(VLOOKUP(DICCIONARIO[[#This Row],[Desc color]],ImportarStock[[DESCRIPCION]:[LIBRE UTILIZACION]],2,0),0)</f>
        <v>0</v>
      </c>
    </row>
    <row r="241" spans="2:9" x14ac:dyDescent="0.25">
      <c r="B241">
        <v>70041380</v>
      </c>
      <c r="C241" t="s">
        <v>22</v>
      </c>
      <c r="D241" t="s">
        <v>674</v>
      </c>
      <c r="E241" s="19" t="s">
        <v>678</v>
      </c>
      <c r="F241" t="e">
        <f>VLOOKUP(DICCIONARIO[[#This Row],[Desc color]],ImportarStock[DESCRIPCION],1,0)</f>
        <v>#N/A</v>
      </c>
      <c r="G241" t="s">
        <v>617</v>
      </c>
      <c r="H241" t="e">
        <f>VLOOKUP(DICCIONARIO[[#This Row],[Modelo]],UNIFICADA[Equipo],1,0)</f>
        <v>#N/A</v>
      </c>
      <c r="I241">
        <f>IFERROR(VLOOKUP(DICCIONARIO[[#This Row],[Desc color]],ImportarStock[[DESCRIPCION]:[LIBRE UTILIZACION]],2,0),0)</f>
        <v>0</v>
      </c>
    </row>
    <row r="242" spans="2:9" x14ac:dyDescent="0.25">
      <c r="B242">
        <v>70041379</v>
      </c>
      <c r="C242" t="s">
        <v>22</v>
      </c>
      <c r="D242" t="s">
        <v>674</v>
      </c>
      <c r="E242" s="19" t="s">
        <v>677</v>
      </c>
      <c r="F242" t="e">
        <f>VLOOKUP(DICCIONARIO[[#This Row],[Desc color]],ImportarStock[DESCRIPCION],1,0)</f>
        <v>#N/A</v>
      </c>
      <c r="G242" t="s">
        <v>610</v>
      </c>
      <c r="H242" t="e">
        <f>VLOOKUP(DICCIONARIO[[#This Row],[Modelo]],UNIFICADA[Equipo],1,0)</f>
        <v>#N/A</v>
      </c>
      <c r="I242">
        <f>IFERROR(VLOOKUP(DICCIONARIO[[#This Row],[Desc color]],ImportarStock[[DESCRIPCION]:[LIBRE UTILIZACION]],2,0),0)</f>
        <v>0</v>
      </c>
    </row>
    <row r="243" spans="2:9" x14ac:dyDescent="0.25">
      <c r="C243" t="s">
        <v>471</v>
      </c>
      <c r="D243" t="s">
        <v>674</v>
      </c>
      <c r="E243" s="19" t="s">
        <v>1109</v>
      </c>
      <c r="F243" t="e">
        <f>VLOOKUP(DICCIONARIO[[#This Row],[Desc color]],ImportarStock[DESCRIPCION],1,0)</f>
        <v>#N/A</v>
      </c>
      <c r="H243" t="str">
        <f>VLOOKUP(DICCIONARIO[[#This Row],[Modelo]],UNIFICADA[Equipo],1,0)</f>
        <v>OPPO A17 64GB</v>
      </c>
      <c r="I243">
        <f>IFERROR(VLOOKUP(DICCIONARIO[[#This Row],[Desc color]],ImportarStock[[DESCRIPCION]:[LIBRE UTILIZACION]],2,0),0)</f>
        <v>0</v>
      </c>
    </row>
    <row r="244" spans="2:9" x14ac:dyDescent="0.25">
      <c r="C244" t="s">
        <v>471</v>
      </c>
      <c r="D244" t="s">
        <v>674</v>
      </c>
      <c r="E244" s="19" t="s">
        <v>888</v>
      </c>
      <c r="F244" t="e">
        <f>VLOOKUP(DICCIONARIO[[#This Row],[Desc color]],ImportarStock[DESCRIPCION],1,0)</f>
        <v>#N/A</v>
      </c>
      <c r="H244" t="str">
        <f>VLOOKUP(DICCIONARIO[[#This Row],[Modelo]],UNIFICADA[Equipo],1,0)</f>
        <v>OPPO A17 64GB</v>
      </c>
      <c r="I244">
        <f>IFERROR(VLOOKUP(DICCIONARIO[[#This Row],[Desc color]],ImportarStock[[DESCRIPCION]:[LIBRE UTILIZACION]],2,0),0)</f>
        <v>0</v>
      </c>
    </row>
    <row r="245" spans="2:9" x14ac:dyDescent="0.25">
      <c r="C245" t="s">
        <v>471</v>
      </c>
      <c r="D245" t="s">
        <v>674</v>
      </c>
      <c r="E245" s="19" t="s">
        <v>889</v>
      </c>
      <c r="F245" t="str">
        <f>VLOOKUP(DICCIONARIO[[#This Row],[Desc color]],ImportarStock[DESCRIPCION],1,0)</f>
        <v>OPP A17 64GB NG</v>
      </c>
      <c r="H245" t="str">
        <f>VLOOKUP(DICCIONARIO[[#This Row],[Modelo]],UNIFICADA[Equipo],1,0)</f>
        <v>OPPO A17 64GB</v>
      </c>
      <c r="I245">
        <f>IFERROR(VLOOKUP(DICCIONARIO[[#This Row],[Desc color]],ImportarStock[[DESCRIPCION]:[LIBRE UTILIZACION]],2,0),0)</f>
        <v>3</v>
      </c>
    </row>
    <row r="246" spans="2:9" x14ac:dyDescent="0.25">
      <c r="C246" t="s">
        <v>471</v>
      </c>
      <c r="D246" t="s">
        <v>674</v>
      </c>
      <c r="E246" s="19" t="s">
        <v>1008</v>
      </c>
      <c r="F246" t="str">
        <f>VLOOKUP(DICCIONARIO[[#This Row],[Desc color]],ImportarStock[DESCRIPCION],1,0)</f>
        <v>OPP A17 64GB NG EARPHONE</v>
      </c>
      <c r="H246" t="str">
        <f>VLOOKUP(DICCIONARIO[[#This Row],[Modelo]],UNIFICADA[Equipo],1,0)</f>
        <v>OPPO A17 64GB</v>
      </c>
      <c r="I246">
        <f>IFERROR(VLOOKUP(DICCIONARIO[[#This Row],[Desc color]],ImportarStock[[DESCRIPCION]:[LIBRE UTILIZACION]],2,0),0)</f>
        <v>7</v>
      </c>
    </row>
    <row r="247" spans="2:9" x14ac:dyDescent="0.25">
      <c r="B247">
        <v>70041378</v>
      </c>
      <c r="C247" t="s">
        <v>23</v>
      </c>
      <c r="D247" t="s">
        <v>674</v>
      </c>
      <c r="E247" s="19" t="s">
        <v>676</v>
      </c>
      <c r="F247" t="e">
        <f>VLOOKUP(DICCIONARIO[[#This Row],[Desc color]],ImportarStock[DESCRIPCION],1,0)</f>
        <v>#N/A</v>
      </c>
      <c r="G247" t="s">
        <v>617</v>
      </c>
      <c r="H247" t="str">
        <f>VLOOKUP(DICCIONARIO[[#This Row],[Modelo]],UNIFICADA[Equipo],1,0)</f>
        <v>OPPO A54 128GB</v>
      </c>
      <c r="I247">
        <f>IFERROR(VLOOKUP(DICCIONARIO[[#This Row],[Desc color]],ImportarStock[[DESCRIPCION]:[LIBRE UTILIZACION]],2,0),0)</f>
        <v>0</v>
      </c>
    </row>
    <row r="248" spans="2:9" x14ac:dyDescent="0.25">
      <c r="B248">
        <v>70044806</v>
      </c>
      <c r="C248" t="s">
        <v>23</v>
      </c>
      <c r="D248" t="s">
        <v>674</v>
      </c>
      <c r="E248" s="19" t="s">
        <v>846</v>
      </c>
      <c r="F248" t="e">
        <f>VLOOKUP(DICCIONARIO[[#This Row],[Desc color]],ImportarStock[DESCRIPCION],1,0)</f>
        <v>#N/A</v>
      </c>
      <c r="G248" t="s">
        <v>617</v>
      </c>
      <c r="H248" t="str">
        <f>VLOOKUP(DICCIONARIO[[#This Row],[Modelo]],UNIFICADA[Equipo],1,0)</f>
        <v>OPPO A54 128GB</v>
      </c>
      <c r="I248">
        <f>IFERROR(VLOOKUP(DICCIONARIO[[#This Row],[Desc color]],ImportarStock[[DESCRIPCION]:[LIBRE UTILIZACION]],2,0),0)</f>
        <v>0</v>
      </c>
    </row>
    <row r="249" spans="2:9" x14ac:dyDescent="0.25">
      <c r="B249">
        <v>70041377</v>
      </c>
      <c r="C249" t="s">
        <v>23</v>
      </c>
      <c r="D249" t="s">
        <v>674</v>
      </c>
      <c r="E249" s="19" t="s">
        <v>675</v>
      </c>
      <c r="F249" t="e">
        <f>VLOOKUP(DICCIONARIO[[#This Row],[Desc color]],ImportarStock[DESCRIPCION],1,0)</f>
        <v>#N/A</v>
      </c>
      <c r="G249" t="s">
        <v>610</v>
      </c>
      <c r="H249" t="str">
        <f>VLOOKUP(DICCIONARIO[[#This Row],[Modelo]],UNIFICADA[Equipo],1,0)</f>
        <v>OPPO A54 128GB</v>
      </c>
      <c r="I249">
        <f>IFERROR(VLOOKUP(DICCIONARIO[[#This Row],[Desc color]],ImportarStock[[DESCRIPCION]:[LIBRE UTILIZACION]],2,0),0)</f>
        <v>0</v>
      </c>
    </row>
    <row r="250" spans="2:9" x14ac:dyDescent="0.25">
      <c r="C250" t="s">
        <v>123</v>
      </c>
      <c r="D250" t="s">
        <v>674</v>
      </c>
      <c r="E250" s="19" t="s">
        <v>890</v>
      </c>
      <c r="F250" t="str">
        <f>VLOOKUP(DICCIONARIO[[#This Row],[Desc color]],ImportarStock[DESCRIPCION],1,0)</f>
        <v>OPP A57 128GB NG</v>
      </c>
      <c r="H250" t="str">
        <f>VLOOKUP(DICCIONARIO[[#This Row],[Modelo]],UNIFICADA[Equipo],1,0)</f>
        <v>OPPO A57 128GB</v>
      </c>
      <c r="I250">
        <f>IFERROR(VLOOKUP(DICCIONARIO[[#This Row],[Desc color]],ImportarStock[[DESCRIPCION]:[LIBRE UTILIZACION]],2,0),0)</f>
        <v>14</v>
      </c>
    </row>
    <row r="251" spans="2:9" x14ac:dyDescent="0.25">
      <c r="C251" t="s">
        <v>123</v>
      </c>
      <c r="D251" t="s">
        <v>674</v>
      </c>
      <c r="E251" s="19" t="s">
        <v>1258</v>
      </c>
      <c r="F251" t="e">
        <f>VLOOKUP(DICCIONARIO[[#This Row],[Desc color]],ImportarStock[DESCRIPCION],1,0)</f>
        <v>#N/A</v>
      </c>
      <c r="H251" t="str">
        <f>VLOOKUP(DICCIONARIO[[#This Row],[Modelo]],UNIFICADA[Equipo],1,0)</f>
        <v>OPPO A57 128GB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123</v>
      </c>
      <c r="D252" t="s">
        <v>674</v>
      </c>
      <c r="E252" s="19" t="s">
        <v>891</v>
      </c>
      <c r="F252" t="str">
        <f>VLOOKUP(DICCIONARIO[[#This Row],[Desc color]],ImportarStock[DESCRIPCION],1,0)</f>
        <v>OPP A57 128GB NG EARPHONES</v>
      </c>
      <c r="H252" t="str">
        <f>VLOOKUP(DICCIONARIO[[#This Row],[Modelo]],UNIFICADA[Equipo],1,0)</f>
        <v>OPPO A57 128GB</v>
      </c>
      <c r="I252">
        <f>IFERROR(VLOOKUP(DICCIONARIO[[#This Row],[Desc color]],ImportarStock[[DESCRIPCION]:[LIBRE UTILIZACION]],2,0),0)</f>
        <v>2</v>
      </c>
    </row>
    <row r="253" spans="2:9" x14ac:dyDescent="0.25">
      <c r="C253" t="s">
        <v>123</v>
      </c>
      <c r="D253" t="s">
        <v>674</v>
      </c>
      <c r="E253" s="19" t="s">
        <v>892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A57 128GB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123</v>
      </c>
      <c r="D254" t="s">
        <v>674</v>
      </c>
      <c r="E254" s="19" t="s">
        <v>970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A57 128GB</v>
      </c>
      <c r="I254">
        <f>IFERROR(VLOOKUP(DICCIONARIO[[#This Row],[Desc color]],ImportarStock[[DESCRIPCION]:[LIBRE UTILIZACION]],2,0),0)</f>
        <v>0</v>
      </c>
    </row>
    <row r="255" spans="2:9" x14ac:dyDescent="0.25">
      <c r="C255" t="s">
        <v>123</v>
      </c>
      <c r="D255" t="s">
        <v>674</v>
      </c>
      <c r="E255" s="19" t="s">
        <v>893</v>
      </c>
      <c r="F255" t="str">
        <f>VLOOKUP(DICCIONARIO[[#This Row],[Desc color]],ImportarStock[DESCRIPCION],1,0)</f>
        <v>OPP A57 128GB VR EARPHONES</v>
      </c>
      <c r="H255" t="str">
        <f>VLOOKUP(DICCIONARIO[[#This Row],[Modelo]],UNIFICADA[Equipo],1,0)</f>
        <v>OPPO A57 128GB</v>
      </c>
      <c r="I255">
        <f>IFERROR(VLOOKUP(DICCIONARIO[[#This Row],[Desc color]],ImportarStock[[DESCRIPCION]:[LIBRE UTILIZACION]],2,0),0)</f>
        <v>2</v>
      </c>
    </row>
    <row r="256" spans="2:9" x14ac:dyDescent="0.25">
      <c r="C256" t="s">
        <v>123</v>
      </c>
      <c r="D256" t="s">
        <v>674</v>
      </c>
      <c r="E256" s="19" t="s">
        <v>894</v>
      </c>
      <c r="F256" t="e">
        <f>VLOOKUP(DICCIONARIO[[#This Row],[Desc color]],ImportarStock[DESCRIPCION],1,0)</f>
        <v>#N/A</v>
      </c>
      <c r="H256" t="str">
        <f>VLOOKUP(DICCIONARIO[[#This Row],[Modelo]],UNIFICADA[Equipo],1,0)</f>
        <v>OPPO A57 128GB</v>
      </c>
      <c r="I256">
        <f>IFERROR(VLOOKUP(DICCIONARIO[[#This Row],[Desc color]],ImportarStock[[DESCRIPCION]:[LIBRE UTILIZACION]],2,0),0)</f>
        <v>0</v>
      </c>
    </row>
    <row r="257" spans="2:9" x14ac:dyDescent="0.25">
      <c r="C257" t="s">
        <v>124</v>
      </c>
      <c r="D257" t="s">
        <v>674</v>
      </c>
      <c r="E257" s="19" t="s">
        <v>895</v>
      </c>
      <c r="F257" t="e">
        <f>VLOOKUP(DICCIONARIO[[#This Row],[Desc color]],ImportarStock[DESCRIPCION],1,0)</f>
        <v>#N/A</v>
      </c>
      <c r="H257" t="str">
        <f>VLOOKUP(DICCIONARIO[[#This Row],[Modelo]],UNIFICADA[Equipo],1,0)</f>
        <v>OPPO A77 128GB</v>
      </c>
      <c r="I257">
        <f>IFERROR(VLOOKUP(DICCIONARIO[[#This Row],[Desc color]],ImportarStock[[DESCRIPCION]:[LIBRE UTILIZACION]],2,0),0)</f>
        <v>0</v>
      </c>
    </row>
    <row r="258" spans="2:9" x14ac:dyDescent="0.25">
      <c r="C258" t="s">
        <v>124</v>
      </c>
      <c r="D258" t="s">
        <v>674</v>
      </c>
      <c r="E258" s="19" t="s">
        <v>971</v>
      </c>
      <c r="F258" t="e">
        <f>VLOOKUP(DICCIONARIO[[#This Row],[Desc color]],ImportarStock[DESCRIPCION],1,0)</f>
        <v>#N/A</v>
      </c>
      <c r="H258" t="str">
        <f>VLOOKUP(DICCIONARIO[[#This Row],[Modelo]],UNIFICADA[Equipo],1,0)</f>
        <v>OPPO A77 128GB</v>
      </c>
      <c r="I258">
        <f>IFERROR(VLOOKUP(DICCIONARIO[[#This Row],[Desc color]],ImportarStock[[DESCRIPCION]:[LIBRE UTILIZACION]],2,0),0)</f>
        <v>0</v>
      </c>
    </row>
    <row r="259" spans="2:9" x14ac:dyDescent="0.25">
      <c r="C259" t="s">
        <v>124</v>
      </c>
      <c r="D259" t="s">
        <v>674</v>
      </c>
      <c r="E259" s="19" t="s">
        <v>896</v>
      </c>
      <c r="F259" t="e">
        <f>VLOOKUP(DICCIONARIO[[#This Row],[Desc color]],ImportarStock[DESCRIPCION],1,0)</f>
        <v>#N/A</v>
      </c>
      <c r="H259" t="str">
        <f>VLOOKUP(DICCIONARIO[[#This Row],[Modelo]],UNIFICADA[Equipo],1,0)</f>
        <v>OPPO A77 128GB</v>
      </c>
      <c r="I259">
        <f>IFERROR(VLOOKUP(DICCIONARIO[[#This Row],[Desc color]],ImportarStock[[DESCRIPCION]:[LIBRE UTILIZACION]],2,0),0)</f>
        <v>0</v>
      </c>
    </row>
    <row r="260" spans="2:9" x14ac:dyDescent="0.25">
      <c r="C260" t="s">
        <v>947</v>
      </c>
      <c r="D260" t="s">
        <v>674</v>
      </c>
      <c r="E260" s="19" t="s">
        <v>1190</v>
      </c>
      <c r="F260" t="str">
        <f>VLOOKUP(DICCIONARIO[[#This Row],[Desc color]],ImportarStock[DESCRIPCION],1,0)</f>
        <v>OPP A78 128GB AZ</v>
      </c>
      <c r="H260" t="str">
        <f>VLOOKUP(DICCIONARIO[[#This Row],[Modelo]],UNIFICADA[Equipo],1,0)</f>
        <v>OPPO A78 128GB</v>
      </c>
      <c r="I260">
        <f>IFERROR(VLOOKUP(DICCIONARIO[[#This Row],[Desc color]],ImportarStock[[DESCRIPCION]:[LIBRE UTILIZACION]],2,0),0)</f>
        <v>18</v>
      </c>
    </row>
    <row r="261" spans="2:9" x14ac:dyDescent="0.25">
      <c r="C261" t="s">
        <v>947</v>
      </c>
      <c r="D261" t="s">
        <v>674</v>
      </c>
      <c r="E261" s="19" t="s">
        <v>1047</v>
      </c>
      <c r="F261" t="e">
        <f>VLOOKUP(DICCIONARIO[[#This Row],[Desc color]],ImportarStock[DESCRIPCION],1,0)</f>
        <v>#N/A</v>
      </c>
      <c r="H261" t="str">
        <f>VLOOKUP(DICCIONARIO[[#This Row],[Modelo]],UNIFICADA[Equipo],1,0)</f>
        <v>OPPO A78 128GB</v>
      </c>
      <c r="I261">
        <f>IFERROR(VLOOKUP(DICCIONARIO[[#This Row],[Desc color]],ImportarStock[[DESCRIPCION]:[LIBRE UTILIZACION]],2,0),0)</f>
        <v>0</v>
      </c>
    </row>
    <row r="262" spans="2:9" x14ac:dyDescent="0.25">
      <c r="C262" t="s">
        <v>947</v>
      </c>
      <c r="D262" t="s">
        <v>674</v>
      </c>
      <c r="E262" s="19" t="s">
        <v>1129</v>
      </c>
      <c r="F262" t="e">
        <f>VLOOKUP(DICCIONARIO[[#This Row],[Desc color]],ImportarStock[DESCRIPCION],1,0)</f>
        <v>#N/A</v>
      </c>
      <c r="H262" t="str">
        <f>VLOOKUP(DICCIONARIO[[#This Row],[Modelo]],UNIFICADA[Equipo],1,0)</f>
        <v>OPPO A78 128GB</v>
      </c>
      <c r="I262">
        <f>IFERROR(VLOOKUP(DICCIONARIO[[#This Row],[Desc color]],ImportarStock[[DESCRIPCION]:[LIBRE UTILIZACION]],2,0),0)</f>
        <v>0</v>
      </c>
    </row>
    <row r="263" spans="2:9" x14ac:dyDescent="0.25">
      <c r="C263" t="s">
        <v>947</v>
      </c>
      <c r="D263" t="s">
        <v>674</v>
      </c>
      <c r="E263" s="19" t="s">
        <v>1191</v>
      </c>
      <c r="F263" t="str">
        <f>VLOOKUP(DICCIONARIO[[#This Row],[Desc color]],ImportarStock[DESCRIPCION],1,0)</f>
        <v>OPP A78 128GB NG</v>
      </c>
      <c r="H263" t="str">
        <f>VLOOKUP(DICCIONARIO[[#This Row],[Modelo]],UNIFICADA[Equipo],1,0)</f>
        <v>OPPO A78 128GB</v>
      </c>
      <c r="I263">
        <f>IFERROR(VLOOKUP(DICCIONARIO[[#This Row],[Desc color]],ImportarStock[[DESCRIPCION]:[LIBRE UTILIZACION]],2,0),0)</f>
        <v>14</v>
      </c>
    </row>
    <row r="264" spans="2:9" x14ac:dyDescent="0.25">
      <c r="C264" t="s">
        <v>947</v>
      </c>
      <c r="D264" t="s">
        <v>674</v>
      </c>
      <c r="E264" s="19" t="s">
        <v>972</v>
      </c>
      <c r="F264" t="e">
        <f>VLOOKUP(DICCIONARIO[[#This Row],[Desc color]],ImportarStock[DESCRIPCION],1,0)</f>
        <v>#N/A</v>
      </c>
      <c r="H264" t="str">
        <f>VLOOKUP(DICCIONARIO[[#This Row],[Modelo]],UNIFICADA[Equipo],1,0)</f>
        <v>OPPO A78 128GB</v>
      </c>
      <c r="I264">
        <f>IFERROR(VLOOKUP(DICCIONARIO[[#This Row],[Desc color]],ImportarStock[[DESCRIPCION]:[LIBRE UTILIZACION]],2,0),0)</f>
        <v>0</v>
      </c>
    </row>
    <row r="265" spans="2:9" x14ac:dyDescent="0.25">
      <c r="C265" t="s">
        <v>947</v>
      </c>
      <c r="D265" t="s">
        <v>674</v>
      </c>
      <c r="E265" s="19" t="s">
        <v>1122</v>
      </c>
      <c r="F265" t="e">
        <f>VLOOKUP(DICCIONARIO[[#This Row],[Desc color]],ImportarStock[DESCRIPCION],1,0)</f>
        <v>#N/A</v>
      </c>
      <c r="H265" t="str">
        <f>VLOOKUP(DICCIONARIO[[#This Row],[Modelo]],UNIFICADA[Equipo],1,0)</f>
        <v>OPPO A78 128GB</v>
      </c>
      <c r="I265">
        <f>IFERROR(VLOOKUP(DICCIONARIO[[#This Row],[Desc color]],ImportarStock[[DESCRIPCION]:[LIBRE UTILIZACION]],2,0),0)</f>
        <v>0</v>
      </c>
    </row>
    <row r="266" spans="2:9" x14ac:dyDescent="0.25">
      <c r="B266">
        <v>70043911</v>
      </c>
      <c r="C266" t="s">
        <v>52</v>
      </c>
      <c r="D266" t="s">
        <v>674</v>
      </c>
      <c r="E266" s="19" t="s">
        <v>802</v>
      </c>
      <c r="F266" t="e">
        <f>VLOOKUP(DICCIONARIO[[#This Row],[Desc color]],ImportarStock[DESCRIPCION],1,0)</f>
        <v>#N/A</v>
      </c>
      <c r="G266" t="s">
        <v>610</v>
      </c>
      <c r="H266" t="str">
        <f>VLOOKUP(DICCIONARIO[[#This Row],[Modelo]],UNIFICADA[Equipo],1,0)</f>
        <v>OPPO RENO 6 LITE 128GB</v>
      </c>
      <c r="I266">
        <f>IFERROR(VLOOKUP(DICCIONARIO[[#This Row],[Desc color]],ImportarStock[[DESCRIPCION]:[LIBRE UTILIZACION]],2,0),0)</f>
        <v>0</v>
      </c>
    </row>
    <row r="267" spans="2:9" x14ac:dyDescent="0.25">
      <c r="B267">
        <v>70043913</v>
      </c>
      <c r="C267" t="s">
        <v>52</v>
      </c>
      <c r="D267" t="s">
        <v>674</v>
      </c>
      <c r="E267" s="19" t="s">
        <v>805</v>
      </c>
      <c r="F267" t="e">
        <f>VLOOKUP(DICCIONARIO[[#This Row],[Desc color]],ImportarStock[DESCRIPCION],1,0)</f>
        <v>#N/A</v>
      </c>
      <c r="G267" t="s">
        <v>610</v>
      </c>
      <c r="H267" t="str">
        <f>VLOOKUP(DICCIONARIO[[#This Row],[Modelo]],UNIFICADA[Equipo],1,0)</f>
        <v>OPPO RENO 6 LITE 128GB</v>
      </c>
      <c r="I267">
        <f>IFERROR(VLOOKUP(DICCIONARIO[[#This Row],[Desc color]],ImportarStock[[DESCRIPCION]:[LIBRE UTILIZACION]],2,0),0)</f>
        <v>0</v>
      </c>
    </row>
    <row r="268" spans="2:9" x14ac:dyDescent="0.25">
      <c r="B268">
        <v>70043912</v>
      </c>
      <c r="C268" t="s">
        <v>52</v>
      </c>
      <c r="D268" t="s">
        <v>674</v>
      </c>
      <c r="E268" s="19" t="s">
        <v>803</v>
      </c>
      <c r="F268" t="e">
        <f>VLOOKUP(DICCIONARIO[[#This Row],[Desc color]],ImportarStock[DESCRIPCION],1,0)</f>
        <v>#N/A</v>
      </c>
      <c r="G268" t="s">
        <v>804</v>
      </c>
      <c r="H268" t="str">
        <f>VLOOKUP(DICCIONARIO[[#This Row],[Modelo]],UNIFICADA[Equipo],1,0)</f>
        <v>OPPO RENO 6 LITE 128GB</v>
      </c>
      <c r="I268">
        <f>IFERROR(VLOOKUP(DICCIONARIO[[#This Row],[Desc color]],ImportarStock[[DESCRIPCION]:[LIBRE UTILIZACION]],2,0),0)</f>
        <v>0</v>
      </c>
    </row>
    <row r="269" spans="2:9" x14ac:dyDescent="0.25">
      <c r="C269" t="s">
        <v>102</v>
      </c>
      <c r="D269" t="s">
        <v>674</v>
      </c>
      <c r="E269" s="19" t="s">
        <v>897</v>
      </c>
      <c r="F269" t="e">
        <f>VLOOKUP(DICCIONARIO[[#This Row],[Desc color]],ImportarStock[DESCRIPCION],1,0)</f>
        <v>#N/A</v>
      </c>
      <c r="H269" t="str">
        <f>VLOOKUP(DICCIONARIO[[#This Row],[Modelo]],UNIFICADA[Equipo],1,0)</f>
        <v>OPPO RENO 7 128GB</v>
      </c>
      <c r="I269">
        <f>IFERROR(VLOOKUP(DICCIONARIO[[#This Row],[Desc color]],ImportarStock[[DESCRIPCION]:[LIBRE UTILIZACION]],2,0),0)</f>
        <v>0</v>
      </c>
    </row>
    <row r="270" spans="2:9" x14ac:dyDescent="0.25">
      <c r="C270" t="s">
        <v>102</v>
      </c>
      <c r="D270" t="s">
        <v>674</v>
      </c>
      <c r="E270" s="19" t="s">
        <v>898</v>
      </c>
      <c r="F270" t="e">
        <f>VLOOKUP(DICCIONARIO[[#This Row],[Desc color]],ImportarStock[DESCRIPCION],1,0)</f>
        <v>#N/A</v>
      </c>
      <c r="H270" t="str">
        <f>VLOOKUP(DICCIONARIO[[#This Row],[Modelo]],UNIFICADA[Equipo],1,0)</f>
        <v>OPPO RENO 7 128GB</v>
      </c>
      <c r="I270">
        <f>IFERROR(VLOOKUP(DICCIONARIO[[#This Row],[Desc color]],ImportarStock[[DESCRIPCION]:[LIBRE UTILIZACION]],2,0),0)</f>
        <v>0</v>
      </c>
    </row>
    <row r="271" spans="2:9" x14ac:dyDescent="0.25">
      <c r="C271" t="s">
        <v>102</v>
      </c>
      <c r="D271" t="s">
        <v>674</v>
      </c>
      <c r="E271" s="19" t="s">
        <v>899</v>
      </c>
      <c r="F271" t="e">
        <f>VLOOKUP(DICCIONARIO[[#This Row],[Desc color]],ImportarStock[DESCRIPCION],1,0)</f>
        <v>#N/A</v>
      </c>
      <c r="H271" t="str">
        <f>VLOOKUP(DICCIONARIO[[#This Row],[Modelo]],UNIFICADA[Equipo],1,0)</f>
        <v>OPPO RENO 7 128GB</v>
      </c>
      <c r="I271">
        <f>IFERROR(VLOOKUP(DICCIONARIO[[#This Row],[Desc color]],ImportarStock[[DESCRIPCION]:[LIBRE UTILIZACION]],2,0),0)</f>
        <v>0</v>
      </c>
    </row>
    <row r="272" spans="2:9" x14ac:dyDescent="0.25">
      <c r="C272" t="s">
        <v>102</v>
      </c>
      <c r="D272" t="s">
        <v>674</v>
      </c>
      <c r="E272" s="19" t="s">
        <v>900</v>
      </c>
      <c r="F272" t="e">
        <f>VLOOKUP(DICCIONARIO[[#This Row],[Desc color]],ImportarStock[DESCRIPCION],1,0)</f>
        <v>#N/A</v>
      </c>
      <c r="H272" t="str">
        <f>VLOOKUP(DICCIONARIO[[#This Row],[Modelo]],UNIFICADA[Equipo],1,0)</f>
        <v>OPPO RENO 7 128GB</v>
      </c>
      <c r="I272">
        <f>IFERROR(VLOOKUP(DICCIONARIO[[#This Row],[Desc color]],ImportarStock[[DESCRIPCION]:[LIBRE UTILIZACION]],2,0),0)</f>
        <v>0</v>
      </c>
    </row>
    <row r="273" spans="3:9" x14ac:dyDescent="0.25">
      <c r="C273" t="s">
        <v>603</v>
      </c>
      <c r="D273" t="s">
        <v>674</v>
      </c>
      <c r="E273" s="19" t="s">
        <v>1048</v>
      </c>
      <c r="F273" t="str">
        <f>VLOOKUP(DICCIONARIO[[#This Row],[Desc color]],ImportarStock[DESCRIPCION],1,0)</f>
        <v>OPP RENO7 256GB D1</v>
      </c>
      <c r="H273" t="str">
        <f>VLOOKUP(DICCIONARIO[[#This Row],[Modelo]],UNIFICADA[Equipo],1,0)</f>
        <v>OPPO RENO 7 256GB</v>
      </c>
      <c r="I273">
        <f>IFERROR(VLOOKUP(DICCIONARIO[[#This Row],[Desc color]],ImportarStock[[DESCRIPCION]:[LIBRE UTILIZACION]],2,0),0)</f>
        <v>15</v>
      </c>
    </row>
    <row r="274" spans="3:9" x14ac:dyDescent="0.25">
      <c r="C274" t="s">
        <v>603</v>
      </c>
      <c r="D274" t="s">
        <v>674</v>
      </c>
      <c r="E274" s="19" t="s">
        <v>1009</v>
      </c>
      <c r="F274" t="e">
        <f>VLOOKUP(DICCIONARIO[[#This Row],[Desc color]],ImportarStock[DESCRIPCION],1,0)</f>
        <v>#N/A</v>
      </c>
      <c r="H274" t="str">
        <f>VLOOKUP(DICCIONARIO[[#This Row],[Modelo]],UNIFICADA[Equipo],1,0)</f>
        <v>OPPO RENO 7 256GB</v>
      </c>
      <c r="I274">
        <f>IFERROR(VLOOKUP(DICCIONARIO[[#This Row],[Desc color]],ImportarStock[[DESCRIPCION]:[LIBRE UTILIZACION]],2,0),0)</f>
        <v>0</v>
      </c>
    </row>
    <row r="275" spans="3:9" x14ac:dyDescent="0.25">
      <c r="C275" t="s">
        <v>603</v>
      </c>
      <c r="D275" t="s">
        <v>674</v>
      </c>
      <c r="E275" s="19" t="s">
        <v>1043</v>
      </c>
      <c r="F275" t="e">
        <f>VLOOKUP(DICCIONARIO[[#This Row],[Desc color]],ImportarStock[DESCRIPCION],1,0)</f>
        <v>#N/A</v>
      </c>
      <c r="H275" t="str">
        <f>VLOOKUP(DICCIONARIO[[#This Row],[Modelo]],UNIFICADA[Equipo],1,0)</f>
        <v>OPPO RENO 7 256GB</v>
      </c>
      <c r="I275">
        <f>IFERROR(VLOOKUP(DICCIONARIO[[#This Row],[Desc color]],ImportarStock[[DESCRIPCION]:[LIBRE UTILIZACION]],2,0),0)</f>
        <v>0</v>
      </c>
    </row>
    <row r="276" spans="3:9" x14ac:dyDescent="0.25">
      <c r="C276" t="s">
        <v>603</v>
      </c>
      <c r="D276" t="s">
        <v>674</v>
      </c>
      <c r="E276" s="19" t="s">
        <v>1230</v>
      </c>
      <c r="F276" t="str">
        <f>VLOOKUP(DICCIONARIO[[#This Row],[Desc color]],ImportarStock[DESCRIPCION],1,0)</f>
        <v>OPP RENO7 256GB NH CAMIST.PER</v>
      </c>
      <c r="H276" t="str">
        <f>VLOOKUP(DICCIONARIO[[#This Row],[Modelo]],UNIFICADA[Equipo],1,0)</f>
        <v>OPPO RENO 7 256GB</v>
      </c>
      <c r="I276">
        <f>IFERROR(VLOOKUP(DICCIONARIO[[#This Row],[Desc color]],ImportarStock[[DESCRIPCION]:[LIBRE UTILIZACION]],2,0),0)</f>
        <v>1</v>
      </c>
    </row>
    <row r="277" spans="3:9" x14ac:dyDescent="0.25">
      <c r="C277" t="s">
        <v>603</v>
      </c>
      <c r="D277" t="s">
        <v>674</v>
      </c>
      <c r="E277" s="19" t="s">
        <v>973</v>
      </c>
      <c r="F277" t="e">
        <f>VLOOKUP(DICCIONARIO[[#This Row],[Desc color]],ImportarStock[DESCRIPCION],1,0)</f>
        <v>#N/A</v>
      </c>
      <c r="H277" t="str">
        <f>VLOOKUP(DICCIONARIO[[#This Row],[Modelo]],UNIFICADA[Equipo],1,0)</f>
        <v>OPPO RENO 7 256GB</v>
      </c>
      <c r="I277">
        <f>IFERROR(VLOOKUP(DICCIONARIO[[#This Row],[Desc color]],ImportarStock[[DESCRIPCION]:[LIBRE UTILIZACION]],2,0),0)</f>
        <v>0</v>
      </c>
    </row>
    <row r="278" spans="3:9" x14ac:dyDescent="0.25">
      <c r="C278" t="s">
        <v>1130</v>
      </c>
      <c r="D278" t="s">
        <v>1131</v>
      </c>
      <c r="E278" s="19" t="s">
        <v>1068</v>
      </c>
      <c r="F278" t="str">
        <f>VLOOKUP(DICCIONARIO[[#This Row],[Desc color]],ImportarStock[DESCRIPCION],1,0)</f>
        <v>PACK SIM CARD PRE ASOC 256KB TELF FIJO</v>
      </c>
      <c r="H278" t="e">
        <f>VLOOKUP(DICCIONARIO[[#This Row],[Modelo]],UNIFICADA[Equipo],1,0)</f>
        <v>#N/A</v>
      </c>
      <c r="I278">
        <f>IFERROR(VLOOKUP(DICCIONARIO[[#This Row],[Desc color]],ImportarStock[[DESCRIPCION]:[LIBRE UTILIZACION]],2,0),0)</f>
        <v>3</v>
      </c>
    </row>
    <row r="279" spans="3:9" x14ac:dyDescent="0.25">
      <c r="C279" t="s">
        <v>1130</v>
      </c>
      <c r="D279" t="s">
        <v>1131</v>
      </c>
      <c r="E279" s="19" t="s">
        <v>1069</v>
      </c>
      <c r="F279" t="str">
        <f>VLOOKUP(DICCIONARIO[[#This Row],[Desc color]],ImportarStock[DESCRIPCION],1,0)</f>
        <v>PACK SIM CARD REPUESTO TFI 256KB</v>
      </c>
      <c r="H279" t="e">
        <f>VLOOKUP(DICCIONARIO[[#This Row],[Modelo]],UNIFICADA[Equipo],1,0)</f>
        <v>#N/A</v>
      </c>
      <c r="I279">
        <f>IFERROR(VLOOKUP(DICCIONARIO[[#This Row],[Desc color]],ImportarStock[[DESCRIPCION]:[LIBRE UTILIZACION]],2,0),0)</f>
        <v>7</v>
      </c>
    </row>
    <row r="280" spans="3:9" x14ac:dyDescent="0.25">
      <c r="C280" t="s">
        <v>1130</v>
      </c>
      <c r="D280" t="s">
        <v>1131</v>
      </c>
      <c r="E280" s="19" t="s">
        <v>1057</v>
      </c>
      <c r="F280" t="str">
        <f>VLOOKUP(DICCIONARIO[[#This Row],[Desc color]],ImportarStock[DESCRIPCION],1,0)</f>
        <v>PACK SIM CARD REPUESTO TFI 64KB</v>
      </c>
      <c r="H280" t="e">
        <f>VLOOKUP(DICCIONARIO[[#This Row],[Modelo]],UNIFICADA[Equipo],1,0)</f>
        <v>#N/A</v>
      </c>
      <c r="I280">
        <f>IFERROR(VLOOKUP(DICCIONARIO[[#This Row],[Desc color]],ImportarStock[[DESCRIPCION]:[LIBRE UTILIZACION]],2,0),0)</f>
        <v>1</v>
      </c>
    </row>
    <row r="281" spans="3:9" x14ac:dyDescent="0.25">
      <c r="C281" t="s">
        <v>1130</v>
      </c>
      <c r="D281" t="s">
        <v>1131</v>
      </c>
      <c r="E281" s="19" t="s">
        <v>1259</v>
      </c>
      <c r="F281" t="e">
        <f>VLOOKUP(DICCIONARIO[[#This Row],[Desc color]],ImportarStock[DESCRIPCION],1,0)</f>
        <v>#N/A</v>
      </c>
      <c r="H281" t="e">
        <f>VLOOKUP(DICCIONARIO[[#This Row],[Modelo]],UNIFICADA[Equipo],1,0)</f>
        <v>#N/A</v>
      </c>
      <c r="I281">
        <f>IFERROR(VLOOKUP(DICCIONARIO[[#This Row],[Desc color]],ImportarStock[[DESCRIPCION]:[LIBRE UTILIZACION]],2,0),0)</f>
        <v>0</v>
      </c>
    </row>
    <row r="282" spans="3:9" x14ac:dyDescent="0.25">
      <c r="C282" t="s">
        <v>1130</v>
      </c>
      <c r="D282" t="s">
        <v>1131</v>
      </c>
      <c r="E282" s="19" t="s">
        <v>1077</v>
      </c>
      <c r="F282" t="e">
        <f>VLOOKUP(DICCIONARIO[[#This Row],[Desc color]],ImportarStock[DESCRIPCION],1,0)</f>
        <v>#N/A</v>
      </c>
      <c r="H282" t="e">
        <f>VLOOKUP(DICCIONARIO[[#This Row],[Modelo]],UNIFICADA[Equipo],1,0)</f>
        <v>#N/A</v>
      </c>
      <c r="I282">
        <f>IFERROR(VLOOKUP(DICCIONARIO[[#This Row],[Desc color]],ImportarStock[[DESCRIPCION]:[LIBRE UTILIZACION]],2,0),0)</f>
        <v>0</v>
      </c>
    </row>
    <row r="283" spans="3:9" x14ac:dyDescent="0.25">
      <c r="C283" t="s">
        <v>1130</v>
      </c>
      <c r="D283" t="s">
        <v>1131</v>
      </c>
      <c r="E283" s="19" t="s">
        <v>1215</v>
      </c>
      <c r="F283" t="str">
        <f>VLOOKUP(DICCIONARIO[[#This Row],[Desc color]],ImportarStock[DESCRIPCION],1,0)</f>
        <v>PARLA BT BSHEP DOME NJ</v>
      </c>
      <c r="H283" t="e">
        <f>VLOOKUP(DICCIONARIO[[#This Row],[Modelo]],UNIFICADA[Equipo],1,0)</f>
        <v>#N/A</v>
      </c>
      <c r="I283">
        <f>IFERROR(VLOOKUP(DICCIONARIO[[#This Row],[Desc color]],ImportarStock[[DESCRIPCION]:[LIBRE UTILIZACION]],2,0),0)</f>
        <v>22</v>
      </c>
    </row>
    <row r="284" spans="3:9" x14ac:dyDescent="0.25">
      <c r="C284" t="s">
        <v>1130</v>
      </c>
      <c r="D284" t="s">
        <v>1131</v>
      </c>
      <c r="E284" s="19" t="s">
        <v>1234</v>
      </c>
      <c r="F284" t="str">
        <f>VLOOKUP(DICCIONARIO[[#This Row],[Desc color]],ImportarStock[DESCRIPCION],1,0)</f>
        <v>PARLA BT HONOR HRG01D NG</v>
      </c>
      <c r="H284" t="e">
        <f>VLOOKUP(DICCIONARIO[[#This Row],[Modelo]],UNIFICADA[Equipo],1,0)</f>
        <v>#N/A</v>
      </c>
      <c r="I284">
        <f>IFERROR(VLOOKUP(DICCIONARIO[[#This Row],[Desc color]],ImportarStock[[DESCRIPCION]:[LIBRE UTILIZACION]],2,0),0)</f>
        <v>8</v>
      </c>
    </row>
    <row r="285" spans="3:9" x14ac:dyDescent="0.25">
      <c r="C285" t="s">
        <v>1130</v>
      </c>
      <c r="D285" t="s">
        <v>1131</v>
      </c>
      <c r="E285" s="19" t="s">
        <v>1235</v>
      </c>
      <c r="F285" t="str">
        <f>VLOOKUP(DICCIONARIO[[#This Row],[Desc color]],ImportarStock[DESCRIPCION],1,0)</f>
        <v>PARLA BT OPPO YD-07 NG</v>
      </c>
      <c r="H285" t="e">
        <f>VLOOKUP(DICCIONARIO[[#This Row],[Modelo]],UNIFICADA[Equipo],1,0)</f>
        <v>#N/A</v>
      </c>
      <c r="I285">
        <f>IFERROR(VLOOKUP(DICCIONARIO[[#This Row],[Desc color]],ImportarStock[[DESCRIPCION]:[LIBRE UTILIZACION]],2,0),0)</f>
        <v>15</v>
      </c>
    </row>
    <row r="286" spans="3:9" x14ac:dyDescent="0.25">
      <c r="C286" t="s">
        <v>1130</v>
      </c>
      <c r="D286" t="s">
        <v>1131</v>
      </c>
      <c r="E286" s="20" t="s">
        <v>1194</v>
      </c>
      <c r="F286" t="e">
        <f>VLOOKUP(DICCIONARIO[[#This Row],[Desc color]],ImportarStock[DESCRIPCION],1,0)</f>
        <v>#N/A</v>
      </c>
      <c r="H286" t="e">
        <f>VLOOKUP(DICCIONARIO[[#This Row],[Modelo]],UNIFICADA[Equipo],1,0)</f>
        <v>#N/A</v>
      </c>
      <c r="I286">
        <f>IFERROR(VLOOKUP(DICCIONARIO[[#This Row],[Desc color]],ImportarStock[[DESCRIPCION]:[LIBRE UTILIZACION]],2,0),0)</f>
        <v>0</v>
      </c>
    </row>
    <row r="287" spans="3:9" x14ac:dyDescent="0.25">
      <c r="C287" t="s">
        <v>1130</v>
      </c>
      <c r="D287" t="s">
        <v>1131</v>
      </c>
      <c r="E287" s="19" t="s">
        <v>1237</v>
      </c>
      <c r="F287" t="str">
        <f>VLOOKUP(DICCIONARIO[[#This Row],[Desc color]],ImportarStock[DESCRIPCION],1,0)</f>
        <v>PARLA BT XTREME NITRO 6W BG</v>
      </c>
      <c r="H287" t="e">
        <f>VLOOKUP(DICCIONARIO[[#This Row],[Modelo]],UNIFICADA[Equipo],1,0)</f>
        <v>#N/A</v>
      </c>
      <c r="I287">
        <f>IFERROR(VLOOKUP(DICCIONARIO[[#This Row],[Desc color]],ImportarStock[[DESCRIPCION]:[LIBRE UTILIZACION]],2,0),0)</f>
        <v>4</v>
      </c>
    </row>
    <row r="288" spans="3:9" x14ac:dyDescent="0.25">
      <c r="C288" t="s">
        <v>1130</v>
      </c>
      <c r="D288" t="s">
        <v>1131</v>
      </c>
      <c r="E288" s="19" t="s">
        <v>1238</v>
      </c>
      <c r="F288" t="str">
        <f>VLOOKUP(DICCIONARIO[[#This Row],[Desc color]],ImportarStock[DESCRIPCION],1,0)</f>
        <v>PARLA BT XTREME NITRO 6W NG</v>
      </c>
      <c r="H288" t="e">
        <f>VLOOKUP(DICCIONARIO[[#This Row],[Modelo]],UNIFICADA[Equipo],1,0)</f>
        <v>#N/A</v>
      </c>
      <c r="I288">
        <f>IFERROR(VLOOKUP(DICCIONARIO[[#This Row],[Desc color]],ImportarStock[[DESCRIPCION]:[LIBRE UTILIZACION]],2,0),0)</f>
        <v>5</v>
      </c>
    </row>
    <row r="289" spans="2:9" x14ac:dyDescent="0.25">
      <c r="C289" t="s">
        <v>1130</v>
      </c>
      <c r="D289" t="s">
        <v>1131</v>
      </c>
      <c r="E289" s="19" t="s">
        <v>1236</v>
      </c>
      <c r="F289" t="str">
        <f>VLOOKUP(DICCIONARIO[[#This Row],[Desc color]],ImportarStock[DESCRIPCION],1,0)</f>
        <v>PARLA BT XTREME NITRO 6W VR</v>
      </c>
      <c r="H289" t="e">
        <f>VLOOKUP(DICCIONARIO[[#This Row],[Modelo]],UNIFICADA[Equipo],1,0)</f>
        <v>#N/A</v>
      </c>
      <c r="I289">
        <f>IFERROR(VLOOKUP(DICCIONARIO[[#This Row],[Desc color]],ImportarStock[[DESCRIPCION]:[LIBRE UTILIZACION]],2,0),0)</f>
        <v>2</v>
      </c>
    </row>
    <row r="290" spans="2:9" x14ac:dyDescent="0.25">
      <c r="C290" t="s">
        <v>1130</v>
      </c>
      <c r="D290" t="s">
        <v>1131</v>
      </c>
      <c r="E290" s="19" t="s">
        <v>1100</v>
      </c>
      <c r="F290" t="e">
        <f>VLOOKUP(DICCIONARIO[[#This Row],[Desc color]],ImportarStock[DESCRIPCION],1,0)</f>
        <v>#N/A</v>
      </c>
      <c r="H290" t="e">
        <f>VLOOKUP(DICCIONARIO[[#This Row],[Modelo]],UNIFICADA[Equipo],1,0)</f>
        <v>#N/A</v>
      </c>
      <c r="I290">
        <f>IFERROR(VLOOKUP(DICCIONARIO[[#This Row],[Desc color]],ImportarStock[[DESCRIPCION]:[LIBRE UTILIZACION]],2,0),0)</f>
        <v>0</v>
      </c>
    </row>
    <row r="291" spans="2:9" x14ac:dyDescent="0.25">
      <c r="C291" t="s">
        <v>1130</v>
      </c>
      <c r="D291" t="s">
        <v>1131</v>
      </c>
      <c r="E291" s="19" t="s">
        <v>1182</v>
      </c>
      <c r="F291" t="e">
        <f>VLOOKUP(DICCIONARIO[[#This Row],[Desc color]],ImportarStock[DESCRIPCION],1,0)</f>
        <v>#N/A</v>
      </c>
      <c r="H291" t="e">
        <f>VLOOKUP(DICCIONARIO[[#This Row],[Modelo]],UNIFICADA[Equipo],1,0)</f>
        <v>#N/A</v>
      </c>
      <c r="I291">
        <f>IFERROR(VLOOKUP(DICCIONARIO[[#This Row],[Desc color]],ImportarStock[[DESCRIPCION]:[LIBRE UTILIZACION]],2,0),0)</f>
        <v>0</v>
      </c>
    </row>
    <row r="292" spans="2:9" x14ac:dyDescent="0.25">
      <c r="C292" t="s">
        <v>1130</v>
      </c>
      <c r="D292" t="s">
        <v>1131</v>
      </c>
      <c r="E292" s="19" t="s">
        <v>1181</v>
      </c>
      <c r="F292" t="e">
        <f>VLOOKUP(DICCIONARIO[[#This Row],[Desc color]],ImportarStock[DESCRIPCION],1,0)</f>
        <v>#N/A</v>
      </c>
      <c r="H292" t="e">
        <f>VLOOKUP(DICCIONARIO[[#This Row],[Modelo]],UNIFICADA[Equipo],1,0)</f>
        <v>#N/A</v>
      </c>
      <c r="I292">
        <f>IFERROR(VLOOKUP(DICCIONARIO[[#This Row],[Desc color]],ImportarStock[[DESCRIPCION]:[LIBRE UTILIZACION]],2,0),0)</f>
        <v>0</v>
      </c>
    </row>
    <row r="293" spans="2:9" x14ac:dyDescent="0.25">
      <c r="C293" t="s">
        <v>1130</v>
      </c>
      <c r="D293" t="s">
        <v>1131</v>
      </c>
      <c r="E293" s="19" t="s">
        <v>1208</v>
      </c>
      <c r="F293" t="e">
        <f>VLOOKUP(DICCIONARIO[[#This Row],[Desc color]],ImportarStock[DESCRIPCION],1,0)</f>
        <v>#N/A</v>
      </c>
      <c r="H293" t="e">
        <f>VLOOKUP(DICCIONARIO[[#This Row],[Modelo]],UNIFICADA[Equipo],1,0)</f>
        <v>#N/A</v>
      </c>
      <c r="I293">
        <f>IFERROR(VLOOKUP(DICCIONARIO[[#This Row],[Desc color]],ImportarStock[[DESCRIPCION]:[LIBRE UTILIZACION]],2,0),0)</f>
        <v>0</v>
      </c>
    </row>
    <row r="294" spans="2:9" x14ac:dyDescent="0.25">
      <c r="C294" t="s">
        <v>1130</v>
      </c>
      <c r="D294" t="s">
        <v>1131</v>
      </c>
      <c r="E294" s="19" t="s">
        <v>1058</v>
      </c>
      <c r="F294" t="str">
        <f>VLOOKUP(DICCIONARIO[[#This Row],[Desc color]],ImportarStock[DESCRIPCION],1,0)</f>
        <v>Parlante bluetooth</v>
      </c>
      <c r="H294" t="e">
        <f>VLOOKUP(DICCIONARIO[[#This Row],[Modelo]],UNIFICADA[Equipo],1,0)</f>
        <v>#N/A</v>
      </c>
      <c r="I294">
        <f>IFERROR(VLOOKUP(DICCIONARIO[[#This Row],[Desc color]],ImportarStock[[DESCRIPCION]:[LIBRE UTILIZACION]],2,0),0)</f>
        <v>1</v>
      </c>
    </row>
    <row r="295" spans="2:9" x14ac:dyDescent="0.25">
      <c r="C295" t="s">
        <v>1130</v>
      </c>
      <c r="D295" t="s">
        <v>1131</v>
      </c>
      <c r="E295" s="19" t="s">
        <v>1178</v>
      </c>
      <c r="F295" t="str">
        <f>VLOOKUP(DICCIONARIO[[#This Row],[Desc color]],ImportarStock[DESCRIPCION],1,0)</f>
        <v>POLO PIQUE AZUL TALLA L MUJER</v>
      </c>
      <c r="H295" t="e">
        <f>VLOOKUP(DICCIONARIO[[#This Row],[Modelo]],UNIFICADA[Equipo],1,0)</f>
        <v>#N/A</v>
      </c>
      <c r="I295">
        <f>IFERROR(VLOOKUP(DICCIONARIO[[#This Row],[Desc color]],ImportarStock[[DESCRIPCION]:[LIBRE UTILIZACION]],2,0),0)</f>
        <v>1</v>
      </c>
    </row>
    <row r="296" spans="2:9" x14ac:dyDescent="0.25">
      <c r="C296" t="s">
        <v>1130</v>
      </c>
      <c r="D296" t="s">
        <v>1131</v>
      </c>
      <c r="E296" s="19" t="s">
        <v>1180</v>
      </c>
      <c r="F296" t="str">
        <f>VLOOKUP(DICCIONARIO[[#This Row],[Desc color]],ImportarStock[DESCRIPCION],1,0)</f>
        <v>POLO PIQUE AZUL TALLA M HOMBRE</v>
      </c>
      <c r="H296" t="e">
        <f>VLOOKUP(DICCIONARIO[[#This Row],[Modelo]],UNIFICADA[Equipo],1,0)</f>
        <v>#N/A</v>
      </c>
      <c r="I296">
        <f>IFERROR(VLOOKUP(DICCIONARIO[[#This Row],[Desc color]],ImportarStock[[DESCRIPCION]:[LIBRE UTILIZACION]],2,0),0)</f>
        <v>2</v>
      </c>
    </row>
    <row r="297" spans="2:9" x14ac:dyDescent="0.25">
      <c r="C297" t="s">
        <v>1130</v>
      </c>
      <c r="D297" t="s">
        <v>1131</v>
      </c>
      <c r="E297" s="19" t="s">
        <v>1212</v>
      </c>
      <c r="F297" t="str">
        <f>VLOOKUP(DICCIONARIO[[#This Row],[Desc color]],ImportarStock[DESCRIPCION],1,0)</f>
        <v>POLO PIQUE AZUL TALLA M MUJER</v>
      </c>
      <c r="H297" t="e">
        <f>VLOOKUP(DICCIONARIO[[#This Row],[Modelo]],UNIFICADA[Equipo],1,0)</f>
        <v>#N/A</v>
      </c>
      <c r="I297">
        <f>IFERROR(VLOOKUP(DICCIONARIO[[#This Row],[Desc color]],ImportarStock[[DESCRIPCION]:[LIBRE UTILIZACION]],2,0),0)</f>
        <v>2</v>
      </c>
    </row>
    <row r="298" spans="2:9" x14ac:dyDescent="0.25">
      <c r="C298" t="s">
        <v>1130</v>
      </c>
      <c r="D298" t="s">
        <v>1131</v>
      </c>
      <c r="E298" s="19" t="s">
        <v>1177</v>
      </c>
      <c r="F298" t="str">
        <f>VLOOKUP(DICCIONARIO[[#This Row],[Desc color]],ImportarStock[DESCRIPCION],1,0)</f>
        <v>POLO PIQUE GRIS TALLA L MUJER</v>
      </c>
      <c r="H298" t="e">
        <f>VLOOKUP(DICCIONARIO[[#This Row],[Modelo]],UNIFICADA[Equipo],1,0)</f>
        <v>#N/A</v>
      </c>
      <c r="I298">
        <f>IFERROR(VLOOKUP(DICCIONARIO[[#This Row],[Desc color]],ImportarStock[[DESCRIPCION]:[LIBRE UTILIZACION]],2,0),0)</f>
        <v>1</v>
      </c>
    </row>
    <row r="299" spans="2:9" x14ac:dyDescent="0.25">
      <c r="C299" t="s">
        <v>1130</v>
      </c>
      <c r="D299" t="s">
        <v>1131</v>
      </c>
      <c r="E299" s="19" t="s">
        <v>1179</v>
      </c>
      <c r="F299" t="str">
        <f>VLOOKUP(DICCIONARIO[[#This Row],[Desc color]],ImportarStock[DESCRIPCION],1,0)</f>
        <v>POLO PIQUE GRIS TALLA M HOMBRE</v>
      </c>
      <c r="H299" t="e">
        <f>VLOOKUP(DICCIONARIO[[#This Row],[Modelo]],UNIFICADA[Equipo],1,0)</f>
        <v>#N/A</v>
      </c>
      <c r="I299">
        <f>IFERROR(VLOOKUP(DICCIONARIO[[#This Row],[Desc color]],ImportarStock[[DESCRIPCION]:[LIBRE UTILIZACION]],2,0),0)</f>
        <v>2</v>
      </c>
    </row>
    <row r="300" spans="2:9" x14ac:dyDescent="0.25">
      <c r="B300">
        <v>70043557</v>
      </c>
      <c r="C300" t="s">
        <v>49</v>
      </c>
      <c r="D300" t="s">
        <v>787</v>
      </c>
      <c r="E300" s="19" t="s">
        <v>790</v>
      </c>
      <c r="F300" t="e">
        <f>VLOOKUP(DICCIONARIO[[#This Row],[Desc color]],ImportarStock[DESCRIPCION],1,0)</f>
        <v>#N/A</v>
      </c>
      <c r="G300" t="s">
        <v>791</v>
      </c>
      <c r="H300" t="str">
        <f>VLOOKUP(DICCIONARIO[[#This Row],[Modelo]],UNIFICADA[Equipo],1,0)</f>
        <v>REALME C21Y 64GB</v>
      </c>
      <c r="I300">
        <f>IFERROR(VLOOKUP(DICCIONARIO[[#This Row],[Desc color]],ImportarStock[[DESCRIPCION]:[LIBRE UTILIZACION]],2,0),0)</f>
        <v>0</v>
      </c>
    </row>
    <row r="301" spans="2:9" x14ac:dyDescent="0.25">
      <c r="C301" t="s">
        <v>49</v>
      </c>
      <c r="D301" t="s">
        <v>787</v>
      </c>
      <c r="E301" s="19" t="s">
        <v>993</v>
      </c>
      <c r="F301" t="e">
        <f>VLOOKUP(DICCIONARIO[[#This Row],[Desc color]],ImportarStock[DESCRIPCION],1,0)</f>
        <v>#N/A</v>
      </c>
      <c r="H301" t="str">
        <f>VLOOKUP(DICCIONARIO[[#This Row],[Modelo]],UNIFICADA[Equipo],1,0)</f>
        <v>REALME C21Y 64GB</v>
      </c>
      <c r="I301">
        <f>IFERROR(VLOOKUP(DICCIONARIO[[#This Row],[Desc color]],ImportarStock[[DESCRIPCION]:[LIBRE UTILIZACION]],2,0),0)</f>
        <v>0</v>
      </c>
    </row>
    <row r="302" spans="2:9" x14ac:dyDescent="0.25">
      <c r="B302">
        <v>70043555</v>
      </c>
      <c r="C302" t="s">
        <v>49</v>
      </c>
      <c r="D302" t="s">
        <v>787</v>
      </c>
      <c r="E302" s="19" t="s">
        <v>788</v>
      </c>
      <c r="F302" t="e">
        <f>VLOOKUP(DICCIONARIO[[#This Row],[Desc color]],ImportarStock[DESCRIPCION],1,0)</f>
        <v>#N/A</v>
      </c>
      <c r="G302" t="s">
        <v>789</v>
      </c>
      <c r="H302" t="str">
        <f>VLOOKUP(DICCIONARIO[[#This Row],[Modelo]],UNIFICADA[Equipo],1,0)</f>
        <v>REALME C21Y 64GB</v>
      </c>
      <c r="I302">
        <f>IFERROR(VLOOKUP(DICCIONARIO[[#This Row],[Desc color]],ImportarStock[[DESCRIPCION]:[LIBRE UTILIZACION]],2,0),0)</f>
        <v>0</v>
      </c>
    </row>
    <row r="303" spans="2:9" x14ac:dyDescent="0.25">
      <c r="C303" t="s">
        <v>125</v>
      </c>
      <c r="D303" t="s">
        <v>787</v>
      </c>
      <c r="E303" s="19" t="s">
        <v>901</v>
      </c>
      <c r="F303" t="e">
        <f>VLOOKUP(DICCIONARIO[[#This Row],[Desc color]],ImportarStock[DESCRIPCION],1,0)</f>
        <v>#N/A</v>
      </c>
      <c r="H303" t="str">
        <f>VLOOKUP(DICCIONARIO[[#This Row],[Modelo]],UNIFICADA[Equipo],1,0)</f>
        <v>REALME C35 128GB</v>
      </c>
      <c r="I303">
        <f>IFERROR(VLOOKUP(DICCIONARIO[[#This Row],[Desc color]],ImportarStock[[DESCRIPCION]:[LIBRE UTILIZACION]],2,0),0)</f>
        <v>0</v>
      </c>
    </row>
    <row r="304" spans="2:9" x14ac:dyDescent="0.25">
      <c r="C304" t="s">
        <v>125</v>
      </c>
      <c r="D304" t="s">
        <v>787</v>
      </c>
      <c r="E304" s="19" t="s">
        <v>974</v>
      </c>
      <c r="F304" t="e">
        <f>VLOOKUP(DICCIONARIO[[#This Row],[Desc color]],ImportarStock[DESCRIPCION],1,0)</f>
        <v>#N/A</v>
      </c>
      <c r="H304" t="str">
        <f>VLOOKUP(DICCIONARIO[[#This Row],[Modelo]],UNIFICADA[Equipo],1,0)</f>
        <v>REALME C35 128GB</v>
      </c>
      <c r="I304">
        <f>IFERROR(VLOOKUP(DICCIONARIO[[#This Row],[Desc color]],ImportarStock[[DESCRIPCION]:[LIBRE UTILIZACION]],2,0),0)</f>
        <v>0</v>
      </c>
    </row>
    <row r="305" spans="2:9" x14ac:dyDescent="0.25">
      <c r="C305" t="s">
        <v>1130</v>
      </c>
      <c r="D305" t="s">
        <v>1131</v>
      </c>
      <c r="E305" s="19" t="s">
        <v>902</v>
      </c>
      <c r="F305" t="str">
        <f>VLOOKUP(DICCIONARIO[[#This Row],[Desc color]],ImportarStock[DESCRIPCION],1,0)</f>
        <v>SIM CARD VIRGEN 256KB INTERNET</v>
      </c>
      <c r="H305" t="e">
        <f>VLOOKUP(DICCIONARIO[[#This Row],[Modelo]],UNIFICADA[Equipo],1,0)</f>
        <v>#N/A</v>
      </c>
      <c r="I305">
        <f>IFERROR(VLOOKUP(DICCIONARIO[[#This Row],[Desc color]],ImportarStock[[DESCRIPCION]:[LIBRE UTILIZACION]],2,0),0)</f>
        <v>7</v>
      </c>
    </row>
    <row r="306" spans="2:9" x14ac:dyDescent="0.25">
      <c r="C306" t="s">
        <v>1130</v>
      </c>
      <c r="D306" t="s">
        <v>1131</v>
      </c>
      <c r="E306" s="19" t="s">
        <v>903</v>
      </c>
      <c r="F306" t="str">
        <f>VLOOKUP(DICCIONARIO[[#This Row],[Desc color]],ImportarStock[DESCRIPCION],1,0)</f>
        <v>SIM CARD VIRGEN 256KB VOLTE 2FF-3FF-4FF</v>
      </c>
      <c r="H306" t="e">
        <f>VLOOKUP(DICCIONARIO[[#This Row],[Modelo]],UNIFICADA[Equipo],1,0)</f>
        <v>#N/A</v>
      </c>
      <c r="I306">
        <f>IFERROR(VLOOKUP(DICCIONARIO[[#This Row],[Desc color]],ImportarStock[[DESCRIPCION]:[LIBRE UTILIZACION]],2,0),0)</f>
        <v>1368</v>
      </c>
    </row>
    <row r="307" spans="2:9" x14ac:dyDescent="0.25">
      <c r="C307" t="s">
        <v>1130</v>
      </c>
      <c r="D307" t="s">
        <v>1131</v>
      </c>
      <c r="E307" s="19" t="s">
        <v>1260</v>
      </c>
      <c r="F307" t="e">
        <f>VLOOKUP(DICCIONARIO[[#This Row],[Desc color]],ImportarStock[DESCRIPCION],1,0)</f>
        <v>#N/A</v>
      </c>
      <c r="H307" t="e">
        <f>VLOOKUP(DICCIONARIO[[#This Row],[Modelo]],UNIFICADA[Equipo],1,0)</f>
        <v>#N/A</v>
      </c>
      <c r="I307">
        <f>IFERROR(VLOOKUP(DICCIONARIO[[#This Row],[Desc color]],ImportarStock[[DESCRIPCION]:[LIBRE UTILIZACION]],2,0),0)</f>
        <v>0</v>
      </c>
    </row>
    <row r="308" spans="2:9" x14ac:dyDescent="0.25">
      <c r="C308" t="s">
        <v>1130</v>
      </c>
      <c r="D308" t="s">
        <v>1131</v>
      </c>
      <c r="E308" s="19" t="s">
        <v>1082</v>
      </c>
      <c r="F308" t="str">
        <f>VLOOKUP(DICCIONARIO[[#This Row],[Desc color]],ImportarStock[DESCRIPCION],1,0)</f>
        <v>SMARTBAND XIAO MIBAND 7 NG</v>
      </c>
      <c r="H308" t="e">
        <f>VLOOKUP(DICCIONARIO[[#This Row],[Modelo]],UNIFICADA[Equipo],1,0)</f>
        <v>#N/A</v>
      </c>
      <c r="I308">
        <f>IFERROR(VLOOKUP(DICCIONARIO[[#This Row],[Desc color]],ImportarStock[[DESCRIPCION]:[LIBRE UTILIZACION]],2,0),0)</f>
        <v>3</v>
      </c>
    </row>
    <row r="309" spans="2:9" x14ac:dyDescent="0.25">
      <c r="C309" t="s">
        <v>1130</v>
      </c>
      <c r="D309" t="s">
        <v>1131</v>
      </c>
      <c r="E309" s="19" t="s">
        <v>1070</v>
      </c>
      <c r="F309" t="e">
        <f>VLOOKUP(DICCIONARIO[[#This Row],[Desc color]],ImportarStock[DESCRIPCION],1,0)</f>
        <v>#N/A</v>
      </c>
      <c r="H309" t="e">
        <f>VLOOKUP(DICCIONARIO[[#This Row],[Modelo]],UNIFICADA[Equipo],1,0)</f>
        <v>#N/A</v>
      </c>
      <c r="I309">
        <f>IFERROR(VLOOKUP(DICCIONARIO[[#This Row],[Desc color]],ImportarStock[[DESCRIPCION]:[LIBRE UTILIZACION]],2,0),0)</f>
        <v>0</v>
      </c>
    </row>
    <row r="310" spans="2:9" x14ac:dyDescent="0.25">
      <c r="C310" t="s">
        <v>1013</v>
      </c>
      <c r="D310" t="s">
        <v>608</v>
      </c>
      <c r="E310" s="19" t="s">
        <v>1027</v>
      </c>
      <c r="F310" t="str">
        <f>VLOOKUP(DICCIONARIO[[#This Row],[Desc color]],ImportarStock[DESCRIPCION],1,0)</f>
        <v>SMG GA1451284146M NG</v>
      </c>
      <c r="H310" t="str">
        <f>VLOOKUP(DICCIONARIO[[#This Row],[Modelo]],UNIFICADA[Equipo],1,0)</f>
        <v>SAMSUNG GALAXY A14 128GB 5G</v>
      </c>
      <c r="I310">
        <f>IFERROR(VLOOKUP(DICCIONARIO[[#This Row],[Desc color]],ImportarStock[[DESCRIPCION]:[LIBRE UTILIZACION]],2,0),0)</f>
        <v>73</v>
      </c>
    </row>
    <row r="311" spans="2:9" x14ac:dyDescent="0.25">
      <c r="C311" t="s">
        <v>1013</v>
      </c>
      <c r="D311" t="s">
        <v>608</v>
      </c>
      <c r="E311" s="19" t="s">
        <v>1246</v>
      </c>
      <c r="F311" t="str">
        <f>VLOOKUP(DICCIONARIO[[#This Row],[Desc color]],ImportarStock[DESCRIPCION],1,0)</f>
        <v>SMG GA1451284146M NG ADAPTADOR</v>
      </c>
      <c r="H311" t="str">
        <f>VLOOKUP(DICCIONARIO[[#This Row],[Modelo]],UNIFICADA[Equipo],1,0)</f>
        <v>SAMSUNG GALAXY A14 128GB 5G</v>
      </c>
      <c r="I311">
        <f>IFERROR(VLOOKUP(DICCIONARIO[[#This Row],[Desc color]],ImportarStock[[DESCRIPCION]:[LIBRE UTILIZACION]],2,0),0)</f>
        <v>1</v>
      </c>
    </row>
    <row r="312" spans="2:9" x14ac:dyDescent="0.25">
      <c r="C312" t="s">
        <v>126</v>
      </c>
      <c r="D312" t="s">
        <v>608</v>
      </c>
      <c r="E312" s="19" t="s">
        <v>904</v>
      </c>
      <c r="F312" t="e">
        <f>VLOOKUP(DICCIONARIO[[#This Row],[Desc color]],ImportarStock[DESCRIPCION],1,0)</f>
        <v>#N/A</v>
      </c>
      <c r="H312" t="str">
        <f>VLOOKUP(DICCIONARIO[[#This Row],[Modelo]],UNIFICADA[Equipo],1,0)</f>
        <v>SAMSUNG GALAXY A04 64GB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126</v>
      </c>
      <c r="D313" t="s">
        <v>608</v>
      </c>
      <c r="E313" s="19" t="s">
        <v>1244</v>
      </c>
      <c r="F313" t="str">
        <f>VLOOKUP(DICCIONARIO[[#This Row],[Desc color]],ImportarStock[DESCRIPCION],1,0)</f>
        <v>SMG GALA0464A045M NG AUDIFONO</v>
      </c>
      <c r="H313" t="str">
        <f>VLOOKUP(DICCIONARIO[[#This Row],[Modelo]],UNIFICADA[Equipo],1,0)</f>
        <v>SAMSUNG GALAXY A04 64GB</v>
      </c>
      <c r="I313">
        <f>IFERROR(VLOOKUP(DICCIONARIO[[#This Row],[Desc color]],ImportarStock[[DESCRIPCION]:[LIBRE UTILIZACION]],2,0),0)</f>
        <v>6</v>
      </c>
    </row>
    <row r="314" spans="2:9" x14ac:dyDescent="0.25">
      <c r="B314">
        <v>70041301</v>
      </c>
      <c r="C314" t="s">
        <v>30</v>
      </c>
      <c r="D314" t="s">
        <v>608</v>
      </c>
      <c r="E314" s="19" t="s">
        <v>609</v>
      </c>
      <c r="F314" t="e">
        <f>VLOOKUP(DICCIONARIO[[#This Row],[Desc color]],ImportarStock[DESCRIPCION],1,0)</f>
        <v>#N/A</v>
      </c>
      <c r="G314" t="s">
        <v>610</v>
      </c>
      <c r="H314" t="str">
        <f>VLOOKUP(DICCIONARIO[[#This Row],[Modelo]],UNIFICADA[Equipo],1,0)</f>
        <v>SAMSUNG GALAXY NOTE 10 256GB</v>
      </c>
      <c r="I314">
        <f>IFERROR(VLOOKUP(DICCIONARIO[[#This Row],[Desc color]],ImportarStock[[DESCRIPCION]:[LIBRE UTILIZACION]],2,0),0)</f>
        <v>0</v>
      </c>
    </row>
    <row r="315" spans="2:9" x14ac:dyDescent="0.25">
      <c r="C315" t="s">
        <v>596</v>
      </c>
      <c r="D315" t="s">
        <v>608</v>
      </c>
      <c r="E315" s="19" t="s">
        <v>975</v>
      </c>
      <c r="F315" t="str">
        <f>VLOOKUP(DICCIONARIO[[#This Row],[Desc color]],ImportarStock[DESCRIPCION],1,0)</f>
        <v>SMG GAS23256S911B NG</v>
      </c>
      <c r="H315" t="str">
        <f>VLOOKUP(DICCIONARIO[[#This Row],[Modelo]],UNIFICADA[Equipo],1,0)</f>
        <v>SAMSUNG GALAXY S23 256GB</v>
      </c>
      <c r="I315">
        <f>IFERROR(VLOOKUP(DICCIONARIO[[#This Row],[Desc color]],ImportarStock[[DESCRIPCION]:[LIBRE UTILIZACION]],2,0),0)</f>
        <v>2</v>
      </c>
    </row>
    <row r="316" spans="2:9" x14ac:dyDescent="0.25">
      <c r="C316" t="s">
        <v>596</v>
      </c>
      <c r="D316" t="s">
        <v>608</v>
      </c>
      <c r="E316" s="19" t="s">
        <v>905</v>
      </c>
      <c r="F316" t="e">
        <f>VLOOKUP(DICCIONARIO[[#This Row],[Desc color]],ImportarStock[DESCRIPCION],1,0)</f>
        <v>#N/A</v>
      </c>
      <c r="H316" t="str">
        <f>VLOOKUP(DICCIONARIO[[#This Row],[Modelo]],UNIFICADA[Equipo],1,0)</f>
        <v>SAMSUNG GALAXY S23 256GB</v>
      </c>
      <c r="I316">
        <f>IFERROR(VLOOKUP(DICCIONARIO[[#This Row],[Desc color]],ImportarStock[[DESCRIPCION]:[LIBRE UTILIZACION]],2,0),0)</f>
        <v>0</v>
      </c>
    </row>
    <row r="317" spans="2:9" x14ac:dyDescent="0.25">
      <c r="C317" t="s">
        <v>130</v>
      </c>
      <c r="D317" t="s">
        <v>608</v>
      </c>
      <c r="E317" s="19" t="s">
        <v>906</v>
      </c>
      <c r="F317" t="str">
        <f>VLOOKUP(DICCIONARIO[[#This Row],[Desc color]],ImportarStock[DESCRIPCION],1,0)</f>
        <v>SMG GLA04E32A042M NG</v>
      </c>
      <c r="H317" t="str">
        <f>VLOOKUP(DICCIONARIO[[#This Row],[Modelo]],UNIFICADA[Equipo],1,0)</f>
        <v>SAMSUNG GALAXY A04E 32GB</v>
      </c>
      <c r="I317">
        <f>IFERROR(VLOOKUP(DICCIONARIO[[#This Row],[Desc color]],ImportarStock[[DESCRIPCION]:[LIBRE UTILIZACION]],2,0),0)</f>
        <v>19</v>
      </c>
    </row>
    <row r="318" spans="2:9" x14ac:dyDescent="0.25">
      <c r="C318" t="s">
        <v>948</v>
      </c>
      <c r="D318" t="s">
        <v>608</v>
      </c>
      <c r="E318" s="19" t="s">
        <v>976</v>
      </c>
      <c r="F318" t="str">
        <f>VLOOKUP(DICCIONARIO[[#This Row],[Desc color]],ImportarStock[DESCRIPCION],1,0)</f>
        <v>SMG GLA04S64A047M NG</v>
      </c>
      <c r="H318" t="str">
        <f>VLOOKUP(DICCIONARIO[[#This Row],[Modelo]],UNIFICADA[Equipo],1,0)</f>
        <v>SAMSUNG GALAXY A04S 64GB</v>
      </c>
      <c r="I318">
        <f>IFERROR(VLOOKUP(DICCIONARIO[[#This Row],[Desc color]],ImportarStock[[DESCRIPCION]:[LIBRE UTILIZACION]],2,0),0)</f>
        <v>30</v>
      </c>
    </row>
    <row r="319" spans="2:9" x14ac:dyDescent="0.25">
      <c r="C319" t="s">
        <v>597</v>
      </c>
      <c r="D319" t="s">
        <v>608</v>
      </c>
      <c r="E319" s="19" t="s">
        <v>977</v>
      </c>
      <c r="F319" t="e">
        <f>VLOOKUP(DICCIONARIO[[#This Row],[Desc color]],ImportarStock[DESCRIPCION],1,0)</f>
        <v>#N/A</v>
      </c>
      <c r="H319" t="str">
        <f>VLOOKUP(DICCIONARIO[[#This Row],[Modelo]],UNIFICADA[Equipo],1,0)</f>
        <v>SAMSUNG GALAXY S23 PLUS 256GB</v>
      </c>
      <c r="I319">
        <f>IFERROR(VLOOKUP(DICCIONARIO[[#This Row],[Desc color]],ImportarStock[[DESCRIPCION]:[LIBRE UTILIZACION]],2,0),0)</f>
        <v>0</v>
      </c>
    </row>
    <row r="320" spans="2:9" x14ac:dyDescent="0.25">
      <c r="C320" t="s">
        <v>598</v>
      </c>
      <c r="D320" t="s">
        <v>608</v>
      </c>
      <c r="E320" s="19" t="s">
        <v>907</v>
      </c>
      <c r="F320" t="str">
        <f>VLOOKUP(DICCIONARIO[[#This Row],[Desc color]],ImportarStock[DESCRIPCION],1,0)</f>
        <v>SMG GS23P512S916B NG</v>
      </c>
      <c r="H320" t="str">
        <f>VLOOKUP(DICCIONARIO[[#This Row],[Modelo]],UNIFICADA[Equipo],1,0)</f>
        <v>SAMSUNG GALAXY S23 PLUS 512GB</v>
      </c>
      <c r="I320">
        <f>IFERROR(VLOOKUP(DICCIONARIO[[#This Row],[Desc color]],ImportarStock[[DESCRIPCION]:[LIBRE UTILIZACION]],2,0),0)</f>
        <v>1</v>
      </c>
    </row>
    <row r="321" spans="2:9" x14ac:dyDescent="0.25">
      <c r="C321" t="s">
        <v>600</v>
      </c>
      <c r="D321" t="s">
        <v>608</v>
      </c>
      <c r="E321" s="19" t="s">
        <v>978</v>
      </c>
      <c r="F321" t="str">
        <f>VLOOKUP(DICCIONARIO[[#This Row],[Desc color]],ImportarStock[DESCRIPCION],1,0)</f>
        <v>SMG GS23U512S918B BE</v>
      </c>
      <c r="H321" t="str">
        <f>VLOOKUP(DICCIONARIO[[#This Row],[Modelo]],UNIFICADA[Equipo],1,0)</f>
        <v>SAMSUNG GALAXY S23 ULTRA 512GB</v>
      </c>
      <c r="I321">
        <f>IFERROR(VLOOKUP(DICCIONARIO[[#This Row],[Desc color]],ImportarStock[[DESCRIPCION]:[LIBRE UTILIZACION]],2,0),0)</f>
        <v>1</v>
      </c>
    </row>
    <row r="322" spans="2:9" x14ac:dyDescent="0.25">
      <c r="C322" t="s">
        <v>600</v>
      </c>
      <c r="D322" t="s">
        <v>608</v>
      </c>
      <c r="E322" s="19" t="s">
        <v>908</v>
      </c>
      <c r="F322" t="str">
        <f>VLOOKUP(DICCIONARIO[[#This Row],[Desc color]],ImportarStock[DESCRIPCION],1,0)</f>
        <v>SMG GS23U512S918B NG</v>
      </c>
      <c r="H322" t="str">
        <f>VLOOKUP(DICCIONARIO[[#This Row],[Modelo]],UNIFICADA[Equipo],1,0)</f>
        <v>SAMSUNG GALAXY S23 ULTRA 512GB</v>
      </c>
      <c r="I322">
        <f>IFERROR(VLOOKUP(DICCIONARIO[[#This Row],[Desc color]],ImportarStock[[DESCRIPCION]:[LIBRE UTILIZACION]],2,0),0)</f>
        <v>2</v>
      </c>
    </row>
    <row r="323" spans="2:9" x14ac:dyDescent="0.25">
      <c r="C323" t="s">
        <v>600</v>
      </c>
      <c r="D323" t="s">
        <v>608</v>
      </c>
      <c r="E323" s="19" t="s">
        <v>1243</v>
      </c>
      <c r="F323" t="e">
        <f>VLOOKUP(DICCIONARIO[[#This Row],[Desc color]],ImportarStock[DESCRIPCION],1,0)</f>
        <v>#N/A</v>
      </c>
      <c r="H323" t="str">
        <f>VLOOKUP(DICCIONARIO[[#This Row],[Modelo]],UNIFICADA[Equipo],1,0)</f>
        <v>SAMSUNG GALAXY S23 ULTRA 512GB</v>
      </c>
      <c r="I323">
        <f>IFERROR(VLOOKUP(DICCIONARIO[[#This Row],[Desc color]],ImportarStock[[DESCRIPCION]:[LIBRE UTILIZACION]],2,0),0)</f>
        <v>0</v>
      </c>
    </row>
    <row r="324" spans="2:9" x14ac:dyDescent="0.25">
      <c r="C324" t="s">
        <v>600</v>
      </c>
      <c r="D324" t="s">
        <v>608</v>
      </c>
      <c r="E324" s="19" t="s">
        <v>979</v>
      </c>
      <c r="F324" t="str">
        <f>VLOOKUP(DICCIONARIO[[#This Row],[Desc color]],ImportarStock[DESCRIPCION],1,0)</f>
        <v>SMG GS23U512S918B VR</v>
      </c>
      <c r="H324" t="str">
        <f>VLOOKUP(DICCIONARIO[[#This Row],[Modelo]],UNIFICADA[Equipo],1,0)</f>
        <v>SAMSUNG GALAXY S23 ULTRA 512GB</v>
      </c>
      <c r="I324">
        <f>IFERROR(VLOOKUP(DICCIONARIO[[#This Row],[Desc color]],ImportarStock[[DESCRIPCION]:[LIBRE UTILIZACION]],2,0),0)</f>
        <v>1</v>
      </c>
    </row>
    <row r="325" spans="2:9" x14ac:dyDescent="0.25">
      <c r="C325" t="s">
        <v>600</v>
      </c>
      <c r="D325" t="s">
        <v>608</v>
      </c>
      <c r="E325" s="19" t="s">
        <v>1213</v>
      </c>
      <c r="F325" t="str">
        <f>VLOOKUP(DICCIONARIO[[#This Row],[Desc color]],ImportarStock[DESCRIPCION],1,0)</f>
        <v>SMG GS23U512S918B VR WATCH4</v>
      </c>
      <c r="H325" t="str">
        <f>VLOOKUP(DICCIONARIO[[#This Row],[Modelo]],UNIFICADA[Equipo],1,0)</f>
        <v>SAMSUNG GALAXY S23 ULTRA 512GB</v>
      </c>
      <c r="I325">
        <f>IFERROR(VLOOKUP(DICCIONARIO[[#This Row],[Desc color]],ImportarStock[[DESCRIPCION]:[LIBRE UTILIZACION]],2,0),0)</f>
        <v>1</v>
      </c>
    </row>
    <row r="326" spans="2:9" x14ac:dyDescent="0.25">
      <c r="C326" t="s">
        <v>1014</v>
      </c>
      <c r="D326" t="s">
        <v>608</v>
      </c>
      <c r="E326" s="19" t="s">
        <v>1035</v>
      </c>
      <c r="F326" t="str">
        <f>VLOOKUP(DICCIONARIO[[#This Row],[Desc color]],ImportarStock[DESCRIPCION],1,0)</f>
        <v>SMG GXA34256A346M NG</v>
      </c>
      <c r="H326" t="str">
        <f>VLOOKUP(DICCIONARIO[[#This Row],[Modelo]],UNIFICADA[Equipo],1,0)</f>
        <v>SAMSUNG GALAXY A34 256GB 5G</v>
      </c>
      <c r="I326">
        <f>IFERROR(VLOOKUP(DICCIONARIO[[#This Row],[Desc color]],ImportarStock[[DESCRIPCION]:[LIBRE UTILIZACION]],2,0),0)</f>
        <v>24</v>
      </c>
    </row>
    <row r="327" spans="2:9" x14ac:dyDescent="0.25">
      <c r="C327" t="s">
        <v>1014</v>
      </c>
      <c r="D327" t="s">
        <v>608</v>
      </c>
      <c r="E327" s="19" t="s">
        <v>1245</v>
      </c>
      <c r="F327" t="str">
        <f>VLOOKUP(DICCIONARIO[[#This Row],[Desc color]],ImportarStock[DESCRIPCION],1,0)</f>
        <v>SMG GXA34256A346M NG BAT+ADAP</v>
      </c>
      <c r="H327" t="str">
        <f>VLOOKUP(DICCIONARIO[[#This Row],[Modelo]],UNIFICADA[Equipo],1,0)</f>
        <v>SAMSUNG GALAXY A34 256GB 5G</v>
      </c>
      <c r="I327">
        <f>IFERROR(VLOOKUP(DICCIONARIO[[#This Row],[Desc color]],ImportarStock[[DESCRIPCION]:[LIBRE UTILIZACION]],2,0),0)</f>
        <v>20</v>
      </c>
    </row>
    <row r="328" spans="2:9" x14ac:dyDescent="0.25">
      <c r="C328" t="s">
        <v>1014</v>
      </c>
      <c r="D328" t="s">
        <v>608</v>
      </c>
      <c r="E328" s="19" t="s">
        <v>1228</v>
      </c>
      <c r="F328" t="str">
        <f>VLOOKUP(DICCIONARIO[[#This Row],[Desc color]],ImportarStock[DESCRIPCION],1,0)</f>
        <v>SMG GXA34256A346M NG CAMIST.PER</v>
      </c>
      <c r="H328" t="str">
        <f>VLOOKUP(DICCIONARIO[[#This Row],[Modelo]],UNIFICADA[Equipo],1,0)</f>
        <v>SAMSUNG GALAXY A34 256GB 5G</v>
      </c>
      <c r="I328">
        <f>IFERROR(VLOOKUP(DICCIONARIO[[#This Row],[Desc color]],ImportarStock[[DESCRIPCION]:[LIBRE UTILIZACION]],2,0),0)</f>
        <v>3</v>
      </c>
    </row>
    <row r="329" spans="2:9" x14ac:dyDescent="0.25">
      <c r="C329" t="s">
        <v>1015</v>
      </c>
      <c r="D329" t="s">
        <v>608</v>
      </c>
      <c r="E329" s="19" t="s">
        <v>1036</v>
      </c>
      <c r="F329" t="str">
        <f>VLOOKUP(DICCIONARIO[[#This Row],[Desc color]],ImportarStock[DESCRIPCION],1,0)</f>
        <v>SMG GXA54256A546E NG</v>
      </c>
      <c r="H329" t="str">
        <f>VLOOKUP(DICCIONARIO[[#This Row],[Modelo]],UNIFICADA[Equipo],1,0)</f>
        <v>SAMSUNG GALAXY A54 256GB 5G</v>
      </c>
      <c r="I329">
        <f>IFERROR(VLOOKUP(DICCIONARIO[[#This Row],[Desc color]],ImportarStock[[DESCRIPCION]:[LIBRE UTILIZACION]],2,0),0)</f>
        <v>42</v>
      </c>
    </row>
    <row r="330" spans="2:9" x14ac:dyDescent="0.25">
      <c r="C330" t="s">
        <v>1015</v>
      </c>
      <c r="D330" t="s">
        <v>608</v>
      </c>
      <c r="E330" s="19" t="s">
        <v>1265</v>
      </c>
      <c r="F330" t="str">
        <f>VLOOKUP(DICCIONARIO[[#This Row],[Desc color]],ImportarStock[DESCRIPCION],1,0)</f>
        <v>SMG GXA54256A546E NG BUDS2</v>
      </c>
      <c r="H330" t="str">
        <f>VLOOKUP(DICCIONARIO[[#This Row],[Modelo]],UNIFICADA[Equipo],1,0)</f>
        <v>SAMSUNG GALAXY A54 256GB 5G</v>
      </c>
      <c r="I330">
        <f>IFERROR(VLOOKUP(DICCIONARIO[[#This Row],[Desc color]],ImportarStock[[DESCRIPCION]:[LIBRE UTILIZACION]],2,0),0)</f>
        <v>7</v>
      </c>
    </row>
    <row r="331" spans="2:9" x14ac:dyDescent="0.25">
      <c r="C331" t="s">
        <v>1015</v>
      </c>
      <c r="D331" t="s">
        <v>608</v>
      </c>
      <c r="E331" s="19" t="s">
        <v>1229</v>
      </c>
      <c r="F331" t="str">
        <f>VLOOKUP(DICCIONARIO[[#This Row],[Desc color]],ImportarStock[DESCRIPCION],1,0)</f>
        <v>SMG GXA54256A546E NG CAMIST.PER</v>
      </c>
      <c r="H331" t="str">
        <f>VLOOKUP(DICCIONARIO[[#This Row],[Modelo]],UNIFICADA[Equipo],1,0)</f>
        <v>SAMSUNG GALAXY A54 256GB 5G</v>
      </c>
      <c r="I331">
        <f>IFERROR(VLOOKUP(DICCIONARIO[[#This Row],[Desc color]],ImportarStock[[DESCRIPCION]:[LIBRE UTILIZACION]],2,0),0)</f>
        <v>5</v>
      </c>
    </row>
    <row r="332" spans="2:9" x14ac:dyDescent="0.25">
      <c r="B332">
        <v>70041015</v>
      </c>
      <c r="C332" t="s">
        <v>50</v>
      </c>
      <c r="D332" t="s">
        <v>608</v>
      </c>
      <c r="E332" s="19" t="s">
        <v>613</v>
      </c>
      <c r="F332" t="e">
        <f>VLOOKUP(DICCIONARIO[[#This Row],[Desc color]],ImportarStock[DESCRIPCION],1,0)</f>
        <v>#N/A</v>
      </c>
      <c r="G332" t="s">
        <v>614</v>
      </c>
      <c r="H332" t="str">
        <f>VLOOKUP(DICCIONARIO[[#This Row],[Modelo]],UNIFICADA[Equipo],1,0)</f>
        <v>SAMSUNG GALAXY S21FE 128GB</v>
      </c>
      <c r="I332">
        <f>IFERROR(VLOOKUP(DICCIONARIO[[#This Row],[Desc color]],ImportarStock[[DESCRIPCION]:[LIBRE UTILIZACION]],2,0),0)</f>
        <v>0</v>
      </c>
    </row>
    <row r="333" spans="2:9" x14ac:dyDescent="0.25">
      <c r="B333">
        <v>70044359</v>
      </c>
      <c r="C333" t="s">
        <v>57</v>
      </c>
      <c r="D333" t="s">
        <v>608</v>
      </c>
      <c r="E333" s="19" t="s">
        <v>822</v>
      </c>
      <c r="F333" t="e">
        <f>VLOOKUP(DICCIONARIO[[#This Row],[Desc color]],ImportarStock[DESCRIPCION],1,0)</f>
        <v>#N/A</v>
      </c>
      <c r="G333" t="s">
        <v>610</v>
      </c>
      <c r="H333" t="str">
        <f>VLOOKUP(DICCIONARIO[[#This Row],[Modelo]],UNIFICADA[Equipo],1,0)</f>
        <v>SAMSUNG GALAXY A03 32GB</v>
      </c>
      <c r="I333">
        <f>IFERROR(VLOOKUP(DICCIONARIO[[#This Row],[Desc color]],ImportarStock[[DESCRIPCION]:[LIBRE UTILIZACION]],2,0),0)</f>
        <v>0</v>
      </c>
    </row>
    <row r="334" spans="2:9" x14ac:dyDescent="0.25">
      <c r="B334">
        <v>70044687</v>
      </c>
      <c r="C334" t="s">
        <v>65</v>
      </c>
      <c r="D334" t="s">
        <v>608</v>
      </c>
      <c r="E334" s="19" t="s">
        <v>808</v>
      </c>
      <c r="F334" t="e">
        <f>VLOOKUP(DICCIONARIO[[#This Row],[Desc color]],ImportarStock[DESCRIPCION],1,0)</f>
        <v>#N/A</v>
      </c>
      <c r="G334" t="s">
        <v>610</v>
      </c>
      <c r="H334" t="str">
        <f>VLOOKUP(DICCIONARIO[[#This Row],[Modelo]],UNIFICADA[Equipo],1,0)</f>
        <v>SAMSUNG GALAXY A03 CORE 32GB</v>
      </c>
      <c r="I334">
        <f>IFERROR(VLOOKUP(DICCIONARIO[[#This Row],[Desc color]],ImportarStock[[DESCRIPCION]:[LIBRE UTILIZACION]],2,0),0)</f>
        <v>0</v>
      </c>
    </row>
    <row r="335" spans="2:9" x14ac:dyDescent="0.25">
      <c r="B335">
        <v>70041018</v>
      </c>
      <c r="C335" t="s">
        <v>24</v>
      </c>
      <c r="D335" t="s">
        <v>608</v>
      </c>
      <c r="E335" s="19" t="s">
        <v>615</v>
      </c>
      <c r="F335" t="e">
        <f>VLOOKUP(DICCIONARIO[[#This Row],[Desc color]],ImportarStock[DESCRIPCION],1,0)</f>
        <v>#N/A</v>
      </c>
      <c r="G335" t="s">
        <v>610</v>
      </c>
      <c r="H335" t="str">
        <f>VLOOKUP(DICCIONARIO[[#This Row],[Modelo]],UNIFICADA[Equipo],1,0)</f>
        <v>SAMSUNG GALAXY A03S 32GB</v>
      </c>
      <c r="I335">
        <f>IFERROR(VLOOKUP(DICCIONARIO[[#This Row],[Desc color]],ImportarStock[[DESCRIPCION]:[LIBRE UTILIZACION]],2,0),0)</f>
        <v>0</v>
      </c>
    </row>
    <row r="336" spans="2:9" x14ac:dyDescent="0.25">
      <c r="B336">
        <v>70041128</v>
      </c>
      <c r="C336" t="s">
        <v>25</v>
      </c>
      <c r="D336" t="s">
        <v>608</v>
      </c>
      <c r="E336" s="19" t="s">
        <v>616</v>
      </c>
      <c r="F336" t="e">
        <f>VLOOKUP(DICCIONARIO[[#This Row],[Desc color]],ImportarStock[DESCRIPCION],1,0)</f>
        <v>#N/A</v>
      </c>
      <c r="G336" t="s">
        <v>614</v>
      </c>
      <c r="H336" t="str">
        <f>VLOOKUP(DICCIONARIO[[#This Row],[Modelo]],UNIFICADA[Equipo],1,0)</f>
        <v>SAMSUNG GALAXY A22 128GB 5G</v>
      </c>
      <c r="I336">
        <f>IFERROR(VLOOKUP(DICCIONARIO[[#This Row],[Desc color]],ImportarStock[[DESCRIPCION]:[LIBRE UTILIZACION]],2,0),0)</f>
        <v>0</v>
      </c>
    </row>
    <row r="337" spans="2:9" x14ac:dyDescent="0.25">
      <c r="C337" t="s">
        <v>72</v>
      </c>
      <c r="D337" t="s">
        <v>608</v>
      </c>
      <c r="E337" s="19" t="s">
        <v>909</v>
      </c>
      <c r="F337" t="e">
        <f>VLOOKUP(DICCIONARIO[[#This Row],[Desc color]],ImportarStock[DESCRIPCION],1,0)</f>
        <v>#N/A</v>
      </c>
      <c r="H337" t="str">
        <f>VLOOKUP(DICCIONARIO[[#This Row],[Modelo]],UNIFICADA[Equipo],1,0)</f>
        <v>SAMSUNG GALAXY A13 64GB</v>
      </c>
      <c r="I337">
        <f>IFERROR(VLOOKUP(DICCIONARIO[[#This Row],[Desc color]],ImportarStock[[DESCRIPCION]:[LIBRE UTILIZACION]],2,0),0)</f>
        <v>0</v>
      </c>
    </row>
    <row r="338" spans="2:9" x14ac:dyDescent="0.25">
      <c r="B338">
        <v>70043544</v>
      </c>
      <c r="C338" t="s">
        <v>26</v>
      </c>
      <c r="D338" t="s">
        <v>608</v>
      </c>
      <c r="E338" s="19" t="s">
        <v>786</v>
      </c>
      <c r="F338" t="e">
        <f>VLOOKUP(DICCIONARIO[[#This Row],[Desc color]],ImportarStock[DESCRIPCION],1,0)</f>
        <v>#N/A</v>
      </c>
      <c r="G338" t="s">
        <v>610</v>
      </c>
      <c r="H338" t="str">
        <f>VLOOKUP(DICCIONARIO[[#This Row],[Modelo]],UNIFICADA[Equipo],1,0)</f>
        <v>SAMSUNG GALAXY A22 64GB</v>
      </c>
      <c r="I338">
        <f>IFERROR(VLOOKUP(DICCIONARIO[[#This Row],[Desc color]],ImportarStock[[DESCRIPCION]:[LIBRE UTILIZACION]],2,0),0)</f>
        <v>0</v>
      </c>
    </row>
    <row r="339" spans="2:9" x14ac:dyDescent="0.25">
      <c r="C339" t="s">
        <v>79</v>
      </c>
      <c r="D339" t="s">
        <v>608</v>
      </c>
      <c r="E339" s="19" t="s">
        <v>910</v>
      </c>
      <c r="F339" t="e">
        <f>VLOOKUP(DICCIONARIO[[#This Row],[Desc color]],ImportarStock[DESCRIPCION],1,0)</f>
        <v>#N/A</v>
      </c>
      <c r="H339" t="str">
        <f>VLOOKUP(DICCIONARIO[[#This Row],[Modelo]],UNIFICADA[Equipo],1,0)</f>
        <v>SAMSUNG GALAXY A23 128GB</v>
      </c>
      <c r="I339">
        <f>IFERROR(VLOOKUP(DICCIONARIO[[#This Row],[Desc color]],ImportarStock[[DESCRIPCION]:[LIBRE UTILIZACION]],2,0),0)</f>
        <v>0</v>
      </c>
    </row>
    <row r="340" spans="2:9" x14ac:dyDescent="0.25">
      <c r="C340" t="s">
        <v>1051</v>
      </c>
      <c r="D340" t="s">
        <v>608</v>
      </c>
      <c r="E340" s="19" t="s">
        <v>1124</v>
      </c>
      <c r="F340" t="str">
        <f>VLOOKUP(DICCIONARIO[[#This Row],[Desc color]],ImportarStock[DESCRIPCION],1,0)</f>
        <v>SMG GXYA245M128/4 NG</v>
      </c>
      <c r="H340" t="str">
        <f>VLOOKUP(DICCIONARIO[[#This Row],[Modelo]],UNIFICADA[Equipo],1,0)</f>
        <v>SAMSUNG GALAXY A24 128GB</v>
      </c>
      <c r="I340">
        <f>IFERROR(VLOOKUP(DICCIONARIO[[#This Row],[Desc color]],ImportarStock[[DESCRIPCION]:[LIBRE UTILIZACION]],2,0),0)</f>
        <v>28</v>
      </c>
    </row>
    <row r="341" spans="2:9" x14ac:dyDescent="0.25">
      <c r="B341">
        <v>70044893</v>
      </c>
      <c r="C341" t="s">
        <v>81</v>
      </c>
      <c r="D341" t="s">
        <v>608</v>
      </c>
      <c r="E341" s="19" t="s">
        <v>823</v>
      </c>
      <c r="F341" t="e">
        <f>VLOOKUP(DICCIONARIO[[#This Row],[Desc color]],ImportarStock[DESCRIPCION],1,0)</f>
        <v>#N/A</v>
      </c>
      <c r="G341" t="s">
        <v>610</v>
      </c>
      <c r="H341" t="str">
        <f>VLOOKUP(DICCIONARIO[[#This Row],[Modelo]],UNIFICADA[Equipo],1,0)</f>
        <v>SAMSUNG GALAXY A33 128GB 5G</v>
      </c>
      <c r="I341">
        <f>IFERROR(VLOOKUP(DICCIONARIO[[#This Row],[Desc color]],ImportarStock[[DESCRIPCION]:[LIBRE UTILIZACION]],2,0),0)</f>
        <v>0</v>
      </c>
    </row>
    <row r="342" spans="2:9" x14ac:dyDescent="0.25">
      <c r="B342">
        <v>70042274</v>
      </c>
      <c r="C342" t="s">
        <v>29</v>
      </c>
      <c r="D342" t="s">
        <v>608</v>
      </c>
      <c r="E342" s="19" t="s">
        <v>680</v>
      </c>
      <c r="F342" t="e">
        <f>VLOOKUP(DICCIONARIO[[#This Row],[Desc color]],ImportarStock[DESCRIPCION],1,0)</f>
        <v>#N/A</v>
      </c>
      <c r="G342" t="s">
        <v>681</v>
      </c>
      <c r="H342" t="str">
        <f>VLOOKUP(DICCIONARIO[[#This Row],[Modelo]],UNIFICADA[Equipo],1,0)</f>
        <v>SAMSUNG GALAXY A52S 128GB</v>
      </c>
      <c r="I342">
        <f>IFERROR(VLOOKUP(DICCIONARIO[[#This Row],[Desc color]],ImportarStock[[DESCRIPCION]:[LIBRE UTILIZACION]],2,0),0)</f>
        <v>0</v>
      </c>
    </row>
    <row r="343" spans="2:9" x14ac:dyDescent="0.25">
      <c r="C343" t="s">
        <v>73</v>
      </c>
      <c r="D343" t="s">
        <v>608</v>
      </c>
      <c r="E343" s="19" t="s">
        <v>911</v>
      </c>
      <c r="F343" t="e">
        <f>VLOOKUP(DICCIONARIO[[#This Row],[Desc color]],ImportarStock[DESCRIPCION],1,0)</f>
        <v>#N/A</v>
      </c>
      <c r="H343" t="str">
        <f>VLOOKUP(DICCIONARIO[[#This Row],[Modelo]],UNIFICADA[Equipo],1,0)</f>
        <v>SAMSUNG GALAXY A53 128GB 5G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70044358</v>
      </c>
      <c r="C344" t="s">
        <v>73</v>
      </c>
      <c r="D344" t="s">
        <v>608</v>
      </c>
      <c r="E344" s="19" t="s">
        <v>824</v>
      </c>
      <c r="F344" t="e">
        <f>VLOOKUP(DICCIONARIO[[#This Row],[Desc color]],ImportarStock[DESCRIPCION],1,0)</f>
        <v>#N/A</v>
      </c>
      <c r="G344" t="s">
        <v>610</v>
      </c>
      <c r="H344" t="str">
        <f>VLOOKUP(DICCIONARIO[[#This Row],[Modelo]],UNIFICADA[Equipo],1,0)</f>
        <v>SAMSUNG GALAXY A53 128GB 5G</v>
      </c>
      <c r="I344">
        <f>IFERROR(VLOOKUP(DICCIONARIO[[#This Row],[Desc color]],ImportarStock[[DESCRIPCION]:[LIBRE UTILIZACION]],2,0),0)</f>
        <v>0</v>
      </c>
    </row>
    <row r="345" spans="2:9" x14ac:dyDescent="0.25">
      <c r="C345" t="s">
        <v>84</v>
      </c>
      <c r="D345" t="s">
        <v>608</v>
      </c>
      <c r="E345" s="19" t="s">
        <v>912</v>
      </c>
      <c r="F345" t="str">
        <f>VLOOKUP(DICCIONARIO[[#This Row],[Desc color]],ImportarStock[DESCRIPCION],1,0)</f>
        <v>SMG GXYS20FEGT80F AZ</v>
      </c>
      <c r="H345" t="str">
        <f>VLOOKUP(DICCIONARIO[[#This Row],[Modelo]],UNIFICADA[Equipo],1,0)</f>
        <v>SAMSUNG GALAXY S20FE 128GB 5G</v>
      </c>
      <c r="I345">
        <f>IFERROR(VLOOKUP(DICCIONARIO[[#This Row],[Desc color]],ImportarStock[[DESCRIPCION]:[LIBRE UTILIZACION]],2,0),0)</f>
        <v>1</v>
      </c>
    </row>
    <row r="346" spans="2:9" x14ac:dyDescent="0.25">
      <c r="C346" t="s">
        <v>50</v>
      </c>
      <c r="D346" t="s">
        <v>608</v>
      </c>
      <c r="E346" s="19" t="s">
        <v>980</v>
      </c>
      <c r="F346" t="str">
        <f>VLOOKUP(DICCIONARIO[[#This Row],[Desc color]],ImportarStock[DESCRIPCION],1,0)</f>
        <v>SMG GXYS21FE128/6 GR</v>
      </c>
      <c r="H346" t="str">
        <f>VLOOKUP(DICCIONARIO[[#This Row],[Modelo]],UNIFICADA[Equipo],1,0)</f>
        <v>SAMSUNG GALAXY S21FE 128GB</v>
      </c>
      <c r="I346">
        <f>IFERROR(VLOOKUP(DICCIONARIO[[#This Row],[Desc color]],ImportarStock[[DESCRIPCION]:[LIBRE UTILIZACION]],2,0),0)</f>
        <v>7</v>
      </c>
    </row>
    <row r="347" spans="2:9" x14ac:dyDescent="0.25">
      <c r="B347">
        <v>70044892</v>
      </c>
      <c r="C347" t="s">
        <v>50</v>
      </c>
      <c r="D347" t="s">
        <v>608</v>
      </c>
      <c r="E347" s="19" t="s">
        <v>821</v>
      </c>
      <c r="F347" t="e">
        <f>VLOOKUP(DICCIONARIO[[#This Row],[Desc color]],ImportarStock[DESCRIPCION],1,0)</f>
        <v>#N/A</v>
      </c>
      <c r="G347" t="s">
        <v>614</v>
      </c>
      <c r="H347" t="str">
        <f>VLOOKUP(DICCIONARIO[[#This Row],[Modelo]],UNIFICADA[Equipo],1,0)</f>
        <v>SAMSUNG GALAXY S21FE 128GB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50</v>
      </c>
      <c r="D348" t="s">
        <v>608</v>
      </c>
      <c r="E348" s="19" t="s">
        <v>1233</v>
      </c>
      <c r="F348" t="str">
        <f>VLOOKUP(DICCIONARIO[[#This Row],[Desc color]],ImportarStock[DESCRIPCION],1,0)</f>
        <v>SMG GXYS21FE128/6 GR CAMIST.PER</v>
      </c>
      <c r="H348" t="str">
        <f>VLOOKUP(DICCIONARIO[[#This Row],[Modelo]],UNIFICADA[Equipo],1,0)</f>
        <v>SAMSUNG GALAXY S21FE 128GB</v>
      </c>
      <c r="I348">
        <f>IFERROR(VLOOKUP(DICCIONARIO[[#This Row],[Desc color]],ImportarStock[[DESCRIPCION]:[LIBRE UTILIZACION]],2,0),0)</f>
        <v>4</v>
      </c>
    </row>
    <row r="349" spans="2:9" x14ac:dyDescent="0.25">
      <c r="B349">
        <v>70044890</v>
      </c>
      <c r="C349" t="s">
        <v>50</v>
      </c>
      <c r="D349" t="s">
        <v>608</v>
      </c>
      <c r="E349" s="19" t="s">
        <v>819</v>
      </c>
      <c r="F349" t="e">
        <f>VLOOKUP(DICCIONARIO[[#This Row],[Desc color]],ImportarStock[DESCRIPCION],1,0)</f>
        <v>#N/A</v>
      </c>
      <c r="G349" t="s">
        <v>632</v>
      </c>
      <c r="H349" t="str">
        <f>VLOOKUP(DICCIONARIO[[#This Row],[Modelo]],UNIFICADA[Equipo],1,0)</f>
        <v>SAMSUNG GALAXY S21FE 128GB</v>
      </c>
      <c r="I349">
        <f>IFERROR(VLOOKUP(DICCIONARIO[[#This Row],[Desc color]],ImportarStock[[DESCRIPCION]:[LIBRE UTILIZACION]],2,0),0)</f>
        <v>0</v>
      </c>
    </row>
    <row r="350" spans="2:9" x14ac:dyDescent="0.25">
      <c r="B350">
        <v>70044891</v>
      </c>
      <c r="C350" t="s">
        <v>50</v>
      </c>
      <c r="D350" t="s">
        <v>608</v>
      </c>
      <c r="E350" s="19" t="s">
        <v>820</v>
      </c>
      <c r="F350" t="e">
        <f>VLOOKUP(DICCIONARIO[[#This Row],[Desc color]],ImportarStock[DESCRIPCION],1,0)</f>
        <v>#N/A</v>
      </c>
      <c r="G350" t="s">
        <v>621</v>
      </c>
      <c r="H350" t="str">
        <f>VLOOKUP(DICCIONARIO[[#This Row],[Modelo]],UNIFICADA[Equipo],1,0)</f>
        <v>SAMSUNG GALAXY S21FE 128GB</v>
      </c>
      <c r="I350">
        <f>IFERROR(VLOOKUP(DICCIONARIO[[#This Row],[Desc color]],ImportarStock[[DESCRIPCION]:[LIBRE UTILIZACION]],2,0),0)</f>
        <v>0</v>
      </c>
    </row>
    <row r="351" spans="2:9" x14ac:dyDescent="0.25">
      <c r="B351">
        <v>70044887</v>
      </c>
      <c r="C351" t="s">
        <v>61</v>
      </c>
      <c r="D351" t="s">
        <v>608</v>
      </c>
      <c r="E351" s="19" t="s">
        <v>816</v>
      </c>
      <c r="F351" t="e">
        <f>VLOOKUP(DICCIONARIO[[#This Row],[Desc color]],ImportarStock[DESCRIPCION],1,0)</f>
        <v>#N/A</v>
      </c>
      <c r="G351" t="s">
        <v>610</v>
      </c>
      <c r="H351" t="str">
        <f>VLOOKUP(DICCIONARIO[[#This Row],[Modelo]],UNIFICADA[Equipo],1,0)</f>
        <v>SAMSUNG GALAXY S22 128GB</v>
      </c>
      <c r="I351">
        <f>IFERROR(VLOOKUP(DICCIONARIO[[#This Row],[Desc color]],ImportarStock[[DESCRIPCION]:[LIBRE UTILIZACION]],2,0),0)</f>
        <v>0</v>
      </c>
    </row>
    <row r="352" spans="2:9" x14ac:dyDescent="0.25">
      <c r="C352" t="s">
        <v>61</v>
      </c>
      <c r="D352" t="s">
        <v>608</v>
      </c>
      <c r="E352" s="19" t="s">
        <v>981</v>
      </c>
      <c r="F352" t="e">
        <f>VLOOKUP(DICCIONARIO[[#This Row],[Desc color]],ImportarStock[DESCRIPCION],1,0)</f>
        <v>#N/A</v>
      </c>
      <c r="H352" t="str">
        <f>VLOOKUP(DICCIONARIO[[#This Row],[Modelo]],UNIFICADA[Equipo],1,0)</f>
        <v>SAMSUNG GALAXY S22 128GB</v>
      </c>
      <c r="I352">
        <f>IFERROR(VLOOKUP(DICCIONARIO[[#This Row],[Desc color]],ImportarStock[[DESCRIPCION]:[LIBRE UTILIZACION]],2,0),0)</f>
        <v>0</v>
      </c>
    </row>
    <row r="353" spans="2:9" x14ac:dyDescent="0.25">
      <c r="B353">
        <v>70044889</v>
      </c>
      <c r="C353" t="s">
        <v>61</v>
      </c>
      <c r="D353" t="s">
        <v>608</v>
      </c>
      <c r="E353" s="19" t="s">
        <v>818</v>
      </c>
      <c r="F353" t="e">
        <f>VLOOKUP(DICCIONARIO[[#This Row],[Desc color]],ImportarStock[DESCRIPCION],1,0)</f>
        <v>#N/A</v>
      </c>
      <c r="G353" t="s">
        <v>813</v>
      </c>
      <c r="H353" t="str">
        <f>VLOOKUP(DICCIONARIO[[#This Row],[Modelo]],UNIFICADA[Equipo],1,0)</f>
        <v>SAMSUNG GALAXY S22 128GB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70044888</v>
      </c>
      <c r="C354" t="s">
        <v>61</v>
      </c>
      <c r="D354" t="s">
        <v>608</v>
      </c>
      <c r="E354" s="19" t="s">
        <v>817</v>
      </c>
      <c r="F354" t="e">
        <f>VLOOKUP(DICCIONARIO[[#This Row],[Desc color]],ImportarStock[DESCRIPCION],1,0)</f>
        <v>#N/A</v>
      </c>
      <c r="G354" t="s">
        <v>632</v>
      </c>
      <c r="H354" t="str">
        <f>VLOOKUP(DICCIONARIO[[#This Row],[Modelo]],UNIFICADA[Equipo],1,0)</f>
        <v>SAMSUNG GALAXY S22 128GB</v>
      </c>
      <c r="I354">
        <f>IFERROR(VLOOKUP(DICCIONARIO[[#This Row],[Desc color]],ImportarStock[[DESCRIPCION]:[LIBRE UTILIZACION]],2,0),0)</f>
        <v>0</v>
      </c>
    </row>
    <row r="355" spans="2:9" x14ac:dyDescent="0.25">
      <c r="C355" t="s">
        <v>62</v>
      </c>
      <c r="D355" t="s">
        <v>608</v>
      </c>
      <c r="E355" s="19" t="s">
        <v>913</v>
      </c>
      <c r="F355" t="e">
        <f>VLOOKUP(DICCIONARIO[[#This Row],[Desc color]],ImportarStock[DESCRIPCION],1,0)</f>
        <v>#N/A</v>
      </c>
      <c r="H355" t="str">
        <f>VLOOKUP(DICCIONARIO[[#This Row],[Modelo]],UNIFICADA[Equipo],1,0)</f>
        <v>SAMSUNG GALAXY S22 PLUS 128GB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70044886</v>
      </c>
      <c r="C356" t="s">
        <v>62</v>
      </c>
      <c r="D356" t="s">
        <v>608</v>
      </c>
      <c r="E356" s="19" t="s">
        <v>815</v>
      </c>
      <c r="F356" t="e">
        <f>VLOOKUP(DICCIONARIO[[#This Row],[Desc color]],ImportarStock[DESCRIPCION],1,0)</f>
        <v>#N/A</v>
      </c>
      <c r="G356" t="s">
        <v>610</v>
      </c>
      <c r="H356" t="str">
        <f>VLOOKUP(DICCIONARIO[[#This Row],[Modelo]],UNIFICADA[Equipo],1,0)</f>
        <v>SAMSUNG GALAXY S22 PLUS 128GB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70044688</v>
      </c>
      <c r="C357" t="s">
        <v>62</v>
      </c>
      <c r="D357" t="s">
        <v>608</v>
      </c>
      <c r="E357" s="19" t="s">
        <v>812</v>
      </c>
      <c r="F357" t="e">
        <f>VLOOKUP(DICCIONARIO[[#This Row],[Desc color]],ImportarStock[DESCRIPCION],1,0)</f>
        <v>#N/A</v>
      </c>
      <c r="G357" t="s">
        <v>813</v>
      </c>
      <c r="H357" t="str">
        <f>VLOOKUP(DICCIONARIO[[#This Row],[Modelo]],UNIFICADA[Equipo],1,0)</f>
        <v>SAMSUNG GALAXY S22 PLUS 128GB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70044885</v>
      </c>
      <c r="C358" t="s">
        <v>62</v>
      </c>
      <c r="D358" t="s">
        <v>608</v>
      </c>
      <c r="E358" s="19" t="s">
        <v>814</v>
      </c>
      <c r="F358" t="e">
        <f>VLOOKUP(DICCIONARIO[[#This Row],[Desc color]],ImportarStock[DESCRIPCION],1,0)</f>
        <v>#N/A</v>
      </c>
      <c r="G358" t="s">
        <v>632</v>
      </c>
      <c r="H358" t="str">
        <f>VLOOKUP(DICCIONARIO[[#This Row],[Modelo]],UNIFICADA[Equipo],1,0)</f>
        <v>SAMSUNG GALAXY S22 PLUS 128GB</v>
      </c>
      <c r="I358">
        <f>IFERROR(VLOOKUP(DICCIONARIO[[#This Row],[Desc color]],ImportarStock[[DESCRIPCION]:[LIBRE UTILIZACION]],2,0),0)</f>
        <v>0</v>
      </c>
    </row>
    <row r="359" spans="2:9" x14ac:dyDescent="0.25">
      <c r="C359" t="s">
        <v>63</v>
      </c>
      <c r="D359" t="s">
        <v>608</v>
      </c>
      <c r="E359" s="19" t="s">
        <v>914</v>
      </c>
      <c r="F359" t="e">
        <f>VLOOKUP(DICCIONARIO[[#This Row],[Desc color]],ImportarStock[DESCRIPCION],1,0)</f>
        <v>#N/A</v>
      </c>
      <c r="H359" t="str">
        <f>VLOOKUP(DICCIONARIO[[#This Row],[Modelo]],UNIFICADA[Equipo],1,0)</f>
        <v>SAMSUNG GALAXY S22 ULTRA 128GB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70044894</v>
      </c>
      <c r="C360" t="s">
        <v>63</v>
      </c>
      <c r="D360" t="s">
        <v>608</v>
      </c>
      <c r="E360" s="19" t="s">
        <v>809</v>
      </c>
      <c r="F360" t="e">
        <f>VLOOKUP(DICCIONARIO[[#This Row],[Desc color]],ImportarStock[DESCRIPCION],1,0)</f>
        <v>#N/A</v>
      </c>
      <c r="G360" t="s">
        <v>810</v>
      </c>
      <c r="H360" t="str">
        <f>VLOOKUP(DICCIONARIO[[#This Row],[Modelo]],UNIFICADA[Equipo],1,0)</f>
        <v>SAMSUNG GALAXY S22 ULTRA 128GB</v>
      </c>
      <c r="I360">
        <f>IFERROR(VLOOKUP(DICCIONARIO[[#This Row],[Desc color]],ImportarStock[[DESCRIPCION]:[LIBRE UTILIZACION]],2,0),0)</f>
        <v>0</v>
      </c>
    </row>
    <row r="361" spans="2:9" x14ac:dyDescent="0.25">
      <c r="C361" t="s">
        <v>63</v>
      </c>
      <c r="D361" t="s">
        <v>608</v>
      </c>
      <c r="E361" s="19" t="s">
        <v>982</v>
      </c>
      <c r="F361" t="e">
        <f>VLOOKUP(DICCIONARIO[[#This Row],[Desc color]],ImportarStock[DESCRIPCION],1,0)</f>
        <v>#N/A</v>
      </c>
      <c r="H361" t="str">
        <f>VLOOKUP(DICCIONARIO[[#This Row],[Modelo]],UNIFICADA[Equipo],1,0)</f>
        <v>SAMSUNG GALAXY S22 ULTRA 128GB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70044895</v>
      </c>
      <c r="C362" t="s">
        <v>63</v>
      </c>
      <c r="D362" t="s">
        <v>608</v>
      </c>
      <c r="E362" s="19" t="s">
        <v>811</v>
      </c>
      <c r="F362" t="e">
        <f>VLOOKUP(DICCIONARIO[[#This Row],[Desc color]],ImportarStock[DESCRIPCION],1,0)</f>
        <v>#N/A</v>
      </c>
      <c r="G362" t="s">
        <v>610</v>
      </c>
      <c r="H362" t="str">
        <f>VLOOKUP(DICCIONARIO[[#This Row],[Modelo]],UNIFICADA[Equipo],1,0)</f>
        <v>SAMSUNG GALAXY S22 ULTRA 128GB</v>
      </c>
      <c r="I362">
        <f>IFERROR(VLOOKUP(DICCIONARIO[[#This Row],[Desc color]],ImportarStock[[DESCRIPCION]:[LIBRE UTILIZACION]],2,0),0)</f>
        <v>0</v>
      </c>
    </row>
    <row r="363" spans="2:9" x14ac:dyDescent="0.25">
      <c r="C363" t="s">
        <v>599</v>
      </c>
      <c r="D363" t="s">
        <v>608</v>
      </c>
      <c r="E363" s="19" t="s">
        <v>983</v>
      </c>
      <c r="F363" t="str">
        <f>VLOOKUP(DICCIONARIO[[#This Row],[Desc color]],ImportarStock[DESCRIPCION],1,0)</f>
        <v>SMG GXYS23U2568S9 NG</v>
      </c>
      <c r="H363" t="str">
        <f>VLOOKUP(DICCIONARIO[[#This Row],[Modelo]],UNIFICADA[Equipo],1,0)</f>
        <v>SAMSUNG GALAXY S23 ULTRA 256GB</v>
      </c>
      <c r="I363">
        <f>IFERROR(VLOOKUP(DICCIONARIO[[#This Row],[Desc color]],ImportarStock[[DESCRIPCION]:[LIBRE UTILIZACION]],2,0),0)</f>
        <v>3</v>
      </c>
    </row>
    <row r="364" spans="2:9" x14ac:dyDescent="0.25">
      <c r="C364" t="s">
        <v>599</v>
      </c>
      <c r="D364" t="s">
        <v>608</v>
      </c>
      <c r="E364" s="19" t="s">
        <v>1232</v>
      </c>
      <c r="F364" t="str">
        <f>VLOOKUP(DICCIONARIO[[#This Row],[Desc color]],ImportarStock[DESCRIPCION],1,0)</f>
        <v>SMG GXYS23U2568S9 NG CAMIST.PER</v>
      </c>
      <c r="H364" t="str">
        <f>VLOOKUP(DICCIONARIO[[#This Row],[Modelo]],UNIFICADA[Equipo],1,0)</f>
        <v>SAMSUNG GALAXY S23 ULTRA 256GB</v>
      </c>
      <c r="I364">
        <f>IFERROR(VLOOKUP(DICCIONARIO[[#This Row],[Desc color]],ImportarStock[[DESCRIPCION]:[LIBRE UTILIZACION]],2,0),0)</f>
        <v>1</v>
      </c>
    </row>
    <row r="365" spans="2:9" x14ac:dyDescent="0.25">
      <c r="C365" t="s">
        <v>599</v>
      </c>
      <c r="D365" t="s">
        <v>608</v>
      </c>
      <c r="E365" s="19" t="s">
        <v>1112</v>
      </c>
      <c r="F365" t="e">
        <f>VLOOKUP(DICCIONARIO[[#This Row],[Desc color]],ImportarStock[DESCRIPCION],1,0)</f>
        <v>#N/A</v>
      </c>
      <c r="H365" t="str">
        <f>VLOOKUP(DICCIONARIO[[#This Row],[Modelo]],UNIFICADA[Equipo],1,0)</f>
        <v>SAMSUNG GALAXY S23 ULTRA 256GB</v>
      </c>
      <c r="I365">
        <f>IFERROR(VLOOKUP(DICCIONARIO[[#This Row],[Desc color]],ImportarStock[[DESCRIPCION]:[LIBRE UTILIZACION]],2,0),0)</f>
        <v>0</v>
      </c>
    </row>
    <row r="366" spans="2:9" x14ac:dyDescent="0.25">
      <c r="C366" t="s">
        <v>105</v>
      </c>
      <c r="D366" t="s">
        <v>608</v>
      </c>
      <c r="E366" s="19" t="s">
        <v>984</v>
      </c>
      <c r="F366" t="e">
        <f>VLOOKUP(DICCIONARIO[[#This Row],[Desc color]],ImportarStock[DESCRIPCION],1,0)</f>
        <v>#N/A</v>
      </c>
      <c r="H366" t="str">
        <f>VLOOKUP(DICCIONARIO[[#This Row],[Modelo]],UNIFICADA[Equipo],1,0)</f>
        <v>SAMSUNG GALAXY Z FOLD 4 256GB</v>
      </c>
      <c r="I366">
        <f>IFERROR(VLOOKUP(DICCIONARIO[[#This Row],[Desc color]],ImportarStock[[DESCRIPCION]:[LIBRE UTILIZACION]],2,0),0)</f>
        <v>0</v>
      </c>
    </row>
    <row r="367" spans="2:9" x14ac:dyDescent="0.25">
      <c r="C367" t="s">
        <v>105</v>
      </c>
      <c r="D367" t="s">
        <v>608</v>
      </c>
      <c r="E367" s="19" t="s">
        <v>1010</v>
      </c>
      <c r="F367" t="e">
        <f>VLOOKUP(DICCIONARIO[[#This Row],[Desc color]],ImportarStock[DESCRIPCION],1,0)</f>
        <v>#N/A</v>
      </c>
      <c r="H367" t="str">
        <f>VLOOKUP(DICCIONARIO[[#This Row],[Modelo]],UNIFICADA[Equipo],1,0)</f>
        <v>SAMSUNG GALAXY Z FOLD 4 256GB</v>
      </c>
      <c r="I367">
        <f>IFERROR(VLOOKUP(DICCIONARIO[[#This Row],[Desc color]],ImportarStock[[DESCRIPCION]:[LIBRE UTILIZACION]],2,0),0)</f>
        <v>0</v>
      </c>
    </row>
    <row r="368" spans="2:9" x14ac:dyDescent="0.25">
      <c r="C368" t="s">
        <v>1130</v>
      </c>
      <c r="D368" t="s">
        <v>1131</v>
      </c>
      <c r="E368" s="19" t="s">
        <v>915</v>
      </c>
      <c r="F368" t="str">
        <f>VLOOKUP(DICCIONARIO[[#This Row],[Desc color]],ImportarStock[DESCRIPCION],1,0)</f>
        <v>TARJETA SIM CARD 2FF/3FF 256KB IFI ALTA</v>
      </c>
      <c r="H368" t="e">
        <f>VLOOKUP(DICCIONARIO[[#This Row],[Modelo]],UNIFICADA[Equipo],1,0)</f>
        <v>#N/A</v>
      </c>
      <c r="I368">
        <f>IFERROR(VLOOKUP(DICCIONARIO[[#This Row],[Desc color]],ImportarStock[[DESCRIPCION]:[LIBRE UTILIZACION]],2,0),0)</f>
        <v>2</v>
      </c>
    </row>
    <row r="369" spans="2:9" x14ac:dyDescent="0.25">
      <c r="C369" t="s">
        <v>1130</v>
      </c>
      <c r="D369" t="s">
        <v>1131</v>
      </c>
      <c r="E369" s="19" t="s">
        <v>916</v>
      </c>
      <c r="F369" t="str">
        <f>VLOOKUP(DICCIONARIO[[#This Row],[Desc color]],ImportarStock[DESCRIPCION],1,0)</f>
        <v>TARJETA SIM CARD 2FF/3FF 256KB IFI REPO</v>
      </c>
      <c r="H369" t="e">
        <f>VLOOKUP(DICCIONARIO[[#This Row],[Modelo]],UNIFICADA[Equipo],1,0)</f>
        <v>#N/A</v>
      </c>
      <c r="I369">
        <f>IFERROR(VLOOKUP(DICCIONARIO[[#This Row],[Desc color]],ImportarStock[[DESCRIPCION]:[LIBRE UTILIZACION]],2,0),0)</f>
        <v>1</v>
      </c>
    </row>
    <row r="370" spans="2:9" x14ac:dyDescent="0.25">
      <c r="C370" t="s">
        <v>1130</v>
      </c>
      <c r="D370" t="s">
        <v>1131</v>
      </c>
      <c r="E370" s="19" t="s">
        <v>1128</v>
      </c>
      <c r="F370" t="str">
        <f>VLOOKUP(DICCIONARIO[[#This Row],[Desc color]],ImportarStock[DESCRIPCION],1,0)</f>
        <v>Texto breve de material</v>
      </c>
      <c r="H370" t="e">
        <f>VLOOKUP(DICCIONARIO[[#This Row],[Modelo]],UNIFICADA[Equipo],1,0)</f>
        <v>#N/A</v>
      </c>
      <c r="I370" t="str">
        <f>IFERROR(VLOOKUP(DICCIONARIO[[#This Row],[Desc color]],ImportarStock[[DESCRIPCION]:[LIBRE UTILIZACION]],2,0),0)</f>
        <v>Libre utilización</v>
      </c>
    </row>
    <row r="371" spans="2:9" x14ac:dyDescent="0.25">
      <c r="C371" t="s">
        <v>1130</v>
      </c>
      <c r="D371" t="s">
        <v>1131</v>
      </c>
      <c r="E371" s="19" t="s">
        <v>917</v>
      </c>
      <c r="F371" t="str">
        <f>VLOOKUP(DICCIONARIO[[#This Row],[Desc color]],ImportarStock[DESCRIPCION],1,0)</f>
        <v>TMC LOGICFIXO100G NG FIJO</v>
      </c>
      <c r="H371" t="e">
        <f>VLOOKUP(DICCIONARIO[[#This Row],[Modelo]],UNIFICADA[Equipo],1,0)</f>
        <v>#N/A</v>
      </c>
      <c r="I371">
        <f>IFERROR(VLOOKUP(DICCIONARIO[[#This Row],[Desc color]],ImportarStock[[DESCRIPCION]:[LIBRE UTILIZACION]],2,0),0)</f>
        <v>3</v>
      </c>
    </row>
    <row r="372" spans="2:9" x14ac:dyDescent="0.25">
      <c r="C372" t="s">
        <v>1130</v>
      </c>
      <c r="D372" t="s">
        <v>1131</v>
      </c>
      <c r="E372" s="19" t="s">
        <v>1102</v>
      </c>
      <c r="F372" t="str">
        <f>VLOOKUP(DICCIONARIO[[#This Row],[Desc color]],ImportarStock[DESCRIPCION],1,0)</f>
        <v>TMC LOGICFIXO100G NG FIJO SEED STOCK</v>
      </c>
      <c r="H372" t="e">
        <f>VLOOKUP(DICCIONARIO[[#This Row],[Modelo]],UNIFICADA[Equipo],1,0)</f>
        <v>#N/A</v>
      </c>
      <c r="I372">
        <f>IFERROR(VLOOKUP(DICCIONARIO[[#This Row],[Desc color]],ImportarStock[[DESCRIPCION]:[LIBRE UTILIZACION]],2,0),0)</f>
        <v>2</v>
      </c>
    </row>
    <row r="373" spans="2:9" x14ac:dyDescent="0.25">
      <c r="B373">
        <v>70043802</v>
      </c>
      <c r="C373" t="s">
        <v>87</v>
      </c>
      <c r="D373" t="s">
        <v>792</v>
      </c>
      <c r="E373" s="19" t="s">
        <v>799</v>
      </c>
      <c r="F373" t="e">
        <f>VLOOKUP(DICCIONARIO[[#This Row],[Desc color]],ImportarStock[DESCRIPCION],1,0)</f>
        <v>#N/A</v>
      </c>
      <c r="G373" t="s">
        <v>800</v>
      </c>
      <c r="H373" t="str">
        <f>VLOOKUP(DICCIONARIO[[#This Row],[Modelo]],UNIFICADA[Equipo],1,0)</f>
        <v>VIVO V21 5G 128GB</v>
      </c>
      <c r="I373">
        <f>IFERROR(VLOOKUP(DICCIONARIO[[#This Row],[Desc color]],ImportarStock[[DESCRIPCION]:[LIBRE UTILIZACION]],2,0),0)</f>
        <v>0</v>
      </c>
    </row>
    <row r="374" spans="2:9" x14ac:dyDescent="0.25">
      <c r="B374">
        <v>70043801</v>
      </c>
      <c r="C374" t="s">
        <v>87</v>
      </c>
      <c r="D374" t="s">
        <v>792</v>
      </c>
      <c r="E374" s="19" t="s">
        <v>797</v>
      </c>
      <c r="F374" t="str">
        <f>VLOOKUP(DICCIONARIO[[#This Row],[Desc color]],ImportarStock[DESCRIPCION],1,0)</f>
        <v>VI V21 128GB 5G SD</v>
      </c>
      <c r="G374" t="s">
        <v>798</v>
      </c>
      <c r="H374" t="str">
        <f>VLOOKUP(DICCIONARIO[[#This Row],[Modelo]],UNIFICADA[Equipo],1,0)</f>
        <v>VIVO V21 5G 128GB</v>
      </c>
      <c r="I374">
        <f>IFERROR(VLOOKUP(DICCIONARIO[[#This Row],[Desc color]],ImportarStock[[DESCRIPCION]:[LIBRE UTILIZACION]],2,0),0)</f>
        <v>4</v>
      </c>
    </row>
    <row r="375" spans="2:9" x14ac:dyDescent="0.25">
      <c r="C375" t="s">
        <v>1040</v>
      </c>
      <c r="D375" t="s">
        <v>792</v>
      </c>
      <c r="E375" s="19" t="s">
        <v>1261</v>
      </c>
      <c r="F375" t="e">
        <f>VLOOKUP(DICCIONARIO[[#This Row],[Desc color]],ImportarStock[DESCRIPCION],1,0)</f>
        <v>#N/A</v>
      </c>
      <c r="H375" t="str">
        <f>VLOOKUP(DICCIONARIO[[#This Row],[Modelo]],UNIFICADA[Equipo],1,0)</f>
        <v>VIVO Y16 64GB</v>
      </c>
      <c r="I375">
        <f>IFERROR(VLOOKUP(DICCIONARIO[[#This Row],[Desc color]],ImportarStock[[DESCRIPCION]:[LIBRE UTILIZACION]],2,0),0)</f>
        <v>0</v>
      </c>
    </row>
    <row r="376" spans="2:9" x14ac:dyDescent="0.25">
      <c r="C376" t="s">
        <v>1040</v>
      </c>
      <c r="D376" t="s">
        <v>792</v>
      </c>
      <c r="E376" s="19" t="s">
        <v>1117</v>
      </c>
      <c r="F376" t="str">
        <f>VLOOKUP(DICCIONARIO[[#This Row],[Desc color]],ImportarStock[DESCRIPCION],1,0)</f>
        <v>VI Y16 64GB NG BUND AUDIF</v>
      </c>
      <c r="H376" t="str">
        <f>VLOOKUP(DICCIONARIO[[#This Row],[Modelo]],UNIFICADA[Equipo],1,0)</f>
        <v>VIVO Y16 64GB</v>
      </c>
      <c r="I376">
        <f>IFERROR(VLOOKUP(DICCIONARIO[[#This Row],[Desc color]],ImportarStock[[DESCRIPCION]:[LIBRE UTILIZACION]],2,0),0)</f>
        <v>10</v>
      </c>
    </row>
    <row r="377" spans="2:9" x14ac:dyDescent="0.25">
      <c r="C377" t="s">
        <v>1038</v>
      </c>
      <c r="D377" t="s">
        <v>792</v>
      </c>
      <c r="E377" s="19" t="s">
        <v>1192</v>
      </c>
      <c r="F377" t="str">
        <f>VLOOKUP(DICCIONARIO[[#This Row],[Desc color]],ImportarStock[DESCRIPCION],1,0)</f>
        <v>VI Y22S 128/6GB BL</v>
      </c>
      <c r="H377" t="str">
        <f>VLOOKUP(DICCIONARIO[[#This Row],[Modelo]],UNIFICADA[Equipo],1,0)</f>
        <v>VIVO Y22s 128GB</v>
      </c>
      <c r="I377">
        <f>IFERROR(VLOOKUP(DICCIONARIO[[#This Row],[Desc color]],ImportarStock[[DESCRIPCION]:[LIBRE UTILIZACION]],2,0),0)</f>
        <v>5</v>
      </c>
    </row>
    <row r="378" spans="2:9" x14ac:dyDescent="0.25">
      <c r="C378" t="s">
        <v>1038</v>
      </c>
      <c r="D378" t="s">
        <v>792</v>
      </c>
      <c r="E378" s="19" t="s">
        <v>1116</v>
      </c>
      <c r="F378" t="e">
        <f>VLOOKUP(DICCIONARIO[[#This Row],[Desc color]],ImportarStock[DESCRIPCION],1,0)</f>
        <v>#N/A</v>
      </c>
      <c r="H378" t="str">
        <f>VLOOKUP(DICCIONARIO[[#This Row],[Modelo]],UNIFICADA[Equipo],1,0)</f>
        <v>VIVO Y22s 128GB</v>
      </c>
      <c r="I378">
        <f>IFERROR(VLOOKUP(DICCIONARIO[[#This Row],[Desc color]],ImportarStock[[DESCRIPCION]:[LIBRE UTILIZACION]],2,0),0)</f>
        <v>0</v>
      </c>
    </row>
    <row r="379" spans="2:9" x14ac:dyDescent="0.25">
      <c r="C379" t="s">
        <v>1038</v>
      </c>
      <c r="D379" t="s">
        <v>792</v>
      </c>
      <c r="E379" s="19" t="s">
        <v>1187</v>
      </c>
      <c r="F379" t="str">
        <f>VLOOKUP(DICCIONARIO[[#This Row],[Desc color]],ImportarStock[DESCRIPCION],1,0)</f>
        <v>VI Y22S 128/6GB SU</v>
      </c>
      <c r="H379" t="str">
        <f>VLOOKUP(DICCIONARIO[[#This Row],[Modelo]],UNIFICADA[Equipo],1,0)</f>
        <v>VIVO Y22s 128GB</v>
      </c>
      <c r="I379">
        <f>IFERROR(VLOOKUP(DICCIONARIO[[#This Row],[Desc color]],ImportarStock[[DESCRIPCION]:[LIBRE UTILIZACION]],2,0),0)</f>
        <v>5</v>
      </c>
    </row>
    <row r="380" spans="2:9" x14ac:dyDescent="0.25">
      <c r="C380" t="s">
        <v>1038</v>
      </c>
      <c r="D380" t="s">
        <v>792</v>
      </c>
      <c r="E380" s="19" t="s">
        <v>1049</v>
      </c>
      <c r="F380" t="e">
        <f>VLOOKUP(DICCIONARIO[[#This Row],[Desc color]],ImportarStock[DESCRIPCION],1,0)</f>
        <v>#N/A</v>
      </c>
      <c r="H380" t="str">
        <f>VLOOKUP(DICCIONARIO[[#This Row],[Modelo]],UNIFICADA[Equipo],1,0)</f>
        <v>VIVO Y22s 128GB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70043804</v>
      </c>
      <c r="C381" t="s">
        <v>85</v>
      </c>
      <c r="D381" t="s">
        <v>792</v>
      </c>
      <c r="E381" s="19" t="s">
        <v>795</v>
      </c>
      <c r="F381" t="e">
        <f>VLOOKUP(DICCIONARIO[[#This Row],[Desc color]],ImportarStock[DESCRIPCION],1,0)</f>
        <v>#N/A</v>
      </c>
      <c r="G381" t="s">
        <v>793</v>
      </c>
      <c r="H381" t="str">
        <f>VLOOKUP(DICCIONARIO[[#This Row],[Modelo]],UNIFICADA[Equipo],1,0)</f>
        <v>VIVO Y33 128GB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70043805</v>
      </c>
      <c r="C382" t="s">
        <v>85</v>
      </c>
      <c r="D382" t="s">
        <v>792</v>
      </c>
      <c r="E382" s="19" t="s">
        <v>796</v>
      </c>
      <c r="F382" t="e">
        <f>VLOOKUP(DICCIONARIO[[#This Row],[Desc color]],ImportarStock[DESCRIPCION],1,0)</f>
        <v>#N/A</v>
      </c>
      <c r="G382" t="s">
        <v>794</v>
      </c>
      <c r="H382" t="str">
        <f>VLOOKUP(DICCIONARIO[[#This Row],[Modelo]],UNIFICADA[Equipo],1,0)</f>
        <v>VIVO Y33 128GB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1039</v>
      </c>
      <c r="D383" t="s">
        <v>792</v>
      </c>
      <c r="E383" s="19" t="s">
        <v>1262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VIVO Y35 128GB</v>
      </c>
      <c r="I383">
        <f>IFERROR(VLOOKUP(DICCIONARIO[[#This Row],[Desc color]],ImportarStock[[DESCRIPCION]:[LIBRE UTILIZACION]],2,0),0)</f>
        <v>0</v>
      </c>
    </row>
    <row r="384" spans="2:9" x14ac:dyDescent="0.25">
      <c r="C384" t="s">
        <v>1039</v>
      </c>
      <c r="D384" t="s">
        <v>792</v>
      </c>
      <c r="E384" s="19" t="s">
        <v>1115</v>
      </c>
      <c r="F384" t="str">
        <f>VLOOKUP(DICCIONARIO[[#This Row],[Desc color]],ImportarStock[DESCRIPCION],1,0)</f>
        <v>VI Y35 128GB DO BUND RELOJ</v>
      </c>
      <c r="H384" t="str">
        <f>VLOOKUP(DICCIONARIO[[#This Row],[Modelo]],UNIFICADA[Equipo],1,0)</f>
        <v>VIVO Y35 128GB</v>
      </c>
      <c r="I384">
        <f>IFERROR(VLOOKUP(DICCIONARIO[[#This Row],[Desc color]],ImportarStock[[DESCRIPCION]:[LIBRE UTILIZACION]],2,0),0)</f>
        <v>4</v>
      </c>
    </row>
    <row r="385" spans="2:9" x14ac:dyDescent="0.25">
      <c r="C385" t="s">
        <v>1039</v>
      </c>
      <c r="D385" t="s">
        <v>792</v>
      </c>
      <c r="E385" s="19" t="s">
        <v>1114</v>
      </c>
      <c r="F385" t="e">
        <f>VLOOKUP(DICCIONARIO[[#This Row],[Desc color]],ImportarStock[DESCRIPCION],1,0)</f>
        <v>#N/A</v>
      </c>
      <c r="H385" t="str">
        <f>VLOOKUP(DICCIONARIO[[#This Row],[Modelo]],UNIFICADA[Equipo],1,0)</f>
        <v>VIVO Y35 128GB</v>
      </c>
      <c r="I385">
        <f>IFERROR(VLOOKUP(DICCIONARIO[[#This Row],[Desc color]],ImportarStock[[DESCRIPCION]:[LIBRE UTILIZACION]],2,0),0)</f>
        <v>0</v>
      </c>
    </row>
    <row r="386" spans="2:9" x14ac:dyDescent="0.25">
      <c r="C386" t="s">
        <v>1130</v>
      </c>
      <c r="D386" t="s">
        <v>1131</v>
      </c>
      <c r="E386" s="19" t="s">
        <v>1073</v>
      </c>
      <c r="F386" t="e">
        <f>VLOOKUP(DICCIONARIO[[#This Row],[Desc color]],ImportarStock[DESCRIPCION],1,0)</f>
        <v>#N/A</v>
      </c>
      <c r="H386" t="e">
        <f>VLOOKUP(DICCIONARIO[[#This Row],[Modelo]],UNIFICADA[Equipo],1,0)</f>
        <v>#N/A</v>
      </c>
      <c r="I386">
        <f>IFERROR(VLOOKUP(DICCIONARIO[[#This Row],[Desc color]],ImportarStock[[DESCRIPCION]:[LIBRE UTILIZACION]],2,0),0)</f>
        <v>0</v>
      </c>
    </row>
    <row r="387" spans="2:9" x14ac:dyDescent="0.25">
      <c r="C387" t="s">
        <v>1130</v>
      </c>
      <c r="D387" t="s">
        <v>1131</v>
      </c>
      <c r="E387" s="19" t="s">
        <v>1072</v>
      </c>
      <c r="F387" t="e">
        <f>VLOOKUP(DICCIONARIO[[#This Row],[Desc color]],ImportarStock[DESCRIPCION],1,0)</f>
        <v>#N/A</v>
      </c>
      <c r="H387" t="e">
        <f>VLOOKUP(DICCIONARIO[[#This Row],[Modelo]],UNIFICADA[Equipo],1,0)</f>
        <v>#N/A</v>
      </c>
      <c r="I387">
        <f>IFERROR(VLOOKUP(DICCIONARIO[[#This Row],[Desc color]],ImportarStock[[DESCRIPCION]:[LIBRE UTILIZACION]],2,0),0)</f>
        <v>0</v>
      </c>
    </row>
    <row r="388" spans="2:9" x14ac:dyDescent="0.25">
      <c r="B388">
        <v>70043182</v>
      </c>
      <c r="C388" t="s">
        <v>34</v>
      </c>
      <c r="D388" t="s">
        <v>631</v>
      </c>
      <c r="E388" s="19" t="s">
        <v>768</v>
      </c>
      <c r="F388" t="e">
        <f>VLOOKUP(DICCIONARIO[[#This Row],[Desc color]],ImportarStock[DESCRIPCION],1,0)</f>
        <v>#N/A</v>
      </c>
      <c r="G388" t="s">
        <v>761</v>
      </c>
      <c r="H388" t="str">
        <f>VLOOKUP(DICCIONARIO[[#This Row],[Modelo]],UNIFICADA[Equipo],1,0)</f>
        <v>XIAOMI 11 LITE 5G NE 128GB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70043202</v>
      </c>
      <c r="C389" t="s">
        <v>34</v>
      </c>
      <c r="D389" t="s">
        <v>631</v>
      </c>
      <c r="E389" s="19" t="s">
        <v>769</v>
      </c>
      <c r="F389" t="e">
        <f>VLOOKUP(DICCIONARIO[[#This Row],[Desc color]],ImportarStock[DESCRIPCION],1,0)</f>
        <v>#N/A</v>
      </c>
      <c r="G389" t="s">
        <v>761</v>
      </c>
      <c r="H389" t="str">
        <f>VLOOKUP(DICCIONARIO[[#This Row],[Modelo]],UNIFICADA[Equipo],1,0)</f>
        <v>XIAOMI 11 LITE 5G NE 128GB</v>
      </c>
      <c r="I389">
        <f>IFERROR(VLOOKUP(DICCIONARIO[[#This Row],[Desc color]],ImportarStock[[DESCRIPCION]:[LIBRE UTILIZACION]],2,0),0)</f>
        <v>0</v>
      </c>
    </row>
    <row r="390" spans="2:9" x14ac:dyDescent="0.25">
      <c r="B390">
        <v>70043183</v>
      </c>
      <c r="C390" t="s">
        <v>34</v>
      </c>
      <c r="D390" t="s">
        <v>631</v>
      </c>
      <c r="E390" s="19" t="s">
        <v>770</v>
      </c>
      <c r="F390" t="e">
        <f>VLOOKUP(DICCIONARIO[[#This Row],[Desc color]],ImportarStock[DESCRIPCION],1,0)</f>
        <v>#N/A</v>
      </c>
      <c r="G390" t="s">
        <v>764</v>
      </c>
      <c r="H390" t="str">
        <f>VLOOKUP(DICCIONARIO[[#This Row],[Modelo]],UNIFICADA[Equipo],1,0)</f>
        <v>XIAOMI 11 LITE 5G NE 128GB</v>
      </c>
      <c r="I390">
        <f>IFERROR(VLOOKUP(DICCIONARIO[[#This Row],[Desc color]],ImportarStock[[DESCRIPCION]:[LIBRE UTILIZACION]],2,0),0)</f>
        <v>0</v>
      </c>
    </row>
    <row r="391" spans="2:9" x14ac:dyDescent="0.25">
      <c r="B391">
        <v>70043196</v>
      </c>
      <c r="C391" t="s">
        <v>34</v>
      </c>
      <c r="D391" t="s">
        <v>631</v>
      </c>
      <c r="E391" s="19" t="s">
        <v>766</v>
      </c>
      <c r="F391" t="e">
        <f>VLOOKUP(DICCIONARIO[[#This Row],[Desc color]],ImportarStock[DESCRIPCION],1,0)</f>
        <v>#N/A</v>
      </c>
      <c r="G391" t="s">
        <v>758</v>
      </c>
      <c r="H391" t="str">
        <f>VLOOKUP(DICCIONARIO[[#This Row],[Modelo]],UNIFICADA[Equipo],1,0)</f>
        <v>XIAOMI 11 LITE 5G NE 128GB</v>
      </c>
      <c r="I391">
        <f>IFERROR(VLOOKUP(DICCIONARIO[[#This Row],[Desc color]],ImportarStock[[DESCRIPCION]:[LIBRE UTILIZACION]],2,0),0)</f>
        <v>0</v>
      </c>
    </row>
    <row r="392" spans="2:9" x14ac:dyDescent="0.25">
      <c r="B392">
        <v>70043201</v>
      </c>
      <c r="C392" t="s">
        <v>34</v>
      </c>
      <c r="D392" t="s">
        <v>631</v>
      </c>
      <c r="E392" s="19" t="s">
        <v>767</v>
      </c>
      <c r="F392" t="e">
        <f>VLOOKUP(DICCIONARIO[[#This Row],[Desc color]],ImportarStock[DESCRIPCION],1,0)</f>
        <v>#N/A</v>
      </c>
      <c r="G392" t="s">
        <v>758</v>
      </c>
      <c r="H392" t="str">
        <f>VLOOKUP(DICCIONARIO[[#This Row],[Modelo]],UNIFICADA[Equipo],1,0)</f>
        <v>XIAOMI 11 LITE 5G NE 128GB</v>
      </c>
      <c r="I392">
        <f>IFERROR(VLOOKUP(DICCIONARIO[[#This Row],[Desc color]],ImportarStock[[DESCRIPCION]:[LIBRE UTILIZACION]],2,0),0)</f>
        <v>0</v>
      </c>
    </row>
    <row r="393" spans="2:9" x14ac:dyDescent="0.25">
      <c r="B393">
        <v>70043180</v>
      </c>
      <c r="C393" t="s">
        <v>35</v>
      </c>
      <c r="D393" t="s">
        <v>631</v>
      </c>
      <c r="E393" s="19" t="s">
        <v>760</v>
      </c>
      <c r="F393" t="e">
        <f>VLOOKUP(DICCIONARIO[[#This Row],[Desc color]],ImportarStock[DESCRIPCION],1,0)</f>
        <v>#N/A</v>
      </c>
      <c r="G393" t="s">
        <v>761</v>
      </c>
      <c r="H393" t="str">
        <f>VLOOKUP(DICCIONARIO[[#This Row],[Modelo]],UNIFICADA[Equipo],1,0)</f>
        <v>XIAOMI 11 LITE 5G NE 256GB</v>
      </c>
      <c r="I393">
        <f>IFERROR(VLOOKUP(DICCIONARIO[[#This Row],[Desc color]],ImportarStock[[DESCRIPCION]:[LIBRE UTILIZACION]],2,0),0)</f>
        <v>0</v>
      </c>
    </row>
    <row r="394" spans="2:9" x14ac:dyDescent="0.25">
      <c r="B394">
        <v>70043199</v>
      </c>
      <c r="C394" t="s">
        <v>35</v>
      </c>
      <c r="D394" t="s">
        <v>631</v>
      </c>
      <c r="E394" s="19" t="s">
        <v>762</v>
      </c>
      <c r="F394" t="e">
        <f>VLOOKUP(DICCIONARIO[[#This Row],[Desc color]],ImportarStock[DESCRIPCION],1,0)</f>
        <v>#N/A</v>
      </c>
      <c r="G394" t="s">
        <v>761</v>
      </c>
      <c r="H394" t="str">
        <f>VLOOKUP(DICCIONARIO[[#This Row],[Modelo]],UNIFICADA[Equipo],1,0)</f>
        <v>XIAOMI 11 LITE 5G NE 256GB</v>
      </c>
      <c r="I394">
        <f>IFERROR(VLOOKUP(DICCIONARIO[[#This Row],[Desc color]],ImportarStock[[DESCRIPCION]:[LIBRE UTILIZACION]],2,0),0)</f>
        <v>0</v>
      </c>
    </row>
    <row r="395" spans="2:9" x14ac:dyDescent="0.25">
      <c r="B395">
        <v>70044925</v>
      </c>
      <c r="C395" t="s">
        <v>35</v>
      </c>
      <c r="D395" t="s">
        <v>631</v>
      </c>
      <c r="E395" s="19" t="s">
        <v>825</v>
      </c>
      <c r="F395" t="e">
        <f>VLOOKUP(DICCIONARIO[[#This Row],[Desc color]],ImportarStock[DESCRIPCION],1,0)</f>
        <v>#N/A</v>
      </c>
      <c r="G395" t="s">
        <v>826</v>
      </c>
      <c r="H395" t="str">
        <f>VLOOKUP(DICCIONARIO[[#This Row],[Modelo]],UNIFICADA[Equipo],1,0)</f>
        <v>XIAOMI 11 LITE 5G NE 256GB</v>
      </c>
      <c r="I395">
        <f>IFERROR(VLOOKUP(DICCIONARIO[[#This Row],[Desc color]],ImportarStock[[DESCRIPCION]:[LIBRE UTILIZACION]],2,0),0)</f>
        <v>0</v>
      </c>
    </row>
    <row r="396" spans="2:9" x14ac:dyDescent="0.25">
      <c r="B396">
        <v>70043181</v>
      </c>
      <c r="C396" t="s">
        <v>35</v>
      </c>
      <c r="D396" t="s">
        <v>631</v>
      </c>
      <c r="E396" s="19" t="s">
        <v>763</v>
      </c>
      <c r="F396" t="e">
        <f>VLOOKUP(DICCIONARIO[[#This Row],[Desc color]],ImportarStock[DESCRIPCION],1,0)</f>
        <v>#N/A</v>
      </c>
      <c r="G396" t="s">
        <v>764</v>
      </c>
      <c r="H396" t="str">
        <f>VLOOKUP(DICCIONARIO[[#This Row],[Modelo]],UNIFICADA[Equipo],1,0)</f>
        <v>XIAOMI 11 LITE 5G NE 256GB</v>
      </c>
      <c r="I396">
        <f>IFERROR(VLOOKUP(DICCIONARIO[[#This Row],[Desc color]],ImportarStock[[DESCRIPCION]:[LIBRE UTILIZACION]],2,0),0)</f>
        <v>0</v>
      </c>
    </row>
    <row r="397" spans="2:9" x14ac:dyDescent="0.25">
      <c r="B397">
        <v>70043200</v>
      </c>
      <c r="C397" t="s">
        <v>35</v>
      </c>
      <c r="D397" t="s">
        <v>631</v>
      </c>
      <c r="E397" s="19" t="s">
        <v>765</v>
      </c>
      <c r="F397" t="e">
        <f>VLOOKUP(DICCIONARIO[[#This Row],[Desc color]],ImportarStock[DESCRIPCION],1,0)</f>
        <v>#N/A</v>
      </c>
      <c r="G397" t="s">
        <v>764</v>
      </c>
      <c r="H397" t="str">
        <f>VLOOKUP(DICCIONARIO[[#This Row],[Modelo]],UNIFICADA[Equipo],1,0)</f>
        <v>XIAOMI 11 LITE 5G NE 256GB</v>
      </c>
      <c r="I397">
        <f>IFERROR(VLOOKUP(DICCIONARIO[[#This Row],[Desc color]],ImportarStock[[DESCRIPCION]:[LIBRE UTILIZACION]],2,0),0)</f>
        <v>0</v>
      </c>
    </row>
    <row r="398" spans="2:9" x14ac:dyDescent="0.25">
      <c r="B398">
        <v>70043179</v>
      </c>
      <c r="C398" t="s">
        <v>35</v>
      </c>
      <c r="D398" t="s">
        <v>631</v>
      </c>
      <c r="E398" s="19" t="s">
        <v>757</v>
      </c>
      <c r="F398" t="e">
        <f>VLOOKUP(DICCIONARIO[[#This Row],[Desc color]],ImportarStock[DESCRIPCION],1,0)</f>
        <v>#N/A</v>
      </c>
      <c r="G398" t="s">
        <v>758</v>
      </c>
      <c r="H398" t="str">
        <f>VLOOKUP(DICCIONARIO[[#This Row],[Modelo]],UNIFICADA[Equipo],1,0)</f>
        <v>XIAOMI 11 LITE 5G NE 256GB</v>
      </c>
      <c r="I398">
        <f>IFERROR(VLOOKUP(DICCIONARIO[[#This Row],[Desc color]],ImportarStock[[DESCRIPCION]:[LIBRE UTILIZACION]],2,0),0)</f>
        <v>0</v>
      </c>
    </row>
    <row r="399" spans="2:9" x14ac:dyDescent="0.25">
      <c r="B399">
        <v>70043198</v>
      </c>
      <c r="C399" t="s">
        <v>35</v>
      </c>
      <c r="D399" t="s">
        <v>631</v>
      </c>
      <c r="E399" s="19" t="s">
        <v>759</v>
      </c>
      <c r="F399" t="e">
        <f>VLOOKUP(DICCIONARIO[[#This Row],[Desc color]],ImportarStock[DESCRIPCION],1,0)</f>
        <v>#N/A</v>
      </c>
      <c r="G399" t="s">
        <v>758</v>
      </c>
      <c r="H399" t="str">
        <f>VLOOKUP(DICCIONARIO[[#This Row],[Modelo]],UNIFICADA[Equipo],1,0)</f>
        <v>XIAOMI 11 LITE 5G NE 256GB</v>
      </c>
      <c r="I399">
        <f>IFERROR(VLOOKUP(DICCIONARIO[[#This Row],[Desc color]],ImportarStock[[DESCRIPCION]:[LIBRE UTILIZACION]],2,0),0)</f>
        <v>0</v>
      </c>
    </row>
    <row r="400" spans="2:9" x14ac:dyDescent="0.25">
      <c r="B400">
        <v>70044936</v>
      </c>
      <c r="C400" t="s">
        <v>64</v>
      </c>
      <c r="D400" t="s">
        <v>631</v>
      </c>
      <c r="E400" s="19" t="s">
        <v>831</v>
      </c>
      <c r="F400" t="e">
        <f>VLOOKUP(DICCIONARIO[[#This Row],[Desc color]],ImportarStock[DESCRIPCION],1,0)</f>
        <v>#N/A</v>
      </c>
      <c r="G400" t="s">
        <v>683</v>
      </c>
      <c r="H400" t="str">
        <f>VLOOKUP(DICCIONARIO[[#This Row],[Modelo]],UNIFICADA[Equipo],1,0)</f>
        <v>XIAOMI 11T PRO 256GB</v>
      </c>
      <c r="I400">
        <f>IFERROR(VLOOKUP(DICCIONARIO[[#This Row],[Desc color]],ImportarStock[[DESCRIPCION]:[LIBRE UTILIZACION]],2,0),0)</f>
        <v>0</v>
      </c>
    </row>
    <row r="401" spans="2:9" x14ac:dyDescent="0.25">
      <c r="B401">
        <v>70044937</v>
      </c>
      <c r="C401" t="s">
        <v>64</v>
      </c>
      <c r="D401" t="s">
        <v>631</v>
      </c>
      <c r="E401" s="19" t="s">
        <v>832</v>
      </c>
      <c r="F401" t="e">
        <f>VLOOKUP(DICCIONARIO[[#This Row],[Desc color]],ImportarStock[DESCRIPCION],1,0)</f>
        <v>#N/A</v>
      </c>
      <c r="G401" t="s">
        <v>683</v>
      </c>
      <c r="H401" t="str">
        <f>VLOOKUP(DICCIONARIO[[#This Row],[Modelo]],UNIFICADA[Equipo],1,0)</f>
        <v>XIAOMI 11T PRO 256GB</v>
      </c>
      <c r="I401">
        <f>IFERROR(VLOOKUP(DICCIONARIO[[#This Row],[Desc color]],ImportarStock[[DESCRIPCION]:[LIBRE UTILIZACION]],2,0),0)</f>
        <v>0</v>
      </c>
    </row>
    <row r="402" spans="2:9" x14ac:dyDescent="0.25">
      <c r="B402">
        <v>70044923</v>
      </c>
      <c r="C402" t="s">
        <v>64</v>
      </c>
      <c r="D402" t="s">
        <v>631</v>
      </c>
      <c r="E402" s="19" t="s">
        <v>827</v>
      </c>
      <c r="F402" t="e">
        <f>VLOOKUP(DICCIONARIO[[#This Row],[Desc color]],ImportarStock[DESCRIPCION],1,0)</f>
        <v>#N/A</v>
      </c>
      <c r="G402" t="s">
        <v>685</v>
      </c>
      <c r="H402" t="str">
        <f>VLOOKUP(DICCIONARIO[[#This Row],[Modelo]],UNIFICADA[Equipo],1,0)</f>
        <v>XIAOMI 11T PRO 256GB</v>
      </c>
      <c r="I402">
        <f>IFERROR(VLOOKUP(DICCIONARIO[[#This Row],[Desc color]],ImportarStock[[DESCRIPCION]:[LIBRE UTILIZACION]],2,0),0)</f>
        <v>0</v>
      </c>
    </row>
    <row r="403" spans="2:9" x14ac:dyDescent="0.25">
      <c r="B403">
        <v>70044934</v>
      </c>
      <c r="C403" t="s">
        <v>64</v>
      </c>
      <c r="D403" t="s">
        <v>631</v>
      </c>
      <c r="E403" s="19" t="s">
        <v>828</v>
      </c>
      <c r="F403" t="e">
        <f>VLOOKUP(DICCIONARIO[[#This Row],[Desc color]],ImportarStock[DESCRIPCION],1,0)</f>
        <v>#N/A</v>
      </c>
      <c r="G403" t="s">
        <v>829</v>
      </c>
      <c r="H403" t="str">
        <f>VLOOKUP(DICCIONARIO[[#This Row],[Modelo]],UNIFICADA[Equipo],1,0)</f>
        <v>XIAOMI 11T PRO 256GB</v>
      </c>
      <c r="I403">
        <f>IFERROR(VLOOKUP(DICCIONARIO[[#This Row],[Desc color]],ImportarStock[[DESCRIPCION]:[LIBRE UTILIZACION]],2,0),0)</f>
        <v>0</v>
      </c>
    </row>
    <row r="404" spans="2:9" x14ac:dyDescent="0.25">
      <c r="B404">
        <v>70044935</v>
      </c>
      <c r="C404" t="s">
        <v>64</v>
      </c>
      <c r="D404" t="s">
        <v>631</v>
      </c>
      <c r="E404" s="19" t="s">
        <v>830</v>
      </c>
      <c r="F404" t="e">
        <f>VLOOKUP(DICCIONARIO[[#This Row],[Desc color]],ImportarStock[DESCRIPCION],1,0)</f>
        <v>#N/A</v>
      </c>
      <c r="G404" t="s">
        <v>829</v>
      </c>
      <c r="H404" t="str">
        <f>VLOOKUP(DICCIONARIO[[#This Row],[Modelo]],UNIFICADA[Equipo],1,0)</f>
        <v>XIAOMI 11T PRO 256GB</v>
      </c>
      <c r="I404">
        <f>IFERROR(VLOOKUP(DICCIONARIO[[#This Row],[Desc color]],ImportarStock[[DESCRIPCION]:[LIBRE UTILIZACION]],2,0),0)</f>
        <v>0</v>
      </c>
    </row>
    <row r="405" spans="2:9" x14ac:dyDescent="0.25">
      <c r="C405" t="s">
        <v>82</v>
      </c>
      <c r="D405" t="s">
        <v>631</v>
      </c>
      <c r="E405" s="19" t="s">
        <v>918</v>
      </c>
      <c r="F405" t="e">
        <f>VLOOKUP(DICCIONARIO[[#This Row],[Desc color]],ImportarStock[DESCRIPCION],1,0)</f>
        <v>#N/A</v>
      </c>
      <c r="H405" t="str">
        <f>VLOOKUP(DICCIONARIO[[#This Row],[Modelo]],UNIFICADA[Equipo],1,0)</f>
        <v>XIAOMI 12 256GB</v>
      </c>
      <c r="I405">
        <f>IFERROR(VLOOKUP(DICCIONARIO[[#This Row],[Desc color]],ImportarStock[[DESCRIPCION]:[LIBRE UTILIZACION]],2,0),0)</f>
        <v>0</v>
      </c>
    </row>
    <row r="406" spans="2:9" x14ac:dyDescent="0.25">
      <c r="C406" t="s">
        <v>82</v>
      </c>
      <c r="D406" t="s">
        <v>631</v>
      </c>
      <c r="E406" s="19" t="s">
        <v>919</v>
      </c>
      <c r="F406" t="e">
        <f>VLOOKUP(DICCIONARIO[[#This Row],[Desc color]],ImportarStock[DESCRIPCION],1,0)</f>
        <v>#N/A</v>
      </c>
      <c r="H406" t="str">
        <f>VLOOKUP(DICCIONARIO[[#This Row],[Modelo]],UNIFICADA[Equipo],1,0)</f>
        <v>XIAOMI 12 256GB</v>
      </c>
      <c r="I406">
        <f>IFERROR(VLOOKUP(DICCIONARIO[[#This Row],[Desc color]],ImportarStock[[DESCRIPCION]:[LIBRE UTILIZACION]],2,0),0)</f>
        <v>0</v>
      </c>
    </row>
    <row r="407" spans="2:9" x14ac:dyDescent="0.25">
      <c r="C407" t="s">
        <v>82</v>
      </c>
      <c r="D407" t="s">
        <v>631</v>
      </c>
      <c r="E407" s="19" t="s">
        <v>920</v>
      </c>
      <c r="F407" t="e">
        <f>VLOOKUP(DICCIONARIO[[#This Row],[Desc color]],ImportarStock[DESCRIPCION],1,0)</f>
        <v>#N/A</v>
      </c>
      <c r="H407" t="str">
        <f>VLOOKUP(DICCIONARIO[[#This Row],[Modelo]],UNIFICADA[Equipo],1,0)</f>
        <v>XIAOMI 12 256GB</v>
      </c>
      <c r="I407">
        <f>IFERROR(VLOOKUP(DICCIONARIO[[#This Row],[Desc color]],ImportarStock[[DESCRIPCION]:[LIBRE UTILIZACION]],2,0),0)</f>
        <v>0</v>
      </c>
    </row>
    <row r="408" spans="2:9" x14ac:dyDescent="0.25">
      <c r="B408">
        <v>70043194</v>
      </c>
      <c r="C408" t="s">
        <v>36</v>
      </c>
      <c r="D408" t="s">
        <v>631</v>
      </c>
      <c r="E408" s="19" t="s">
        <v>777</v>
      </c>
      <c r="F408" t="e">
        <f>VLOOKUP(DICCIONARIO[[#This Row],[Desc color]],ImportarStock[DESCRIPCION],1,0)</f>
        <v>#N/A</v>
      </c>
      <c r="G408" t="s">
        <v>778</v>
      </c>
      <c r="H408" t="str">
        <f>VLOOKUP(DICCIONARIO[[#This Row],[Modelo]],UNIFICADA[Equipo],1,0)</f>
        <v>XIAOMI 11T 256GB</v>
      </c>
      <c r="I408">
        <f>IFERROR(VLOOKUP(DICCIONARIO[[#This Row],[Desc color]],ImportarStock[[DESCRIPCION]:[LIBRE UTILIZACION]],2,0),0)</f>
        <v>0</v>
      </c>
    </row>
    <row r="409" spans="2:9" x14ac:dyDescent="0.25">
      <c r="B409">
        <v>70043208</v>
      </c>
      <c r="C409" t="s">
        <v>36</v>
      </c>
      <c r="D409" t="s">
        <v>631</v>
      </c>
      <c r="E409" s="19" t="s">
        <v>779</v>
      </c>
      <c r="F409" t="e">
        <f>VLOOKUP(DICCIONARIO[[#This Row],[Desc color]],ImportarStock[DESCRIPCION],1,0)</f>
        <v>#N/A</v>
      </c>
      <c r="G409" t="s">
        <v>778</v>
      </c>
      <c r="H409" t="str">
        <f>VLOOKUP(DICCIONARIO[[#This Row],[Modelo]],UNIFICADA[Equipo],1,0)</f>
        <v>XIAOMI 11T 256GB</v>
      </c>
      <c r="I409">
        <f>IFERROR(VLOOKUP(DICCIONARIO[[#This Row],[Desc color]],ImportarStock[[DESCRIPCION]:[LIBRE UTILIZACION]],2,0),0)</f>
        <v>0</v>
      </c>
    </row>
    <row r="410" spans="2:9" x14ac:dyDescent="0.25">
      <c r="B410">
        <v>70042381</v>
      </c>
      <c r="C410" t="s">
        <v>36</v>
      </c>
      <c r="D410" t="s">
        <v>631</v>
      </c>
      <c r="E410" s="19" t="s">
        <v>774</v>
      </c>
      <c r="F410" t="e">
        <f>VLOOKUP(DICCIONARIO[[#This Row],[Desc color]],ImportarStock[DESCRIPCION],1,0)</f>
        <v>#N/A</v>
      </c>
      <c r="G410" t="s">
        <v>775</v>
      </c>
      <c r="H410" t="str">
        <f>VLOOKUP(DICCIONARIO[[#This Row],[Modelo]],UNIFICADA[Equipo],1,0)</f>
        <v>XIAOMI 11T 256GB</v>
      </c>
      <c r="I410">
        <f>IFERROR(VLOOKUP(DICCIONARIO[[#This Row],[Desc color]],ImportarStock[[DESCRIPCION]:[LIBRE UTILIZACION]],2,0),0)</f>
        <v>0</v>
      </c>
    </row>
    <row r="411" spans="2:9" x14ac:dyDescent="0.25">
      <c r="B411">
        <v>70043207</v>
      </c>
      <c r="C411" t="s">
        <v>36</v>
      </c>
      <c r="D411" t="s">
        <v>631</v>
      </c>
      <c r="E411" s="19" t="s">
        <v>776</v>
      </c>
      <c r="F411" t="e">
        <f>VLOOKUP(DICCIONARIO[[#This Row],[Desc color]],ImportarStock[DESCRIPCION],1,0)</f>
        <v>#N/A</v>
      </c>
      <c r="G411" t="s">
        <v>775</v>
      </c>
      <c r="H411" t="str">
        <f>VLOOKUP(DICCIONARIO[[#This Row],[Modelo]],UNIFICADA[Equipo],1,0)</f>
        <v>XIAOMI 11T 256GB</v>
      </c>
      <c r="I411">
        <f>IFERROR(VLOOKUP(DICCIONARIO[[#This Row],[Desc color]],ImportarStock[[DESCRIPCION]:[LIBRE UTILIZACION]],2,0),0)</f>
        <v>0</v>
      </c>
    </row>
    <row r="412" spans="2:9" x14ac:dyDescent="0.25">
      <c r="B412">
        <v>70042380</v>
      </c>
      <c r="C412" t="s">
        <v>36</v>
      </c>
      <c r="D412" t="s">
        <v>631</v>
      </c>
      <c r="E412" s="19" t="s">
        <v>773</v>
      </c>
      <c r="F412" t="e">
        <f>VLOOKUP(DICCIONARIO[[#This Row],[Desc color]],ImportarStock[DESCRIPCION],1,0)</f>
        <v>#N/A</v>
      </c>
      <c r="G412" t="s">
        <v>772</v>
      </c>
      <c r="H412" t="str">
        <f>VLOOKUP(DICCIONARIO[[#This Row],[Modelo]],UNIFICADA[Equipo],1,0)</f>
        <v>XIAOMI 11T 256GB</v>
      </c>
      <c r="I412">
        <f>IFERROR(VLOOKUP(DICCIONARIO[[#This Row],[Desc color]],ImportarStock[[DESCRIPCION]:[LIBRE UTILIZACION]],2,0),0)</f>
        <v>0</v>
      </c>
    </row>
    <row r="413" spans="2:9" x14ac:dyDescent="0.25">
      <c r="B413">
        <v>70043205</v>
      </c>
      <c r="C413" t="s">
        <v>36</v>
      </c>
      <c r="D413" t="s">
        <v>631</v>
      </c>
      <c r="E413" s="19" t="s">
        <v>771</v>
      </c>
      <c r="F413" t="e">
        <f>VLOOKUP(DICCIONARIO[[#This Row],[Desc color]],ImportarStock[DESCRIPCION],1,0)</f>
        <v>#N/A</v>
      </c>
      <c r="G413" t="s">
        <v>772</v>
      </c>
      <c r="H413" t="str">
        <f>VLOOKUP(DICCIONARIO[[#This Row],[Modelo]],UNIFICADA[Equipo],1,0)</f>
        <v>XIAOMI 11T 256GB</v>
      </c>
      <c r="I413">
        <f>IFERROR(VLOOKUP(DICCIONARIO[[#This Row],[Desc color]],ImportarStock[[DESCRIPCION]:[LIBRE UTILIZACION]],2,0),0)</f>
        <v>0</v>
      </c>
    </row>
    <row r="414" spans="2:9" x14ac:dyDescent="0.25">
      <c r="C414" t="s">
        <v>39</v>
      </c>
      <c r="D414" t="s">
        <v>631</v>
      </c>
      <c r="E414" s="19" t="s">
        <v>921</v>
      </c>
      <c r="F414" t="e">
        <f>VLOOKUP(DICCIONARIO[[#This Row],[Desc color]],ImportarStock[DESCRIPCION],1,0)</f>
        <v>#N/A</v>
      </c>
      <c r="H414" t="str">
        <f>VLOOKUP(DICCIONARIO[[#This Row],[Modelo]],UNIFICADA[Equipo],1,0)</f>
        <v>XIAOMI REDMI NOTE 10S 128GB</v>
      </c>
      <c r="I414">
        <f>IFERROR(VLOOKUP(DICCIONARIO[[#This Row],[Desc color]],ImportarStock[[DESCRIPCION]:[LIBRE UTILIZACION]],2,0),0)</f>
        <v>0</v>
      </c>
    </row>
    <row r="415" spans="2:9" x14ac:dyDescent="0.25">
      <c r="B415">
        <v>70039940</v>
      </c>
      <c r="C415" t="s">
        <v>39</v>
      </c>
      <c r="D415" t="s">
        <v>631</v>
      </c>
      <c r="E415" s="19" t="s">
        <v>659</v>
      </c>
      <c r="F415" t="e">
        <f>VLOOKUP(DICCIONARIO[[#This Row],[Desc color]],ImportarStock[DESCRIPCION],1,0)</f>
        <v>#N/A</v>
      </c>
      <c r="G415" t="s">
        <v>617</v>
      </c>
      <c r="H415" t="str">
        <f>VLOOKUP(DICCIONARIO[[#This Row],[Modelo]],UNIFICADA[Equipo],1,0)</f>
        <v>XIAOMI REDMI NOTE 10S 128GB</v>
      </c>
      <c r="I415">
        <f>IFERROR(VLOOKUP(DICCIONARIO[[#This Row],[Desc color]],ImportarStock[[DESCRIPCION]:[LIBRE UTILIZACION]],2,0),0)</f>
        <v>0</v>
      </c>
    </row>
    <row r="416" spans="2:9" x14ac:dyDescent="0.25">
      <c r="B416">
        <v>70039941</v>
      </c>
      <c r="C416" t="s">
        <v>39</v>
      </c>
      <c r="D416" t="s">
        <v>631</v>
      </c>
      <c r="E416" s="19" t="s">
        <v>660</v>
      </c>
      <c r="F416" t="e">
        <f>VLOOKUP(DICCIONARIO[[#This Row],[Desc color]],ImportarStock[DESCRIPCION],1,0)</f>
        <v>#N/A</v>
      </c>
      <c r="G416" t="s">
        <v>617</v>
      </c>
      <c r="H416" t="str">
        <f>VLOOKUP(DICCIONARIO[[#This Row],[Modelo]],UNIFICADA[Equipo],1,0)</f>
        <v>XIAOMI REDMI NOTE 10S 128GB</v>
      </c>
      <c r="I416">
        <f>IFERROR(VLOOKUP(DICCIONARIO[[#This Row],[Desc color]],ImportarStock[[DESCRIPCION]:[LIBRE UTILIZACION]],2,0),0)</f>
        <v>0</v>
      </c>
    </row>
    <row r="417" spans="2:9" x14ac:dyDescent="0.25">
      <c r="C417" t="s">
        <v>39</v>
      </c>
      <c r="D417" t="s">
        <v>631</v>
      </c>
      <c r="E417" s="19" t="s">
        <v>922</v>
      </c>
      <c r="F417" t="e">
        <f>VLOOKUP(DICCIONARIO[[#This Row],[Desc color]],ImportarStock[DESCRIPCION],1,0)</f>
        <v>#N/A</v>
      </c>
      <c r="H417" t="str">
        <f>VLOOKUP(DICCIONARIO[[#This Row],[Modelo]],UNIFICADA[Equipo],1,0)</f>
        <v>XIAOMI REDMI NOTE 10S 128GB</v>
      </c>
      <c r="I417">
        <f>IFERROR(VLOOKUP(DICCIONARIO[[#This Row],[Desc color]],ImportarStock[[DESCRIPCION]:[LIBRE UTILIZACION]],2,0),0)</f>
        <v>0</v>
      </c>
    </row>
    <row r="418" spans="2:9" x14ac:dyDescent="0.25">
      <c r="B418">
        <v>70039942</v>
      </c>
      <c r="C418" t="s">
        <v>39</v>
      </c>
      <c r="D418" t="s">
        <v>631</v>
      </c>
      <c r="E418" s="19" t="s">
        <v>661</v>
      </c>
      <c r="F418" t="e">
        <f>VLOOKUP(DICCIONARIO[[#This Row],[Desc color]],ImportarStock[DESCRIPCION],1,0)</f>
        <v>#N/A</v>
      </c>
      <c r="G418" t="s">
        <v>623</v>
      </c>
      <c r="H418" t="str">
        <f>VLOOKUP(DICCIONARIO[[#This Row],[Modelo]],UNIFICADA[Equipo],1,0)</f>
        <v>XIAOMI REDMI NOTE 10S 128GB</v>
      </c>
      <c r="I418">
        <f>IFERROR(VLOOKUP(DICCIONARIO[[#This Row],[Desc color]],ImportarStock[[DESCRIPCION]:[LIBRE UTILIZACION]],2,0),0)</f>
        <v>0</v>
      </c>
    </row>
    <row r="419" spans="2:9" x14ac:dyDescent="0.25">
      <c r="C419" t="s">
        <v>39</v>
      </c>
      <c r="D419" t="s">
        <v>631</v>
      </c>
      <c r="E419" s="19" t="s">
        <v>923</v>
      </c>
      <c r="F419" t="e">
        <f>VLOOKUP(DICCIONARIO[[#This Row],[Desc color]],ImportarStock[DESCRIPCION],1,0)</f>
        <v>#N/A</v>
      </c>
      <c r="H419" t="str">
        <f>VLOOKUP(DICCIONARIO[[#This Row],[Modelo]],UNIFICADA[Equipo],1,0)</f>
        <v>XIAOMI REDMI NOTE 10S 128GB</v>
      </c>
      <c r="I419">
        <f>IFERROR(VLOOKUP(DICCIONARIO[[#This Row],[Desc color]],ImportarStock[[DESCRIPCION]:[LIBRE UTILIZACION]],2,0),0)</f>
        <v>0</v>
      </c>
    </row>
    <row r="420" spans="2:9" x14ac:dyDescent="0.25">
      <c r="B420">
        <v>70039938</v>
      </c>
      <c r="C420" t="s">
        <v>39</v>
      </c>
      <c r="D420" t="s">
        <v>631</v>
      </c>
      <c r="E420" s="19" t="s">
        <v>657</v>
      </c>
      <c r="F420" t="e">
        <f>VLOOKUP(DICCIONARIO[[#This Row],[Desc color]],ImportarStock[DESCRIPCION],1,0)</f>
        <v>#N/A</v>
      </c>
      <c r="G420" t="s">
        <v>610</v>
      </c>
      <c r="H420" t="str">
        <f>VLOOKUP(DICCIONARIO[[#This Row],[Modelo]],UNIFICADA[Equipo],1,0)</f>
        <v>XIAOMI REDMI NOTE 10S 128GB</v>
      </c>
      <c r="I420">
        <f>IFERROR(VLOOKUP(DICCIONARIO[[#This Row],[Desc color]],ImportarStock[[DESCRIPCION]:[LIBRE UTILIZACION]],2,0),0)</f>
        <v>0</v>
      </c>
    </row>
    <row r="421" spans="2:9" x14ac:dyDescent="0.25">
      <c r="B421">
        <v>70039939</v>
      </c>
      <c r="C421" t="s">
        <v>39</v>
      </c>
      <c r="D421" t="s">
        <v>631</v>
      </c>
      <c r="E421" s="19" t="s">
        <v>658</v>
      </c>
      <c r="F421" t="e">
        <f>VLOOKUP(DICCIONARIO[[#This Row],[Desc color]],ImportarStock[DESCRIPCION],1,0)</f>
        <v>#N/A</v>
      </c>
      <c r="G421" t="s">
        <v>610</v>
      </c>
      <c r="H421" t="str">
        <f>VLOOKUP(DICCIONARIO[[#This Row],[Modelo]],UNIFICADA[Equipo],1,0)</f>
        <v>XIAOMI REDMI NOTE 10S 128GB</v>
      </c>
      <c r="I421">
        <f>IFERROR(VLOOKUP(DICCIONARIO[[#This Row],[Desc color]],ImportarStock[[DESCRIPCION]:[LIBRE UTILIZACION]],2,0),0)</f>
        <v>0</v>
      </c>
    </row>
    <row r="422" spans="2:9" x14ac:dyDescent="0.25">
      <c r="B422">
        <v>70036527</v>
      </c>
      <c r="C422" t="s">
        <v>68</v>
      </c>
      <c r="D422" t="s">
        <v>631</v>
      </c>
      <c r="E422" s="19" t="s">
        <v>635</v>
      </c>
      <c r="F422" t="e">
        <f>VLOOKUP(DICCIONARIO[[#This Row],[Desc color]],ImportarStock[DESCRIPCION],1,0)</f>
        <v>#N/A</v>
      </c>
      <c r="G422" t="s">
        <v>617</v>
      </c>
      <c r="H422" t="str">
        <f>VLOOKUP(DICCIONARIO[[#This Row],[Modelo]],UNIFICADA[Equipo],1,0)</f>
        <v>XIAOMI REDMI 9A 32GB</v>
      </c>
      <c r="I422">
        <f>IFERROR(VLOOKUP(DICCIONARIO[[#This Row],[Desc color]],ImportarStock[[DESCRIPCION]:[LIBRE UTILIZACION]],2,0),0)</f>
        <v>0</v>
      </c>
    </row>
    <row r="423" spans="2:9" x14ac:dyDescent="0.25">
      <c r="B423">
        <v>70036802</v>
      </c>
      <c r="C423" t="s">
        <v>68</v>
      </c>
      <c r="D423" t="s">
        <v>631</v>
      </c>
      <c r="E423" s="19" t="s">
        <v>639</v>
      </c>
      <c r="F423" t="e">
        <f>VLOOKUP(DICCIONARIO[[#This Row],[Desc color]],ImportarStock[DESCRIPCION],1,0)</f>
        <v>#N/A</v>
      </c>
      <c r="G423" t="s">
        <v>617</v>
      </c>
      <c r="H423" t="str">
        <f>VLOOKUP(DICCIONARIO[[#This Row],[Modelo]],UNIFICADA[Equipo],1,0)</f>
        <v>XIAOMI REDMI 9A 32GB</v>
      </c>
      <c r="I423">
        <f>IFERROR(VLOOKUP(DICCIONARIO[[#This Row],[Desc color]],ImportarStock[[DESCRIPCION]:[LIBRE UTILIZACION]],2,0),0)</f>
        <v>0</v>
      </c>
    </row>
    <row r="424" spans="2:9" x14ac:dyDescent="0.25">
      <c r="C424" t="s">
        <v>509</v>
      </c>
      <c r="D424" t="s">
        <v>631</v>
      </c>
      <c r="E424" s="19" t="s">
        <v>924</v>
      </c>
      <c r="F424" t="e">
        <f>VLOOKUP(DICCIONARIO[[#This Row],[Desc color]],ImportarStock[DESCRIPCION],1,0)</f>
        <v>#N/A</v>
      </c>
      <c r="H424" t="str">
        <f>VLOOKUP(DICCIONARIO[[#This Row],[Modelo]],UNIFICADA[Equipo],1,0)</f>
        <v>XIAOMI REDMI 9A 32GB</v>
      </c>
      <c r="I424">
        <f>IFERROR(VLOOKUP(DICCIONARIO[[#This Row],[Desc color]],ImportarStock[[DESCRIPCION]:[LIBRE UTILIZACION]],2,0),0)</f>
        <v>0</v>
      </c>
    </row>
    <row r="425" spans="2:9" x14ac:dyDescent="0.25">
      <c r="B425">
        <v>70036526</v>
      </c>
      <c r="C425" t="s">
        <v>68</v>
      </c>
      <c r="D425" t="s">
        <v>631</v>
      </c>
      <c r="E425" s="19" t="s">
        <v>634</v>
      </c>
      <c r="F425" t="e">
        <f>VLOOKUP(DICCIONARIO[[#This Row],[Desc color]],ImportarStock[DESCRIPCION],1,0)</f>
        <v>#N/A</v>
      </c>
      <c r="G425" t="s">
        <v>614</v>
      </c>
      <c r="H425" t="str">
        <f>VLOOKUP(DICCIONARIO[[#This Row],[Modelo]],UNIFICADA[Equipo],1,0)</f>
        <v>XIAOMI REDMI 9A 32GB</v>
      </c>
      <c r="I425">
        <f>IFERROR(VLOOKUP(DICCIONARIO[[#This Row],[Desc color]],ImportarStock[[DESCRIPCION]:[LIBRE UTILIZACION]],2,0),0)</f>
        <v>0</v>
      </c>
    </row>
    <row r="426" spans="2:9" x14ac:dyDescent="0.25">
      <c r="B426">
        <v>70036801</v>
      </c>
      <c r="C426" t="s">
        <v>68</v>
      </c>
      <c r="D426" t="s">
        <v>631</v>
      </c>
      <c r="E426" s="19" t="s">
        <v>638</v>
      </c>
      <c r="F426" t="e">
        <f>VLOOKUP(DICCIONARIO[[#This Row],[Desc color]],ImportarStock[DESCRIPCION],1,0)</f>
        <v>#N/A</v>
      </c>
      <c r="G426" t="s">
        <v>614</v>
      </c>
      <c r="H426" t="str">
        <f>VLOOKUP(DICCIONARIO[[#This Row],[Modelo]],UNIFICADA[Equipo],1,0)</f>
        <v>XIAOMI REDMI 9A 32GB</v>
      </c>
      <c r="I426">
        <f>IFERROR(VLOOKUP(DICCIONARIO[[#This Row],[Desc color]],ImportarStock[[DESCRIPCION]:[LIBRE UTILIZACION]],2,0),0)</f>
        <v>0</v>
      </c>
    </row>
    <row r="427" spans="2:9" x14ac:dyDescent="0.25">
      <c r="C427" t="s">
        <v>509</v>
      </c>
      <c r="D427" t="s">
        <v>631</v>
      </c>
      <c r="E427" s="19" t="s">
        <v>925</v>
      </c>
      <c r="F427" t="e">
        <f>VLOOKUP(DICCIONARIO[[#This Row],[Desc color]],ImportarStock[DESCRIPCION],1,0)</f>
        <v>#N/A</v>
      </c>
      <c r="H427" t="str">
        <f>VLOOKUP(DICCIONARIO[[#This Row],[Modelo]],UNIFICADA[Equipo],1,0)</f>
        <v>XIAOMI REDMI 9A 32GB</v>
      </c>
      <c r="I427">
        <f>IFERROR(VLOOKUP(DICCIONARIO[[#This Row],[Desc color]],ImportarStock[[DESCRIPCION]:[LIBRE UTILIZACION]],2,0),0)</f>
        <v>0</v>
      </c>
    </row>
    <row r="428" spans="2:9" x14ac:dyDescent="0.25">
      <c r="C428" t="s">
        <v>509</v>
      </c>
      <c r="D428" t="s">
        <v>631</v>
      </c>
      <c r="E428" s="19" t="s">
        <v>926</v>
      </c>
      <c r="F428" t="e">
        <f>VLOOKUP(DICCIONARIO[[#This Row],[Desc color]],ImportarStock[DESCRIPCION],1,0)</f>
        <v>#N/A</v>
      </c>
      <c r="H428" t="str">
        <f>VLOOKUP(DICCIONARIO[[#This Row],[Modelo]],UNIFICADA[Equipo],1,0)</f>
        <v>XIAOMI REDMI 9A 32GB</v>
      </c>
      <c r="I428">
        <f>IFERROR(VLOOKUP(DICCIONARIO[[#This Row],[Desc color]],ImportarStock[[DESCRIPCION]:[LIBRE UTILIZACION]],2,0),0)</f>
        <v>0</v>
      </c>
    </row>
    <row r="429" spans="2:9" x14ac:dyDescent="0.25">
      <c r="C429" t="s">
        <v>104</v>
      </c>
      <c r="D429" t="s">
        <v>631</v>
      </c>
      <c r="E429" s="19" t="s">
        <v>985</v>
      </c>
      <c r="F429" t="e">
        <f>VLOOKUP(DICCIONARIO[[#This Row],[Desc color]],ImportarStock[DESCRIPCION],1,0)</f>
        <v>#N/A</v>
      </c>
      <c r="H429" t="str">
        <f>VLOOKUP(DICCIONARIO[[#This Row],[Modelo]],UNIFICADA[Equipo],1,0)</f>
        <v>SAMSUNG GALAXY Z FLIP 4 256GB</v>
      </c>
      <c r="I429">
        <f>IFERROR(VLOOKUP(DICCIONARIO[[#This Row],[Desc color]],ImportarStock[[DESCRIPCION]:[LIBRE UTILIZACION]],2,0),0)</f>
        <v>0</v>
      </c>
    </row>
    <row r="430" spans="2:9" x14ac:dyDescent="0.25">
      <c r="B430">
        <v>70038035</v>
      </c>
      <c r="C430" t="s">
        <v>68</v>
      </c>
      <c r="D430" t="s">
        <v>631</v>
      </c>
      <c r="E430" s="19" t="s">
        <v>651</v>
      </c>
      <c r="F430" t="e">
        <f>VLOOKUP(DICCIONARIO[[#This Row],[Desc color]],ImportarStock[DESCRIPCION],1,0)</f>
        <v>#N/A</v>
      </c>
      <c r="G430" t="s">
        <v>632</v>
      </c>
      <c r="H430" t="str">
        <f>VLOOKUP(DICCIONARIO[[#This Row],[Modelo]],UNIFICADA[Equipo],1,0)</f>
        <v>XIAOMI REDMI 9A 32GB</v>
      </c>
      <c r="I430">
        <f>IFERROR(VLOOKUP(DICCIONARIO[[#This Row],[Desc color]],ImportarStock[[DESCRIPCION]:[LIBRE UTILIZACION]],2,0),0)</f>
        <v>0</v>
      </c>
    </row>
    <row r="431" spans="2:9" x14ac:dyDescent="0.25">
      <c r="B431">
        <v>70038114</v>
      </c>
      <c r="C431" t="s">
        <v>68</v>
      </c>
      <c r="D431" t="s">
        <v>631</v>
      </c>
      <c r="E431" s="19" t="s">
        <v>652</v>
      </c>
      <c r="F431" t="e">
        <f>VLOOKUP(DICCIONARIO[[#This Row],[Desc color]],ImportarStock[DESCRIPCION],1,0)</f>
        <v>#N/A</v>
      </c>
      <c r="G431" t="s">
        <v>632</v>
      </c>
      <c r="H431" t="str">
        <f>VLOOKUP(DICCIONARIO[[#This Row],[Modelo]],UNIFICADA[Equipo],1,0)</f>
        <v>XIAOMI REDMI 9A 32GB</v>
      </c>
      <c r="I431">
        <f>IFERROR(VLOOKUP(DICCIONARIO[[#This Row],[Desc color]],ImportarStock[[DESCRIPCION]:[LIBRE UTILIZACION]],2,0),0)</f>
        <v>0</v>
      </c>
    </row>
    <row r="432" spans="2:9" x14ac:dyDescent="0.25">
      <c r="B432">
        <v>70044826</v>
      </c>
      <c r="C432" t="s">
        <v>67</v>
      </c>
      <c r="D432" t="s">
        <v>631</v>
      </c>
      <c r="E432" s="19" t="s">
        <v>853</v>
      </c>
      <c r="F432" t="e">
        <f>VLOOKUP(DICCIONARIO[[#This Row],[Desc color]],ImportarStock[DESCRIPCION],1,0)</f>
        <v>#N/A</v>
      </c>
      <c r="G432" t="s">
        <v>614</v>
      </c>
      <c r="H432" t="str">
        <f>VLOOKUP(DICCIONARIO[[#This Row],[Modelo]],UNIFICADA[Equipo],1,0)</f>
        <v>XIAOMI REDMI 9C 64GB</v>
      </c>
      <c r="I432">
        <f>IFERROR(VLOOKUP(DICCIONARIO[[#This Row],[Desc color]],ImportarStock[[DESCRIPCION]:[LIBRE UTILIZACION]],2,0),0)</f>
        <v>0</v>
      </c>
    </row>
    <row r="433" spans="3:9" x14ac:dyDescent="0.25">
      <c r="C433" t="s">
        <v>135</v>
      </c>
      <c r="D433" t="s">
        <v>631</v>
      </c>
      <c r="E433" s="19" t="s">
        <v>927</v>
      </c>
      <c r="F433" t="e">
        <f>VLOOKUP(DICCIONARIO[[#This Row],[Desc color]],ImportarStock[DESCRIPCION],1,0)</f>
        <v>#N/A</v>
      </c>
      <c r="H433" t="str">
        <f>VLOOKUP(DICCIONARIO[[#This Row],[Modelo]],UNIFICADA[Equipo],1,0)</f>
        <v>XIAOMI REDMI A1 32GB</v>
      </c>
      <c r="I433">
        <f>IFERROR(VLOOKUP(DICCIONARIO[[#This Row],[Desc color]],ImportarStock[[DESCRIPCION]:[LIBRE UTILIZACION]],2,0),0)</f>
        <v>0</v>
      </c>
    </row>
    <row r="434" spans="3:9" x14ac:dyDescent="0.25">
      <c r="C434" t="s">
        <v>135</v>
      </c>
      <c r="D434" t="s">
        <v>631</v>
      </c>
      <c r="E434" s="19" t="s">
        <v>986</v>
      </c>
      <c r="F434" t="e">
        <f>VLOOKUP(DICCIONARIO[[#This Row],[Desc color]],ImportarStock[DESCRIPCION],1,0)</f>
        <v>#N/A</v>
      </c>
      <c r="H434" t="str">
        <f>VLOOKUP(DICCIONARIO[[#This Row],[Modelo]],UNIFICADA[Equipo],1,0)</f>
        <v>XIAOMI REDMI A1 32GB</v>
      </c>
      <c r="I434">
        <f>IFERROR(VLOOKUP(DICCIONARIO[[#This Row],[Desc color]],ImportarStock[[DESCRIPCION]:[LIBRE UTILIZACION]],2,0),0)</f>
        <v>0</v>
      </c>
    </row>
    <row r="435" spans="3:9" x14ac:dyDescent="0.25">
      <c r="C435" t="s">
        <v>135</v>
      </c>
      <c r="D435" t="s">
        <v>631</v>
      </c>
      <c r="E435" s="19" t="s">
        <v>928</v>
      </c>
      <c r="F435" t="e">
        <f>VLOOKUP(DICCIONARIO[[#This Row],[Desc color]],ImportarStock[DESCRIPCION],1,0)</f>
        <v>#N/A</v>
      </c>
      <c r="H435" t="str">
        <f>VLOOKUP(DICCIONARIO[[#This Row],[Modelo]],UNIFICADA[Equipo],1,0)</f>
        <v>XIAOMI REDMI A1 32GB</v>
      </c>
      <c r="I435">
        <f>IFERROR(VLOOKUP(DICCIONARIO[[#This Row],[Desc color]],ImportarStock[[DESCRIPCION]:[LIBRE UTILIZACION]],2,0),0)</f>
        <v>0</v>
      </c>
    </row>
    <row r="436" spans="3:9" x14ac:dyDescent="0.25">
      <c r="C436" t="s">
        <v>1053</v>
      </c>
      <c r="D436" t="s">
        <v>631</v>
      </c>
      <c r="E436" s="19" t="s">
        <v>1206</v>
      </c>
      <c r="F436" t="e">
        <f>VLOOKUP(DICCIONARIO[[#This Row],[Desc color]],ImportarStock[DESCRIPCION],1,0)</f>
        <v>#N/A</v>
      </c>
      <c r="H436" t="str">
        <f>VLOOKUP(DICCIONARIO[[#This Row],[Modelo]],UNIFICADA[Equipo],1,0)</f>
        <v>XIAOMI REDMI A2 32GB</v>
      </c>
      <c r="I436">
        <f>IFERROR(VLOOKUP(DICCIONARIO[[#This Row],[Desc color]],ImportarStock[[DESCRIPCION]:[LIBRE UTILIZACION]],2,0),0)</f>
        <v>0</v>
      </c>
    </row>
    <row r="437" spans="3:9" x14ac:dyDescent="0.25">
      <c r="C437" t="s">
        <v>1053</v>
      </c>
      <c r="D437" t="s">
        <v>631</v>
      </c>
      <c r="E437" s="19" t="s">
        <v>1226</v>
      </c>
      <c r="F437" t="str">
        <f>VLOOKUP(DICCIONARIO[[#This Row],[Desc color]],ImportarStock[DESCRIPCION],1,0)</f>
        <v>XIA REDMI A2 32GB NG</v>
      </c>
      <c r="H437" t="str">
        <f>VLOOKUP(DICCIONARIO[[#This Row],[Modelo]],UNIFICADA[Equipo],1,0)</f>
        <v>XIAOMI REDMI A2 32GB</v>
      </c>
      <c r="I437">
        <f>IFERROR(VLOOKUP(DICCIONARIO[[#This Row],[Desc color]],ImportarStock[[DESCRIPCION]:[LIBRE UTILIZACION]],2,0),0)</f>
        <v>9</v>
      </c>
    </row>
    <row r="438" spans="3:9" x14ac:dyDescent="0.25">
      <c r="C438" t="s">
        <v>1053</v>
      </c>
      <c r="D438" t="s">
        <v>631</v>
      </c>
      <c r="E438" s="19" t="s">
        <v>1123</v>
      </c>
      <c r="F438" t="e">
        <f>VLOOKUP(DICCIONARIO[[#This Row],[Desc color]],ImportarStock[DESCRIPCION],1,0)</f>
        <v>#N/A</v>
      </c>
      <c r="H438" t="str">
        <f>VLOOKUP(DICCIONARIO[[#This Row],[Modelo]],UNIFICADA[Equipo],1,0)</f>
        <v>XIAOMI REDMI A2 32GB</v>
      </c>
      <c r="I438">
        <f>IFERROR(VLOOKUP(DICCIONARIO[[#This Row],[Desc color]],ImportarStock[[DESCRIPCION]:[LIBRE UTILIZACION]],2,0),0)</f>
        <v>0</v>
      </c>
    </row>
    <row r="439" spans="3:9" x14ac:dyDescent="0.25">
      <c r="C439" t="s">
        <v>1053</v>
      </c>
      <c r="D439" t="s">
        <v>631</v>
      </c>
      <c r="E439" s="19" t="s">
        <v>1205</v>
      </c>
      <c r="F439" t="e">
        <f>VLOOKUP(DICCIONARIO[[#This Row],[Desc color]],ImportarStock[DESCRIPCION],1,0)</f>
        <v>#N/A</v>
      </c>
      <c r="H439" t="str">
        <f>VLOOKUP(DICCIONARIO[[#This Row],[Modelo]],UNIFICADA[Equipo],1,0)</f>
        <v>XIAOMI REDMI A2 32GB</v>
      </c>
      <c r="I439">
        <f>IFERROR(VLOOKUP(DICCIONARIO[[#This Row],[Desc color]],ImportarStock[[DESCRIPCION]:[LIBRE UTILIZACION]],2,0),0)</f>
        <v>0</v>
      </c>
    </row>
    <row r="440" spans="3:9" x14ac:dyDescent="0.25">
      <c r="C440" t="s">
        <v>511</v>
      </c>
      <c r="D440" t="s">
        <v>631</v>
      </c>
      <c r="E440" s="19" t="s">
        <v>994</v>
      </c>
      <c r="F440" t="e">
        <f>VLOOKUP(DICCIONARIO[[#This Row],[Desc color]],ImportarStock[DESCRIPCION],1,0)</f>
        <v>#N/A</v>
      </c>
      <c r="H440" t="str">
        <f>VLOOKUP(DICCIONARIO[[#This Row],[Modelo]],UNIFICADA[Equipo],1,0)</f>
        <v>XIAOMI REDMI 10 2022 64GB</v>
      </c>
      <c r="I440">
        <f>IFERROR(VLOOKUP(DICCIONARIO[[#This Row],[Desc color]],ImportarStock[[DESCRIPCION]:[LIBRE UTILIZACION]],2,0),0)</f>
        <v>0</v>
      </c>
    </row>
    <row r="441" spans="3:9" x14ac:dyDescent="0.25">
      <c r="C441" t="s">
        <v>511</v>
      </c>
      <c r="D441" t="s">
        <v>631</v>
      </c>
      <c r="E441" s="19" t="s">
        <v>1121</v>
      </c>
      <c r="F441" t="e">
        <f>VLOOKUP(DICCIONARIO[[#This Row],[Desc color]],ImportarStock[DESCRIPCION],1,0)</f>
        <v>#N/A</v>
      </c>
      <c r="H441" t="str">
        <f>VLOOKUP(DICCIONARIO[[#This Row],[Modelo]],UNIFICADA[Equipo],1,0)</f>
        <v>XIAOMI REDMI 10 2022 64GB</v>
      </c>
      <c r="I441">
        <f>IFERROR(VLOOKUP(DICCIONARIO[[#This Row],[Desc color]],ImportarStock[[DESCRIPCION]:[LIBRE UTILIZACION]],2,0),0)</f>
        <v>0</v>
      </c>
    </row>
    <row r="442" spans="3:9" x14ac:dyDescent="0.25">
      <c r="C442" t="s">
        <v>511</v>
      </c>
      <c r="D442" t="s">
        <v>631</v>
      </c>
      <c r="E442" s="19" t="s">
        <v>995</v>
      </c>
      <c r="F442" t="e">
        <f>VLOOKUP(DICCIONARIO[[#This Row],[Desc color]],ImportarStock[DESCRIPCION],1,0)</f>
        <v>#N/A</v>
      </c>
      <c r="H442" t="str">
        <f>VLOOKUP(DICCIONARIO[[#This Row],[Modelo]],UNIFICADA[Equipo],1,0)</f>
        <v>XIAOMI REDMI 10 2022 64GB</v>
      </c>
      <c r="I442">
        <f>IFERROR(VLOOKUP(DICCIONARIO[[#This Row],[Desc color]],ImportarStock[[DESCRIPCION]:[LIBRE UTILIZACION]],2,0),0)</f>
        <v>0</v>
      </c>
    </row>
    <row r="443" spans="3:9" x14ac:dyDescent="0.25">
      <c r="C443" t="s">
        <v>511</v>
      </c>
      <c r="D443" t="s">
        <v>631</v>
      </c>
      <c r="E443" s="19" t="s">
        <v>929</v>
      </c>
      <c r="F443" t="e">
        <f>VLOOKUP(DICCIONARIO[[#This Row],[Desc color]],ImportarStock[DESCRIPCION],1,0)</f>
        <v>#N/A</v>
      </c>
      <c r="H443" t="str">
        <f>VLOOKUP(DICCIONARIO[[#This Row],[Modelo]],UNIFICADA[Equipo],1,0)</f>
        <v>XIAOMI REDMI 10 2022 64GB</v>
      </c>
      <c r="I443">
        <f>IFERROR(VLOOKUP(DICCIONARIO[[#This Row],[Desc color]],ImportarStock[[DESCRIPCION]:[LIBRE UTILIZACION]],2,0),0)</f>
        <v>0</v>
      </c>
    </row>
    <row r="444" spans="3:9" x14ac:dyDescent="0.25">
      <c r="C444" t="s">
        <v>89</v>
      </c>
      <c r="D444" t="s">
        <v>631</v>
      </c>
      <c r="E444" s="19" t="s">
        <v>996</v>
      </c>
      <c r="F444" t="e">
        <f>VLOOKUP(DICCIONARIO[[#This Row],[Desc color]],ImportarStock[DESCRIPCION],1,0)</f>
        <v>#N/A</v>
      </c>
      <c r="H444" t="str">
        <f>VLOOKUP(DICCIONARIO[[#This Row],[Modelo]],UNIFICADA[Equipo],1,0)</f>
        <v>XIAOMI REDMI 10C 64GB</v>
      </c>
      <c r="I444">
        <f>IFERROR(VLOOKUP(DICCIONARIO[[#This Row],[Desc color]],ImportarStock[[DESCRIPCION]:[LIBRE UTILIZACION]],2,0),0)</f>
        <v>0</v>
      </c>
    </row>
    <row r="445" spans="3:9" x14ac:dyDescent="0.25">
      <c r="C445" t="s">
        <v>1052</v>
      </c>
      <c r="D445" t="s">
        <v>631</v>
      </c>
      <c r="E445" s="21" t="s">
        <v>1204</v>
      </c>
      <c r="F445" t="e">
        <f>VLOOKUP(DICCIONARIO[[#This Row],[Desc color]],ImportarStock[DESCRIPCION],1,0)</f>
        <v>#N/A</v>
      </c>
      <c r="H445" t="str">
        <f>VLOOKUP(DICCIONARIO[[#This Row],[Modelo]],UNIFICADA[Equipo],1,0)</f>
        <v>XIAOMI REDMI 12C 64GB</v>
      </c>
      <c r="I445">
        <f>IFERROR(VLOOKUP(DICCIONARIO[[#This Row],[Desc color]],ImportarStock[[DESCRIPCION]:[LIBRE UTILIZACION]],2,0),0)</f>
        <v>0</v>
      </c>
    </row>
    <row r="446" spans="3:9" x14ac:dyDescent="0.25">
      <c r="C446" t="s">
        <v>1052</v>
      </c>
      <c r="D446" t="s">
        <v>631</v>
      </c>
      <c r="E446" s="19" t="s">
        <v>1193</v>
      </c>
      <c r="F446" t="e">
        <f>VLOOKUP(DICCIONARIO[[#This Row],[Desc color]],ImportarStock[DESCRIPCION],1,0)</f>
        <v>#N/A</v>
      </c>
      <c r="H446" t="str">
        <f>VLOOKUP(DICCIONARIO[[#This Row],[Modelo]],UNIFICADA[Equipo],1,0)</f>
        <v>XIAOMI REDMI 12C 64GB</v>
      </c>
      <c r="I446">
        <f>IFERROR(VLOOKUP(DICCIONARIO[[#This Row],[Desc color]],ImportarStock[[DESCRIPCION]:[LIBRE UTILIZACION]],2,0),0)</f>
        <v>0</v>
      </c>
    </row>
    <row r="447" spans="3:9" x14ac:dyDescent="0.25">
      <c r="C447" t="s">
        <v>88</v>
      </c>
      <c r="D447" t="s">
        <v>631</v>
      </c>
      <c r="E447" s="19" t="s">
        <v>930</v>
      </c>
      <c r="F447" t="e">
        <f>VLOOKUP(DICCIONARIO[[#This Row],[Desc color]],ImportarStock[DESCRIPCION],1,0)</f>
        <v>#N/A</v>
      </c>
      <c r="H447" t="str">
        <f>VLOOKUP(DICCIONARIO[[#This Row],[Modelo]],UNIFICADA[Equipo],1,0)</f>
        <v>XIAOMI REDMI NOTE 11 128GB SE</v>
      </c>
      <c r="I447">
        <f>IFERROR(VLOOKUP(DICCIONARIO[[#This Row],[Desc color]],ImportarStock[[DESCRIPCION]:[LIBRE UTILIZACION]],2,0),0)</f>
        <v>0</v>
      </c>
    </row>
    <row r="448" spans="3:9" x14ac:dyDescent="0.25">
      <c r="C448" t="s">
        <v>88</v>
      </c>
      <c r="D448" t="s">
        <v>631</v>
      </c>
      <c r="E448" s="19" t="s">
        <v>931</v>
      </c>
      <c r="F448" t="e">
        <f>VLOOKUP(DICCIONARIO[[#This Row],[Desc color]],ImportarStock[DESCRIPCION],1,0)</f>
        <v>#N/A</v>
      </c>
      <c r="H448" t="str">
        <f>VLOOKUP(DICCIONARIO[[#This Row],[Modelo]],UNIFICADA[Equipo],1,0)</f>
        <v>XIAOMI REDMI NOTE 11 128GB SE</v>
      </c>
      <c r="I448">
        <f>IFERROR(VLOOKUP(DICCIONARIO[[#This Row],[Desc color]],ImportarStock[[DESCRIPCION]:[LIBRE UTILIZACION]],2,0),0)</f>
        <v>0</v>
      </c>
    </row>
    <row r="449" spans="2:9" x14ac:dyDescent="0.25">
      <c r="C449" t="s">
        <v>88</v>
      </c>
      <c r="D449" t="s">
        <v>631</v>
      </c>
      <c r="E449" s="19" t="s">
        <v>932</v>
      </c>
      <c r="F449" t="e">
        <f>VLOOKUP(DICCIONARIO[[#This Row],[Desc color]],ImportarStock[DESCRIPCION],1,0)</f>
        <v>#N/A</v>
      </c>
      <c r="H449" t="str">
        <f>VLOOKUP(DICCIONARIO[[#This Row],[Modelo]],UNIFICADA[Equipo],1,0)</f>
        <v>XIAOMI REDMI NOTE 11 128GB SE</v>
      </c>
      <c r="I449">
        <f>IFERROR(VLOOKUP(DICCIONARIO[[#This Row],[Desc color]],ImportarStock[[DESCRIPCION]:[LIBRE UTILIZACION]],2,0),0)</f>
        <v>0</v>
      </c>
    </row>
    <row r="450" spans="2:9" x14ac:dyDescent="0.25">
      <c r="C450" t="s">
        <v>1127</v>
      </c>
      <c r="D450" t="s">
        <v>631</v>
      </c>
      <c r="E450" s="19" t="s">
        <v>1211</v>
      </c>
      <c r="F450" t="e">
        <f>VLOOKUP(DICCIONARIO[[#This Row],[Desc color]],ImportarStock[DESCRIPCION],1,0)</f>
        <v>#N/A</v>
      </c>
      <c r="H450" t="str">
        <f>VLOOKUP(DICCIONARIO[[#This Row],[Modelo]],UNIFICADA[Equipo],1,0)</f>
        <v>XIAOMI REDMI NOTE 12 128GB</v>
      </c>
      <c r="I450">
        <f>IFERROR(VLOOKUP(DICCIONARIO[[#This Row],[Desc color]],ImportarStock[[DESCRIPCION]:[LIBRE UTILIZACION]],2,0),0)</f>
        <v>0</v>
      </c>
    </row>
    <row r="451" spans="2:9" x14ac:dyDescent="0.25">
      <c r="C451" t="s">
        <v>1127</v>
      </c>
      <c r="D451" t="s">
        <v>631</v>
      </c>
      <c r="E451" s="19" t="s">
        <v>1120</v>
      </c>
      <c r="F451" t="e">
        <f>VLOOKUP(DICCIONARIO[[#This Row],[Desc color]],ImportarStock[DESCRIPCION],1,0)</f>
        <v>#N/A</v>
      </c>
      <c r="H451" t="str">
        <f>VLOOKUP(DICCIONARIO[[#This Row],[Modelo]],UNIFICADA[Equipo],1,0)</f>
        <v>XIAOMI REDMI NOTE 12 128GB</v>
      </c>
      <c r="I451">
        <f>IFERROR(VLOOKUP(DICCIONARIO[[#This Row],[Desc color]],ImportarStock[[DESCRIPCION]:[LIBRE UTILIZACION]],2,0),0)</f>
        <v>0</v>
      </c>
    </row>
    <row r="452" spans="2:9" x14ac:dyDescent="0.25">
      <c r="C452" t="s">
        <v>1127</v>
      </c>
      <c r="D452" t="s">
        <v>631</v>
      </c>
      <c r="E452" s="19" t="s">
        <v>1199</v>
      </c>
      <c r="F452" t="str">
        <f>VLOOKUP(DICCIONARIO[[#This Row],[Desc color]],ImportarStock[DESCRIPCION],1,0)</f>
        <v>XIA REDMINOT12128 GR</v>
      </c>
      <c r="H452" t="str">
        <f>VLOOKUP(DICCIONARIO[[#This Row],[Modelo]],UNIFICADA[Equipo],1,0)</f>
        <v>XIAOMI REDMI NOTE 12 128GB</v>
      </c>
      <c r="I452">
        <f>IFERROR(VLOOKUP(DICCIONARIO[[#This Row],[Desc color]],ImportarStock[[DESCRIPCION]:[LIBRE UTILIZACION]],2,0),0)</f>
        <v>24</v>
      </c>
    </row>
    <row r="453" spans="2:9" x14ac:dyDescent="0.25">
      <c r="C453" t="s">
        <v>1127</v>
      </c>
      <c r="D453" t="s">
        <v>631</v>
      </c>
      <c r="E453" s="19" t="s">
        <v>1198</v>
      </c>
      <c r="F453" t="e">
        <f>VLOOKUP(DICCIONARIO[[#This Row],[Desc color]],ImportarStock[DESCRIPCION],1,0)</f>
        <v>#N/A</v>
      </c>
      <c r="H453" t="str">
        <f>VLOOKUP(DICCIONARIO[[#This Row],[Modelo]],UNIFICADA[Equipo],1,0)</f>
        <v>XIAOMI REDMI NOTE 12 128GB</v>
      </c>
      <c r="I453">
        <f>IFERROR(VLOOKUP(DICCIONARIO[[#This Row],[Desc color]],ImportarStock[[DESCRIPCION]:[LIBRE UTILIZACION]],2,0),0)</f>
        <v>0</v>
      </c>
    </row>
    <row r="454" spans="2:9" x14ac:dyDescent="0.25">
      <c r="C454" t="s">
        <v>1201</v>
      </c>
      <c r="D454" t="s">
        <v>631</v>
      </c>
      <c r="E454" s="19" t="s">
        <v>1220</v>
      </c>
      <c r="F454" t="e">
        <f>VLOOKUP(DICCIONARIO[[#This Row],[Desc color]],ImportarStock[DESCRIPCION],1,0)</f>
        <v>#N/A</v>
      </c>
      <c r="H454" t="str">
        <f>VLOOKUP(DICCIONARIO[[#This Row],[Modelo]],UNIFICADA[Equipo],1,0)</f>
        <v>XIAOMI REDMI NOTE 12S 256GB</v>
      </c>
      <c r="I454">
        <f>IFERROR(VLOOKUP(DICCIONARIO[[#This Row],[Desc color]],ImportarStock[[DESCRIPCION]:[LIBRE UTILIZACION]],2,0),0)</f>
        <v>0</v>
      </c>
    </row>
    <row r="455" spans="2:9" x14ac:dyDescent="0.25">
      <c r="C455" t="s">
        <v>1201</v>
      </c>
      <c r="D455" t="s">
        <v>631</v>
      </c>
      <c r="E455" s="19" t="s">
        <v>1200</v>
      </c>
      <c r="F455" t="e">
        <f>VLOOKUP(DICCIONARIO[[#This Row],[Desc color]],ImportarStock[DESCRIPCION],1,0)</f>
        <v>#N/A</v>
      </c>
      <c r="H455" t="str">
        <f>VLOOKUP(DICCIONARIO[[#This Row],[Modelo]],UNIFICADA[Equipo],1,0)</f>
        <v>XIAOMI REDMI NOTE 12S 256GB</v>
      </c>
      <c r="I455">
        <f>IFERROR(VLOOKUP(DICCIONARIO[[#This Row],[Desc color]],ImportarStock[[DESCRIPCION]:[LIBRE UTILIZACION]],2,0),0)</f>
        <v>0</v>
      </c>
    </row>
    <row r="456" spans="2:9" x14ac:dyDescent="0.25">
      <c r="C456" t="s">
        <v>1130</v>
      </c>
      <c r="D456" t="s">
        <v>1130</v>
      </c>
      <c r="E456" s="19" t="s">
        <v>1126</v>
      </c>
      <c r="F456" t="str">
        <f>VLOOKUP(DICCIONARIO[[#This Row],[Desc color]],ImportarStock[DESCRIPCION],1,0)</f>
        <v>XIA REDMISMARTBA2 NG</v>
      </c>
      <c r="H456" t="e">
        <f>VLOOKUP(DICCIONARIO[[#This Row],[Modelo]],UNIFICADA[Equipo],1,0)</f>
        <v>#N/A</v>
      </c>
      <c r="I456">
        <f>IFERROR(VLOOKUP(DICCIONARIO[[#This Row],[Desc color]],ImportarStock[[DESCRIPCION]:[LIBRE UTILIZACION]],2,0),0)</f>
        <v>28</v>
      </c>
    </row>
    <row r="457" spans="2:9" x14ac:dyDescent="0.25">
      <c r="B457">
        <v>70044979</v>
      </c>
      <c r="C457" t="s">
        <v>80</v>
      </c>
      <c r="D457" t="s">
        <v>631</v>
      </c>
      <c r="E457" s="19" t="s">
        <v>835</v>
      </c>
      <c r="F457" t="e">
        <f>VLOOKUP(DICCIONARIO[[#This Row],[Desc color]],ImportarStock[DESCRIPCION],1,0)</f>
        <v>#N/A</v>
      </c>
      <c r="G457" t="s">
        <v>836</v>
      </c>
      <c r="H457" t="str">
        <f>VLOOKUP(DICCIONARIO[[#This Row],[Modelo]],UNIFICADA[Equipo],1,0)</f>
        <v>XIAOMI REDMI NOTE 11 128GB</v>
      </c>
      <c r="I457">
        <f>IFERROR(VLOOKUP(DICCIONARIO[[#This Row],[Desc color]],ImportarStock[[DESCRIPCION]:[LIBRE UTILIZACION]],2,0),0)</f>
        <v>0</v>
      </c>
    </row>
    <row r="458" spans="2:9" x14ac:dyDescent="0.25">
      <c r="B458">
        <v>70044980</v>
      </c>
      <c r="C458" t="s">
        <v>58</v>
      </c>
      <c r="D458" t="s">
        <v>631</v>
      </c>
      <c r="E458" s="19" t="s">
        <v>837</v>
      </c>
      <c r="F458" t="e">
        <f>VLOOKUP(DICCIONARIO[[#This Row],[Desc color]],ImportarStock[DESCRIPCION],1,0)</f>
        <v>#N/A</v>
      </c>
      <c r="G458" t="s">
        <v>836</v>
      </c>
      <c r="H458" t="str">
        <f>VLOOKUP(DICCIONARIO[[#This Row],[Modelo]],UNIFICADA[Equipo],1,0)</f>
        <v>XIAOMI REDMI NOTE 11 128GB - OS</v>
      </c>
      <c r="I458">
        <f>IFERROR(VLOOKUP(DICCIONARIO[[#This Row],[Desc color]],ImportarStock[[DESCRIPCION]:[LIBRE UTILIZACION]],2,0),0)</f>
        <v>0</v>
      </c>
    </row>
    <row r="459" spans="2:9" x14ac:dyDescent="0.25">
      <c r="C459" t="s">
        <v>80</v>
      </c>
      <c r="D459" t="s">
        <v>631</v>
      </c>
      <c r="E459" s="19" t="s">
        <v>933</v>
      </c>
      <c r="F459" t="e">
        <f>VLOOKUP(DICCIONARIO[[#This Row],[Desc color]],ImportarStock[DESCRIPCION],1,0)</f>
        <v>#N/A</v>
      </c>
      <c r="H459" t="str">
        <f>VLOOKUP(DICCIONARIO[[#This Row],[Modelo]],UNIFICADA[Equipo],1,0)</f>
        <v>XIAOMI REDMI NOTE 11 128GB</v>
      </c>
      <c r="I459">
        <f>IFERROR(VLOOKUP(DICCIONARIO[[#This Row],[Desc color]],ImportarStock[[DESCRIPCION]:[LIBRE UTILIZACION]],2,0),0)</f>
        <v>0</v>
      </c>
    </row>
    <row r="460" spans="2:9" x14ac:dyDescent="0.25">
      <c r="B460">
        <v>70044970</v>
      </c>
      <c r="C460" t="s">
        <v>80</v>
      </c>
      <c r="D460" t="s">
        <v>631</v>
      </c>
      <c r="E460" s="19" t="s">
        <v>838</v>
      </c>
      <c r="F460" t="e">
        <f>VLOOKUP(DICCIONARIO[[#This Row],[Desc color]],ImportarStock[DESCRIPCION],1,0)</f>
        <v>#N/A</v>
      </c>
      <c r="G460" t="s">
        <v>683</v>
      </c>
      <c r="H460" t="str">
        <f>VLOOKUP(DICCIONARIO[[#This Row],[Modelo]],UNIFICADA[Equipo],1,0)</f>
        <v>XIAOMI REDMI NOTE 11 128GB</v>
      </c>
      <c r="I460">
        <f>IFERROR(VLOOKUP(DICCIONARIO[[#This Row],[Desc color]],ImportarStock[[DESCRIPCION]:[LIBRE UTILIZACION]],2,0),0)</f>
        <v>0</v>
      </c>
    </row>
    <row r="461" spans="2:9" x14ac:dyDescent="0.25">
      <c r="B461">
        <v>70044971</v>
      </c>
      <c r="C461" t="s">
        <v>58</v>
      </c>
      <c r="D461" t="s">
        <v>631</v>
      </c>
      <c r="E461" s="19" t="s">
        <v>840</v>
      </c>
      <c r="F461" t="e">
        <f>VLOOKUP(DICCIONARIO[[#This Row],[Desc color]],ImportarStock[DESCRIPCION],1,0)</f>
        <v>#N/A</v>
      </c>
      <c r="G461" t="s">
        <v>683</v>
      </c>
      <c r="H461" t="str">
        <f>VLOOKUP(DICCIONARIO[[#This Row],[Modelo]],UNIFICADA[Equipo],1,0)</f>
        <v>XIAOMI REDMI NOTE 11 128GB - OS</v>
      </c>
      <c r="I461">
        <f>IFERROR(VLOOKUP(DICCIONARIO[[#This Row],[Desc color]],ImportarStock[[DESCRIPCION]:[LIBRE UTILIZACION]],2,0),0)</f>
        <v>0</v>
      </c>
    </row>
    <row r="462" spans="2:9" x14ac:dyDescent="0.25">
      <c r="B462">
        <v>70044972</v>
      </c>
      <c r="C462" t="s">
        <v>58</v>
      </c>
      <c r="D462" t="s">
        <v>631</v>
      </c>
      <c r="E462" s="19" t="s">
        <v>839</v>
      </c>
      <c r="F462" t="e">
        <f>VLOOKUP(DICCIONARIO[[#This Row],[Desc color]],ImportarStock[DESCRIPCION],1,0)</f>
        <v>#N/A</v>
      </c>
      <c r="G462" t="s">
        <v>683</v>
      </c>
      <c r="H462" t="str">
        <f>VLOOKUP(DICCIONARIO[[#This Row],[Modelo]],UNIFICADA[Equipo],1,0)</f>
        <v>XIAOMI REDMI NOTE 11 128GB - OS</v>
      </c>
      <c r="I462">
        <f>IFERROR(VLOOKUP(DICCIONARIO[[#This Row],[Desc color]],ImportarStock[[DESCRIPCION]:[LIBRE UTILIZACION]],2,0),0)</f>
        <v>0</v>
      </c>
    </row>
    <row r="463" spans="2:9" x14ac:dyDescent="0.25">
      <c r="C463" t="s">
        <v>80</v>
      </c>
      <c r="D463" t="s">
        <v>631</v>
      </c>
      <c r="E463" s="19" t="s">
        <v>997</v>
      </c>
      <c r="F463" t="e">
        <f>VLOOKUP(DICCIONARIO[[#This Row],[Desc color]],ImportarStock[DESCRIPCION],1,0)</f>
        <v>#N/A</v>
      </c>
      <c r="H463" t="str">
        <f>VLOOKUP(DICCIONARIO[[#This Row],[Modelo]],UNIFICADA[Equipo],1,0)</f>
        <v>XIAOMI REDMI NOTE 11 128GB</v>
      </c>
      <c r="I463">
        <f>IFERROR(VLOOKUP(DICCIONARIO[[#This Row],[Desc color]],ImportarStock[[DESCRIPCION]:[LIBRE UTILIZACION]],2,0),0)</f>
        <v>0</v>
      </c>
    </row>
    <row r="464" spans="2:9" x14ac:dyDescent="0.25">
      <c r="B464">
        <v>70044968</v>
      </c>
      <c r="C464" t="s">
        <v>80</v>
      </c>
      <c r="D464" t="s">
        <v>631</v>
      </c>
      <c r="E464" s="19" t="s">
        <v>833</v>
      </c>
      <c r="F464" t="e">
        <f>VLOOKUP(DICCIONARIO[[#This Row],[Desc color]],ImportarStock[DESCRIPCION],1,0)</f>
        <v>#N/A</v>
      </c>
      <c r="G464" t="s">
        <v>829</v>
      </c>
      <c r="H464" t="str">
        <f>VLOOKUP(DICCIONARIO[[#This Row],[Modelo]],UNIFICADA[Equipo],1,0)</f>
        <v>XIAOMI REDMI NOTE 11 128GB</v>
      </c>
      <c r="I464">
        <f>IFERROR(VLOOKUP(DICCIONARIO[[#This Row],[Desc color]],ImportarStock[[DESCRIPCION]:[LIBRE UTILIZACION]],2,0),0)</f>
        <v>0</v>
      </c>
    </row>
    <row r="465" spans="2:9" x14ac:dyDescent="0.25">
      <c r="B465">
        <v>70044969</v>
      </c>
      <c r="C465" t="s">
        <v>58</v>
      </c>
      <c r="D465" t="s">
        <v>631</v>
      </c>
      <c r="E465" s="19" t="s">
        <v>834</v>
      </c>
      <c r="F465" t="e">
        <f>VLOOKUP(DICCIONARIO[[#This Row],[Desc color]],ImportarStock[DESCRIPCION],1,0)</f>
        <v>#N/A</v>
      </c>
      <c r="G465" t="s">
        <v>829</v>
      </c>
      <c r="H465" t="str">
        <f>VLOOKUP(DICCIONARIO[[#This Row],[Modelo]],UNIFICADA[Equipo],1,0)</f>
        <v>XIAOMI REDMI NOTE 11 128GB - OS</v>
      </c>
      <c r="I465">
        <f>IFERROR(VLOOKUP(DICCIONARIO[[#This Row],[Desc color]],ImportarStock[[DESCRIPCION]:[LIBRE UTILIZACION]],2,0),0)</f>
        <v>0</v>
      </c>
    </row>
    <row r="466" spans="2:9" x14ac:dyDescent="0.25">
      <c r="B466">
        <v>70044973</v>
      </c>
      <c r="C466" t="s">
        <v>71</v>
      </c>
      <c r="D466" t="s">
        <v>631</v>
      </c>
      <c r="E466" s="19" t="s">
        <v>843</v>
      </c>
      <c r="F466" t="e">
        <f>VLOOKUP(DICCIONARIO[[#This Row],[Desc color]],ImportarStock[DESCRIPCION],1,0)</f>
        <v>#N/A</v>
      </c>
      <c r="G466" t="s">
        <v>683</v>
      </c>
      <c r="H466" t="str">
        <f>VLOOKUP(DICCIONARIO[[#This Row],[Modelo]],UNIFICADA[Equipo],1,0)</f>
        <v>XIAOMI REDMI NOTE 11S 128GB</v>
      </c>
      <c r="I466">
        <f>IFERROR(VLOOKUP(DICCIONARIO[[#This Row],[Desc color]],ImportarStock[[DESCRIPCION]:[LIBRE UTILIZACION]],2,0),0)</f>
        <v>0</v>
      </c>
    </row>
    <row r="467" spans="2:9" x14ac:dyDescent="0.25">
      <c r="B467">
        <v>70044976</v>
      </c>
      <c r="C467" t="s">
        <v>71</v>
      </c>
      <c r="D467" t="s">
        <v>631</v>
      </c>
      <c r="E467" s="19" t="s">
        <v>844</v>
      </c>
      <c r="F467" t="e">
        <f>VLOOKUP(DICCIONARIO[[#This Row],[Desc color]],ImportarStock[DESCRIPCION],1,0)</f>
        <v>#N/A</v>
      </c>
      <c r="G467" t="s">
        <v>683</v>
      </c>
      <c r="H467" t="str">
        <f>VLOOKUP(DICCIONARIO[[#This Row],[Modelo]],UNIFICADA[Equipo],1,0)</f>
        <v>XIAOMI REDMI NOTE 11S 128GB</v>
      </c>
      <c r="I467">
        <f>IFERROR(VLOOKUP(DICCIONARIO[[#This Row],[Desc color]],ImportarStock[[DESCRIPCION]:[LIBRE UTILIZACION]],2,0),0)</f>
        <v>0</v>
      </c>
    </row>
    <row r="468" spans="2:9" x14ac:dyDescent="0.25">
      <c r="C468" t="s">
        <v>71</v>
      </c>
      <c r="D468" t="s">
        <v>631</v>
      </c>
      <c r="E468" s="19" t="s">
        <v>934</v>
      </c>
      <c r="F468" t="e">
        <f>VLOOKUP(DICCIONARIO[[#This Row],[Desc color]],ImportarStock[DESCRIPCION],1,0)</f>
        <v>#N/A</v>
      </c>
      <c r="H468" t="str">
        <f>VLOOKUP(DICCIONARIO[[#This Row],[Modelo]],UNIFICADA[Equipo],1,0)</f>
        <v>XIAOMI REDMI NOTE 11S 128GB</v>
      </c>
      <c r="I468">
        <f>IFERROR(VLOOKUP(DICCIONARIO[[#This Row],[Desc color]],ImportarStock[[DESCRIPCION]:[LIBRE UTILIZACION]],2,0),0)</f>
        <v>0</v>
      </c>
    </row>
    <row r="469" spans="2:9" x14ac:dyDescent="0.25">
      <c r="B469">
        <v>70044975</v>
      </c>
      <c r="C469" t="s">
        <v>71</v>
      </c>
      <c r="D469" t="s">
        <v>631</v>
      </c>
      <c r="E469" s="19" t="s">
        <v>845</v>
      </c>
      <c r="F469" t="e">
        <f>VLOOKUP(DICCIONARIO[[#This Row],[Desc color]],ImportarStock[DESCRIPCION],1,0)</f>
        <v>#N/A</v>
      </c>
      <c r="G469" t="s">
        <v>685</v>
      </c>
      <c r="H469" t="str">
        <f>VLOOKUP(DICCIONARIO[[#This Row],[Modelo]],UNIFICADA[Equipo],1,0)</f>
        <v>XIAOMI REDMI NOTE 11S 128GB</v>
      </c>
      <c r="I469">
        <f>IFERROR(VLOOKUP(DICCIONARIO[[#This Row],[Desc color]],ImportarStock[[DESCRIPCION]:[LIBRE UTILIZACION]],2,0),0)</f>
        <v>0</v>
      </c>
    </row>
    <row r="470" spans="2:9" x14ac:dyDescent="0.25">
      <c r="B470">
        <v>70044981</v>
      </c>
      <c r="C470" t="s">
        <v>71</v>
      </c>
      <c r="D470" t="s">
        <v>631</v>
      </c>
      <c r="E470" s="19" t="s">
        <v>841</v>
      </c>
      <c r="F470" t="e">
        <f>VLOOKUP(DICCIONARIO[[#This Row],[Desc color]],ImportarStock[DESCRIPCION],1,0)</f>
        <v>#N/A</v>
      </c>
      <c r="G470" t="s">
        <v>829</v>
      </c>
      <c r="H470" t="str">
        <f>VLOOKUP(DICCIONARIO[[#This Row],[Modelo]],UNIFICADA[Equipo],1,0)</f>
        <v>XIAOMI REDMI NOTE 11S 128GB</v>
      </c>
      <c r="I470">
        <f>IFERROR(VLOOKUP(DICCIONARIO[[#This Row],[Desc color]],ImportarStock[[DESCRIPCION]:[LIBRE UTILIZACION]],2,0),0)</f>
        <v>0</v>
      </c>
    </row>
    <row r="471" spans="2:9" x14ac:dyDescent="0.25">
      <c r="B471">
        <v>70044982</v>
      </c>
      <c r="C471" t="s">
        <v>71</v>
      </c>
      <c r="D471" t="s">
        <v>631</v>
      </c>
      <c r="E471" s="19" t="s">
        <v>842</v>
      </c>
      <c r="F471" t="e">
        <f>VLOOKUP(DICCIONARIO[[#This Row],[Desc color]],ImportarStock[DESCRIPCION],1,0)</f>
        <v>#N/A</v>
      </c>
      <c r="G471" t="s">
        <v>829</v>
      </c>
      <c r="H471" t="str">
        <f>VLOOKUP(DICCIONARIO[[#This Row],[Modelo]],UNIFICADA[Equipo],1,0)</f>
        <v>XIAOMI REDMI NOTE 11S 128GB</v>
      </c>
      <c r="I471">
        <f>IFERROR(VLOOKUP(DICCIONARIO[[#This Row],[Desc color]],ImportarStock[[DESCRIPCION]:[LIBRE UTILIZACION]],2,0),0)</f>
        <v>0</v>
      </c>
    </row>
    <row r="472" spans="2:9" x14ac:dyDescent="0.25">
      <c r="B472">
        <v>70039722</v>
      </c>
      <c r="C472" t="s">
        <v>38</v>
      </c>
      <c r="D472" t="s">
        <v>631</v>
      </c>
      <c r="E472" s="19" t="s">
        <v>655</v>
      </c>
      <c r="F472" t="e">
        <f>VLOOKUP(DICCIONARIO[[#This Row],[Desc color]],ImportarStock[DESCRIPCION],1,0)</f>
        <v>#N/A</v>
      </c>
      <c r="G472" t="s">
        <v>656</v>
      </c>
      <c r="H472" t="str">
        <f>VLOOKUP(DICCIONARIO[[#This Row],[Modelo]],UNIFICADA[Equipo],1,0)</f>
        <v>XIAOMI REDMI NOTE 10 PRO 128GB SE</v>
      </c>
      <c r="I472">
        <f>IFERROR(VLOOKUP(DICCIONARIO[[#This Row],[Desc color]],ImportarStock[[DESCRIPCION]:[LIBRE UTILIZACION]],2,0),0)</f>
        <v>0</v>
      </c>
    </row>
    <row r="473" spans="2:9" x14ac:dyDescent="0.25">
      <c r="B473">
        <v>70034305</v>
      </c>
      <c r="C473" t="s">
        <v>40</v>
      </c>
      <c r="D473" t="s">
        <v>626</v>
      </c>
      <c r="E473" s="19" t="s">
        <v>628</v>
      </c>
      <c r="F473" t="e">
        <f>VLOOKUP(DICCIONARIO[[#This Row],[Desc color]],ImportarStock[DESCRIPCION],1,0)</f>
        <v>#N/A</v>
      </c>
      <c r="G473" t="s">
        <v>617</v>
      </c>
      <c r="H473" t="str">
        <f>VLOOKUP(DICCIONARIO[[#This Row],[Modelo]],UNIFICADA[Equipo],1,0)</f>
        <v>ZTE BLADE A5 2020 32GB</v>
      </c>
      <c r="I473">
        <f>IFERROR(VLOOKUP(DICCIONARIO[[#This Row],[Desc color]],ImportarStock[[DESCRIPCION]:[LIBRE UTILIZACION]],2,0),0)</f>
        <v>0</v>
      </c>
    </row>
    <row r="474" spans="2:9" x14ac:dyDescent="0.25">
      <c r="B474">
        <v>70036709</v>
      </c>
      <c r="C474" t="s">
        <v>40</v>
      </c>
      <c r="D474" t="s">
        <v>626</v>
      </c>
      <c r="E474" s="19" t="s">
        <v>637</v>
      </c>
      <c r="F474" t="e">
        <f>VLOOKUP(DICCIONARIO[[#This Row],[Desc color]],ImportarStock[DESCRIPCION],1,0)</f>
        <v>#N/A</v>
      </c>
      <c r="G474" t="s">
        <v>617</v>
      </c>
      <c r="H474" t="str">
        <f>VLOOKUP(DICCIONARIO[[#This Row],[Modelo]],UNIFICADA[Equipo],1,0)</f>
        <v>ZTE BLADE A5 2020 32GB</v>
      </c>
      <c r="I474">
        <f>IFERROR(VLOOKUP(DICCIONARIO[[#This Row],[Desc color]],ImportarStock[[DESCRIPCION]:[LIBRE UTILIZACION]],2,0),0)</f>
        <v>0</v>
      </c>
    </row>
    <row r="475" spans="2:9" x14ac:dyDescent="0.25">
      <c r="C475" t="s">
        <v>40</v>
      </c>
      <c r="D475" t="s">
        <v>626</v>
      </c>
      <c r="E475" s="19" t="s">
        <v>1028</v>
      </c>
      <c r="F475" t="e">
        <f>VLOOKUP(DICCIONARIO[[#This Row],[Desc color]],ImportarStock[DESCRIPCION],1,0)</f>
        <v>#N/A</v>
      </c>
      <c r="H475" t="str">
        <f>VLOOKUP(DICCIONARIO[[#This Row],[Modelo]],UNIFICADA[Equipo],1,0)</f>
        <v>ZTE BLADE A5 2020 32GB</v>
      </c>
      <c r="I475">
        <f>IFERROR(VLOOKUP(DICCIONARIO[[#This Row],[Desc color]],ImportarStock[[DESCRIPCION]:[LIBRE UTILIZACION]],2,0),0)</f>
        <v>0</v>
      </c>
    </row>
    <row r="476" spans="2:9" x14ac:dyDescent="0.25">
      <c r="B476">
        <v>70034121</v>
      </c>
      <c r="C476" t="s">
        <v>40</v>
      </c>
      <c r="D476" t="s">
        <v>626</v>
      </c>
      <c r="E476" s="19" t="s">
        <v>627</v>
      </c>
      <c r="F476" t="e">
        <f>VLOOKUP(DICCIONARIO[[#This Row],[Desc color]],ImportarStock[DESCRIPCION],1,0)</f>
        <v>#N/A</v>
      </c>
      <c r="G476" t="s">
        <v>610</v>
      </c>
      <c r="H476" t="str">
        <f>VLOOKUP(DICCIONARIO[[#This Row],[Modelo]],UNIFICADA[Equipo],1,0)</f>
        <v>ZTE BLADE A5 2020 32GB</v>
      </c>
      <c r="I476">
        <f>IFERROR(VLOOKUP(DICCIONARIO[[#This Row],[Desc color]],ImportarStock[[DESCRIPCION]:[LIBRE UTILIZACION]],2,0),0)</f>
        <v>0</v>
      </c>
    </row>
    <row r="477" spans="2:9" x14ac:dyDescent="0.25">
      <c r="B477">
        <v>70036708</v>
      </c>
      <c r="C477" t="s">
        <v>40</v>
      </c>
      <c r="D477" t="s">
        <v>626</v>
      </c>
      <c r="E477" s="19" t="s">
        <v>636</v>
      </c>
      <c r="F477" t="e">
        <f>VLOOKUP(DICCIONARIO[[#This Row],[Desc color]],ImportarStock[DESCRIPCION],1,0)</f>
        <v>#N/A</v>
      </c>
      <c r="G477" t="s">
        <v>610</v>
      </c>
      <c r="H477" t="str">
        <f>VLOOKUP(DICCIONARIO[[#This Row],[Modelo]],UNIFICADA[Equipo],1,0)</f>
        <v>ZTE BLADE A5 2020 32GB</v>
      </c>
      <c r="I477">
        <f>IFERROR(VLOOKUP(DICCIONARIO[[#This Row],[Desc color]],ImportarStock[[DESCRIPCION]:[LIBRE UTILIZACION]],2,0),0)</f>
        <v>0</v>
      </c>
    </row>
    <row r="478" spans="2:9" x14ac:dyDescent="0.25">
      <c r="B478">
        <v>70040605</v>
      </c>
      <c r="C478" t="s">
        <v>42</v>
      </c>
      <c r="D478" t="s">
        <v>626</v>
      </c>
      <c r="E478" s="19" t="s">
        <v>667</v>
      </c>
      <c r="F478" t="str">
        <f>VLOOKUP(DICCIONARIO[[#This Row],[Desc color]],ImportarStock[DESCRIPCION],1,0)</f>
        <v>ZTE BLADE A71 64G AZ</v>
      </c>
      <c r="G478" t="s">
        <v>617</v>
      </c>
      <c r="H478" t="str">
        <f>VLOOKUP(DICCIONARIO[[#This Row],[Modelo]],UNIFICADA[Equipo],1,0)</f>
        <v>ZTE BLADE A71 64GB</v>
      </c>
      <c r="I478">
        <f>IFERROR(VLOOKUP(DICCIONARIO[[#This Row],[Desc color]],ImportarStock[[DESCRIPCION]:[LIBRE UTILIZACION]],2,0),0)</f>
        <v>5</v>
      </c>
    </row>
    <row r="479" spans="2:9" x14ac:dyDescent="0.25">
      <c r="B479">
        <v>70040969</v>
      </c>
      <c r="C479" t="s">
        <v>42</v>
      </c>
      <c r="D479" t="s">
        <v>626</v>
      </c>
      <c r="E479" s="19" t="s">
        <v>669</v>
      </c>
      <c r="F479" t="e">
        <f>VLOOKUP(DICCIONARIO[[#This Row],[Desc color]],ImportarStock[DESCRIPCION],1,0)</f>
        <v>#N/A</v>
      </c>
      <c r="G479" t="s">
        <v>614</v>
      </c>
      <c r="H479" t="str">
        <f>VLOOKUP(DICCIONARIO[[#This Row],[Modelo]],UNIFICADA[Equipo],1,0)</f>
        <v>ZTE BLADE A71 64GB</v>
      </c>
      <c r="I479">
        <f>IFERROR(VLOOKUP(DICCIONARIO[[#This Row],[Desc color]],ImportarStock[[DESCRIPCION]:[LIBRE UTILIZACION]],2,0),0)</f>
        <v>0</v>
      </c>
    </row>
    <row r="480" spans="2:9" x14ac:dyDescent="0.25">
      <c r="B480">
        <v>70040970</v>
      </c>
      <c r="C480" t="s">
        <v>42</v>
      </c>
      <c r="D480" t="s">
        <v>626</v>
      </c>
      <c r="E480" s="19" t="s">
        <v>670</v>
      </c>
      <c r="F480" t="e">
        <f>VLOOKUP(DICCIONARIO[[#This Row],[Desc color]],ImportarStock[DESCRIPCION],1,0)</f>
        <v>#N/A</v>
      </c>
      <c r="G480" t="s">
        <v>614</v>
      </c>
      <c r="H480" t="str">
        <f>VLOOKUP(DICCIONARIO[[#This Row],[Modelo]],UNIFICADA[Equipo],1,0)</f>
        <v>ZTE BLADE A71 64GB</v>
      </c>
      <c r="I480">
        <f>IFERROR(VLOOKUP(DICCIONARIO[[#This Row],[Desc color]],ImportarStock[[DESCRIPCION]:[LIBRE UTILIZACION]],2,0),0)</f>
        <v>0</v>
      </c>
    </row>
    <row r="481" spans="2:9" x14ac:dyDescent="0.25">
      <c r="B481">
        <v>70040603</v>
      </c>
      <c r="C481" t="s">
        <v>42</v>
      </c>
      <c r="D481" t="s">
        <v>626</v>
      </c>
      <c r="E481" s="19" t="s">
        <v>665</v>
      </c>
      <c r="F481" t="e">
        <f>VLOOKUP(DICCIONARIO[[#This Row],[Desc color]],ImportarStock[DESCRIPCION],1,0)</f>
        <v>#N/A</v>
      </c>
      <c r="G481" t="s">
        <v>610</v>
      </c>
      <c r="H481" t="str">
        <f>VLOOKUP(DICCIONARIO[[#This Row],[Modelo]],UNIFICADA[Equipo],1,0)</f>
        <v>ZTE BLADE A71 64GB</v>
      </c>
      <c r="I481">
        <f>IFERROR(VLOOKUP(DICCIONARIO[[#This Row],[Desc color]],ImportarStock[[DESCRIPCION]:[LIBRE UTILIZACION]],2,0),0)</f>
        <v>0</v>
      </c>
    </row>
    <row r="482" spans="2:9" x14ac:dyDescent="0.25">
      <c r="B482">
        <v>70040604</v>
      </c>
      <c r="C482" t="s">
        <v>42</v>
      </c>
      <c r="D482" t="s">
        <v>626</v>
      </c>
      <c r="E482" s="19" t="s">
        <v>666</v>
      </c>
      <c r="F482" t="e">
        <f>VLOOKUP(DICCIONARIO[[#This Row],[Desc color]],ImportarStock[DESCRIPCION],1,0)</f>
        <v>#N/A</v>
      </c>
      <c r="G482" t="s">
        <v>610</v>
      </c>
      <c r="H482" t="str">
        <f>VLOOKUP(DICCIONARIO[[#This Row],[Modelo]],UNIFICADA[Equipo],1,0)</f>
        <v>ZTE BLADE A71 64GB</v>
      </c>
      <c r="I482">
        <f>IFERROR(VLOOKUP(DICCIONARIO[[#This Row],[Desc color]],ImportarStock[[DESCRIPCION]:[LIBRE UTILIZACION]],2,0),0)</f>
        <v>0</v>
      </c>
    </row>
    <row r="483" spans="2:9" x14ac:dyDescent="0.25">
      <c r="C483" t="s">
        <v>137</v>
      </c>
      <c r="D483" t="s">
        <v>626</v>
      </c>
      <c r="E483" s="19" t="s">
        <v>987</v>
      </c>
      <c r="F483" t="e">
        <f>VLOOKUP(DICCIONARIO[[#This Row],[Desc color]],ImportarStock[DESCRIPCION],1,0)</f>
        <v>#N/A</v>
      </c>
      <c r="H483" t="str">
        <f>VLOOKUP(DICCIONARIO[[#This Row],[Modelo]],UNIFICADA[Equipo],1,0)</f>
        <v>ZTE BLADE V40 VITA 128GB</v>
      </c>
      <c r="I483">
        <f>IFERROR(VLOOKUP(DICCIONARIO[[#This Row],[Desc color]],ImportarStock[[DESCRIPCION]:[LIBRE UTILIZACION]],2,0),0)</f>
        <v>0</v>
      </c>
    </row>
    <row r="484" spans="2:9" x14ac:dyDescent="0.25">
      <c r="C484" t="s">
        <v>137</v>
      </c>
      <c r="D484" t="s">
        <v>626</v>
      </c>
      <c r="E484" s="19" t="s">
        <v>1037</v>
      </c>
      <c r="F484" t="e">
        <f>VLOOKUP(DICCIONARIO[[#This Row],[Desc color]],ImportarStock[DESCRIPCION],1,0)</f>
        <v>#N/A</v>
      </c>
      <c r="H484" t="str">
        <f>VLOOKUP(DICCIONARIO[[#This Row],[Modelo]],UNIFICADA[Equipo],1,0)</f>
        <v>ZTE BLADE V40 VITA 128GB</v>
      </c>
      <c r="I484">
        <f>IFERROR(VLOOKUP(DICCIONARIO[[#This Row],[Desc color]],ImportarStock[[DESCRIPCION]:[LIBRE UTILIZACION]],2,0),0)</f>
        <v>0</v>
      </c>
    </row>
    <row r="485" spans="2:9" x14ac:dyDescent="0.25">
      <c r="C485" t="s">
        <v>137</v>
      </c>
      <c r="D485" t="s">
        <v>626</v>
      </c>
      <c r="E485" s="19" t="s">
        <v>935</v>
      </c>
      <c r="F485" t="e">
        <f>VLOOKUP(DICCIONARIO[[#This Row],[Desc color]],ImportarStock[DESCRIPCION],1,0)</f>
        <v>#N/A</v>
      </c>
      <c r="H485" t="str">
        <f>VLOOKUP(DICCIONARIO[[#This Row],[Modelo]],UNIFICADA[Equipo],1,0)</f>
        <v>ZTE BLADE V40 VITA 128GB</v>
      </c>
      <c r="I485">
        <f>IFERROR(VLOOKUP(DICCIONARIO[[#This Row],[Desc color]],ImportarStock[[DESCRIPCION]:[LIBRE UTILIZACION]],2,0),0)</f>
        <v>0</v>
      </c>
    </row>
    <row r="486" spans="2:9" x14ac:dyDescent="0.25">
      <c r="C486" t="s">
        <v>137</v>
      </c>
      <c r="D486" t="s">
        <v>626</v>
      </c>
      <c r="E486" s="19" t="s">
        <v>1029</v>
      </c>
      <c r="F486" t="e">
        <f>VLOOKUP(DICCIONARIO[[#This Row],[Desc color]],ImportarStock[DESCRIPCION],1,0)</f>
        <v>#N/A</v>
      </c>
      <c r="H486" t="str">
        <f>VLOOKUP(DICCIONARIO[[#This Row],[Modelo]],UNIFICADA[Equipo],1,0)</f>
        <v>ZTE BLADE V40 VITA 128GB</v>
      </c>
      <c r="I486">
        <f>IFERROR(VLOOKUP(DICCIONARIO[[#This Row],[Desc color]],ImportarStock[[DESCRIPCION]:[LIBRE UTILIZACION]],2,0),0)</f>
        <v>0</v>
      </c>
    </row>
    <row r="487" spans="2:9" x14ac:dyDescent="0.25">
      <c r="C487" t="s">
        <v>70</v>
      </c>
      <c r="D487" t="s">
        <v>626</v>
      </c>
      <c r="E487" s="19" t="s">
        <v>936</v>
      </c>
      <c r="F487" t="str">
        <f>VLOOKUP(DICCIONARIO[[#This Row],[Desc color]],ImportarStock[DESCRIPCION],1,0)</f>
        <v>ZTE BLADEA31P321G AZ</v>
      </c>
      <c r="H487" t="str">
        <f>VLOOKUP(DICCIONARIO[[#This Row],[Modelo]],UNIFICADA[Equipo],1,0)</f>
        <v>ZTE BLADE A31 PLUS 32GB</v>
      </c>
      <c r="I487">
        <f>IFERROR(VLOOKUP(DICCIONARIO[[#This Row],[Desc color]],ImportarStock[[DESCRIPCION]:[LIBRE UTILIZACION]],2,0),0)</f>
        <v>3</v>
      </c>
    </row>
    <row r="488" spans="2:9" x14ac:dyDescent="0.25">
      <c r="B488">
        <v>70044686</v>
      </c>
      <c r="C488" t="s">
        <v>70</v>
      </c>
      <c r="D488" t="s">
        <v>626</v>
      </c>
      <c r="E488" s="19" t="s">
        <v>807</v>
      </c>
      <c r="F488" t="e">
        <f>VLOOKUP(DICCIONARIO[[#This Row],[Desc color]],ImportarStock[DESCRIPCION],1,0)</f>
        <v>#N/A</v>
      </c>
      <c r="G488" t="s">
        <v>617</v>
      </c>
      <c r="H488" t="str">
        <f>VLOOKUP(DICCIONARIO[[#This Row],[Modelo]],UNIFICADA[Equipo],1,0)</f>
        <v>ZTE BLADE A31 PLUS 32GB</v>
      </c>
      <c r="I488">
        <f>IFERROR(VLOOKUP(DICCIONARIO[[#This Row],[Desc color]],ImportarStock[[DESCRIPCION]:[LIBRE UTILIZACION]],2,0),0)</f>
        <v>0</v>
      </c>
    </row>
    <row r="489" spans="2:9" x14ac:dyDescent="0.25">
      <c r="C489" t="s">
        <v>70</v>
      </c>
      <c r="D489" t="s">
        <v>626</v>
      </c>
      <c r="E489" s="19" t="s">
        <v>1011</v>
      </c>
      <c r="F489" t="e">
        <f>VLOOKUP(DICCIONARIO[[#This Row],[Desc color]],ImportarStock[DESCRIPCION],1,0)</f>
        <v>#N/A</v>
      </c>
      <c r="H489" t="str">
        <f>VLOOKUP(DICCIONARIO[[#This Row],[Modelo]],UNIFICADA[Equipo],1,0)</f>
        <v>ZTE BLADE A31 PLUS 32GB</v>
      </c>
      <c r="I489">
        <f>IFERROR(VLOOKUP(DICCIONARIO[[#This Row],[Desc color]],ImportarStock[[DESCRIPCION]:[LIBRE UTILIZACION]],2,0),0)</f>
        <v>0</v>
      </c>
    </row>
    <row r="490" spans="2:9" x14ac:dyDescent="0.25">
      <c r="B490">
        <v>70044685</v>
      </c>
      <c r="C490" t="s">
        <v>70</v>
      </c>
      <c r="D490" t="s">
        <v>626</v>
      </c>
      <c r="E490" s="19" t="s">
        <v>806</v>
      </c>
      <c r="F490" t="e">
        <f>VLOOKUP(DICCIONARIO[[#This Row],[Desc color]],ImportarStock[DESCRIPCION],1,0)</f>
        <v>#N/A</v>
      </c>
      <c r="G490" t="s">
        <v>614</v>
      </c>
      <c r="H490" t="str">
        <f>VLOOKUP(DICCIONARIO[[#This Row],[Modelo]],UNIFICADA[Equipo],1,0)</f>
        <v>ZTE BLADE A31 PLUS 32GB</v>
      </c>
      <c r="I490">
        <f>IFERROR(VLOOKUP(DICCIONARIO[[#This Row],[Desc color]],ImportarStock[[DESCRIPCION]:[LIBRE UTILIZACION]],2,0),0)</f>
        <v>0</v>
      </c>
    </row>
    <row r="491" spans="2:9" x14ac:dyDescent="0.25">
      <c r="B491">
        <v>70040626</v>
      </c>
      <c r="C491" t="s">
        <v>41</v>
      </c>
      <c r="D491" t="s">
        <v>626</v>
      </c>
      <c r="E491" s="19" t="s">
        <v>664</v>
      </c>
      <c r="F491" t="str">
        <f>VLOOKUP(DICCIONARIO[[#This Row],[Desc color]],ImportarStock[DESCRIPCION],1,0)</f>
        <v>ZTE BLADEA5132GB AZ</v>
      </c>
      <c r="G491" t="s">
        <v>617</v>
      </c>
      <c r="H491" t="str">
        <f>VLOOKUP(DICCIONARIO[[#This Row],[Modelo]],UNIFICADA[Equipo],1,0)</f>
        <v>ZTE BLADE A51 32GB</v>
      </c>
      <c r="I491">
        <f>IFERROR(VLOOKUP(DICCIONARIO[[#This Row],[Desc color]],ImportarStock[[DESCRIPCION]:[LIBRE UTILIZACION]],2,0),0)</f>
        <v>9</v>
      </c>
    </row>
    <row r="492" spans="2:9" x14ac:dyDescent="0.25">
      <c r="B492">
        <v>70040971</v>
      </c>
      <c r="C492" t="s">
        <v>41</v>
      </c>
      <c r="D492" t="s">
        <v>626</v>
      </c>
      <c r="E492" s="19" t="s">
        <v>668</v>
      </c>
      <c r="F492" t="e">
        <f>VLOOKUP(DICCIONARIO[[#This Row],[Desc color]],ImportarStock[DESCRIPCION],1,0)</f>
        <v>#N/A</v>
      </c>
      <c r="G492" t="s">
        <v>614</v>
      </c>
      <c r="H492" t="str">
        <f>VLOOKUP(DICCIONARIO[[#This Row],[Modelo]],UNIFICADA[Equipo],1,0)</f>
        <v>ZTE BLADE A51 32GB</v>
      </c>
      <c r="I492">
        <f>IFERROR(VLOOKUP(DICCIONARIO[[#This Row],[Desc color]],ImportarStock[[DESCRIPCION]:[LIBRE UTILIZACION]],2,0),0)</f>
        <v>0</v>
      </c>
    </row>
    <row r="493" spans="2:9" x14ac:dyDescent="0.25">
      <c r="B493">
        <v>70040625</v>
      </c>
      <c r="C493" t="s">
        <v>41</v>
      </c>
      <c r="D493" t="s">
        <v>626</v>
      </c>
      <c r="E493" s="19" t="s">
        <v>663</v>
      </c>
      <c r="F493" t="e">
        <f>VLOOKUP(DICCIONARIO[[#This Row],[Desc color]],ImportarStock[DESCRIPCION],1,0)</f>
        <v>#N/A</v>
      </c>
      <c r="G493" t="s">
        <v>610</v>
      </c>
      <c r="H493" t="str">
        <f>VLOOKUP(DICCIONARIO[[#This Row],[Modelo]],UNIFICADA[Equipo],1,0)</f>
        <v>ZTE BLADE A51 32GB</v>
      </c>
      <c r="I493">
        <f>IFERROR(VLOOKUP(DICCIONARIO[[#This Row],[Desc color]],ImportarStock[[DESCRIPCION]:[LIBRE UTILIZACION]],2,0),0)</f>
        <v>0</v>
      </c>
    </row>
    <row r="494" spans="2:9" x14ac:dyDescent="0.25">
      <c r="C494" t="s">
        <v>1045</v>
      </c>
      <c r="D494" t="s">
        <v>626</v>
      </c>
      <c r="E494" s="19" t="s">
        <v>1050</v>
      </c>
      <c r="F494" t="e">
        <f>VLOOKUP(DICCIONARIO[[#This Row],[Desc color]],ImportarStock[DESCRIPCION],1,0)</f>
        <v>#N/A</v>
      </c>
      <c r="H494" t="str">
        <f>VLOOKUP(DICCIONARIO[[#This Row],[Modelo]],UNIFICADA[Equipo],1,0)</f>
        <v>ZTE BLADE V40 DESIGN 128GB</v>
      </c>
      <c r="I494">
        <f>IFERROR(VLOOKUP(DICCIONARIO[[#This Row],[Desc color]],ImportarStock[[DESCRIPCION]:[LIBRE UTILIZACION]],2,0),0)</f>
        <v>0</v>
      </c>
    </row>
    <row r="495" spans="2:9" x14ac:dyDescent="0.25">
      <c r="B495">
        <v>70042382</v>
      </c>
      <c r="C495" t="s">
        <v>47</v>
      </c>
      <c r="D495" t="s">
        <v>626</v>
      </c>
      <c r="E495" s="19" t="s">
        <v>780</v>
      </c>
      <c r="F495" t="e">
        <f>VLOOKUP(DICCIONARIO[[#This Row],[Desc color]],ImportarStock[DESCRIPCION],1,0)</f>
        <v>#N/A</v>
      </c>
      <c r="G495" t="s">
        <v>617</v>
      </c>
      <c r="H495" t="str">
        <f>VLOOKUP(DICCIONARIO[[#This Row],[Modelo]],UNIFICADA[Equipo],1,0)</f>
        <v>ZTE BLADE V30 VITA 128GB</v>
      </c>
      <c r="I495">
        <f>IFERROR(VLOOKUP(DICCIONARIO[[#This Row],[Desc color]],ImportarStock[[DESCRIPCION]:[LIBRE UTILIZACION]],2,0),0)</f>
        <v>0</v>
      </c>
    </row>
    <row r="496" spans="2:9" x14ac:dyDescent="0.25">
      <c r="B496">
        <v>70043214</v>
      </c>
      <c r="C496" t="s">
        <v>47</v>
      </c>
      <c r="D496" t="s">
        <v>626</v>
      </c>
      <c r="E496" s="19" t="s">
        <v>782</v>
      </c>
      <c r="F496" t="e">
        <f>VLOOKUP(DICCIONARIO[[#This Row],[Desc color]],ImportarStock[DESCRIPCION],1,0)</f>
        <v>#N/A</v>
      </c>
      <c r="G496" t="s">
        <v>614</v>
      </c>
      <c r="H496" t="str">
        <f>VLOOKUP(DICCIONARIO[[#This Row],[Modelo]],UNIFICADA[Equipo],1,0)</f>
        <v>ZTE BLADE V30 VITA 128GB</v>
      </c>
      <c r="I496">
        <f>IFERROR(VLOOKUP(DICCIONARIO[[#This Row],[Desc color]],ImportarStock[[DESCRIPCION]:[LIBRE UTILIZACION]],2,0),0)</f>
        <v>0</v>
      </c>
    </row>
    <row r="497" spans="2:9" x14ac:dyDescent="0.25">
      <c r="B497">
        <v>70042383</v>
      </c>
      <c r="C497" t="s">
        <v>47</v>
      </c>
      <c r="D497" t="s">
        <v>626</v>
      </c>
      <c r="E497" s="19" t="s">
        <v>781</v>
      </c>
      <c r="F497" t="e">
        <f>VLOOKUP(DICCIONARIO[[#This Row],[Desc color]],ImportarStock[DESCRIPCION],1,0)</f>
        <v>#N/A</v>
      </c>
      <c r="G497" t="s">
        <v>614</v>
      </c>
      <c r="H497" t="str">
        <f>VLOOKUP(DICCIONARIO[[#This Row],[Modelo]],UNIFICADA[Equipo],1,0)</f>
        <v>ZTE BLADE V30 VITA 128GB</v>
      </c>
      <c r="I497">
        <f>IFERROR(VLOOKUP(DICCIONARIO[[#This Row],[Desc color]],ImportarStock[[DESCRIPCION]:[LIBRE UTILIZACION]],2,0),0)</f>
        <v>0</v>
      </c>
    </row>
    <row r="498" spans="2:9" x14ac:dyDescent="0.25">
      <c r="C498" t="s">
        <v>136</v>
      </c>
      <c r="D498" t="s">
        <v>626</v>
      </c>
      <c r="E498" s="19" t="s">
        <v>937</v>
      </c>
      <c r="F498" t="e">
        <f>VLOOKUP(DICCIONARIO[[#This Row],[Desc color]],ImportarStock[DESCRIPCION],1,0)</f>
        <v>#N/A</v>
      </c>
      <c r="H498" t="str">
        <f>VLOOKUP(DICCIONARIO[[#This Row],[Modelo]],UNIFICADA[Equipo],1,0)</f>
        <v>ZTE BLADE V40 SMART 128GB 5G</v>
      </c>
      <c r="I498">
        <f>IFERROR(VLOOKUP(DICCIONARIO[[#This Row],[Desc color]],ImportarStock[[DESCRIPCION]:[LIBRE UTILIZACION]],2,0),0)</f>
        <v>0</v>
      </c>
    </row>
    <row r="499" spans="2:9" x14ac:dyDescent="0.25">
      <c r="C499" t="s">
        <v>1130</v>
      </c>
      <c r="D499" t="s">
        <v>1131</v>
      </c>
      <c r="E499" s="19" t="s">
        <v>938</v>
      </c>
      <c r="F499" t="str">
        <f>VLOOKUP(DICCIONARIO[[#This Row],[Desc color]],ImportarStock[DESCRIPCION],1,0)</f>
        <v>ZTE MF286C BL</v>
      </c>
      <c r="H499" t="e">
        <f>VLOOKUP(DICCIONARIO[[#This Row],[Modelo]],UNIFICADA[Equipo],1,0)</f>
        <v>#N/A</v>
      </c>
      <c r="I499">
        <f>IFERROR(VLOOKUP(DICCIONARIO[[#This Row],[Desc color]],ImportarStock[[DESCRIPCION]:[LIBRE UTILIZACION]],2,0),0)</f>
        <v>2</v>
      </c>
    </row>
    <row r="500" spans="2:9" x14ac:dyDescent="0.25">
      <c r="C500" t="s">
        <v>1130</v>
      </c>
      <c r="D500" t="s">
        <v>1131</v>
      </c>
      <c r="E500" s="19" t="s">
        <v>939</v>
      </c>
      <c r="F500" t="str">
        <f>VLOOKUP(DICCIONARIO[[#This Row],[Desc color]],ImportarStock[DESCRIPCION],1,0)</f>
        <v>ZTE MF920U BL PB LTE</v>
      </c>
      <c r="H500" t="e">
        <f>VLOOKUP(DICCIONARIO[[#This Row],[Modelo]],UNIFICADA[Equipo],1,0)</f>
        <v>#N/A</v>
      </c>
      <c r="I500">
        <f>IFERROR(VLOOKUP(DICCIONARIO[[#This Row],[Desc color]],ImportarStock[[DESCRIPCION]:[LIBRE UTILIZACION]],2,0),0)</f>
        <v>7</v>
      </c>
    </row>
    <row r="501" spans="2:9" x14ac:dyDescent="0.25">
      <c r="C501" t="s">
        <v>1130</v>
      </c>
      <c r="D501" t="s">
        <v>1131</v>
      </c>
      <c r="E501" s="19" t="s">
        <v>939</v>
      </c>
      <c r="F501" t="str">
        <f>VLOOKUP(DICCIONARIO[[#This Row],[Desc color]],ImportarStock[DESCRIPCION],1,0)</f>
        <v>ZTE MF920U BL PB LTE</v>
      </c>
      <c r="H501" t="e">
        <f>VLOOKUP(DICCIONARIO[[#This Row],[Modelo]],UNIFICADA[Equipo],1,0)</f>
        <v>#N/A</v>
      </c>
      <c r="I501">
        <f>IFERROR(VLOOKUP(DICCIONARIO[[#This Row],[Desc color]],ImportarStock[[DESCRIPCION]:[LIBRE UTILIZACION]],2,0),0)</f>
        <v>7</v>
      </c>
    </row>
    <row r="502" spans="2:9" x14ac:dyDescent="0.25">
      <c r="C502" t="s">
        <v>1130</v>
      </c>
      <c r="D502" t="s">
        <v>1131</v>
      </c>
      <c r="E502" s="19" t="s">
        <v>939</v>
      </c>
      <c r="F502" t="str">
        <f>VLOOKUP(DICCIONARIO[[#This Row],[Desc color]],ImportarStock[DESCRIPCION],1,0)</f>
        <v>ZTE MF920U BL PB LTE</v>
      </c>
      <c r="H502" t="e">
        <f>VLOOKUP(DICCIONARIO[[#This Row],[Modelo]],UNIFICADA[Equipo],1,0)</f>
        <v>#N/A</v>
      </c>
      <c r="I502">
        <f>IFERROR(VLOOKUP(DICCIONARIO[[#This Row],[Desc color]],ImportarStock[[DESCRIPCION]:[LIBRE UTILIZACION]],2,0),0)</f>
        <v>7</v>
      </c>
    </row>
    <row r="503" spans="2:9" x14ac:dyDescent="0.25">
      <c r="C503" t="s">
        <v>1130</v>
      </c>
      <c r="D503" t="s">
        <v>1131</v>
      </c>
      <c r="E503" s="19" t="s">
        <v>1242</v>
      </c>
      <c r="F503" t="str">
        <f>VLOOKUP(DICCIONARIO[[#This Row],[Desc color]],ImportarStock[DESCRIPCION],1,0)</f>
        <v>ZTE WATCH LIVE 2 NG</v>
      </c>
      <c r="H503" t="e">
        <f>VLOOKUP(DICCIONARIO[[#This Row],[Modelo]],UNIFICADA[Equipo],1,0)</f>
        <v>#N/A</v>
      </c>
      <c r="I503">
        <f>IFERROR(VLOOKUP(DICCIONARIO[[#This Row],[Desc color]],ImportarStock[[DESCRIPCION]:[LIBRE UTILIZACION]],2,0),0)</f>
        <v>5</v>
      </c>
    </row>
  </sheetData>
  <conditionalFormatting sqref="C96">
    <cfRule type="duplicateValues" dxfId="281" priority="13"/>
  </conditionalFormatting>
  <conditionalFormatting sqref="C120">
    <cfRule type="duplicateValues" dxfId="280" priority="11"/>
  </conditionalFormatting>
  <conditionalFormatting sqref="C121">
    <cfRule type="duplicateValues" dxfId="279" priority="10"/>
  </conditionalFormatting>
  <conditionalFormatting sqref="C163">
    <cfRule type="duplicateValues" dxfId="278" priority="8"/>
  </conditionalFormatting>
  <conditionalFormatting sqref="C164">
    <cfRule type="duplicateValues" dxfId="277" priority="7"/>
  </conditionalFormatting>
  <conditionalFormatting sqref="C165">
    <cfRule type="duplicateValues" dxfId="276" priority="6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71"/>
  <sheetViews>
    <sheetView zoomScale="85" zoomScaleNormal="85" workbookViewId="0">
      <selection activeCell="D173" sqref="D173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0.85546875" style="11" customWidth="1"/>
    <col min="6" max="6" width="4.85546875" style="11" customWidth="1"/>
    <col min="7" max="7" width="24.85546875" style="11" bestFit="1" customWidth="1"/>
    <col min="8" max="8" width="13.5703125" style="11" bestFit="1" customWidth="1"/>
    <col min="9" max="9" width="11.5703125" style="11" bestFit="1" customWidth="1"/>
    <col min="10" max="11" width="13.5703125" style="11" bestFit="1" customWidth="1"/>
    <col min="12" max="12" width="12.140625" style="11" bestFit="1" customWidth="1"/>
    <col min="13" max="13" width="10.140625" style="11" bestFit="1" customWidth="1"/>
    <col min="14" max="14" width="24" style="11" bestFit="1" customWidth="1"/>
    <col min="15" max="15" width="18.7109375" style="11" customWidth="1"/>
    <col min="16" max="16" width="12.28515625" style="11" customWidth="1"/>
    <col min="17" max="17" width="13" style="11" customWidth="1"/>
    <col min="18" max="19" width="12.28515625" style="11" customWidth="1"/>
    <col min="20" max="20" width="17.28515625" style="11" customWidth="1"/>
    <col min="21" max="21" width="6.28515625" style="11" bestFit="1" customWidth="1"/>
    <col min="22" max="22" width="12.7109375" style="11" bestFit="1" customWidth="1"/>
  </cols>
  <sheetData>
    <row r="1" spans="1:22" ht="15" customHeight="1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1018</v>
      </c>
    </row>
    <row r="2" spans="1:22" ht="16.5" customHeight="1" x14ac:dyDescent="0.25">
      <c r="A2" t="s">
        <v>1266</v>
      </c>
      <c r="B2" t="e">
        <f>VLOOKUP(VERIFICAREQUIPOS[[#This Row],[SEGÚN LISTA]],EQUIPOS[EQUIPOS],1,0)</f>
        <v>#N/A</v>
      </c>
      <c r="D2" s="3" t="s">
        <v>1044</v>
      </c>
      <c r="E2" s="12"/>
      <c r="F2" s="12" t="s">
        <v>1252</v>
      </c>
      <c r="G2" s="12" t="s">
        <v>1249</v>
      </c>
      <c r="H2" s="12">
        <v>13</v>
      </c>
      <c r="I2" s="12">
        <v>3</v>
      </c>
      <c r="J2" s="12">
        <v>5</v>
      </c>
      <c r="K2" s="12" t="s">
        <v>159</v>
      </c>
      <c r="L2" s="12">
        <v>256</v>
      </c>
      <c r="M2" s="12">
        <v>8</v>
      </c>
      <c r="N2" s="12" t="s">
        <v>165</v>
      </c>
      <c r="O2" s="12">
        <v>2</v>
      </c>
      <c r="P2" s="12">
        <v>198</v>
      </c>
      <c r="Q2" s="12">
        <v>16.5</v>
      </c>
      <c r="R2" s="12">
        <v>7.64</v>
      </c>
      <c r="S2" s="12">
        <v>0.9</v>
      </c>
      <c r="T2" s="12">
        <v>4000</v>
      </c>
      <c r="U2" s="12">
        <v>4</v>
      </c>
      <c r="V2" s="11">
        <v>1</v>
      </c>
    </row>
    <row r="3" spans="1:22" ht="16.5" customHeight="1" x14ac:dyDescent="0.25">
      <c r="A3" t="s">
        <v>1267</v>
      </c>
      <c r="B3" t="e">
        <f>VLOOKUP(VERIFICAREQUIPOS[[#This Row],[SEGÚN LISTA]],EQUIPOS[EQUIPOS],1,0)</f>
        <v>#N/A</v>
      </c>
      <c r="D3" s="3" t="s">
        <v>1045</v>
      </c>
      <c r="E3" s="12"/>
      <c r="F3" s="12">
        <v>12</v>
      </c>
      <c r="G3" s="12" t="s">
        <v>1250</v>
      </c>
      <c r="H3" s="12">
        <v>50</v>
      </c>
      <c r="I3" s="12">
        <v>3</v>
      </c>
      <c r="J3" s="12">
        <v>8</v>
      </c>
      <c r="K3" s="12" t="s">
        <v>160</v>
      </c>
      <c r="L3" s="12">
        <v>1024</v>
      </c>
      <c r="M3" s="12">
        <v>8</v>
      </c>
      <c r="N3" s="12" t="s">
        <v>1251</v>
      </c>
      <c r="O3" s="12">
        <v>6</v>
      </c>
      <c r="P3" s="12">
        <v>182</v>
      </c>
      <c r="Q3" s="12">
        <v>16.399999999999999</v>
      </c>
      <c r="R3" s="12">
        <v>7.49</v>
      </c>
      <c r="S3" s="12">
        <v>0.8</v>
      </c>
      <c r="T3" s="12" t="s">
        <v>1169</v>
      </c>
      <c r="U3" s="12">
        <v>4</v>
      </c>
      <c r="V3" s="11">
        <v>2</v>
      </c>
    </row>
    <row r="4" spans="1:22" ht="16.5" customHeight="1" x14ac:dyDescent="0.25">
      <c r="A4" t="s">
        <v>1202</v>
      </c>
      <c r="B4" t="e">
        <f>VLOOKUP(VERIFICAREQUIPOS[[#This Row],[SEGÚN LISTA]],EQUIPOS[EQUIPOS],1,0)</f>
        <v>#N/A</v>
      </c>
      <c r="D4" s="3" t="s">
        <v>70</v>
      </c>
      <c r="E4" s="12"/>
      <c r="F4" s="12">
        <v>11</v>
      </c>
      <c r="G4" s="12">
        <v>6</v>
      </c>
      <c r="H4" s="12">
        <v>5</v>
      </c>
      <c r="I4" s="12">
        <v>1</v>
      </c>
      <c r="J4" s="12">
        <v>2</v>
      </c>
      <c r="K4" s="15" t="s">
        <v>176</v>
      </c>
      <c r="L4" s="12">
        <v>256</v>
      </c>
      <c r="M4" s="12">
        <v>8</v>
      </c>
      <c r="N4" s="12" t="s">
        <v>165</v>
      </c>
      <c r="O4" s="12">
        <v>1</v>
      </c>
      <c r="P4" s="12">
        <v>173</v>
      </c>
      <c r="Q4" s="12">
        <v>15.9</v>
      </c>
      <c r="R4" s="12">
        <v>7.75</v>
      </c>
      <c r="S4" s="12">
        <v>0.96</v>
      </c>
      <c r="T4" s="12">
        <v>3000</v>
      </c>
      <c r="U4" s="12">
        <v>4</v>
      </c>
      <c r="V4" s="11">
        <v>3</v>
      </c>
    </row>
    <row r="5" spans="1:22" ht="16.5" customHeight="1" x14ac:dyDescent="0.25">
      <c r="A5" t="s">
        <v>137</v>
      </c>
      <c r="B5" t="str">
        <f>VLOOKUP(VERIFICAREQUIPOS[[#This Row],[SEGÚN LISTA]],EQUIPOS[EQUIPOS],1,0)</f>
        <v>ZTE BLADE V40 VITA 128GB</v>
      </c>
      <c r="D5" s="3" t="s">
        <v>40</v>
      </c>
      <c r="E5" s="12"/>
      <c r="F5" s="12">
        <v>9</v>
      </c>
      <c r="G5" s="12">
        <v>6.09</v>
      </c>
      <c r="H5" s="12">
        <v>13</v>
      </c>
      <c r="I5" s="12">
        <v>2</v>
      </c>
      <c r="J5" s="12">
        <v>8</v>
      </c>
      <c r="K5" s="15" t="s">
        <v>176</v>
      </c>
      <c r="L5" s="12">
        <v>128</v>
      </c>
      <c r="M5" s="12">
        <v>8</v>
      </c>
      <c r="N5" s="12" t="s">
        <v>165</v>
      </c>
      <c r="O5" s="12">
        <v>2</v>
      </c>
      <c r="P5" s="12">
        <v>155</v>
      </c>
      <c r="Q5" s="12">
        <v>15.6</v>
      </c>
      <c r="R5" s="12">
        <v>7.26</v>
      </c>
      <c r="S5" s="12">
        <v>0.8</v>
      </c>
      <c r="T5" s="12">
        <v>3200</v>
      </c>
      <c r="U5" s="12">
        <v>4</v>
      </c>
      <c r="V5" s="11">
        <v>4</v>
      </c>
    </row>
    <row r="6" spans="1:22" ht="16.5" customHeight="1" x14ac:dyDescent="0.25">
      <c r="A6" t="s">
        <v>136</v>
      </c>
      <c r="B6" t="str">
        <f>VLOOKUP(VERIFICAREQUIPOS[[#This Row],[SEGÚN LISTA]],EQUIPOS[EQUIPOS],1,0)</f>
        <v>ZTE BLADE V40 SMART 128GB 5G</v>
      </c>
      <c r="D6" s="3" t="s">
        <v>41</v>
      </c>
      <c r="E6" s="12"/>
      <c r="F6" s="12">
        <v>10</v>
      </c>
      <c r="G6" s="12">
        <v>6.53</v>
      </c>
      <c r="H6" s="12">
        <v>13</v>
      </c>
      <c r="I6" s="12">
        <v>2</v>
      </c>
      <c r="J6" s="12">
        <v>5</v>
      </c>
      <c r="K6" s="15" t="s">
        <v>176</v>
      </c>
      <c r="L6" s="12">
        <v>256</v>
      </c>
      <c r="M6" s="12">
        <v>8</v>
      </c>
      <c r="N6" s="12" t="s">
        <v>165</v>
      </c>
      <c r="O6" s="12">
        <v>2</v>
      </c>
      <c r="P6" s="12">
        <v>174</v>
      </c>
      <c r="Q6" s="12">
        <v>16.600000000000001</v>
      </c>
      <c r="R6" s="12">
        <v>7.5</v>
      </c>
      <c r="S6" s="12">
        <v>0.85</v>
      </c>
      <c r="T6" s="12">
        <v>3200</v>
      </c>
      <c r="U6" s="12">
        <v>4</v>
      </c>
      <c r="V6" s="11">
        <v>5</v>
      </c>
    </row>
    <row r="7" spans="1:22" ht="16.5" customHeight="1" x14ac:dyDescent="0.25">
      <c r="A7" t="s">
        <v>1045</v>
      </c>
      <c r="B7" t="str">
        <f>VLOOKUP(VERIFICAREQUIPOS[[#This Row],[SEGÚN LISTA]],EQUIPOS[EQUIPOS],1,0)</f>
        <v>ZTE BLADE V40 DESIGN 128GB</v>
      </c>
      <c r="D7" s="3" t="s">
        <v>42</v>
      </c>
      <c r="E7" s="12"/>
      <c r="F7" s="12">
        <v>11</v>
      </c>
      <c r="G7" s="12">
        <v>6.52</v>
      </c>
      <c r="H7" s="12">
        <v>16</v>
      </c>
      <c r="I7" s="12">
        <v>3</v>
      </c>
      <c r="J7" s="12">
        <v>8</v>
      </c>
      <c r="K7" s="15" t="s">
        <v>159</v>
      </c>
      <c r="L7" s="12">
        <v>256</v>
      </c>
      <c r="M7" s="12">
        <v>8</v>
      </c>
      <c r="N7" s="12" t="s">
        <v>165</v>
      </c>
      <c r="O7" s="12">
        <v>3</v>
      </c>
      <c r="P7" s="12">
        <v>180</v>
      </c>
      <c r="Q7" s="12">
        <v>16.5</v>
      </c>
      <c r="R7" s="12">
        <v>7.52</v>
      </c>
      <c r="S7" s="12">
        <v>0.82</v>
      </c>
      <c r="T7" s="12">
        <v>4000</v>
      </c>
      <c r="U7" s="12">
        <v>4</v>
      </c>
      <c r="V7" s="11">
        <v>6</v>
      </c>
    </row>
    <row r="8" spans="1:22" ht="16.5" customHeight="1" x14ac:dyDescent="0.25">
      <c r="A8" t="s">
        <v>47</v>
      </c>
      <c r="B8" t="str">
        <f>VLOOKUP(VERIFICAREQUIPOS[[#This Row],[SEGÚN LISTA]],EQUIPOS[EQUIPOS],1,0)</f>
        <v>ZTE BLADE V30 VITA 128GB</v>
      </c>
      <c r="D8" s="3" t="s">
        <v>47</v>
      </c>
      <c r="E8" s="12"/>
      <c r="F8" s="12">
        <v>11</v>
      </c>
      <c r="G8" s="12">
        <v>6.82</v>
      </c>
      <c r="H8" s="12">
        <v>48</v>
      </c>
      <c r="I8" s="12">
        <v>3</v>
      </c>
      <c r="J8" s="12">
        <v>8</v>
      </c>
      <c r="K8" s="15" t="s">
        <v>160</v>
      </c>
      <c r="L8" s="12">
        <v>256</v>
      </c>
      <c r="M8" s="12">
        <v>8</v>
      </c>
      <c r="N8" s="12">
        <v>1.6</v>
      </c>
      <c r="O8" s="12">
        <v>3</v>
      </c>
      <c r="P8" s="12">
        <v>210</v>
      </c>
      <c r="Q8" s="12">
        <v>17.3</v>
      </c>
      <c r="R8" s="12">
        <v>7.81</v>
      </c>
      <c r="S8" s="12">
        <v>0.89</v>
      </c>
      <c r="T8" s="12">
        <v>5000</v>
      </c>
      <c r="U8" s="12">
        <v>4</v>
      </c>
      <c r="V8" s="11">
        <v>7</v>
      </c>
    </row>
    <row r="9" spans="1:22" ht="16.5" customHeight="1" x14ac:dyDescent="0.25">
      <c r="A9" t="s">
        <v>42</v>
      </c>
      <c r="B9" t="str">
        <f>VLOOKUP(VERIFICAREQUIPOS[[#This Row],[SEGÚN LISTA]],EQUIPOS[EQUIPOS],1,0)</f>
        <v>ZTE BLADE A71 64GB</v>
      </c>
      <c r="D9" s="3" t="s">
        <v>136</v>
      </c>
      <c r="E9" s="12"/>
      <c r="F9" s="12">
        <v>11</v>
      </c>
      <c r="G9" s="12" t="s">
        <v>204</v>
      </c>
      <c r="H9" s="12" t="s">
        <v>205</v>
      </c>
      <c r="I9" s="12">
        <v>3</v>
      </c>
      <c r="J9" s="12">
        <v>5</v>
      </c>
      <c r="K9" s="13" t="s">
        <v>160</v>
      </c>
      <c r="L9" s="12">
        <v>256</v>
      </c>
      <c r="M9" s="12">
        <v>8</v>
      </c>
      <c r="N9" s="12" t="s">
        <v>206</v>
      </c>
      <c r="O9" s="12">
        <v>3</v>
      </c>
      <c r="P9" s="12">
        <v>215</v>
      </c>
      <c r="Q9" s="12">
        <v>16.8</v>
      </c>
      <c r="R9" s="12">
        <v>7.75</v>
      </c>
      <c r="S9" s="12">
        <v>0.94</v>
      </c>
      <c r="T9" s="12">
        <v>6000</v>
      </c>
      <c r="U9" s="12">
        <v>5</v>
      </c>
      <c r="V9" s="11">
        <v>8</v>
      </c>
    </row>
    <row r="10" spans="1:22" ht="16.5" customHeight="1" x14ac:dyDescent="0.25">
      <c r="A10" t="s">
        <v>1044</v>
      </c>
      <c r="B10" t="str">
        <f>VLOOKUP(VERIFICAREQUIPOS[[#This Row],[SEGÚN LISTA]],EQUIPOS[EQUIPOS],1,0)</f>
        <v>ZTE BLADE A53 PLUS 64GB</v>
      </c>
      <c r="D10" s="3" t="s">
        <v>137</v>
      </c>
      <c r="E10" s="12"/>
      <c r="F10" s="12">
        <v>11</v>
      </c>
      <c r="G10" s="12">
        <v>6.74</v>
      </c>
      <c r="H10" s="12">
        <v>48</v>
      </c>
      <c r="I10" s="12">
        <v>3</v>
      </c>
      <c r="J10" s="12">
        <v>8</v>
      </c>
      <c r="K10" s="15" t="s">
        <v>160</v>
      </c>
      <c r="L10" s="12">
        <v>1024</v>
      </c>
      <c r="M10" s="12">
        <v>8</v>
      </c>
      <c r="N10" s="12">
        <v>2.2000000000000002</v>
      </c>
      <c r="O10" s="12">
        <v>4</v>
      </c>
      <c r="P10" s="12">
        <v>214</v>
      </c>
      <c r="Q10" s="12">
        <v>16.600000000000001</v>
      </c>
      <c r="R10" s="12">
        <v>7.75</v>
      </c>
      <c r="S10" s="12">
        <v>0.94</v>
      </c>
      <c r="T10" s="12">
        <v>6000</v>
      </c>
      <c r="U10" s="12">
        <v>4</v>
      </c>
      <c r="V10" s="11">
        <v>9</v>
      </c>
    </row>
    <row r="11" spans="1:22" ht="16.5" customHeight="1" x14ac:dyDescent="0.25">
      <c r="A11" t="s">
        <v>41</v>
      </c>
      <c r="B11" t="str">
        <f>VLOOKUP(VERIFICAREQUIPOS[[#This Row],[SEGÚN LISTA]],EQUIPOS[EQUIPOS],1,0)</f>
        <v>ZTE BLADE A51 32GB</v>
      </c>
      <c r="D11" s="3" t="s">
        <v>471</v>
      </c>
      <c r="E11" s="12"/>
      <c r="F11" s="12">
        <v>12</v>
      </c>
      <c r="G11" s="16" t="s">
        <v>1148</v>
      </c>
      <c r="H11" s="12">
        <v>50</v>
      </c>
      <c r="I11" s="12">
        <v>2</v>
      </c>
      <c r="J11" s="12">
        <v>5</v>
      </c>
      <c r="K11" s="12" t="s">
        <v>159</v>
      </c>
      <c r="L11" s="12">
        <v>256</v>
      </c>
      <c r="M11" s="12">
        <v>8</v>
      </c>
      <c r="N11" s="12" t="s">
        <v>1161</v>
      </c>
      <c r="O11" s="12">
        <v>4</v>
      </c>
      <c r="P11" s="12">
        <v>189</v>
      </c>
      <c r="Q11" s="12">
        <v>16.399999999999999</v>
      </c>
      <c r="R11" s="12">
        <v>7.56</v>
      </c>
      <c r="S11" s="12">
        <v>0.83</v>
      </c>
      <c r="T11" s="12">
        <v>5000</v>
      </c>
      <c r="U11" s="12">
        <v>4</v>
      </c>
      <c r="V11" s="11">
        <v>10</v>
      </c>
    </row>
    <row r="12" spans="1:22" ht="16.5" customHeight="1" x14ac:dyDescent="0.25">
      <c r="A12" t="s">
        <v>40</v>
      </c>
      <c r="B12" t="str">
        <f>VLOOKUP(VERIFICAREQUIPOS[[#This Row],[SEGÚN LISTA]],EQUIPOS[EQUIPOS],1,0)</f>
        <v>ZTE BLADE A5 2020 32GB</v>
      </c>
      <c r="D12" s="3" t="s">
        <v>603</v>
      </c>
      <c r="E12" s="12"/>
      <c r="F12" s="12">
        <v>12</v>
      </c>
      <c r="G12" s="12">
        <v>6.43</v>
      </c>
      <c r="H12" s="12">
        <v>64</v>
      </c>
      <c r="I12" s="12">
        <v>3</v>
      </c>
      <c r="J12" s="12">
        <v>32</v>
      </c>
      <c r="K12" s="15" t="s">
        <v>157</v>
      </c>
      <c r="L12" s="12">
        <v>256</v>
      </c>
      <c r="M12" s="12">
        <v>8</v>
      </c>
      <c r="N12" s="12" t="s">
        <v>170</v>
      </c>
      <c r="O12" s="12">
        <v>8</v>
      </c>
      <c r="P12" s="12">
        <v>175</v>
      </c>
      <c r="Q12" s="12">
        <v>15.9</v>
      </c>
      <c r="R12" s="12">
        <v>7.32</v>
      </c>
      <c r="S12" s="12">
        <v>0.75</v>
      </c>
      <c r="T12" s="12">
        <v>4500</v>
      </c>
      <c r="U12" s="12">
        <v>4</v>
      </c>
      <c r="V12" s="11">
        <v>11</v>
      </c>
    </row>
    <row r="13" spans="1:22" ht="16.5" customHeight="1" x14ac:dyDescent="0.25">
      <c r="A13" t="s">
        <v>70</v>
      </c>
      <c r="B13" t="str">
        <f>VLOOKUP(VERIFICAREQUIPOS[[#This Row],[SEGÚN LISTA]],EQUIPOS[EQUIPOS],1,0)</f>
        <v>ZTE BLADE A31 PLUS 32GB</v>
      </c>
      <c r="D13" s="3" t="s">
        <v>23</v>
      </c>
      <c r="E13" s="12"/>
      <c r="F13" s="12">
        <v>10</v>
      </c>
      <c r="G13" s="12">
        <v>6.51</v>
      </c>
      <c r="H13" s="12">
        <v>13</v>
      </c>
      <c r="I13" s="12">
        <v>3</v>
      </c>
      <c r="J13" s="12">
        <v>16</v>
      </c>
      <c r="K13" s="13" t="s">
        <v>160</v>
      </c>
      <c r="L13" s="12">
        <v>256</v>
      </c>
      <c r="M13" s="12">
        <v>8</v>
      </c>
      <c r="N13" s="12" t="s">
        <v>183</v>
      </c>
      <c r="O13" s="12">
        <v>4</v>
      </c>
      <c r="P13" s="12">
        <v>192</v>
      </c>
      <c r="Q13" s="12">
        <v>16.3</v>
      </c>
      <c r="R13" s="12">
        <v>7.57</v>
      </c>
      <c r="S13" s="12">
        <v>0.84</v>
      </c>
      <c r="T13" s="12">
        <v>5000</v>
      </c>
      <c r="U13" s="12">
        <v>4</v>
      </c>
      <c r="V13" s="11">
        <v>12</v>
      </c>
    </row>
    <row r="14" spans="1:22" ht="16.5" customHeight="1" x14ac:dyDescent="0.25">
      <c r="A14" t="s">
        <v>1201</v>
      </c>
      <c r="B14" t="str">
        <f>VLOOKUP(VERIFICAREQUIPOS[[#This Row],[SEGÚN LISTA]],EQUIPOS[EQUIPOS],1,0)</f>
        <v>XIAOMI REDMI NOTE 12S 256GB</v>
      </c>
      <c r="D14" s="3" t="s">
        <v>14</v>
      </c>
      <c r="E14" s="12"/>
      <c r="F14" s="12">
        <v>11</v>
      </c>
      <c r="G14" s="12">
        <v>6.57</v>
      </c>
      <c r="H14" s="12">
        <v>108</v>
      </c>
      <c r="I14" s="12">
        <v>4</v>
      </c>
      <c r="J14" s="12">
        <v>32</v>
      </c>
      <c r="K14" s="15" t="s">
        <v>160</v>
      </c>
      <c r="L14" s="12">
        <v>0</v>
      </c>
      <c r="M14" s="12">
        <v>8</v>
      </c>
      <c r="N14" s="12" t="s">
        <v>166</v>
      </c>
      <c r="O14" s="12">
        <v>6</v>
      </c>
      <c r="P14" s="12">
        <v>175</v>
      </c>
      <c r="Q14" s="12">
        <v>16</v>
      </c>
      <c r="R14" s="12">
        <v>7.38</v>
      </c>
      <c r="S14" s="12">
        <v>0.78</v>
      </c>
      <c r="T14" s="12">
        <v>4300</v>
      </c>
      <c r="U14" s="12">
        <v>5</v>
      </c>
      <c r="V14" s="11">
        <v>13</v>
      </c>
    </row>
    <row r="15" spans="1:22" ht="16.5" customHeight="1" x14ac:dyDescent="0.25">
      <c r="A15" t="s">
        <v>1221</v>
      </c>
      <c r="B15" t="str">
        <f>VLOOKUP(VERIFICAREQUIPOS[[#This Row],[SEGÚN LISTA]],EQUIPOS[EQUIPOS],1,0)</f>
        <v>XIAOMI REDMI NOTE 12 PRO PLUS 256GB 5G</v>
      </c>
      <c r="D15" s="3" t="s">
        <v>123</v>
      </c>
      <c r="E15" s="12"/>
      <c r="F15" s="12">
        <v>12</v>
      </c>
      <c r="G15" s="12">
        <v>6.56</v>
      </c>
      <c r="H15" s="12">
        <v>13</v>
      </c>
      <c r="I15" s="12">
        <v>2</v>
      </c>
      <c r="J15" s="12">
        <v>8</v>
      </c>
      <c r="K15" s="15" t="s">
        <v>160</v>
      </c>
      <c r="L15" s="12">
        <v>256</v>
      </c>
      <c r="M15" s="12">
        <v>8</v>
      </c>
      <c r="N15" s="12" t="s">
        <v>183</v>
      </c>
      <c r="O15" s="12">
        <v>4</v>
      </c>
      <c r="P15" s="12">
        <v>186</v>
      </c>
      <c r="Q15" s="12">
        <v>16.3</v>
      </c>
      <c r="R15" s="12">
        <v>7.51</v>
      </c>
      <c r="S15" s="12">
        <v>0.8</v>
      </c>
      <c r="T15" s="12">
        <v>5000</v>
      </c>
      <c r="U15" s="12">
        <v>4</v>
      </c>
      <c r="V15" s="11">
        <v>14</v>
      </c>
    </row>
    <row r="16" spans="1:22" ht="16.5" customHeight="1" x14ac:dyDescent="0.25">
      <c r="A16" t="s">
        <v>1127</v>
      </c>
      <c r="B16" t="str">
        <f>VLOOKUP(VERIFICAREQUIPOS[[#This Row],[SEGÚN LISTA]],EQUIPOS[EQUIPOS],1,0)</f>
        <v>XIAOMI REDMI NOTE 12 128GB</v>
      </c>
      <c r="D16" s="3" t="s">
        <v>15</v>
      </c>
      <c r="E16" s="12"/>
      <c r="F16" s="12">
        <v>11</v>
      </c>
      <c r="G16" s="12">
        <v>6.57</v>
      </c>
      <c r="H16" s="12">
        <v>108</v>
      </c>
      <c r="I16" s="12">
        <v>4</v>
      </c>
      <c r="J16" s="12">
        <v>32</v>
      </c>
      <c r="K16" s="15" t="s">
        <v>157</v>
      </c>
      <c r="L16" s="12">
        <v>0</v>
      </c>
      <c r="M16" s="12">
        <v>8</v>
      </c>
      <c r="N16" s="12" t="s">
        <v>166</v>
      </c>
      <c r="O16" s="12">
        <v>8</v>
      </c>
      <c r="P16" s="12">
        <v>175</v>
      </c>
      <c r="Q16" s="12">
        <v>16</v>
      </c>
      <c r="R16" s="12">
        <v>7.38</v>
      </c>
      <c r="S16" s="12">
        <v>0.78</v>
      </c>
      <c r="T16" s="12">
        <v>4300</v>
      </c>
      <c r="U16" s="12">
        <v>5</v>
      </c>
      <c r="V16" s="11">
        <v>15</v>
      </c>
    </row>
    <row r="17" spans="1:22" ht="16.5" customHeight="1" x14ac:dyDescent="0.25">
      <c r="A17" t="s">
        <v>80</v>
      </c>
      <c r="B17" t="str">
        <f>VLOOKUP(VERIFICAREQUIPOS[[#This Row],[SEGÚN LISTA]],EQUIPOS[EQUIPOS],1,0)</f>
        <v>XIAOMI REDMI NOTE 11 128GB</v>
      </c>
      <c r="D17" s="3" t="s">
        <v>124</v>
      </c>
      <c r="E17" s="12"/>
      <c r="F17" s="12">
        <v>12</v>
      </c>
      <c r="G17" s="12">
        <v>6.56</v>
      </c>
      <c r="H17" s="12">
        <v>50</v>
      </c>
      <c r="I17" s="12">
        <v>2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184</v>
      </c>
      <c r="O17" s="12">
        <v>4</v>
      </c>
      <c r="P17" s="12">
        <v>187</v>
      </c>
      <c r="Q17" s="12">
        <v>16.399999999999999</v>
      </c>
      <c r="R17" s="12">
        <v>7.5</v>
      </c>
      <c r="S17" s="12">
        <v>0.8</v>
      </c>
      <c r="T17" s="12">
        <v>4880</v>
      </c>
      <c r="U17" s="12">
        <v>4</v>
      </c>
      <c r="V17" s="11">
        <v>16</v>
      </c>
    </row>
    <row r="18" spans="1:22" ht="16.5" customHeight="1" x14ac:dyDescent="0.25">
      <c r="A18" t="s">
        <v>38</v>
      </c>
      <c r="B18" t="str">
        <f>VLOOKUP(VERIFICAREQUIPOS[[#This Row],[SEGÚN LISTA]],EQUIPOS[EQUIPOS],1,0)</f>
        <v>XIAOMI REDMI NOTE 10 PRO 128GB SE</v>
      </c>
      <c r="D18" s="3" t="s">
        <v>120</v>
      </c>
      <c r="E18" s="12"/>
      <c r="F18" s="12">
        <v>12</v>
      </c>
      <c r="G18" s="12">
        <v>6.67</v>
      </c>
      <c r="H18" s="12">
        <v>54</v>
      </c>
      <c r="I18" s="12">
        <v>4</v>
      </c>
      <c r="J18" s="12">
        <v>32</v>
      </c>
      <c r="K18" s="15" t="s">
        <v>160</v>
      </c>
      <c r="L18" s="12">
        <v>0</v>
      </c>
      <c r="M18" s="12">
        <v>8</v>
      </c>
      <c r="N18" s="12" t="s">
        <v>168</v>
      </c>
      <c r="O18" s="12">
        <v>8</v>
      </c>
      <c r="P18" s="12">
        <v>178</v>
      </c>
      <c r="Q18" s="12">
        <v>16.100000000000001</v>
      </c>
      <c r="R18" s="12">
        <v>7.33</v>
      </c>
      <c r="S18" s="12">
        <v>0.79</v>
      </c>
      <c r="T18" s="12">
        <v>4800</v>
      </c>
      <c r="U18" s="12">
        <v>5</v>
      </c>
      <c r="V18" s="11">
        <v>17</v>
      </c>
    </row>
    <row r="19" spans="1:22" ht="16.5" customHeight="1" x14ac:dyDescent="0.25">
      <c r="A19" t="s">
        <v>1053</v>
      </c>
      <c r="B19" t="str">
        <f>VLOOKUP(VERIFICAREQUIPOS[[#This Row],[SEGÚN LISTA]],EQUIPOS[EQUIPOS],1,0)</f>
        <v>XIAOMI REDMI A2 32GB</v>
      </c>
      <c r="D19" s="3" t="s">
        <v>947</v>
      </c>
      <c r="E19" s="12"/>
      <c r="F19" s="12">
        <v>12</v>
      </c>
      <c r="G19" s="12" t="s">
        <v>1149</v>
      </c>
      <c r="H19" s="12" t="s">
        <v>591</v>
      </c>
      <c r="I19" s="12">
        <v>2</v>
      </c>
      <c r="J19" s="12" t="s">
        <v>952</v>
      </c>
      <c r="K19" s="15" t="s">
        <v>160</v>
      </c>
      <c r="L19" s="12">
        <v>1024</v>
      </c>
      <c r="M19" s="12">
        <v>8</v>
      </c>
      <c r="N19" s="12" t="s">
        <v>950</v>
      </c>
      <c r="O19" s="12">
        <v>4</v>
      </c>
      <c r="P19" s="12">
        <v>188</v>
      </c>
      <c r="Q19" s="12">
        <v>16.399999999999999</v>
      </c>
      <c r="R19" s="12">
        <v>7.51</v>
      </c>
      <c r="S19" s="12">
        <v>0.8</v>
      </c>
      <c r="T19" s="12" t="s">
        <v>1167</v>
      </c>
      <c r="U19" s="12">
        <v>5</v>
      </c>
      <c r="V19" s="11">
        <v>18</v>
      </c>
    </row>
    <row r="20" spans="1:22" ht="16.5" customHeight="1" x14ac:dyDescent="0.25">
      <c r="A20" t="s">
        <v>135</v>
      </c>
      <c r="B20" t="str">
        <f>VLOOKUP(VERIFICAREQUIPOS[[#This Row],[SEGÚN LISTA]],EQUIPOS[EQUIPOS],1,0)</f>
        <v>XIAOMI REDMI A1 32GB</v>
      </c>
      <c r="D20" s="3" t="s">
        <v>121</v>
      </c>
      <c r="E20" s="12"/>
      <c r="F20" s="12">
        <v>12</v>
      </c>
      <c r="G20" s="12">
        <v>6.67</v>
      </c>
      <c r="H20" s="12">
        <v>54</v>
      </c>
      <c r="I20" s="12">
        <v>4</v>
      </c>
      <c r="J20" s="12">
        <v>32</v>
      </c>
      <c r="K20" s="15" t="s">
        <v>157</v>
      </c>
      <c r="L20" s="12">
        <v>0</v>
      </c>
      <c r="M20" s="12">
        <v>8</v>
      </c>
      <c r="N20" s="12" t="s">
        <v>168</v>
      </c>
      <c r="O20" s="12">
        <v>8</v>
      </c>
      <c r="P20" s="12">
        <v>178</v>
      </c>
      <c r="Q20" s="12">
        <v>16.100000000000001</v>
      </c>
      <c r="R20" s="12">
        <v>7.33</v>
      </c>
      <c r="S20" s="12">
        <v>0.79</v>
      </c>
      <c r="T20" s="12">
        <v>4800</v>
      </c>
      <c r="U20" s="12">
        <v>5</v>
      </c>
      <c r="V20" s="11">
        <v>19</v>
      </c>
    </row>
    <row r="21" spans="1:22" ht="16.5" customHeight="1" x14ac:dyDescent="0.25">
      <c r="A21" t="s">
        <v>68</v>
      </c>
      <c r="B21" t="str">
        <f>VLOOKUP(VERIFICAREQUIPOS[[#This Row],[SEGÚN LISTA]],EQUIPOS[EQUIPOS],1,0)</f>
        <v>XIAOMI REDMI 9A 32GB</v>
      </c>
      <c r="D21" s="3" t="s">
        <v>52</v>
      </c>
      <c r="E21" s="12"/>
      <c r="F21" s="12">
        <v>11</v>
      </c>
      <c r="G21" s="12">
        <v>6.43</v>
      </c>
      <c r="H21" s="12">
        <v>48</v>
      </c>
      <c r="I21" s="12">
        <v>4</v>
      </c>
      <c r="J21" s="12">
        <v>32</v>
      </c>
      <c r="K21" s="15" t="s">
        <v>160</v>
      </c>
      <c r="L21" s="12">
        <v>256</v>
      </c>
      <c r="M21" s="12">
        <v>8</v>
      </c>
      <c r="N21" s="12" t="s">
        <v>185</v>
      </c>
      <c r="O21" s="12">
        <v>8</v>
      </c>
      <c r="P21" s="12">
        <v>172</v>
      </c>
      <c r="Q21" s="12">
        <v>16</v>
      </c>
      <c r="R21" s="12">
        <v>7.32</v>
      </c>
      <c r="S21" s="12">
        <v>0.78</v>
      </c>
      <c r="T21" s="12">
        <v>4310</v>
      </c>
      <c r="U21" s="12">
        <v>4</v>
      </c>
      <c r="V21" s="11">
        <v>20</v>
      </c>
    </row>
    <row r="22" spans="1:22" ht="16.5" customHeight="1" x14ac:dyDescent="0.25">
      <c r="A22" t="s">
        <v>1052</v>
      </c>
      <c r="B22" t="str">
        <f>VLOOKUP(VERIFICAREQUIPOS[[#This Row],[SEGÚN LISTA]],EQUIPOS[EQUIPOS],1,0)</f>
        <v>XIAOMI REDMI 12C 64GB</v>
      </c>
      <c r="D22" s="3" t="s">
        <v>946</v>
      </c>
      <c r="E22" s="12"/>
      <c r="F22" s="12">
        <v>12</v>
      </c>
      <c r="G22" s="12" t="s">
        <v>1150</v>
      </c>
      <c r="H22" s="12">
        <v>64</v>
      </c>
      <c r="I22" s="12">
        <v>3</v>
      </c>
      <c r="J22" s="12">
        <v>16</v>
      </c>
      <c r="K22" s="15" t="s">
        <v>160</v>
      </c>
      <c r="L22" s="12" t="s">
        <v>949</v>
      </c>
      <c r="M22" s="12">
        <v>8</v>
      </c>
      <c r="N22" s="12">
        <v>2.4</v>
      </c>
      <c r="O22" s="12">
        <v>6</v>
      </c>
      <c r="P22" s="12">
        <v>175</v>
      </c>
      <c r="Q22" s="12">
        <v>15.2</v>
      </c>
      <c r="R22" s="12">
        <v>7.75</v>
      </c>
      <c r="S22" s="12">
        <v>0.79</v>
      </c>
      <c r="T22" s="12">
        <v>5100</v>
      </c>
      <c r="U22" s="12">
        <v>5</v>
      </c>
      <c r="V22" s="11">
        <v>21</v>
      </c>
    </row>
    <row r="23" spans="1:22" ht="16.5" customHeight="1" x14ac:dyDescent="0.25">
      <c r="A23" t="s">
        <v>511</v>
      </c>
      <c r="B23" t="str">
        <f>VLOOKUP(VERIFICAREQUIPOS[[#This Row],[SEGÚN LISTA]],EQUIPOS[EQUIPOS],1,0)</f>
        <v>XIAOMI REDMI 10 2022 64GB</v>
      </c>
      <c r="D23" s="3" t="s">
        <v>102</v>
      </c>
      <c r="E23" s="12"/>
      <c r="F23" s="12">
        <v>12</v>
      </c>
      <c r="G23" s="12">
        <v>6.43</v>
      </c>
      <c r="H23" s="12">
        <v>64</v>
      </c>
      <c r="I23" s="12">
        <v>3</v>
      </c>
      <c r="J23" s="12">
        <v>32</v>
      </c>
      <c r="K23" s="15" t="s">
        <v>160</v>
      </c>
      <c r="L23" s="12">
        <v>256</v>
      </c>
      <c r="M23" s="12">
        <v>8</v>
      </c>
      <c r="N23" s="12" t="s">
        <v>170</v>
      </c>
      <c r="O23" s="12">
        <v>8</v>
      </c>
      <c r="P23" s="12">
        <v>175</v>
      </c>
      <c r="Q23" s="12">
        <v>15.9</v>
      </c>
      <c r="R23" s="12">
        <v>7.32</v>
      </c>
      <c r="S23" s="12">
        <v>0.75</v>
      </c>
      <c r="T23" s="12">
        <v>4500</v>
      </c>
      <c r="U23" s="12">
        <v>4</v>
      </c>
      <c r="V23" s="11">
        <v>22</v>
      </c>
    </row>
    <row r="24" spans="1:22" ht="16.5" customHeight="1" x14ac:dyDescent="0.25">
      <c r="A24" t="s">
        <v>134</v>
      </c>
      <c r="B24" t="str">
        <f>VLOOKUP(VERIFICAREQUIPOS[[#This Row],[SEGÚN LISTA]],EQUIPOS[EQUIPOS],1,0)</f>
        <v>XIAOMI 12T PRO 256GB</v>
      </c>
      <c r="D24" s="3" t="s">
        <v>1217</v>
      </c>
      <c r="E24" s="12"/>
      <c r="F24" s="12">
        <v>12</v>
      </c>
      <c r="G24" s="12" t="s">
        <v>1150</v>
      </c>
      <c r="H24" s="12">
        <v>64</v>
      </c>
      <c r="I24" s="12">
        <v>3</v>
      </c>
      <c r="J24" s="12">
        <v>16</v>
      </c>
      <c r="K24" s="15" t="s">
        <v>157</v>
      </c>
      <c r="L24" s="12" t="s">
        <v>949</v>
      </c>
      <c r="M24" s="12">
        <v>8</v>
      </c>
      <c r="N24" s="12">
        <v>2.4</v>
      </c>
      <c r="O24" s="12">
        <v>8</v>
      </c>
      <c r="P24" s="12">
        <v>175</v>
      </c>
      <c r="Q24" s="12">
        <v>15.2</v>
      </c>
      <c r="R24" s="12">
        <v>7.75</v>
      </c>
      <c r="S24" s="12">
        <v>0.79</v>
      </c>
      <c r="T24" s="12">
        <v>5100</v>
      </c>
      <c r="U24" s="12">
        <v>5</v>
      </c>
      <c r="V24" s="11">
        <v>23</v>
      </c>
    </row>
    <row r="25" spans="1:22" ht="16.5" customHeight="1" x14ac:dyDescent="0.25">
      <c r="A25" t="s">
        <v>133</v>
      </c>
      <c r="B25" t="str">
        <f>VLOOKUP(VERIFICAREQUIPOS[[#This Row],[SEGÚN LISTA]],EQUIPOS[EQUIPOS],1,0)</f>
        <v>XIAOMI 12T 256GB</v>
      </c>
      <c r="D25" s="3" t="s">
        <v>122</v>
      </c>
      <c r="E25" s="12"/>
      <c r="F25" s="12">
        <v>12</v>
      </c>
      <c r="G25" s="12">
        <v>6.5</v>
      </c>
      <c r="H25" s="12">
        <v>50</v>
      </c>
      <c r="I25" s="12">
        <v>3</v>
      </c>
      <c r="J25" s="12">
        <v>5</v>
      </c>
      <c r="K25" s="15" t="s">
        <v>159</v>
      </c>
      <c r="L25" s="12">
        <v>256</v>
      </c>
      <c r="M25" s="12">
        <v>8</v>
      </c>
      <c r="N25" s="12" t="s">
        <v>169</v>
      </c>
      <c r="O25" s="12">
        <v>4</v>
      </c>
      <c r="P25" s="12">
        <v>194</v>
      </c>
      <c r="Q25" s="12">
        <v>16.3</v>
      </c>
      <c r="R25" s="12">
        <v>7.51</v>
      </c>
      <c r="S25" s="12">
        <v>0.87</v>
      </c>
      <c r="T25" s="12">
        <v>5000</v>
      </c>
      <c r="U25" s="12">
        <v>4</v>
      </c>
      <c r="V25" s="11">
        <v>24</v>
      </c>
    </row>
    <row r="26" spans="1:22" ht="16.5" customHeight="1" x14ac:dyDescent="0.25">
      <c r="A26" t="s">
        <v>1039</v>
      </c>
      <c r="B26" t="str">
        <f>VLOOKUP(VERIFICAREQUIPOS[[#This Row],[SEGÚN LISTA]],EQUIPOS[EQUIPOS],1,0)</f>
        <v>VIVO Y35 128GB</v>
      </c>
      <c r="D26" s="3" t="s">
        <v>589</v>
      </c>
      <c r="E26" s="12"/>
      <c r="F26" s="12">
        <v>12</v>
      </c>
      <c r="G26" s="12" t="s">
        <v>1151</v>
      </c>
      <c r="H26" s="12" t="s">
        <v>591</v>
      </c>
      <c r="I26" s="12">
        <v>3</v>
      </c>
      <c r="J26" s="12" t="s">
        <v>592</v>
      </c>
      <c r="K26" s="12" t="s">
        <v>160</v>
      </c>
      <c r="L26" s="12">
        <v>1024</v>
      </c>
      <c r="M26" s="12">
        <v>8</v>
      </c>
      <c r="N26" s="12" t="s">
        <v>1160</v>
      </c>
      <c r="O26" s="12">
        <v>4</v>
      </c>
      <c r="P26" s="12">
        <v>194</v>
      </c>
      <c r="Q26" s="12">
        <v>16.399999999999999</v>
      </c>
      <c r="R26" s="12">
        <v>7.51</v>
      </c>
      <c r="S26" s="12">
        <v>0.86</v>
      </c>
      <c r="T26" s="12">
        <v>5000</v>
      </c>
      <c r="U26" s="12">
        <v>4</v>
      </c>
      <c r="V26" s="11">
        <v>25</v>
      </c>
    </row>
    <row r="27" spans="1:22" ht="16.5" customHeight="1" x14ac:dyDescent="0.25">
      <c r="A27" t="s">
        <v>85</v>
      </c>
      <c r="B27" t="str">
        <f>VLOOKUP(VERIFICAREQUIPOS[[#This Row],[SEGÚN LISTA]],EQUIPOS[EQUIPOS],1,0)</f>
        <v>VIVO Y33 128GB</v>
      </c>
      <c r="D27" s="3" t="s">
        <v>83</v>
      </c>
      <c r="E27" s="12"/>
      <c r="F27" s="12">
        <v>11</v>
      </c>
      <c r="G27" s="12">
        <v>6.74</v>
      </c>
      <c r="H27" s="12">
        <v>48</v>
      </c>
      <c r="I27" s="12">
        <v>4</v>
      </c>
      <c r="J27" s="12">
        <v>8</v>
      </c>
      <c r="K27" s="15" t="s">
        <v>160</v>
      </c>
      <c r="L27" s="12">
        <v>256</v>
      </c>
      <c r="M27" s="12">
        <v>8</v>
      </c>
      <c r="N27" s="12" t="s">
        <v>170</v>
      </c>
      <c r="O27" s="12">
        <v>4</v>
      </c>
      <c r="P27" s="12">
        <v>198</v>
      </c>
      <c r="Q27" s="12">
        <v>16.7</v>
      </c>
      <c r="R27" s="12">
        <v>7.72</v>
      </c>
      <c r="S27" s="12">
        <v>0.86</v>
      </c>
      <c r="T27" s="12">
        <v>5000</v>
      </c>
      <c r="U27" s="12">
        <v>4</v>
      </c>
      <c r="V27" s="11">
        <v>26</v>
      </c>
    </row>
    <row r="28" spans="1:22" ht="16.5" customHeight="1" x14ac:dyDescent="0.25">
      <c r="A28" t="s">
        <v>1038</v>
      </c>
      <c r="B28" t="str">
        <f>VLOOKUP(VERIFICAREQUIPOS[[#This Row],[SEGÚN LISTA]],EQUIPOS[EQUIPOS],1,0)</f>
        <v>VIVO Y22s 128GB</v>
      </c>
      <c r="D28" s="3" t="s">
        <v>100</v>
      </c>
      <c r="E28" s="12"/>
      <c r="F28" s="12">
        <v>11</v>
      </c>
      <c r="G28" s="12">
        <v>6.74</v>
      </c>
      <c r="H28" s="12">
        <v>48</v>
      </c>
      <c r="I28" s="12">
        <v>4</v>
      </c>
      <c r="J28" s="12">
        <v>8</v>
      </c>
      <c r="K28" s="15" t="s">
        <v>160</v>
      </c>
      <c r="L28" s="12">
        <v>0</v>
      </c>
      <c r="M28" s="12">
        <v>8</v>
      </c>
      <c r="N28" s="12" t="s">
        <v>170</v>
      </c>
      <c r="O28" s="12">
        <v>6</v>
      </c>
      <c r="P28" s="12">
        <v>198</v>
      </c>
      <c r="Q28" s="12">
        <v>16.760000000000002</v>
      </c>
      <c r="R28" s="12">
        <v>7.72</v>
      </c>
      <c r="S28" s="12">
        <v>0.86</v>
      </c>
      <c r="T28" s="12">
        <v>5000</v>
      </c>
      <c r="U28" s="12">
        <v>4</v>
      </c>
      <c r="V28" s="11">
        <v>27</v>
      </c>
    </row>
    <row r="29" spans="1:22" ht="16.5" customHeight="1" x14ac:dyDescent="0.25">
      <c r="A29" t="s">
        <v>1040</v>
      </c>
      <c r="B29" t="str">
        <f>VLOOKUP(VERIFICAREQUIPOS[[#This Row],[SEGÚN LISTA]],EQUIPOS[EQUIPOS],1,0)</f>
        <v>VIVO Y16 64GB</v>
      </c>
      <c r="D29" s="3" t="s">
        <v>590</v>
      </c>
      <c r="E29" s="12"/>
      <c r="F29" s="12">
        <v>12</v>
      </c>
      <c r="G29" s="12" t="s">
        <v>1152</v>
      </c>
      <c r="H29" s="12" t="s">
        <v>591</v>
      </c>
      <c r="I29" s="12">
        <v>3</v>
      </c>
      <c r="J29" s="12" t="s">
        <v>593</v>
      </c>
      <c r="K29" s="12" t="s">
        <v>160</v>
      </c>
      <c r="L29" s="12">
        <v>1024</v>
      </c>
      <c r="M29" s="12">
        <v>8</v>
      </c>
      <c r="N29" s="12" t="s">
        <v>1162</v>
      </c>
      <c r="O29" s="12">
        <v>6</v>
      </c>
      <c r="P29" s="12">
        <v>198</v>
      </c>
      <c r="Q29" s="12">
        <v>16.760000000000002</v>
      </c>
      <c r="R29" s="12">
        <v>7.72</v>
      </c>
      <c r="S29" s="12">
        <v>0.86</v>
      </c>
      <c r="T29" s="12" t="s">
        <v>1168</v>
      </c>
      <c r="U29" s="12">
        <v>4</v>
      </c>
      <c r="V29" s="11">
        <v>28</v>
      </c>
    </row>
    <row r="30" spans="1:22" ht="16.5" customHeight="1" x14ac:dyDescent="0.25">
      <c r="A30" t="s">
        <v>131</v>
      </c>
      <c r="B30" t="str">
        <f>VLOOKUP(VERIFICAREQUIPOS[[#This Row],[SEGÚN LISTA]],EQUIPOS[EQUIPOS],1,0)</f>
        <v>VIVO X80 PRO 256GB 5G</v>
      </c>
      <c r="D30" s="3" t="s">
        <v>77</v>
      </c>
      <c r="E30" s="12"/>
      <c r="F30" s="12">
        <v>11</v>
      </c>
      <c r="G30" s="12">
        <v>6.7</v>
      </c>
      <c r="H30" s="12">
        <v>64</v>
      </c>
      <c r="I30" s="12">
        <v>4</v>
      </c>
      <c r="J30" s="12">
        <v>16</v>
      </c>
      <c r="K30" s="15" t="s">
        <v>160</v>
      </c>
      <c r="L30" s="12">
        <v>0</v>
      </c>
      <c r="M30" s="12">
        <v>8</v>
      </c>
      <c r="N30" s="12" t="s">
        <v>170</v>
      </c>
      <c r="O30" s="12">
        <v>6</v>
      </c>
      <c r="P30" s="12">
        <v>177</v>
      </c>
      <c r="Q30" s="12">
        <v>16.3</v>
      </c>
      <c r="R30" s="12">
        <v>7.4</v>
      </c>
      <c r="S30" s="12">
        <v>0.75</v>
      </c>
      <c r="T30" s="12">
        <v>4000</v>
      </c>
      <c r="U30" s="12">
        <v>4</v>
      </c>
      <c r="V30" s="11">
        <v>29</v>
      </c>
    </row>
    <row r="31" spans="1:22" ht="16.5" customHeight="1" x14ac:dyDescent="0.25">
      <c r="A31" t="s">
        <v>87</v>
      </c>
      <c r="B31" t="str">
        <f>VLOOKUP(VERIFICAREQUIPOS[[#This Row],[SEGÚN LISTA]],EQUIPOS[EQUIPOS],1,0)</f>
        <v>VIVO V21 5G 128GB</v>
      </c>
      <c r="D31" s="3" t="s">
        <v>602</v>
      </c>
      <c r="E31" s="12"/>
      <c r="F31" s="12">
        <v>12</v>
      </c>
      <c r="G31" s="12" t="s">
        <v>1153</v>
      </c>
      <c r="H31" s="12" t="s">
        <v>945</v>
      </c>
      <c r="I31" s="12">
        <v>3</v>
      </c>
      <c r="J31" s="12" t="s">
        <v>944</v>
      </c>
      <c r="K31" s="12" t="s">
        <v>160</v>
      </c>
      <c r="L31" s="12">
        <v>0</v>
      </c>
      <c r="M31" s="12">
        <v>8</v>
      </c>
      <c r="N31" s="12" t="s">
        <v>1163</v>
      </c>
      <c r="O31" s="12">
        <v>6</v>
      </c>
      <c r="P31" s="12">
        <v>179</v>
      </c>
      <c r="Q31" s="12">
        <v>16.3</v>
      </c>
      <c r="R31" s="12">
        <v>7.45</v>
      </c>
      <c r="S31" s="12">
        <v>0.75</v>
      </c>
      <c r="T31" s="12" t="s">
        <v>1169</v>
      </c>
      <c r="U31" s="12">
        <v>4</v>
      </c>
      <c r="V31" s="11">
        <v>30</v>
      </c>
    </row>
    <row r="32" spans="1:22" ht="16.5" customHeight="1" x14ac:dyDescent="0.25">
      <c r="A32" t="s">
        <v>92</v>
      </c>
      <c r="B32" t="str">
        <f>VLOOKUP(VERIFICAREQUIPOS[[#This Row],[SEGÚN LISTA]],EQUIPOS[EQUIPOS],1,0)</f>
        <v>TCL 20 PRO 5G 256GB</v>
      </c>
      <c r="D32" s="3" t="s">
        <v>97</v>
      </c>
      <c r="E32" s="12"/>
      <c r="F32" s="12">
        <v>11</v>
      </c>
      <c r="G32" s="12">
        <v>6.81</v>
      </c>
      <c r="H32" s="12">
        <v>64</v>
      </c>
      <c r="I32" s="12">
        <v>4</v>
      </c>
      <c r="J32" s="12">
        <v>16</v>
      </c>
      <c r="K32" s="15" t="s">
        <v>160</v>
      </c>
      <c r="L32" s="12">
        <v>0</v>
      </c>
      <c r="M32" s="12">
        <v>8</v>
      </c>
      <c r="N32" s="12" t="s">
        <v>170</v>
      </c>
      <c r="O32" s="12">
        <v>8</v>
      </c>
      <c r="P32" s="12">
        <v>189</v>
      </c>
      <c r="Q32" s="12">
        <v>16.600000000000001</v>
      </c>
      <c r="R32" s="12">
        <v>7.58</v>
      </c>
      <c r="S32" s="12">
        <v>0.81</v>
      </c>
      <c r="T32" s="12">
        <v>4800</v>
      </c>
      <c r="U32" s="12">
        <v>4</v>
      </c>
      <c r="V32" s="11">
        <v>31</v>
      </c>
    </row>
    <row r="33" spans="1:22" ht="16.5" customHeight="1" x14ac:dyDescent="0.25">
      <c r="A33" t="s">
        <v>105</v>
      </c>
      <c r="B33" t="str">
        <f>VLOOKUP(VERIFICAREQUIPOS[[#This Row],[SEGÚN LISTA]],EQUIPOS[EQUIPOS],1,0)</f>
        <v>SAMSUNG GALAXY Z FOLD 4 256GB</v>
      </c>
      <c r="D33" s="3" t="s">
        <v>16</v>
      </c>
      <c r="E33" s="12"/>
      <c r="F33" s="12">
        <v>11</v>
      </c>
      <c r="G33" s="12">
        <v>6.57</v>
      </c>
      <c r="H33" s="12">
        <v>50</v>
      </c>
      <c r="I33" s="12">
        <v>4</v>
      </c>
      <c r="J33" s="12">
        <v>32</v>
      </c>
      <c r="K33" s="13" t="s">
        <v>160</v>
      </c>
      <c r="L33" s="12">
        <v>0</v>
      </c>
      <c r="M33" s="12">
        <v>8</v>
      </c>
      <c r="N33" s="14" t="s">
        <v>166</v>
      </c>
      <c r="O33" s="12">
        <v>8</v>
      </c>
      <c r="P33" s="12">
        <v>175</v>
      </c>
      <c r="Q33" s="12">
        <v>16</v>
      </c>
      <c r="R33" s="12">
        <v>7.37</v>
      </c>
      <c r="S33" s="12">
        <v>0.78</v>
      </c>
      <c r="T33" s="12">
        <v>4300</v>
      </c>
      <c r="U33" s="12">
        <v>4.5</v>
      </c>
      <c r="V33" s="11">
        <v>32</v>
      </c>
    </row>
    <row r="34" spans="1:22" ht="16.5" customHeight="1" x14ac:dyDescent="0.25">
      <c r="A34" t="s">
        <v>104</v>
      </c>
      <c r="B34" t="str">
        <f>VLOOKUP(VERIFICAREQUIPOS[[#This Row],[SEGÚN LISTA]],EQUIPOS[EQUIPOS],1,0)</f>
        <v>SAMSUNG GALAXY Z FLIP 4 256GB</v>
      </c>
      <c r="D34" s="3" t="s">
        <v>94</v>
      </c>
      <c r="E34" s="12"/>
      <c r="F34" s="12">
        <v>11</v>
      </c>
      <c r="G34" s="12">
        <v>6.78</v>
      </c>
      <c r="H34" s="12">
        <v>108</v>
      </c>
      <c r="I34" s="12">
        <v>4</v>
      </c>
      <c r="J34" s="12">
        <v>16</v>
      </c>
      <c r="K34" s="15" t="s">
        <v>160</v>
      </c>
      <c r="L34" s="12">
        <v>256</v>
      </c>
      <c r="M34" s="12">
        <v>8</v>
      </c>
      <c r="N34" s="12" t="s">
        <v>170</v>
      </c>
      <c r="O34" s="12">
        <v>6</v>
      </c>
      <c r="P34" s="12">
        <v>191</v>
      </c>
      <c r="Q34" s="12">
        <v>16.399999999999999</v>
      </c>
      <c r="R34" s="12">
        <v>7.56</v>
      </c>
      <c r="S34" s="12">
        <v>0.79</v>
      </c>
      <c r="T34" s="12">
        <v>4000</v>
      </c>
      <c r="U34" s="12">
        <v>4.5</v>
      </c>
      <c r="V34" s="11">
        <v>33</v>
      </c>
    </row>
    <row r="35" spans="1:22" ht="16.5" customHeight="1" x14ac:dyDescent="0.25">
      <c r="A35" t="s">
        <v>32</v>
      </c>
      <c r="B35" t="str">
        <f>VLOOKUP(VERIFICAREQUIPOS[[#This Row],[SEGÚN LISTA]],EQUIPOS[EQUIPOS],1,0)</f>
        <v>SAMSUNG GALAXY Z FLIP 3 256GB</v>
      </c>
      <c r="D35" s="3" t="s">
        <v>95</v>
      </c>
      <c r="E35" s="12"/>
      <c r="F35" s="12">
        <v>11</v>
      </c>
      <c r="G35" s="12">
        <v>6.75</v>
      </c>
      <c r="H35" s="12">
        <v>48</v>
      </c>
      <c r="I35" s="12">
        <v>3</v>
      </c>
      <c r="J35" s="12">
        <v>8</v>
      </c>
      <c r="K35" s="15" t="s">
        <v>160</v>
      </c>
      <c r="L35" s="12">
        <v>256</v>
      </c>
      <c r="M35" s="12">
        <v>8</v>
      </c>
      <c r="N35" s="12" t="s">
        <v>172</v>
      </c>
      <c r="O35" s="12">
        <v>4</v>
      </c>
      <c r="P35" s="12">
        <v>199</v>
      </c>
      <c r="Q35" s="12">
        <v>16.8</v>
      </c>
      <c r="R35" s="12">
        <v>7.77</v>
      </c>
      <c r="S35" s="12">
        <v>0.89</v>
      </c>
      <c r="T35" s="12">
        <v>6000</v>
      </c>
      <c r="U35" s="12">
        <v>4</v>
      </c>
      <c r="V35" s="11">
        <v>34</v>
      </c>
    </row>
    <row r="36" spans="1:22" ht="16.5" customHeight="1" x14ac:dyDescent="0.25">
      <c r="A36" t="s">
        <v>600</v>
      </c>
      <c r="B36" t="str">
        <f>VLOOKUP(VERIFICAREQUIPOS[[#This Row],[SEGÚN LISTA]],EQUIPOS[EQUIPOS],1,0)</f>
        <v>SAMSUNG GALAXY S23 ULTRA 512GB</v>
      </c>
      <c r="D36" s="3" t="s">
        <v>127</v>
      </c>
      <c r="E36" s="12"/>
      <c r="F36" s="12">
        <v>11</v>
      </c>
      <c r="G36" s="12">
        <v>6.7</v>
      </c>
      <c r="H36" s="12">
        <v>50</v>
      </c>
      <c r="I36" s="12">
        <v>3</v>
      </c>
      <c r="J36" s="12">
        <v>8</v>
      </c>
      <c r="K36" s="15" t="s">
        <v>160</v>
      </c>
      <c r="L36" s="12">
        <v>0</v>
      </c>
      <c r="M36" s="12">
        <v>8</v>
      </c>
      <c r="N36" s="12" t="s">
        <v>170</v>
      </c>
      <c r="O36" s="12">
        <v>6</v>
      </c>
      <c r="P36" s="12">
        <v>195</v>
      </c>
      <c r="Q36" s="12">
        <v>16.3</v>
      </c>
      <c r="R36" s="12">
        <v>7.47</v>
      </c>
      <c r="S36" s="12">
        <v>0.84</v>
      </c>
      <c r="T36" s="12">
        <v>5000</v>
      </c>
      <c r="U36" s="12">
        <v>4.5</v>
      </c>
      <c r="V36" s="11">
        <v>35</v>
      </c>
    </row>
    <row r="37" spans="1:22" ht="16.5" customHeight="1" x14ac:dyDescent="0.25">
      <c r="A37" t="s">
        <v>599</v>
      </c>
      <c r="B37" t="str">
        <f>VLOOKUP(VERIFICAREQUIPOS[[#This Row],[SEGÚN LISTA]],EQUIPOS[EQUIPOS],1,0)</f>
        <v>SAMSUNG GALAXY S23 ULTRA 256GB</v>
      </c>
      <c r="D37" s="3" t="s">
        <v>60</v>
      </c>
      <c r="E37" s="12"/>
      <c r="F37" s="12">
        <v>11</v>
      </c>
      <c r="G37" s="12">
        <v>6.6</v>
      </c>
      <c r="H37" s="12">
        <v>64</v>
      </c>
      <c r="I37" s="12">
        <v>4</v>
      </c>
      <c r="J37" s="12">
        <v>13</v>
      </c>
      <c r="K37" s="13" t="s">
        <v>157</v>
      </c>
      <c r="L37" s="12">
        <v>256</v>
      </c>
      <c r="M37" s="12">
        <v>8</v>
      </c>
      <c r="N37" s="12" t="s">
        <v>173</v>
      </c>
      <c r="O37" s="12">
        <v>8</v>
      </c>
      <c r="P37" s="12">
        <v>195</v>
      </c>
      <c r="Q37" s="12">
        <v>15.8</v>
      </c>
      <c r="R37" s="12">
        <v>7.28</v>
      </c>
      <c r="S37" s="12">
        <v>0.85</v>
      </c>
      <c r="T37" s="12">
        <v>4360</v>
      </c>
      <c r="U37" s="12">
        <v>4.5</v>
      </c>
      <c r="V37" s="11">
        <v>36</v>
      </c>
    </row>
    <row r="38" spans="1:22" ht="16.5" customHeight="1" x14ac:dyDescent="0.25">
      <c r="A38" t="s">
        <v>598</v>
      </c>
      <c r="B38" t="str">
        <f>VLOOKUP(VERIFICAREQUIPOS[[#This Row],[SEGÚN LISTA]],EQUIPOS[EQUIPOS],1,0)</f>
        <v>SAMSUNG GALAXY S23 PLUS 512GB</v>
      </c>
      <c r="D38" s="3" t="s">
        <v>17</v>
      </c>
      <c r="E38" s="12"/>
      <c r="F38" s="12">
        <v>10</v>
      </c>
      <c r="G38" s="12">
        <v>6.63</v>
      </c>
      <c r="H38" s="12">
        <v>64</v>
      </c>
      <c r="I38" s="12">
        <v>4</v>
      </c>
      <c r="J38" s="12">
        <v>16</v>
      </c>
      <c r="K38" s="13" t="s">
        <v>160</v>
      </c>
      <c r="L38" s="12">
        <v>256</v>
      </c>
      <c r="M38" s="12">
        <v>8</v>
      </c>
      <c r="N38" s="14" t="s">
        <v>167</v>
      </c>
      <c r="O38" s="12">
        <v>6</v>
      </c>
      <c r="P38" s="12">
        <v>197</v>
      </c>
      <c r="Q38" s="12">
        <v>16.3</v>
      </c>
      <c r="R38" s="12">
        <v>7.65</v>
      </c>
      <c r="S38" s="12">
        <v>0.9</v>
      </c>
      <c r="T38" s="12">
        <v>4300</v>
      </c>
      <c r="U38" s="12">
        <v>4</v>
      </c>
      <c r="V38" s="11">
        <v>37</v>
      </c>
    </row>
    <row r="39" spans="1:22" ht="16.5" customHeight="1" x14ac:dyDescent="0.25">
      <c r="A39" t="s">
        <v>597</v>
      </c>
      <c r="B39" t="str">
        <f>VLOOKUP(VERIFICAREQUIPOS[[#This Row],[SEGÚN LISTA]],EQUIPOS[EQUIPOS],1,0)</f>
        <v>SAMSUNG GALAXY S23 PLUS 256GB</v>
      </c>
      <c r="D39" s="3" t="s">
        <v>78</v>
      </c>
      <c r="E39" s="12"/>
      <c r="F39" s="12">
        <v>12</v>
      </c>
      <c r="G39" s="12">
        <v>6.7</v>
      </c>
      <c r="H39" s="12">
        <v>50</v>
      </c>
      <c r="I39" s="12">
        <v>3</v>
      </c>
      <c r="J39" s="12">
        <v>60</v>
      </c>
      <c r="K39" s="13" t="s">
        <v>157</v>
      </c>
      <c r="L39" s="12">
        <v>0</v>
      </c>
      <c r="M39" s="12">
        <v>8</v>
      </c>
      <c r="N39" s="12" t="s">
        <v>174</v>
      </c>
      <c r="O39" s="12">
        <v>12</v>
      </c>
      <c r="P39" s="12">
        <v>196</v>
      </c>
      <c r="Q39" s="12">
        <v>16.3</v>
      </c>
      <c r="R39" s="12">
        <v>7.6</v>
      </c>
      <c r="S39" s="12">
        <v>0.88</v>
      </c>
      <c r="T39" s="12">
        <v>4800</v>
      </c>
      <c r="U39" s="12">
        <v>5</v>
      </c>
      <c r="V39" s="11">
        <v>38</v>
      </c>
    </row>
    <row r="40" spans="1:22" ht="16.5" customHeight="1" x14ac:dyDescent="0.25">
      <c r="A40" t="s">
        <v>596</v>
      </c>
      <c r="B40" t="str">
        <f>VLOOKUP(VERIFICAREQUIPOS[[#This Row],[SEGÚN LISTA]],EQUIPOS[EQUIPOS],1,0)</f>
        <v>SAMSUNG GALAXY S23 256GB</v>
      </c>
      <c r="D40" s="3" t="s">
        <v>56</v>
      </c>
      <c r="E40" s="12"/>
      <c r="F40" s="12">
        <v>11</v>
      </c>
      <c r="G40" s="12">
        <v>6.8</v>
      </c>
      <c r="H40" s="12">
        <v>108</v>
      </c>
      <c r="I40" s="12">
        <v>4</v>
      </c>
      <c r="J40" s="12">
        <v>16</v>
      </c>
      <c r="K40" s="15" t="s">
        <v>160</v>
      </c>
      <c r="L40" s="12">
        <v>0</v>
      </c>
      <c r="M40" s="12">
        <v>8</v>
      </c>
      <c r="N40" s="12" t="s">
        <v>175</v>
      </c>
      <c r="O40" s="12">
        <v>8</v>
      </c>
      <c r="P40" s="12">
        <v>202</v>
      </c>
      <c r="Q40" s="12">
        <v>16.8</v>
      </c>
      <c r="R40" s="12">
        <v>7.55</v>
      </c>
      <c r="S40" s="12">
        <v>0.89</v>
      </c>
      <c r="T40" s="12">
        <v>5000</v>
      </c>
      <c r="U40" s="12">
        <v>5</v>
      </c>
      <c r="V40" s="11">
        <v>39</v>
      </c>
    </row>
    <row r="41" spans="1:22" ht="16.5" customHeight="1" x14ac:dyDescent="0.25">
      <c r="A41" t="s">
        <v>595</v>
      </c>
      <c r="B41" t="str">
        <f>VLOOKUP(VERIFICAREQUIPOS[[#This Row],[SEGÚN LISTA]],EQUIPOS[EQUIPOS],1,0)</f>
        <v>SAMSUNG GALAXY S23 128GB</v>
      </c>
      <c r="D41" s="3" t="s">
        <v>76</v>
      </c>
      <c r="E41" s="12"/>
      <c r="F41" s="12">
        <v>12</v>
      </c>
      <c r="G41" s="12">
        <v>6.5</v>
      </c>
      <c r="H41" s="12">
        <v>50</v>
      </c>
      <c r="I41" s="12">
        <v>4</v>
      </c>
      <c r="J41" s="12">
        <v>16</v>
      </c>
      <c r="K41" s="15" t="s">
        <v>160</v>
      </c>
      <c r="L41" s="12">
        <v>256</v>
      </c>
      <c r="M41" s="12">
        <v>8</v>
      </c>
      <c r="N41" s="12" t="s">
        <v>171</v>
      </c>
      <c r="O41" s="12">
        <v>4</v>
      </c>
      <c r="P41" s="12">
        <v>185</v>
      </c>
      <c r="Q41" s="12">
        <v>16.399999999999999</v>
      </c>
      <c r="R41" s="12">
        <v>7.5</v>
      </c>
      <c r="S41" s="12">
        <v>0.75</v>
      </c>
      <c r="T41" s="12">
        <v>5000</v>
      </c>
      <c r="U41" s="12">
        <v>4</v>
      </c>
      <c r="V41" s="11">
        <v>40</v>
      </c>
    </row>
    <row r="42" spans="1:22" ht="16.5" customHeight="1" x14ac:dyDescent="0.25">
      <c r="A42" t="s">
        <v>63</v>
      </c>
      <c r="B42" t="str">
        <f>VLOOKUP(VERIFICAREQUIPOS[[#This Row],[SEGÚN LISTA]],EQUIPOS[EQUIPOS],1,0)</f>
        <v>SAMSUNG GALAXY S22 ULTRA 128GB</v>
      </c>
      <c r="D42" s="3" t="s">
        <v>1012</v>
      </c>
      <c r="E42" s="12"/>
      <c r="F42" s="12">
        <v>13</v>
      </c>
      <c r="G42" s="12" t="s">
        <v>1154</v>
      </c>
      <c r="H42" s="12">
        <v>13</v>
      </c>
      <c r="I42" s="12">
        <v>2</v>
      </c>
      <c r="J42" s="12">
        <v>5</v>
      </c>
      <c r="K42" s="12" t="s">
        <v>159</v>
      </c>
      <c r="L42" s="12">
        <v>256</v>
      </c>
      <c r="M42" s="12">
        <v>8</v>
      </c>
      <c r="N42" s="12" t="s">
        <v>1016</v>
      </c>
      <c r="O42" s="12">
        <v>2</v>
      </c>
      <c r="P42" s="12">
        <v>180</v>
      </c>
      <c r="Q42" s="12">
        <v>16.420000000000002</v>
      </c>
      <c r="R42" s="12">
        <v>7.5</v>
      </c>
      <c r="S42" s="12">
        <v>0.85</v>
      </c>
      <c r="T42" s="12">
        <v>5000</v>
      </c>
      <c r="U42" s="12">
        <v>4</v>
      </c>
      <c r="V42" s="11">
        <v>41</v>
      </c>
    </row>
    <row r="43" spans="1:22" ht="16.5" customHeight="1" x14ac:dyDescent="0.25">
      <c r="A43" t="s">
        <v>61</v>
      </c>
      <c r="B43" t="str">
        <f>VLOOKUP(VERIFICAREQUIPOS[[#This Row],[SEGÚN LISTA]],EQUIPOS[EQUIPOS],1,0)</f>
        <v>SAMSUNG GALAXY S22 128GB</v>
      </c>
      <c r="D43" s="3" t="s">
        <v>18</v>
      </c>
      <c r="E43" s="12"/>
      <c r="F43" s="12">
        <v>11</v>
      </c>
      <c r="G43" s="12">
        <v>6.5</v>
      </c>
      <c r="H43" s="12">
        <v>13</v>
      </c>
      <c r="I43" s="12">
        <v>2</v>
      </c>
      <c r="J43" s="12">
        <v>5</v>
      </c>
      <c r="K43" s="15" t="s">
        <v>176</v>
      </c>
      <c r="L43" s="12">
        <v>256</v>
      </c>
      <c r="M43" s="12">
        <v>8</v>
      </c>
      <c r="N43" s="12" t="s">
        <v>171</v>
      </c>
      <c r="O43" s="12">
        <v>2</v>
      </c>
      <c r="P43" s="12">
        <v>184</v>
      </c>
      <c r="Q43" s="12">
        <v>16.399999999999999</v>
      </c>
      <c r="R43" s="12">
        <v>7.55</v>
      </c>
      <c r="S43" s="12">
        <v>0.85</v>
      </c>
      <c r="T43" s="12">
        <v>4000</v>
      </c>
      <c r="U43" s="12">
        <v>4</v>
      </c>
      <c r="V43" s="11">
        <v>42</v>
      </c>
    </row>
    <row r="44" spans="1:22" ht="16.5" customHeight="1" x14ac:dyDescent="0.25">
      <c r="A44" t="s">
        <v>50</v>
      </c>
      <c r="B44" t="str">
        <f>VLOOKUP(VERIFICAREQUIPOS[[#This Row],[SEGÚN LISTA]],EQUIPOS[EQUIPOS],1,0)</f>
        <v>SAMSUNG GALAXY S21FE 128GB</v>
      </c>
      <c r="D44" s="3" t="s">
        <v>594</v>
      </c>
      <c r="E44" s="12"/>
      <c r="F44" s="12">
        <v>12</v>
      </c>
      <c r="G44" s="12" t="s">
        <v>1155</v>
      </c>
      <c r="H44" s="12">
        <v>16</v>
      </c>
      <c r="I44" s="12">
        <v>2</v>
      </c>
      <c r="J44" s="12">
        <v>5</v>
      </c>
      <c r="K44" s="17" t="s">
        <v>159</v>
      </c>
      <c r="L44" s="12">
        <v>1024</v>
      </c>
      <c r="M44" s="12">
        <v>8</v>
      </c>
      <c r="N44" s="12" t="s">
        <v>1162</v>
      </c>
      <c r="O44" s="12">
        <v>4</v>
      </c>
      <c r="P44" s="12">
        <v>169</v>
      </c>
      <c r="Q44" s="12">
        <v>16.399999999999999</v>
      </c>
      <c r="R44" s="12">
        <v>7.47</v>
      </c>
      <c r="S44" s="12">
        <v>0.8</v>
      </c>
      <c r="T44" s="12">
        <v>4020</v>
      </c>
      <c r="U44" s="12">
        <v>4</v>
      </c>
      <c r="V44" s="11">
        <v>43</v>
      </c>
    </row>
    <row r="45" spans="1:22" ht="16.5" customHeight="1" x14ac:dyDescent="0.25">
      <c r="A45" t="s">
        <v>84</v>
      </c>
      <c r="B45" t="str">
        <f>VLOOKUP(VERIFICAREQUIPOS[[#This Row],[SEGÚN LISTA]],EQUIPOS[EQUIPOS],1,0)</f>
        <v>SAMSUNG GALAXY S20FE 128GB 5G</v>
      </c>
      <c r="D45" s="3" t="s">
        <v>46</v>
      </c>
      <c r="E45" s="12"/>
      <c r="F45" s="12">
        <v>11</v>
      </c>
      <c r="G45" s="16">
        <v>6.5</v>
      </c>
      <c r="H45" s="12">
        <v>48</v>
      </c>
      <c r="I45" s="12">
        <v>3</v>
      </c>
      <c r="J45" s="12">
        <v>8</v>
      </c>
      <c r="K45" s="15" t="s">
        <v>176</v>
      </c>
      <c r="L45" s="12">
        <v>256</v>
      </c>
      <c r="M45" s="12">
        <v>8</v>
      </c>
      <c r="N45" s="12">
        <v>1.8</v>
      </c>
      <c r="O45" s="12">
        <v>2</v>
      </c>
      <c r="P45" s="12">
        <v>198</v>
      </c>
      <c r="Q45" s="12">
        <v>16.5</v>
      </c>
      <c r="R45" s="12">
        <v>7.56</v>
      </c>
      <c r="S45" s="12">
        <v>0.91</v>
      </c>
      <c r="T45" s="12">
        <v>5000</v>
      </c>
      <c r="U45" s="12">
        <v>4</v>
      </c>
      <c r="V45" s="11">
        <v>44</v>
      </c>
    </row>
    <row r="46" spans="1:22" ht="16.5" customHeight="1" x14ac:dyDescent="0.25">
      <c r="A46" t="s">
        <v>30</v>
      </c>
      <c r="B46" t="str">
        <f>VLOOKUP(VERIFICAREQUIPOS[[#This Row],[SEGÚN LISTA]],EQUIPOS[EQUIPOS],1,0)</f>
        <v>SAMSUNG GALAXY NOTE 10 256GB</v>
      </c>
      <c r="D46" s="3" t="s">
        <v>101</v>
      </c>
      <c r="E46" s="12"/>
      <c r="F46" s="12">
        <v>11</v>
      </c>
      <c r="G46" s="12">
        <v>6.5</v>
      </c>
      <c r="H46" s="12">
        <v>16</v>
      </c>
      <c r="I46" s="12">
        <v>3</v>
      </c>
      <c r="J46" s="12">
        <v>8</v>
      </c>
      <c r="K46" s="15" t="s">
        <v>159</v>
      </c>
      <c r="L46" s="12">
        <v>256</v>
      </c>
      <c r="M46" s="12">
        <v>8</v>
      </c>
      <c r="N46" s="12" t="s">
        <v>177</v>
      </c>
      <c r="O46" s="12">
        <v>4</v>
      </c>
      <c r="P46" s="12">
        <v>184</v>
      </c>
      <c r="Q46" s="12">
        <v>16.399999999999999</v>
      </c>
      <c r="R46" s="12">
        <v>7.5</v>
      </c>
      <c r="S46" s="12">
        <v>0.85</v>
      </c>
      <c r="T46" s="12">
        <v>5000</v>
      </c>
      <c r="U46" s="12">
        <v>4</v>
      </c>
      <c r="V46" s="11">
        <v>45</v>
      </c>
    </row>
    <row r="47" spans="1:22" ht="16.5" customHeight="1" x14ac:dyDescent="0.25">
      <c r="A47" t="s">
        <v>1015</v>
      </c>
      <c r="B47" t="str">
        <f>VLOOKUP(VERIFICAREQUIPOS[[#This Row],[SEGÚN LISTA]],EQUIPOS[EQUIPOS],1,0)</f>
        <v>SAMSUNG GALAXY A54 256GB 5G</v>
      </c>
      <c r="D47" s="3" t="s">
        <v>19</v>
      </c>
      <c r="E47" s="12"/>
      <c r="F47" s="12">
        <v>11</v>
      </c>
      <c r="G47" s="12">
        <v>6.7</v>
      </c>
      <c r="H47" s="12">
        <v>108</v>
      </c>
      <c r="I47" s="12">
        <v>3</v>
      </c>
      <c r="J47" s="12">
        <v>32</v>
      </c>
      <c r="K47" s="13" t="s">
        <v>160</v>
      </c>
      <c r="L47" s="12">
        <v>256</v>
      </c>
      <c r="M47" s="12">
        <v>8</v>
      </c>
      <c r="N47" s="14">
        <v>2</v>
      </c>
      <c r="O47" s="12">
        <v>6</v>
      </c>
      <c r="P47" s="12">
        <v>185</v>
      </c>
      <c r="Q47" s="12">
        <v>16.5</v>
      </c>
      <c r="R47" s="12">
        <v>7.6</v>
      </c>
      <c r="S47" s="12">
        <v>0.83</v>
      </c>
      <c r="T47" s="12">
        <v>5000</v>
      </c>
      <c r="U47" s="12">
        <v>5</v>
      </c>
      <c r="V47" s="11">
        <v>46</v>
      </c>
    </row>
    <row r="48" spans="1:22" ht="16.5" customHeight="1" x14ac:dyDescent="0.25">
      <c r="A48" t="s">
        <v>73</v>
      </c>
      <c r="B48" t="str">
        <f>VLOOKUP(VERIFICAREQUIPOS[[#This Row],[SEGÚN LISTA]],EQUIPOS[EQUIPOS],1,0)</f>
        <v>SAMSUNG GALAXY A53 128GB 5G</v>
      </c>
      <c r="D48" s="3" t="s">
        <v>128</v>
      </c>
      <c r="E48" s="12"/>
      <c r="F48" s="12">
        <v>12</v>
      </c>
      <c r="G48" s="12">
        <v>6.7</v>
      </c>
      <c r="H48" s="12">
        <v>50</v>
      </c>
      <c r="I48" s="12">
        <v>3</v>
      </c>
      <c r="J48" s="12">
        <v>60</v>
      </c>
      <c r="K48" s="15" t="s">
        <v>157</v>
      </c>
      <c r="L48" s="12">
        <v>0</v>
      </c>
      <c r="M48" s="12">
        <v>8</v>
      </c>
      <c r="N48" s="12" t="s">
        <v>174</v>
      </c>
      <c r="O48" s="12">
        <v>12</v>
      </c>
      <c r="P48" s="12">
        <v>196</v>
      </c>
      <c r="Q48" s="12">
        <v>16.3</v>
      </c>
      <c r="R48" s="12">
        <v>7.6</v>
      </c>
      <c r="S48" s="12">
        <v>0.88</v>
      </c>
      <c r="T48" s="12">
        <v>4800</v>
      </c>
      <c r="U48" s="12">
        <v>5</v>
      </c>
      <c r="V48" s="11">
        <v>47</v>
      </c>
    </row>
    <row r="49" spans="1:22" ht="16.5" customHeight="1" x14ac:dyDescent="0.25">
      <c r="A49" t="s">
        <v>1014</v>
      </c>
      <c r="B49" t="str">
        <f>VLOOKUP(VERIFICAREQUIPOS[[#This Row],[SEGÚN LISTA]],EQUIPOS[EQUIPOS],1,0)</f>
        <v>SAMSUNG GALAXY A34 256GB 5G</v>
      </c>
      <c r="D49" s="3" t="s">
        <v>129</v>
      </c>
      <c r="E49" s="12"/>
      <c r="F49" s="12">
        <v>12</v>
      </c>
      <c r="G49" s="12" t="s">
        <v>178</v>
      </c>
      <c r="H49" s="12">
        <v>64</v>
      </c>
      <c r="I49" s="12">
        <v>2</v>
      </c>
      <c r="J49" s="12">
        <v>32</v>
      </c>
      <c r="K49" s="13" t="s">
        <v>160</v>
      </c>
      <c r="L49" s="12">
        <v>0</v>
      </c>
      <c r="M49" s="12">
        <v>8</v>
      </c>
      <c r="N49" s="14" t="s">
        <v>179</v>
      </c>
      <c r="O49" s="12">
        <v>8</v>
      </c>
      <c r="P49" s="12">
        <v>155</v>
      </c>
      <c r="Q49" s="12">
        <v>15.3</v>
      </c>
      <c r="R49" s="12">
        <v>7.12</v>
      </c>
      <c r="S49" s="12">
        <v>0.78</v>
      </c>
      <c r="T49" s="12">
        <v>4020</v>
      </c>
      <c r="U49" s="12">
        <v>5</v>
      </c>
      <c r="V49" s="11">
        <v>48</v>
      </c>
    </row>
    <row r="50" spans="1:22" ht="16.5" customHeight="1" x14ac:dyDescent="0.25">
      <c r="A50" t="s">
        <v>81</v>
      </c>
      <c r="B50" t="str">
        <f>VLOOKUP(VERIFICAREQUIPOS[[#This Row],[SEGÚN LISTA]],EQUIPOS[EQUIPOS],1,0)</f>
        <v>SAMSUNG GALAXY A33 128GB 5G</v>
      </c>
      <c r="D50" t="s">
        <v>988</v>
      </c>
      <c r="E50" s="12"/>
      <c r="F50" s="12">
        <v>13</v>
      </c>
      <c r="G50" s="12" t="s">
        <v>998</v>
      </c>
      <c r="H50" s="12" t="s">
        <v>999</v>
      </c>
      <c r="I50" s="12">
        <v>3</v>
      </c>
      <c r="J50" s="12" t="s">
        <v>1000</v>
      </c>
      <c r="K50" s="15" t="s">
        <v>160</v>
      </c>
      <c r="L50" s="12">
        <v>512</v>
      </c>
      <c r="M50" s="12">
        <v>8</v>
      </c>
      <c r="N50" s="12" t="s">
        <v>1164</v>
      </c>
      <c r="O50" s="12">
        <v>4</v>
      </c>
      <c r="P50" s="12">
        <v>184</v>
      </c>
      <c r="Q50" s="12">
        <v>16.3</v>
      </c>
      <c r="R50" s="12" t="s">
        <v>1001</v>
      </c>
      <c r="S50" s="12">
        <v>0.82</v>
      </c>
      <c r="T50" s="12" t="s">
        <v>1170</v>
      </c>
      <c r="U50" s="12">
        <v>4</v>
      </c>
      <c r="V50" s="11">
        <v>49</v>
      </c>
    </row>
    <row r="51" spans="1:22" ht="16.5" customHeight="1" x14ac:dyDescent="0.25">
      <c r="A51" t="s">
        <v>1051</v>
      </c>
      <c r="B51" t="str">
        <f>VLOOKUP(VERIFICAREQUIPOS[[#This Row],[SEGÚN LISTA]],EQUIPOS[EQUIPOS],1,0)</f>
        <v>SAMSUNG GALAXY A24 128GB</v>
      </c>
      <c r="D51" s="3" t="s">
        <v>51</v>
      </c>
      <c r="E51" s="12"/>
      <c r="F51" s="12">
        <v>11</v>
      </c>
      <c r="G51" s="12">
        <v>6.4</v>
      </c>
      <c r="H51" s="12">
        <v>50</v>
      </c>
      <c r="I51" s="12">
        <v>3</v>
      </c>
      <c r="J51" s="12">
        <v>13</v>
      </c>
      <c r="K51" s="15" t="s">
        <v>160</v>
      </c>
      <c r="L51" s="12">
        <v>256</v>
      </c>
      <c r="M51" s="12">
        <v>8</v>
      </c>
      <c r="N51" s="12" t="s">
        <v>167</v>
      </c>
      <c r="O51" s="12">
        <v>4</v>
      </c>
      <c r="P51" s="12">
        <v>181</v>
      </c>
      <c r="Q51" s="12">
        <v>16.100000000000001</v>
      </c>
      <c r="R51" s="12">
        <v>7.39</v>
      </c>
      <c r="S51" s="12">
        <v>0.86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79</v>
      </c>
      <c r="B52" t="str">
        <f>VLOOKUP(VERIFICAREQUIPOS[[#This Row],[SEGÚN LISTA]],EQUIPOS[EQUIPOS],1,0)</f>
        <v>SAMSUNG GALAXY A23 128GB</v>
      </c>
      <c r="D52" s="3" t="s">
        <v>20</v>
      </c>
      <c r="E52" s="12"/>
      <c r="F52" s="12">
        <v>11</v>
      </c>
      <c r="G52" s="12">
        <v>6.5</v>
      </c>
      <c r="H52" s="12">
        <v>48</v>
      </c>
      <c r="I52" s="12">
        <v>3</v>
      </c>
      <c r="J52" s="12">
        <v>13</v>
      </c>
      <c r="K52" s="15" t="s">
        <v>160</v>
      </c>
      <c r="L52" s="12">
        <v>256</v>
      </c>
      <c r="M52" s="12">
        <v>8</v>
      </c>
      <c r="N52" s="12" t="s">
        <v>167</v>
      </c>
      <c r="O52" s="12">
        <v>4</v>
      </c>
      <c r="P52" s="12">
        <v>192</v>
      </c>
      <c r="Q52" s="12">
        <v>16.399999999999999</v>
      </c>
      <c r="R52" s="12">
        <v>7.49</v>
      </c>
      <c r="S52" s="12">
        <v>0.9</v>
      </c>
      <c r="T52" s="12">
        <v>5000</v>
      </c>
      <c r="U52" s="12">
        <v>5</v>
      </c>
      <c r="V52" s="11">
        <v>51</v>
      </c>
    </row>
    <row r="53" spans="1:22" ht="16.5" customHeight="1" x14ac:dyDescent="0.25">
      <c r="A53" t="s">
        <v>25</v>
      </c>
      <c r="B53" t="str">
        <f>VLOOKUP(VERIFICAREQUIPOS[[#This Row],[SEGÚN LISTA]],EQUIPOS[EQUIPOS],1,0)</f>
        <v>SAMSUNG GALAXY A22 128GB 5G</v>
      </c>
      <c r="D53" s="3" t="s">
        <v>54</v>
      </c>
      <c r="E53" s="12"/>
      <c r="F53" s="12">
        <v>11</v>
      </c>
      <c r="G53" s="12">
        <v>6.8</v>
      </c>
      <c r="H53" s="12">
        <v>50</v>
      </c>
      <c r="I53" s="12">
        <v>3</v>
      </c>
      <c r="J53" s="12">
        <v>13</v>
      </c>
      <c r="K53" s="15" t="s">
        <v>160</v>
      </c>
      <c r="L53" s="12">
        <v>256</v>
      </c>
      <c r="M53" s="12">
        <v>8</v>
      </c>
      <c r="N53" s="12" t="s">
        <v>180</v>
      </c>
      <c r="O53" s="12">
        <v>4</v>
      </c>
      <c r="P53" s="12">
        <v>208</v>
      </c>
      <c r="Q53" s="12">
        <v>17</v>
      </c>
      <c r="R53" s="12">
        <v>7.65</v>
      </c>
      <c r="S53" s="12">
        <v>0.91</v>
      </c>
      <c r="T53" s="12">
        <v>5000</v>
      </c>
      <c r="U53" s="12">
        <v>5</v>
      </c>
      <c r="V53" s="11">
        <v>52</v>
      </c>
    </row>
    <row r="54" spans="1:22" ht="16.5" customHeight="1" x14ac:dyDescent="0.25">
      <c r="A54" t="s">
        <v>1013</v>
      </c>
      <c r="B54" t="str">
        <f>VLOOKUP(VERIFICAREQUIPOS[[#This Row],[SEGÚN LISTA]],EQUIPOS[EQUIPOS],1,0)</f>
        <v>SAMSUNG GALAXY A14 128GB 5G</v>
      </c>
      <c r="D54" s="3" t="s">
        <v>1145</v>
      </c>
      <c r="E54" s="12"/>
      <c r="F54" s="12">
        <v>13</v>
      </c>
      <c r="G54" s="12" t="s">
        <v>1147</v>
      </c>
      <c r="H54" s="12">
        <v>50</v>
      </c>
      <c r="I54" s="12">
        <v>2</v>
      </c>
      <c r="J54" s="12">
        <v>8</v>
      </c>
      <c r="K54" s="12" t="s">
        <v>160</v>
      </c>
      <c r="L54" s="12">
        <v>0</v>
      </c>
      <c r="M54" s="12">
        <v>8</v>
      </c>
      <c r="N54" s="12" t="s">
        <v>1146</v>
      </c>
      <c r="O54" s="12">
        <v>6</v>
      </c>
      <c r="P54" s="12">
        <v>183</v>
      </c>
      <c r="Q54" s="12">
        <v>16.3</v>
      </c>
      <c r="R54" s="12">
        <v>7.47</v>
      </c>
      <c r="S54" s="12">
        <v>0.82</v>
      </c>
      <c r="T54" s="12" t="s">
        <v>1134</v>
      </c>
      <c r="U54" s="12">
        <v>4</v>
      </c>
      <c r="V54" s="11">
        <v>53</v>
      </c>
    </row>
    <row r="55" spans="1:22" ht="16.5" customHeight="1" x14ac:dyDescent="0.25">
      <c r="A55" t="s">
        <v>72</v>
      </c>
      <c r="B55" t="str">
        <f>VLOOKUP(VERIFICAREQUIPOS[[#This Row],[SEGÚN LISTA]],EQUIPOS[EQUIPOS],1,0)</f>
        <v>SAMSUNG GALAXY A13 64GB</v>
      </c>
      <c r="D55" s="3" t="s">
        <v>21</v>
      </c>
      <c r="E55" s="12"/>
      <c r="F55" s="12">
        <v>11</v>
      </c>
      <c r="G55" s="12">
        <v>6.8</v>
      </c>
      <c r="H55" s="12">
        <v>64</v>
      </c>
      <c r="I55" s="12">
        <v>4</v>
      </c>
      <c r="J55" s="12">
        <v>16</v>
      </c>
      <c r="K55" s="15" t="s">
        <v>160</v>
      </c>
      <c r="L55" s="12">
        <v>256</v>
      </c>
      <c r="M55" s="12">
        <v>8</v>
      </c>
      <c r="N55" s="12" t="s">
        <v>181</v>
      </c>
      <c r="O55" s="12">
        <v>6</v>
      </c>
      <c r="P55" s="12">
        <v>212</v>
      </c>
      <c r="Q55" s="12">
        <v>16.899999999999999</v>
      </c>
      <c r="R55" s="12">
        <v>7.59</v>
      </c>
      <c r="S55" s="12">
        <v>0.96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948</v>
      </c>
      <c r="B56" t="str">
        <f>VLOOKUP(VERIFICAREQUIPOS[[#This Row],[SEGÚN LISTA]],EQUIPOS[EQUIPOS],1,0)</f>
        <v>SAMSUNG GALAXY A04S 64GB</v>
      </c>
      <c r="D56" s="3" t="s">
        <v>69</v>
      </c>
      <c r="E56" s="12"/>
      <c r="F56" s="12">
        <v>11</v>
      </c>
      <c r="G56" s="12">
        <v>6.4</v>
      </c>
      <c r="H56" s="12">
        <v>50</v>
      </c>
      <c r="I56" s="12">
        <v>3</v>
      </c>
      <c r="J56" s="12">
        <v>16</v>
      </c>
      <c r="K56" s="15" t="s">
        <v>160</v>
      </c>
      <c r="L56" s="12">
        <v>0</v>
      </c>
      <c r="M56" s="12">
        <v>8</v>
      </c>
      <c r="N56" s="12" t="s">
        <v>182</v>
      </c>
      <c r="O56" s="12">
        <v>6</v>
      </c>
      <c r="P56" s="12">
        <v>179</v>
      </c>
      <c r="Q56" s="12">
        <v>16</v>
      </c>
      <c r="R56" s="12">
        <v>7.39</v>
      </c>
      <c r="S56" s="12">
        <v>0.85</v>
      </c>
      <c r="T56" s="12">
        <v>5000</v>
      </c>
      <c r="U56" s="12">
        <v>5</v>
      </c>
      <c r="V56" s="11">
        <v>55</v>
      </c>
    </row>
    <row r="57" spans="1:22" ht="16.5" customHeight="1" x14ac:dyDescent="0.25">
      <c r="A57" t="s">
        <v>130</v>
      </c>
      <c r="B57" t="str">
        <f>VLOOKUP(VERIFICAREQUIPOS[[#This Row],[SEGÚN LISTA]],EQUIPOS[EQUIPOS],1,0)</f>
        <v>SAMSUNG GALAXY A04E 32GB</v>
      </c>
      <c r="D57" s="3" t="s">
        <v>103</v>
      </c>
      <c r="E57" s="12"/>
      <c r="F57" s="12">
        <v>12</v>
      </c>
      <c r="G57" s="12">
        <v>6.6</v>
      </c>
      <c r="H57" s="12">
        <v>50</v>
      </c>
      <c r="I57" s="12">
        <v>3</v>
      </c>
      <c r="J57" s="12">
        <v>16</v>
      </c>
      <c r="K57" s="15" t="s">
        <v>160</v>
      </c>
      <c r="L57" s="12">
        <v>256</v>
      </c>
      <c r="M57" s="12">
        <v>8</v>
      </c>
      <c r="N57" s="12" t="s">
        <v>182</v>
      </c>
      <c r="O57" s="12">
        <v>6</v>
      </c>
      <c r="P57" s="12">
        <v>173</v>
      </c>
      <c r="Q57" s="12">
        <v>16</v>
      </c>
      <c r="R57" s="12">
        <v>7.45</v>
      </c>
      <c r="S57" s="12">
        <v>0.8</v>
      </c>
      <c r="T57" s="12">
        <v>5000</v>
      </c>
      <c r="U57" s="12">
        <v>5</v>
      </c>
      <c r="V57" s="11">
        <v>56</v>
      </c>
    </row>
    <row r="58" spans="1:22" ht="16.5" customHeight="1" x14ac:dyDescent="0.25">
      <c r="A58" t="s">
        <v>126</v>
      </c>
      <c r="B58" t="str">
        <f>VLOOKUP(VERIFICAREQUIPOS[[#This Row],[SEGÚN LISTA]],EQUIPOS[EQUIPOS],1,0)</f>
        <v>SAMSUNG GALAXY A04 64GB</v>
      </c>
      <c r="D58" s="3" t="s">
        <v>49</v>
      </c>
      <c r="E58" s="12"/>
      <c r="F58" s="12">
        <v>11</v>
      </c>
      <c r="G58" s="12">
        <v>6.5</v>
      </c>
      <c r="H58" s="12">
        <v>13</v>
      </c>
      <c r="I58" s="12">
        <v>3</v>
      </c>
      <c r="J58" s="12">
        <v>5</v>
      </c>
      <c r="K58" s="15" t="s">
        <v>159</v>
      </c>
      <c r="L58" s="12">
        <v>256</v>
      </c>
      <c r="M58" s="12">
        <v>8</v>
      </c>
      <c r="N58" s="12">
        <v>1.8</v>
      </c>
      <c r="O58" s="12">
        <v>4</v>
      </c>
      <c r="P58" s="12">
        <v>200</v>
      </c>
      <c r="Q58" s="12">
        <v>16.399999999999999</v>
      </c>
      <c r="R58" s="12">
        <v>7.6</v>
      </c>
      <c r="S58" s="12">
        <v>0.91</v>
      </c>
      <c r="T58" s="12">
        <v>5000</v>
      </c>
      <c r="U58" s="12">
        <v>4</v>
      </c>
      <c r="V58" s="11">
        <v>57</v>
      </c>
    </row>
    <row r="59" spans="1:22" ht="16.5" customHeight="1" x14ac:dyDescent="0.25">
      <c r="A59" t="s">
        <v>65</v>
      </c>
      <c r="B59" t="str">
        <f>VLOOKUP(VERIFICAREQUIPOS[[#This Row],[SEGÚN LISTA]],EQUIPOS[EQUIPOS],1,0)</f>
        <v>SAMSUNG GALAXY A03 CORE 32GB</v>
      </c>
      <c r="D59" s="3" t="s">
        <v>125</v>
      </c>
      <c r="E59" s="12"/>
      <c r="F59" s="12">
        <v>11</v>
      </c>
      <c r="G59" s="12">
        <v>6.6</v>
      </c>
      <c r="H59" s="12">
        <v>50</v>
      </c>
      <c r="I59" s="12">
        <v>3</v>
      </c>
      <c r="J59" s="12">
        <v>8</v>
      </c>
      <c r="K59" s="15" t="s">
        <v>160</v>
      </c>
      <c r="L59" s="12">
        <v>256</v>
      </c>
      <c r="M59" s="12">
        <v>8</v>
      </c>
      <c r="N59" s="12" t="s">
        <v>186</v>
      </c>
      <c r="O59" s="12">
        <v>4</v>
      </c>
      <c r="P59" s="12">
        <v>189</v>
      </c>
      <c r="Q59" s="12">
        <v>16.399999999999999</v>
      </c>
      <c r="R59" s="12">
        <v>7.6</v>
      </c>
      <c r="S59" s="12">
        <v>0.81</v>
      </c>
      <c r="T59" s="12">
        <v>5000</v>
      </c>
      <c r="U59" s="12">
        <v>4</v>
      </c>
      <c r="V59" s="11">
        <v>58</v>
      </c>
    </row>
    <row r="60" spans="1:22" ht="16.5" customHeight="1" x14ac:dyDescent="0.25">
      <c r="A60" t="s">
        <v>57</v>
      </c>
      <c r="B60" t="str">
        <f>VLOOKUP(VERIFICAREQUIPOS[[#This Row],[SEGÚN LISTA]],EQUIPOS[EQUIPOS],1,0)</f>
        <v>SAMSUNG GALAXY A03 32GB</v>
      </c>
      <c r="D60" s="3" t="s">
        <v>57</v>
      </c>
      <c r="E60" s="12"/>
      <c r="F60" s="12">
        <v>11</v>
      </c>
      <c r="G60" s="12">
        <v>6.5</v>
      </c>
      <c r="H60" s="12">
        <v>48</v>
      </c>
      <c r="I60" s="12">
        <v>2</v>
      </c>
      <c r="J60" s="12">
        <v>5</v>
      </c>
      <c r="K60" s="13" t="s">
        <v>176</v>
      </c>
      <c r="L60" s="12">
        <v>256</v>
      </c>
      <c r="M60" s="12">
        <v>8</v>
      </c>
      <c r="N60" s="14" t="s">
        <v>177</v>
      </c>
      <c r="O60" s="12">
        <v>3</v>
      </c>
      <c r="P60" s="12">
        <v>196</v>
      </c>
      <c r="Q60" s="12">
        <v>16.399999999999999</v>
      </c>
      <c r="R60" s="12">
        <v>7.59</v>
      </c>
      <c r="S60" s="12">
        <v>0.91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125</v>
      </c>
      <c r="B61" t="str">
        <f>VLOOKUP(VERIFICAREQUIPOS[[#This Row],[SEGÚN LISTA]],EQUIPOS[EQUIPOS],1,0)</f>
        <v>REALME C35 128GB</v>
      </c>
      <c r="D61" s="3" t="s">
        <v>65</v>
      </c>
      <c r="E61" s="12"/>
      <c r="F61" s="12">
        <v>11</v>
      </c>
      <c r="G61" s="12">
        <v>6.5</v>
      </c>
      <c r="H61" s="12">
        <v>8</v>
      </c>
      <c r="I61" s="12">
        <v>2</v>
      </c>
      <c r="J61" s="12">
        <v>5</v>
      </c>
      <c r="K61" s="13" t="s">
        <v>176</v>
      </c>
      <c r="L61" s="12">
        <v>256</v>
      </c>
      <c r="M61" s="12">
        <v>8</v>
      </c>
      <c r="N61" s="14" t="s">
        <v>165</v>
      </c>
      <c r="O61" s="12">
        <v>2</v>
      </c>
      <c r="P61" s="12">
        <v>211</v>
      </c>
      <c r="Q61" s="12">
        <v>16.399999999999999</v>
      </c>
      <c r="R61" s="12">
        <v>7.75</v>
      </c>
      <c r="S61" s="12">
        <v>0.91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49</v>
      </c>
      <c r="B62" t="str">
        <f>VLOOKUP(VERIFICAREQUIPOS[[#This Row],[SEGÚN LISTA]],EQUIPOS[EQUIPOS],1,0)</f>
        <v>REALME C21Y 64GB</v>
      </c>
      <c r="D62" s="3" t="s">
        <v>24</v>
      </c>
      <c r="E62" s="12"/>
      <c r="F62" s="12">
        <v>11</v>
      </c>
      <c r="G62" s="12">
        <v>6.5</v>
      </c>
      <c r="H62" s="12">
        <v>13</v>
      </c>
      <c r="I62" s="12">
        <v>3</v>
      </c>
      <c r="J62" s="12">
        <v>5</v>
      </c>
      <c r="K62" s="13" t="s">
        <v>176</v>
      </c>
      <c r="L62" s="12">
        <v>256</v>
      </c>
      <c r="M62" s="12">
        <v>8</v>
      </c>
      <c r="N62" s="14" t="s">
        <v>183</v>
      </c>
      <c r="O62" s="12">
        <v>3</v>
      </c>
      <c r="P62" s="12">
        <v>196</v>
      </c>
      <c r="Q62" s="12">
        <v>16.399999999999999</v>
      </c>
      <c r="R62" s="12">
        <v>7.59</v>
      </c>
      <c r="S62" s="12">
        <v>0.91</v>
      </c>
      <c r="T62" s="12">
        <v>5000</v>
      </c>
      <c r="U62" s="12">
        <v>4</v>
      </c>
      <c r="V62" s="11">
        <v>61</v>
      </c>
    </row>
    <row r="63" spans="1:22" ht="16.5" customHeight="1" x14ac:dyDescent="0.25">
      <c r="A63" t="s">
        <v>603</v>
      </c>
      <c r="B63" t="str">
        <f>VLOOKUP(VERIFICAREQUIPOS[[#This Row],[SEGÚN LISTA]],EQUIPOS[EQUIPOS],1,0)</f>
        <v>OPPO RENO 7 256GB</v>
      </c>
      <c r="D63" s="3" t="s">
        <v>126</v>
      </c>
      <c r="E63" s="12"/>
      <c r="F63" s="12">
        <v>12</v>
      </c>
      <c r="G63" s="12">
        <v>6.5</v>
      </c>
      <c r="H63" s="12">
        <v>50</v>
      </c>
      <c r="I63" s="12">
        <v>2</v>
      </c>
      <c r="J63" s="12">
        <v>5</v>
      </c>
      <c r="K63" s="15" t="s">
        <v>159</v>
      </c>
      <c r="L63" s="12">
        <v>256</v>
      </c>
      <c r="M63" s="12">
        <v>8</v>
      </c>
      <c r="N63" s="12" t="s">
        <v>187</v>
      </c>
      <c r="O63" s="12">
        <v>3</v>
      </c>
      <c r="P63" s="12">
        <v>192</v>
      </c>
      <c r="Q63" s="12">
        <v>16.399999999999999</v>
      </c>
      <c r="R63" s="12">
        <v>7.63</v>
      </c>
      <c r="S63" s="12">
        <v>0.91</v>
      </c>
      <c r="T63" s="12">
        <v>5000</v>
      </c>
      <c r="U63" s="12">
        <v>4</v>
      </c>
      <c r="V63" s="11">
        <v>62</v>
      </c>
    </row>
    <row r="64" spans="1:22" ht="16.5" customHeight="1" x14ac:dyDescent="0.25">
      <c r="A64" t="s">
        <v>102</v>
      </c>
      <c r="B64" t="str">
        <f>VLOOKUP(VERIFICAREQUIPOS[[#This Row],[SEGÚN LISTA]],EQUIPOS[EQUIPOS],1,0)</f>
        <v>OPPO RENO 7 128GB</v>
      </c>
      <c r="D64" s="3" t="s">
        <v>130</v>
      </c>
      <c r="E64" s="12"/>
      <c r="F64" s="12">
        <v>12</v>
      </c>
      <c r="G64" s="12">
        <v>6.5</v>
      </c>
      <c r="H64" s="12">
        <v>13</v>
      </c>
      <c r="I64" s="12">
        <v>2</v>
      </c>
      <c r="J64" s="12">
        <v>5</v>
      </c>
      <c r="K64" s="15" t="s">
        <v>176</v>
      </c>
      <c r="L64" s="12">
        <v>128</v>
      </c>
      <c r="M64" s="12">
        <v>8</v>
      </c>
      <c r="N64" s="12" t="s">
        <v>187</v>
      </c>
      <c r="O64" s="12">
        <v>3</v>
      </c>
      <c r="P64" s="12">
        <v>188</v>
      </c>
      <c r="Q64" s="12">
        <v>16.399999999999999</v>
      </c>
      <c r="R64" s="12">
        <v>7.59</v>
      </c>
      <c r="S64" s="12">
        <v>0.91</v>
      </c>
      <c r="T64" s="12">
        <v>5000</v>
      </c>
      <c r="U64" s="12">
        <v>4</v>
      </c>
      <c r="V64" s="11">
        <v>63</v>
      </c>
    </row>
    <row r="65" spans="1:22" ht="16.5" customHeight="1" x14ac:dyDescent="0.25">
      <c r="A65" t="s">
        <v>947</v>
      </c>
      <c r="B65" t="str">
        <f>VLOOKUP(VERIFICAREQUIPOS[[#This Row],[SEGÚN LISTA]],EQUIPOS[EQUIPOS],1,0)</f>
        <v>OPPO A78 128GB</v>
      </c>
      <c r="D65" s="3" t="s">
        <v>948</v>
      </c>
      <c r="E65" s="12"/>
      <c r="F65" s="12">
        <v>12</v>
      </c>
      <c r="G65" s="12" t="s">
        <v>951</v>
      </c>
      <c r="H65" s="12" t="s">
        <v>591</v>
      </c>
      <c r="I65" s="12">
        <v>3</v>
      </c>
      <c r="J65" s="12">
        <v>5</v>
      </c>
      <c r="K65" s="15" t="s">
        <v>159</v>
      </c>
      <c r="L65" s="12">
        <v>1024</v>
      </c>
      <c r="M65" s="12">
        <v>8</v>
      </c>
      <c r="N65" s="12">
        <v>2</v>
      </c>
      <c r="O65" s="12">
        <v>3</v>
      </c>
      <c r="P65" s="12">
        <v>195</v>
      </c>
      <c r="Q65" s="12">
        <v>16.5</v>
      </c>
      <c r="R65" s="12">
        <v>7.67</v>
      </c>
      <c r="S65" s="12">
        <v>0.91</v>
      </c>
      <c r="T65" s="12">
        <v>5000</v>
      </c>
      <c r="U65" s="12">
        <v>4</v>
      </c>
      <c r="V65" s="11">
        <v>64</v>
      </c>
    </row>
    <row r="66" spans="1:22" ht="16.5" customHeight="1" x14ac:dyDescent="0.25">
      <c r="A66" t="s">
        <v>124</v>
      </c>
      <c r="B66" t="str">
        <f>VLOOKUP(VERIFICAREQUIPOS[[#This Row],[SEGÚN LISTA]],EQUIPOS[EQUIPOS],1,0)</f>
        <v>OPPO A77 128GB</v>
      </c>
      <c r="D66" s="3" t="s">
        <v>72</v>
      </c>
      <c r="E66" s="12"/>
      <c r="F66" s="12">
        <v>12</v>
      </c>
      <c r="G66" s="12">
        <v>6.6</v>
      </c>
      <c r="H66" s="12">
        <v>50</v>
      </c>
      <c r="I66" s="12">
        <v>4</v>
      </c>
      <c r="J66" s="12">
        <v>8</v>
      </c>
      <c r="K66" s="15" t="s">
        <v>159</v>
      </c>
      <c r="L66" s="12">
        <v>256</v>
      </c>
      <c r="M66" s="12">
        <v>8</v>
      </c>
      <c r="N66" s="12" t="s">
        <v>188</v>
      </c>
      <c r="O66" s="12">
        <v>4</v>
      </c>
      <c r="P66" s="12">
        <v>195</v>
      </c>
      <c r="Q66" s="12">
        <v>16.5</v>
      </c>
      <c r="R66" s="12">
        <v>7.64</v>
      </c>
      <c r="S66" s="12">
        <v>0.88</v>
      </c>
      <c r="T66" s="12">
        <v>5000</v>
      </c>
      <c r="U66" s="12">
        <v>4</v>
      </c>
      <c r="V66" s="11">
        <v>65</v>
      </c>
    </row>
    <row r="67" spans="1:22" ht="16.5" customHeight="1" x14ac:dyDescent="0.25">
      <c r="A67" t="s">
        <v>123</v>
      </c>
      <c r="B67" t="str">
        <f>VLOOKUP(VERIFICAREQUIPOS[[#This Row],[SEGÚN LISTA]],EQUIPOS[EQUIPOS],1,0)</f>
        <v>OPPO A57 128GB</v>
      </c>
      <c r="D67" s="3" t="s">
        <v>1013</v>
      </c>
      <c r="E67" s="12"/>
      <c r="F67" s="12">
        <v>13</v>
      </c>
      <c r="G67" s="12" t="s">
        <v>1156</v>
      </c>
      <c r="H67" s="12">
        <v>50</v>
      </c>
      <c r="I67" s="12">
        <v>3</v>
      </c>
      <c r="J67" s="12">
        <v>13</v>
      </c>
      <c r="K67" s="15" t="s">
        <v>160</v>
      </c>
      <c r="L67" s="12">
        <v>1024</v>
      </c>
      <c r="M67" s="12">
        <v>8</v>
      </c>
      <c r="N67" s="12" t="s">
        <v>1017</v>
      </c>
      <c r="O67" s="12">
        <v>4</v>
      </c>
      <c r="P67" s="12">
        <v>202</v>
      </c>
      <c r="Q67" s="12">
        <v>16.77</v>
      </c>
      <c r="R67" s="12">
        <v>7.8</v>
      </c>
      <c r="S67" s="12">
        <v>0.91</v>
      </c>
      <c r="T67" s="12">
        <v>5000</v>
      </c>
      <c r="U67" s="12">
        <v>5</v>
      </c>
      <c r="V67" s="11">
        <v>66</v>
      </c>
    </row>
    <row r="68" spans="1:22" ht="16.5" customHeight="1" x14ac:dyDescent="0.25">
      <c r="A68" t="s">
        <v>23</v>
      </c>
      <c r="B68" t="str">
        <f>VLOOKUP(VERIFICAREQUIPOS[[#This Row],[SEGÚN LISTA]],EQUIPOS[EQUIPOS],1,0)</f>
        <v>OPPO A54 128GB</v>
      </c>
      <c r="D68" s="3" t="s">
        <v>25</v>
      </c>
      <c r="E68" s="12"/>
      <c r="F68" s="12">
        <v>11</v>
      </c>
      <c r="G68" s="12">
        <v>6.6</v>
      </c>
      <c r="H68" s="12">
        <v>48</v>
      </c>
      <c r="I68" s="12">
        <v>3</v>
      </c>
      <c r="J68" s="12">
        <v>8</v>
      </c>
      <c r="K68" s="15" t="s">
        <v>160</v>
      </c>
      <c r="L68" s="12">
        <v>256</v>
      </c>
      <c r="M68" s="12">
        <v>8</v>
      </c>
      <c r="N68" s="12" t="s">
        <v>188</v>
      </c>
      <c r="O68" s="12">
        <v>4</v>
      </c>
      <c r="P68" s="12">
        <v>203</v>
      </c>
      <c r="Q68" s="12">
        <v>16.7</v>
      </c>
      <c r="R68" s="12">
        <v>7.64</v>
      </c>
      <c r="S68" s="12">
        <v>0.9</v>
      </c>
      <c r="T68" s="12">
        <v>5000</v>
      </c>
      <c r="U68" s="12">
        <v>5</v>
      </c>
      <c r="V68" s="11">
        <v>67</v>
      </c>
    </row>
    <row r="69" spans="1:22" ht="16.5" customHeight="1" x14ac:dyDescent="0.25">
      <c r="A69" t="s">
        <v>471</v>
      </c>
      <c r="B69" t="str">
        <f>VLOOKUP(VERIFICAREQUIPOS[[#This Row],[SEGÚN LISTA]],EQUIPOS[EQUIPOS],1,0)</f>
        <v>OPPO A17 64GB</v>
      </c>
      <c r="D69" s="3" t="s">
        <v>26</v>
      </c>
      <c r="E69" s="12"/>
      <c r="F69" s="12">
        <v>11</v>
      </c>
      <c r="G69" s="12">
        <v>6.4</v>
      </c>
      <c r="H69" s="12">
        <v>48</v>
      </c>
      <c r="I69" s="12">
        <v>4</v>
      </c>
      <c r="J69" s="12">
        <v>13</v>
      </c>
      <c r="K69" s="13" t="s">
        <v>159</v>
      </c>
      <c r="L69" s="12">
        <v>512</v>
      </c>
      <c r="M69" s="12">
        <v>8</v>
      </c>
      <c r="N69" s="14" t="s">
        <v>167</v>
      </c>
      <c r="O69" s="12">
        <v>4</v>
      </c>
      <c r="P69" s="12">
        <v>186</v>
      </c>
      <c r="Q69" s="12">
        <v>15.9</v>
      </c>
      <c r="R69" s="12">
        <v>7.36</v>
      </c>
      <c r="S69" s="12">
        <v>0.84</v>
      </c>
      <c r="T69" s="12">
        <v>5000</v>
      </c>
      <c r="U69" s="12">
        <v>4</v>
      </c>
      <c r="V69" s="11">
        <v>68</v>
      </c>
    </row>
    <row r="70" spans="1:22" ht="16.5" customHeight="1" x14ac:dyDescent="0.25">
      <c r="A70" t="s">
        <v>21</v>
      </c>
      <c r="B70" t="str">
        <f>VLOOKUP(VERIFICAREQUIPOS[[#This Row],[SEGÚN LISTA]],EQUIPOS[EQUIPOS],1,0)</f>
        <v>MOTOROLA MOTO G60S 128GB</v>
      </c>
      <c r="D70" s="3" t="s">
        <v>79</v>
      </c>
      <c r="E70" s="12"/>
      <c r="F70" s="12">
        <v>12</v>
      </c>
      <c r="G70" s="12">
        <v>6.6</v>
      </c>
      <c r="H70" s="12">
        <v>50</v>
      </c>
      <c r="I70" s="12">
        <v>4</v>
      </c>
      <c r="J70" s="12">
        <v>8</v>
      </c>
      <c r="K70" s="15" t="s">
        <v>160</v>
      </c>
      <c r="L70" s="12">
        <v>256</v>
      </c>
      <c r="M70" s="12">
        <v>8</v>
      </c>
      <c r="N70" s="12" t="s">
        <v>170</v>
      </c>
      <c r="O70" s="12">
        <v>6</v>
      </c>
      <c r="P70" s="12">
        <v>195</v>
      </c>
      <c r="Q70" s="12">
        <v>16.399999999999999</v>
      </c>
      <c r="R70" s="12">
        <v>7.69</v>
      </c>
      <c r="S70" s="12">
        <v>0.84</v>
      </c>
      <c r="T70" s="12">
        <v>5000</v>
      </c>
      <c r="U70" s="12">
        <v>4</v>
      </c>
      <c r="V70" s="11">
        <v>69</v>
      </c>
    </row>
    <row r="71" spans="1:22" ht="16.5" customHeight="1" x14ac:dyDescent="0.25">
      <c r="A71" t="s">
        <v>1145</v>
      </c>
      <c r="B71" t="str">
        <f>VLOOKUP(VERIFICAREQUIPOS[[#This Row],[SEGÚN LISTA]],EQUIPOS[EQUIPOS],1,0)</f>
        <v>MOTOROLA MOTO G53 128GB 5G</v>
      </c>
      <c r="D71" s="3" t="s">
        <v>1051</v>
      </c>
      <c r="E71" s="12"/>
      <c r="F71" s="12">
        <v>13</v>
      </c>
      <c r="G71" s="12" t="s">
        <v>1132</v>
      </c>
      <c r="H71" s="12">
        <v>50</v>
      </c>
      <c r="I71" s="12">
        <v>3</v>
      </c>
      <c r="J71" s="12">
        <v>13</v>
      </c>
      <c r="K71" s="12" t="s">
        <v>160</v>
      </c>
      <c r="L71" s="12">
        <v>1024</v>
      </c>
      <c r="M71" s="12">
        <v>8</v>
      </c>
      <c r="N71" s="12" t="s">
        <v>170</v>
      </c>
      <c r="O71" s="12">
        <v>6</v>
      </c>
      <c r="P71" s="12">
        <v>195</v>
      </c>
      <c r="Q71" s="12">
        <v>16.2</v>
      </c>
      <c r="R71" s="12">
        <v>7.76</v>
      </c>
      <c r="S71" s="12">
        <v>0.83</v>
      </c>
      <c r="T71" s="12">
        <v>5000</v>
      </c>
      <c r="U71" s="12">
        <v>4</v>
      </c>
      <c r="V71" s="11">
        <v>70</v>
      </c>
    </row>
    <row r="72" spans="1:22" ht="16.5" customHeight="1" x14ac:dyDescent="0.25">
      <c r="A72" t="s">
        <v>988</v>
      </c>
      <c r="B72" t="str">
        <f>VLOOKUP(VERIFICAREQUIPOS[[#This Row],[SEGÚN LISTA]],EQUIPOS[EQUIPOS],1,0)</f>
        <v>MOTOROLA MOTO G23 128GB</v>
      </c>
      <c r="D72" s="3" t="s">
        <v>27</v>
      </c>
      <c r="E72" s="12"/>
      <c r="F72" s="12">
        <v>11</v>
      </c>
      <c r="G72" s="12">
        <v>6.4</v>
      </c>
      <c r="H72" s="12">
        <v>64</v>
      </c>
      <c r="I72" s="12">
        <v>4</v>
      </c>
      <c r="J72" s="12">
        <v>20</v>
      </c>
      <c r="K72" s="13" t="s">
        <v>160</v>
      </c>
      <c r="L72" s="12">
        <v>512</v>
      </c>
      <c r="M72" s="12">
        <v>8</v>
      </c>
      <c r="N72" s="14" t="s">
        <v>167</v>
      </c>
      <c r="O72" s="12">
        <v>4</v>
      </c>
      <c r="P72" s="12">
        <v>184</v>
      </c>
      <c r="Q72" s="12">
        <v>15.8</v>
      </c>
      <c r="R72" s="12">
        <v>7.36</v>
      </c>
      <c r="S72" s="12">
        <v>0.84</v>
      </c>
      <c r="T72" s="12">
        <v>5000</v>
      </c>
      <c r="U72" s="12">
        <v>4</v>
      </c>
      <c r="V72" s="11">
        <v>71</v>
      </c>
    </row>
    <row r="73" spans="1:22" ht="16.5" customHeight="1" x14ac:dyDescent="0.25">
      <c r="A73" t="s">
        <v>129</v>
      </c>
      <c r="B73" t="str">
        <f>VLOOKUP(VERIFICAREQUIPOS[[#This Row],[SEGÚN LISTA]],EQUIPOS[EQUIPOS],1,0)</f>
        <v>MOTOROLA MOTO EDGE 30 NEO 128GB</v>
      </c>
      <c r="D73" s="3" t="s">
        <v>81</v>
      </c>
      <c r="E73" s="12"/>
      <c r="F73" s="12">
        <v>12</v>
      </c>
      <c r="G73" s="12">
        <v>6.5</v>
      </c>
      <c r="H73" s="12">
        <v>48</v>
      </c>
      <c r="I73" s="12">
        <v>4</v>
      </c>
      <c r="J73" s="12">
        <v>13</v>
      </c>
      <c r="K73" s="15" t="s">
        <v>160</v>
      </c>
      <c r="L73" s="12">
        <v>256</v>
      </c>
      <c r="M73" s="12">
        <v>8</v>
      </c>
      <c r="N73" s="12" t="s">
        <v>189</v>
      </c>
      <c r="O73" s="12">
        <v>6</v>
      </c>
      <c r="P73" s="12">
        <v>186</v>
      </c>
      <c r="Q73" s="12">
        <v>16.899999999999999</v>
      </c>
      <c r="R73" s="12">
        <v>7.5</v>
      </c>
      <c r="S73" s="12">
        <v>0.81</v>
      </c>
      <c r="T73" s="12">
        <v>5000</v>
      </c>
      <c r="U73" s="12">
        <v>5</v>
      </c>
      <c r="V73" s="11">
        <v>72</v>
      </c>
    </row>
    <row r="74" spans="1:22" ht="16.5" customHeight="1" x14ac:dyDescent="0.25">
      <c r="A74" t="s">
        <v>128</v>
      </c>
      <c r="B74" t="str">
        <f>VLOOKUP(VERIFICAREQUIPOS[[#This Row],[SEGÚN LISTA]],EQUIPOS[EQUIPOS],1,0)</f>
        <v>MOTOROLA MOTO EDGE 30 FUSION 256GB</v>
      </c>
      <c r="D74" s="3" t="s">
        <v>1014</v>
      </c>
      <c r="E74" s="12"/>
      <c r="F74" s="12">
        <v>13</v>
      </c>
      <c r="G74" s="12" t="s">
        <v>1030</v>
      </c>
      <c r="H74" s="12" t="s">
        <v>1031</v>
      </c>
      <c r="I74" s="12">
        <v>3</v>
      </c>
      <c r="J74" s="12" t="s">
        <v>1032</v>
      </c>
      <c r="K74" s="15" t="s">
        <v>160</v>
      </c>
      <c r="L74" s="12">
        <v>1024</v>
      </c>
      <c r="M74" s="12">
        <v>8</v>
      </c>
      <c r="N74" s="12" t="s">
        <v>1165</v>
      </c>
      <c r="O74" s="12">
        <v>8</v>
      </c>
      <c r="P74" s="12">
        <v>199</v>
      </c>
      <c r="Q74" s="12">
        <v>16.100000000000001</v>
      </c>
      <c r="R74" s="12">
        <v>7.81</v>
      </c>
      <c r="S74" s="12">
        <v>0.82</v>
      </c>
      <c r="T74" s="12">
        <v>5000</v>
      </c>
      <c r="U74" s="12">
        <v>4.5</v>
      </c>
      <c r="V74" s="11">
        <v>73</v>
      </c>
    </row>
    <row r="75" spans="1:22" ht="16.5" customHeight="1" x14ac:dyDescent="0.25">
      <c r="A75" t="s">
        <v>594</v>
      </c>
      <c r="B75" t="str">
        <f>VLOOKUP(VERIFICAREQUIPOS[[#This Row],[SEGÚN LISTA]],EQUIPOS[EQUIPOS],1,0)</f>
        <v>MOTOROLA MOTO E22i 64GB</v>
      </c>
      <c r="D75" s="3" t="s">
        <v>28</v>
      </c>
      <c r="E75" s="12"/>
      <c r="F75" s="12">
        <v>11</v>
      </c>
      <c r="G75" s="12">
        <v>6.5</v>
      </c>
      <c r="H75" s="12">
        <v>64</v>
      </c>
      <c r="I75" s="12">
        <v>4</v>
      </c>
      <c r="J75" s="12">
        <v>32</v>
      </c>
      <c r="K75" s="15" t="s">
        <v>160</v>
      </c>
      <c r="L75" s="12">
        <v>512</v>
      </c>
      <c r="M75" s="12">
        <v>8</v>
      </c>
      <c r="N75" s="12" t="s">
        <v>171</v>
      </c>
      <c r="O75" s="12">
        <v>4</v>
      </c>
      <c r="P75" s="12">
        <v>189</v>
      </c>
      <c r="Q75" s="12">
        <v>15.9</v>
      </c>
      <c r="R75" s="12">
        <v>7.51</v>
      </c>
      <c r="S75" s="12">
        <v>0.84</v>
      </c>
      <c r="T75" s="12">
        <v>4500</v>
      </c>
      <c r="U75" s="12">
        <v>4</v>
      </c>
      <c r="V75" s="11">
        <v>74</v>
      </c>
    </row>
    <row r="76" spans="1:22" ht="16.5" customHeight="1" x14ac:dyDescent="0.25">
      <c r="A76" t="s">
        <v>18</v>
      </c>
      <c r="B76" t="str">
        <f>VLOOKUP(VERIFICAREQUIPOS[[#This Row],[SEGÚN LISTA]],EQUIPOS[EQUIPOS],1,0)</f>
        <v>MOTOROLA MOTO E20 32GB</v>
      </c>
      <c r="D76" s="3" t="s">
        <v>29</v>
      </c>
      <c r="E76" s="12"/>
      <c r="F76" s="12">
        <v>11</v>
      </c>
      <c r="G76" s="12">
        <v>6.5</v>
      </c>
      <c r="H76" s="12">
        <v>64</v>
      </c>
      <c r="I76" s="12">
        <v>4</v>
      </c>
      <c r="J76" s="12">
        <v>32</v>
      </c>
      <c r="K76" s="15" t="s">
        <v>160</v>
      </c>
      <c r="L76" s="12">
        <v>256</v>
      </c>
      <c r="M76" s="12">
        <v>8</v>
      </c>
      <c r="N76" s="12" t="s">
        <v>170</v>
      </c>
      <c r="O76" s="12">
        <v>6</v>
      </c>
      <c r="P76" s="12">
        <v>189</v>
      </c>
      <c r="Q76" s="12">
        <v>15.9</v>
      </c>
      <c r="R76" s="12">
        <v>7.51</v>
      </c>
      <c r="S76" s="12">
        <v>0.84</v>
      </c>
      <c r="T76" s="12">
        <v>4500</v>
      </c>
      <c r="U76" s="12">
        <v>5</v>
      </c>
      <c r="V76" s="11">
        <v>75</v>
      </c>
    </row>
    <row r="77" spans="1:22" ht="16.5" customHeight="1" x14ac:dyDescent="0.25">
      <c r="A77" t="s">
        <v>1012</v>
      </c>
      <c r="B77" t="str">
        <f>VLOOKUP(VERIFICAREQUIPOS[[#This Row],[SEGÚN LISTA]],EQUIPOS[EQUIPOS],1,0)</f>
        <v>MOTOROLA MOTO E13 64GB</v>
      </c>
      <c r="D77" s="3" t="s">
        <v>73</v>
      </c>
      <c r="E77" s="12"/>
      <c r="F77" s="12">
        <v>12</v>
      </c>
      <c r="G77" s="12">
        <v>6.5</v>
      </c>
      <c r="H77" s="12">
        <v>64</v>
      </c>
      <c r="I77" s="12">
        <v>4</v>
      </c>
      <c r="J77" s="12">
        <v>32</v>
      </c>
      <c r="K77" s="15" t="s">
        <v>160</v>
      </c>
      <c r="L77" s="12">
        <v>256</v>
      </c>
      <c r="M77" s="12">
        <v>8</v>
      </c>
      <c r="N77" s="12" t="s">
        <v>190</v>
      </c>
      <c r="O77" s="12">
        <v>6</v>
      </c>
      <c r="P77" s="12">
        <v>189</v>
      </c>
      <c r="Q77" s="12">
        <v>15.9</v>
      </c>
      <c r="R77" s="12">
        <v>7.48</v>
      </c>
      <c r="S77" s="12">
        <v>0.81</v>
      </c>
      <c r="T77" s="12">
        <v>5000</v>
      </c>
      <c r="U77" s="12">
        <v>5</v>
      </c>
      <c r="V77" s="11">
        <v>76</v>
      </c>
    </row>
    <row r="78" spans="1:22" ht="16.5" customHeight="1" x14ac:dyDescent="0.25">
      <c r="A78" t="s">
        <v>76</v>
      </c>
      <c r="B78" t="str">
        <f>VLOOKUP(VERIFICAREQUIPOS[[#This Row],[SEGÚN LISTA]],EQUIPOS[EQUIPOS],1,0)</f>
        <v>MOTOROLA G22 128GB</v>
      </c>
      <c r="D78" s="3" t="s">
        <v>1015</v>
      </c>
      <c r="E78" s="12"/>
      <c r="F78" s="12">
        <v>13</v>
      </c>
      <c r="G78" s="12" t="s">
        <v>1033</v>
      </c>
      <c r="H78" s="12" t="s">
        <v>1175</v>
      </c>
      <c r="I78" s="12">
        <v>3</v>
      </c>
      <c r="J78" s="12" t="s">
        <v>1176</v>
      </c>
      <c r="K78" s="15" t="s">
        <v>157</v>
      </c>
      <c r="L78" s="12">
        <v>1024</v>
      </c>
      <c r="M78" s="12">
        <v>8</v>
      </c>
      <c r="N78" s="12" t="s">
        <v>1034</v>
      </c>
      <c r="O78" s="12">
        <v>8</v>
      </c>
      <c r="P78" s="12">
        <v>202</v>
      </c>
      <c r="Q78" s="12">
        <v>15.82</v>
      </c>
      <c r="R78" s="12">
        <v>7.67</v>
      </c>
      <c r="S78" s="12">
        <v>0.82</v>
      </c>
      <c r="T78" s="12">
        <v>5000</v>
      </c>
      <c r="U78" s="12">
        <v>4.5</v>
      </c>
      <c r="V78" s="11">
        <v>77</v>
      </c>
    </row>
    <row r="79" spans="1:22" ht="16.5" customHeight="1" x14ac:dyDescent="0.25">
      <c r="A79" t="s">
        <v>17</v>
      </c>
      <c r="B79" t="str">
        <f>VLOOKUP(VERIFICAREQUIPOS[[#This Row],[SEGÚN LISTA]],EQUIPOS[EQUIPOS],1,0)</f>
        <v>HUAWEI Y9A 128GB</v>
      </c>
      <c r="D79" s="3" t="s">
        <v>30</v>
      </c>
      <c r="E79" s="12"/>
      <c r="F79" s="12">
        <v>12</v>
      </c>
      <c r="G79" s="12">
        <v>6.3</v>
      </c>
      <c r="H79" s="12">
        <v>16</v>
      </c>
      <c r="I79" s="12">
        <v>3</v>
      </c>
      <c r="J79" s="12">
        <v>10</v>
      </c>
      <c r="K79" s="15" t="s">
        <v>157</v>
      </c>
      <c r="L79" s="12">
        <v>256</v>
      </c>
      <c r="M79" s="12">
        <v>8</v>
      </c>
      <c r="N79" s="12" t="s">
        <v>191</v>
      </c>
      <c r="O79" s="12">
        <v>8</v>
      </c>
      <c r="P79" s="12">
        <v>168</v>
      </c>
      <c r="Q79" s="12">
        <v>15.1</v>
      </c>
      <c r="R79" s="12">
        <v>7.18</v>
      </c>
      <c r="S79" s="12">
        <v>0.79</v>
      </c>
      <c r="T79" s="12">
        <v>3500</v>
      </c>
      <c r="U79" s="12">
        <v>4.5</v>
      </c>
      <c r="V79" s="11">
        <v>78</v>
      </c>
    </row>
    <row r="80" spans="1:22" ht="16.5" customHeight="1" x14ac:dyDescent="0.25">
      <c r="A80" t="s">
        <v>127</v>
      </c>
      <c r="B80" t="str">
        <f>VLOOKUP(VERIFICAREQUIPOS[[#This Row],[SEGÚN LISTA]],EQUIPOS[EQUIPOS],1,0)</f>
        <v>HUAWEI NOVA Y90 128GB</v>
      </c>
      <c r="D80" s="3" t="s">
        <v>31</v>
      </c>
      <c r="E80" s="12"/>
      <c r="F80" s="12">
        <v>12</v>
      </c>
      <c r="G80" s="12">
        <v>6.8</v>
      </c>
      <c r="H80" s="12">
        <v>16</v>
      </c>
      <c r="I80" s="12">
        <v>3</v>
      </c>
      <c r="J80" s="12">
        <v>10</v>
      </c>
      <c r="K80" s="15" t="s">
        <v>157</v>
      </c>
      <c r="L80" s="12">
        <v>256</v>
      </c>
      <c r="M80" s="12">
        <v>8</v>
      </c>
      <c r="N80" s="12" t="s">
        <v>192</v>
      </c>
      <c r="O80" s="12">
        <v>12</v>
      </c>
      <c r="P80" s="12">
        <v>196</v>
      </c>
      <c r="Q80" s="12">
        <v>16.2</v>
      </c>
      <c r="R80" s="12">
        <v>7.7</v>
      </c>
      <c r="S80" s="12">
        <v>0.79</v>
      </c>
      <c r="T80" s="12">
        <v>4300</v>
      </c>
      <c r="U80" s="12">
        <v>4.5</v>
      </c>
      <c r="V80" s="11">
        <v>79</v>
      </c>
    </row>
    <row r="81" spans="1:22" ht="16.5" customHeight="1" x14ac:dyDescent="0.25">
      <c r="A81" t="s">
        <v>97</v>
      </c>
      <c r="B81" t="str">
        <f>VLOOKUP(VERIFICAREQUIPOS[[#This Row],[SEGÚN LISTA]],EQUIPOS[EQUIPOS],1,0)</f>
        <v>HONOR X9 128GB</v>
      </c>
      <c r="D81" s="3" t="s">
        <v>84</v>
      </c>
      <c r="E81" s="12"/>
      <c r="F81" s="12">
        <v>10</v>
      </c>
      <c r="G81" s="12">
        <v>6.5</v>
      </c>
      <c r="H81" s="12">
        <v>12</v>
      </c>
      <c r="I81" s="12">
        <v>3</v>
      </c>
      <c r="J81" s="12">
        <v>32</v>
      </c>
      <c r="K81" s="13" t="s">
        <v>160</v>
      </c>
      <c r="L81" s="12">
        <v>1024</v>
      </c>
      <c r="M81" s="12">
        <v>8</v>
      </c>
      <c r="N81" s="14" t="s">
        <v>193</v>
      </c>
      <c r="O81" s="12">
        <v>6</v>
      </c>
      <c r="P81" s="12">
        <v>190</v>
      </c>
      <c r="Q81" s="12">
        <v>15.9</v>
      </c>
      <c r="R81" s="12">
        <v>7.45</v>
      </c>
      <c r="S81" s="12">
        <v>0.84</v>
      </c>
      <c r="T81" s="12">
        <v>4500</v>
      </c>
      <c r="U81" s="12">
        <v>5</v>
      </c>
      <c r="V81" s="11">
        <v>80</v>
      </c>
    </row>
    <row r="82" spans="1:22" ht="16.5" customHeight="1" x14ac:dyDescent="0.25">
      <c r="A82" t="s">
        <v>602</v>
      </c>
      <c r="B82" t="str">
        <f>VLOOKUP(VERIFICAREQUIPOS[[#This Row],[SEGÚN LISTA]],EQUIPOS[EQUIPOS],1,0)</f>
        <v>HONOR X8A 128GB</v>
      </c>
      <c r="D82" s="3" t="s">
        <v>50</v>
      </c>
      <c r="E82" s="12"/>
      <c r="F82" s="12">
        <v>11</v>
      </c>
      <c r="G82" s="12">
        <v>6.4</v>
      </c>
      <c r="H82" s="12">
        <v>12</v>
      </c>
      <c r="I82" s="12">
        <v>3</v>
      </c>
      <c r="J82" s="12">
        <v>32</v>
      </c>
      <c r="K82" s="13" t="s">
        <v>160</v>
      </c>
      <c r="L82" s="12">
        <v>0</v>
      </c>
      <c r="M82" s="12">
        <v>8</v>
      </c>
      <c r="N82" s="14" t="s">
        <v>194</v>
      </c>
      <c r="O82" s="12">
        <v>8</v>
      </c>
      <c r="P82" s="12">
        <v>177</v>
      </c>
      <c r="Q82" s="12">
        <v>15.5</v>
      </c>
      <c r="R82" s="12">
        <v>7.45</v>
      </c>
      <c r="S82" s="12">
        <v>0.79</v>
      </c>
      <c r="T82" s="12">
        <v>4500</v>
      </c>
      <c r="U82" s="12">
        <v>5</v>
      </c>
      <c r="V82" s="11">
        <v>81</v>
      </c>
    </row>
    <row r="83" spans="1:22" ht="16.5" customHeight="1" x14ac:dyDescent="0.25">
      <c r="A83" t="s">
        <v>77</v>
      </c>
      <c r="B83" t="str">
        <f>VLOOKUP(VERIFICAREQUIPOS[[#This Row],[SEGÚN LISTA]],EQUIPOS[EQUIPOS],1,0)</f>
        <v>HONOR X8 128GB</v>
      </c>
      <c r="D83" s="3" t="s">
        <v>61</v>
      </c>
      <c r="E83" s="12"/>
      <c r="F83" s="12">
        <v>12</v>
      </c>
      <c r="G83" s="12">
        <v>6.1</v>
      </c>
      <c r="H83" s="12">
        <v>50</v>
      </c>
      <c r="I83" s="12">
        <v>3</v>
      </c>
      <c r="J83" s="12">
        <v>10</v>
      </c>
      <c r="K83" s="13" t="s">
        <v>160</v>
      </c>
      <c r="L83" s="12">
        <v>0</v>
      </c>
      <c r="M83" s="12">
        <v>8</v>
      </c>
      <c r="N83" s="14" t="s">
        <v>195</v>
      </c>
      <c r="O83" s="12">
        <v>8</v>
      </c>
      <c r="P83" s="12">
        <v>167</v>
      </c>
      <c r="Q83" s="12">
        <v>14.6</v>
      </c>
      <c r="R83" s="12">
        <v>7.06</v>
      </c>
      <c r="S83" s="12">
        <v>0.76</v>
      </c>
      <c r="T83" s="12">
        <v>3700</v>
      </c>
      <c r="U83" s="12">
        <v>5</v>
      </c>
      <c r="V83" s="11">
        <v>82</v>
      </c>
    </row>
    <row r="84" spans="1:22" ht="16.5" customHeight="1" x14ac:dyDescent="0.25">
      <c r="A84" t="s">
        <v>590</v>
      </c>
      <c r="B84" t="str">
        <f>VLOOKUP(VERIFICAREQUIPOS[[#This Row],[SEGÚN LISTA]],EQUIPOS[EQUIPOS],1,0)</f>
        <v>HONOR X7A 128GB</v>
      </c>
      <c r="D84" s="3" t="s">
        <v>62</v>
      </c>
      <c r="E84" s="12"/>
      <c r="F84" s="12">
        <v>12</v>
      </c>
      <c r="G84" s="12">
        <v>6.6</v>
      </c>
      <c r="H84" s="12">
        <v>50</v>
      </c>
      <c r="I84" s="12">
        <v>3</v>
      </c>
      <c r="J84" s="12">
        <v>10</v>
      </c>
      <c r="K84" s="13" t="s">
        <v>160</v>
      </c>
      <c r="L84" s="12">
        <v>0</v>
      </c>
      <c r="M84" s="12">
        <v>8</v>
      </c>
      <c r="N84" s="14" t="s">
        <v>195</v>
      </c>
      <c r="O84" s="12">
        <v>8</v>
      </c>
      <c r="P84" s="12">
        <v>195</v>
      </c>
      <c r="Q84" s="12">
        <v>15.7</v>
      </c>
      <c r="R84" s="12">
        <v>7.58</v>
      </c>
      <c r="S84" s="12">
        <v>0.76</v>
      </c>
      <c r="T84" s="12">
        <v>4500</v>
      </c>
      <c r="U84" s="12">
        <v>5</v>
      </c>
      <c r="V84" s="11">
        <v>83</v>
      </c>
    </row>
    <row r="85" spans="1:22" ht="16.5" customHeight="1" x14ac:dyDescent="0.25">
      <c r="A85" t="s">
        <v>100</v>
      </c>
      <c r="B85" t="str">
        <f>VLOOKUP(VERIFICAREQUIPOS[[#This Row],[SEGÚN LISTA]],EQUIPOS[EQUIPOS],1,0)</f>
        <v>HONOR X7 128GB PRO</v>
      </c>
      <c r="D85" s="3" t="s">
        <v>63</v>
      </c>
      <c r="E85" s="12"/>
      <c r="F85" s="12">
        <v>12</v>
      </c>
      <c r="G85" s="12">
        <v>6.8</v>
      </c>
      <c r="H85" s="12">
        <v>108</v>
      </c>
      <c r="I85" s="12">
        <v>3</v>
      </c>
      <c r="J85" s="12">
        <v>40</v>
      </c>
      <c r="K85" s="13" t="s">
        <v>160</v>
      </c>
      <c r="L85" s="12">
        <v>0</v>
      </c>
      <c r="M85" s="12">
        <v>8</v>
      </c>
      <c r="N85" s="14" t="s">
        <v>195</v>
      </c>
      <c r="O85" s="12">
        <v>8</v>
      </c>
      <c r="P85" s="12">
        <v>228</v>
      </c>
      <c r="Q85" s="12">
        <v>16.3</v>
      </c>
      <c r="R85" s="12">
        <v>7.79</v>
      </c>
      <c r="S85" s="12">
        <v>0.89</v>
      </c>
      <c r="T85" s="12">
        <v>5000</v>
      </c>
      <c r="U85" s="12">
        <v>5</v>
      </c>
      <c r="V85" s="11">
        <v>84</v>
      </c>
    </row>
    <row r="86" spans="1:22" ht="16.5" customHeight="1" x14ac:dyDescent="0.25">
      <c r="A86" t="s">
        <v>83</v>
      </c>
      <c r="B86" t="str">
        <f>VLOOKUP(VERIFICAREQUIPOS[[#This Row],[SEGÚN LISTA]],EQUIPOS[EQUIPOS],1,0)</f>
        <v>HONOR X7 128GB</v>
      </c>
      <c r="D86" s="3" t="s">
        <v>595</v>
      </c>
      <c r="E86" s="12"/>
      <c r="F86" s="12">
        <v>13</v>
      </c>
      <c r="G86" s="12" t="s">
        <v>1157</v>
      </c>
      <c r="H86" s="12">
        <v>50</v>
      </c>
      <c r="I86" s="12">
        <v>3</v>
      </c>
      <c r="J86" s="12">
        <v>12</v>
      </c>
      <c r="K86" s="13" t="s">
        <v>160</v>
      </c>
      <c r="L86" s="12">
        <v>0</v>
      </c>
      <c r="M86" s="12">
        <v>8</v>
      </c>
      <c r="N86" s="12" t="s">
        <v>601</v>
      </c>
      <c r="O86" s="12">
        <v>8</v>
      </c>
      <c r="P86" s="12">
        <v>167</v>
      </c>
      <c r="Q86" s="12">
        <v>14.6</v>
      </c>
      <c r="R86" s="12">
        <v>7.09</v>
      </c>
      <c r="S86" s="12">
        <v>0.76</v>
      </c>
      <c r="T86" s="12" t="s">
        <v>1171</v>
      </c>
      <c r="U86" s="12">
        <v>5</v>
      </c>
      <c r="V86" s="11">
        <v>85</v>
      </c>
    </row>
    <row r="87" spans="1:22" ht="16.5" customHeight="1" x14ac:dyDescent="0.25">
      <c r="A87" t="s">
        <v>589</v>
      </c>
      <c r="B87" t="str">
        <f>VLOOKUP(VERIFICAREQUIPOS[[#This Row],[SEGÚN LISTA]],EQUIPOS[EQUIPOS],1,0)</f>
        <v>HONOR X6S 128GB</v>
      </c>
      <c r="D87" s="3" t="s">
        <v>596</v>
      </c>
      <c r="E87" s="12"/>
      <c r="F87" s="12">
        <v>13</v>
      </c>
      <c r="G87" s="12" t="s">
        <v>1157</v>
      </c>
      <c r="H87" s="12">
        <v>50</v>
      </c>
      <c r="I87" s="12">
        <v>3</v>
      </c>
      <c r="J87" s="12">
        <v>12</v>
      </c>
      <c r="K87" s="13" t="s">
        <v>157</v>
      </c>
      <c r="L87" s="12">
        <v>0</v>
      </c>
      <c r="M87" s="12">
        <v>8</v>
      </c>
      <c r="N87" s="12" t="s">
        <v>601</v>
      </c>
      <c r="O87" s="12">
        <v>8</v>
      </c>
      <c r="P87" s="12">
        <v>167</v>
      </c>
      <c r="Q87" s="12">
        <v>14.6</v>
      </c>
      <c r="R87" s="12">
        <v>7.09</v>
      </c>
      <c r="S87" s="12">
        <v>0.76</v>
      </c>
      <c r="T87" s="12" t="s">
        <v>1171</v>
      </c>
      <c r="U87" s="12">
        <v>5</v>
      </c>
      <c r="V87" s="11">
        <v>86</v>
      </c>
    </row>
    <row r="88" spans="1:22" ht="16.5" customHeight="1" x14ac:dyDescent="0.25">
      <c r="A88" t="s">
        <v>122</v>
      </c>
      <c r="B88" t="str">
        <f>VLOOKUP(VERIFICAREQUIPOS[[#This Row],[SEGÚN LISTA]],EQUIPOS[EQUIPOS],1,0)</f>
        <v>HONOR X6 64GB</v>
      </c>
      <c r="D88" s="3" t="s">
        <v>597</v>
      </c>
      <c r="E88" s="12"/>
      <c r="F88" s="12">
        <v>13</v>
      </c>
      <c r="G88" s="12" t="s">
        <v>1158</v>
      </c>
      <c r="H88" s="12">
        <v>50</v>
      </c>
      <c r="I88" s="12">
        <v>3</v>
      </c>
      <c r="J88" s="12">
        <v>12</v>
      </c>
      <c r="K88" s="13" t="s">
        <v>157</v>
      </c>
      <c r="L88" s="12">
        <v>0</v>
      </c>
      <c r="M88" s="12">
        <v>8</v>
      </c>
      <c r="N88" s="12" t="s">
        <v>601</v>
      </c>
      <c r="O88" s="12">
        <v>8</v>
      </c>
      <c r="P88" s="12">
        <v>195</v>
      </c>
      <c r="Q88" s="12">
        <v>15.8</v>
      </c>
      <c r="R88" s="12">
        <v>7.62</v>
      </c>
      <c r="S88" s="12">
        <v>0.76</v>
      </c>
      <c r="T88" s="12" t="s">
        <v>1172</v>
      </c>
      <c r="U88" s="12">
        <v>5</v>
      </c>
      <c r="V88" s="11">
        <v>87</v>
      </c>
    </row>
    <row r="89" spans="1:22" ht="16.5" customHeight="1" x14ac:dyDescent="0.25">
      <c r="A89" t="s">
        <v>1217</v>
      </c>
      <c r="B89" t="str">
        <f>VLOOKUP(VERIFICAREQUIPOS[[#This Row],[SEGÚN LISTA]],EQUIPOS[EQUIPOS],1,0)</f>
        <v>HONOR MAGIC 5 LITE 256GB 5G</v>
      </c>
      <c r="D89" s="3" t="s">
        <v>598</v>
      </c>
      <c r="E89" s="12"/>
      <c r="F89" s="12">
        <v>13</v>
      </c>
      <c r="G89" s="12" t="s">
        <v>1158</v>
      </c>
      <c r="H89" s="12">
        <v>50</v>
      </c>
      <c r="I89" s="12">
        <v>3</v>
      </c>
      <c r="J89" s="12">
        <v>12</v>
      </c>
      <c r="K89" s="13" t="s">
        <v>162</v>
      </c>
      <c r="L89" s="12">
        <v>0</v>
      </c>
      <c r="M89" s="12">
        <v>8</v>
      </c>
      <c r="N89" s="12" t="s">
        <v>601</v>
      </c>
      <c r="O89" s="12">
        <v>12</v>
      </c>
      <c r="P89" s="12">
        <v>195</v>
      </c>
      <c r="Q89" s="12">
        <v>15.8</v>
      </c>
      <c r="R89" s="12">
        <v>7.62</v>
      </c>
      <c r="S89" s="12">
        <v>0.76</v>
      </c>
      <c r="T89" s="12" t="s">
        <v>1172</v>
      </c>
      <c r="U89" s="12">
        <v>5</v>
      </c>
      <c r="V89" s="11">
        <v>88</v>
      </c>
    </row>
    <row r="90" spans="1:22" ht="16.5" customHeight="1" x14ac:dyDescent="0.25">
      <c r="A90" t="s">
        <v>946</v>
      </c>
      <c r="B90" t="str">
        <f>VLOOKUP(VERIFICAREQUIPOS[[#This Row],[SEGÚN LISTA]],EQUIPOS[EQUIPOS],1,0)</f>
        <v>HONOR MAGIC 5 LITE 128GB 5G</v>
      </c>
      <c r="D90" s="3" t="s">
        <v>599</v>
      </c>
      <c r="E90" s="12"/>
      <c r="F90" s="12">
        <v>13</v>
      </c>
      <c r="G90" s="12" t="s">
        <v>1159</v>
      </c>
      <c r="H90" s="12">
        <v>200</v>
      </c>
      <c r="I90" s="12">
        <v>5</v>
      </c>
      <c r="J90" s="12">
        <v>12</v>
      </c>
      <c r="K90" s="13" t="s">
        <v>157</v>
      </c>
      <c r="L90" s="12">
        <v>0</v>
      </c>
      <c r="M90" s="12">
        <v>8</v>
      </c>
      <c r="N90" s="12" t="s">
        <v>601</v>
      </c>
      <c r="O90" s="12">
        <v>8</v>
      </c>
      <c r="P90" s="12">
        <v>234</v>
      </c>
      <c r="Q90" s="12">
        <v>16.3</v>
      </c>
      <c r="R90" s="12">
        <v>7.81</v>
      </c>
      <c r="S90" s="12">
        <v>0.89</v>
      </c>
      <c r="T90" s="12" t="s">
        <v>1173</v>
      </c>
      <c r="U90" s="12">
        <v>5</v>
      </c>
      <c r="V90" s="11">
        <v>89</v>
      </c>
    </row>
    <row r="91" spans="1:22" ht="16.5" customHeight="1" x14ac:dyDescent="0.25">
      <c r="A91" t="s">
        <v>121</v>
      </c>
      <c r="B91" t="str">
        <f>VLOOKUP(VERIFICAREQUIPOS[[#This Row],[SEGÚN LISTA]],EQUIPOS[EQUIPOS],1,0)</f>
        <v>HONOR 70 256GB</v>
      </c>
      <c r="D91" s="3" t="s">
        <v>600</v>
      </c>
      <c r="E91" s="12"/>
      <c r="F91" s="12">
        <v>13</v>
      </c>
      <c r="G91" s="12" t="s">
        <v>1159</v>
      </c>
      <c r="H91" s="12">
        <v>200</v>
      </c>
      <c r="I91" s="12">
        <v>5</v>
      </c>
      <c r="J91" s="12">
        <v>12</v>
      </c>
      <c r="K91" s="13" t="s">
        <v>162</v>
      </c>
      <c r="L91" s="12">
        <v>0</v>
      </c>
      <c r="M91" s="12">
        <v>8</v>
      </c>
      <c r="N91" s="12" t="s">
        <v>601</v>
      </c>
      <c r="O91" s="12">
        <v>12</v>
      </c>
      <c r="P91" s="12">
        <v>234</v>
      </c>
      <c r="Q91" s="12">
        <v>16.3</v>
      </c>
      <c r="R91" s="12">
        <v>7.81</v>
      </c>
      <c r="S91" s="12">
        <v>0.89</v>
      </c>
      <c r="T91" s="12" t="s">
        <v>1173</v>
      </c>
      <c r="U91" s="12">
        <v>5</v>
      </c>
      <c r="V91" s="11">
        <v>90</v>
      </c>
    </row>
    <row r="92" spans="1:22" ht="16.5" customHeight="1" x14ac:dyDescent="0.25">
      <c r="A92" t="s">
        <v>120</v>
      </c>
      <c r="B92" t="str">
        <f>VLOOKUP(VERIFICAREQUIPOS[[#This Row],[SEGÚN LISTA]],EQUIPOS[EQUIPOS],1,0)</f>
        <v>HONOR 70 128GB</v>
      </c>
      <c r="D92" s="3" t="s">
        <v>32</v>
      </c>
      <c r="E92" s="12"/>
      <c r="F92" s="12">
        <v>11</v>
      </c>
      <c r="G92" s="12">
        <v>6.7</v>
      </c>
      <c r="H92" s="12">
        <v>12</v>
      </c>
      <c r="I92" s="12">
        <v>2</v>
      </c>
      <c r="J92" s="12">
        <v>10</v>
      </c>
      <c r="K92" s="13" t="s">
        <v>157</v>
      </c>
      <c r="L92" s="12">
        <v>0</v>
      </c>
      <c r="M92" s="12">
        <v>8</v>
      </c>
      <c r="N92" s="14"/>
      <c r="O92" s="12">
        <v>8</v>
      </c>
      <c r="P92" s="12">
        <v>183</v>
      </c>
      <c r="Q92" s="14">
        <v>86.4</v>
      </c>
      <c r="R92" s="12">
        <v>7.22</v>
      </c>
      <c r="S92" s="12">
        <v>0.69</v>
      </c>
      <c r="T92" s="12">
        <v>3300</v>
      </c>
      <c r="U92" s="12">
        <v>5</v>
      </c>
      <c r="V92" s="11">
        <v>91</v>
      </c>
    </row>
    <row r="93" spans="1:22" ht="16.5" customHeight="1" x14ac:dyDescent="0.25">
      <c r="A93" t="s">
        <v>66</v>
      </c>
      <c r="B93" t="str">
        <f>VLOOKUP(VERIFICAREQUIPOS[[#This Row],[SEGÚN LISTA]],EQUIPOS[EQUIPOS],1,0)</f>
        <v>APPLE IPHONE XR 64GB SA</v>
      </c>
      <c r="D93" s="3" t="s">
        <v>104</v>
      </c>
      <c r="E93" s="12"/>
      <c r="F93" s="12">
        <v>12</v>
      </c>
      <c r="G93" s="12">
        <v>6.7</v>
      </c>
      <c r="H93" s="12">
        <v>12</v>
      </c>
      <c r="I93" s="12">
        <v>2</v>
      </c>
      <c r="J93" s="12">
        <v>10</v>
      </c>
      <c r="K93" s="15" t="s">
        <v>157</v>
      </c>
      <c r="L93" s="12">
        <v>0</v>
      </c>
      <c r="M93" s="12">
        <v>8</v>
      </c>
      <c r="N93" s="12" t="s">
        <v>196</v>
      </c>
      <c r="O93" s="12">
        <v>8</v>
      </c>
      <c r="P93" s="12">
        <v>187</v>
      </c>
      <c r="Q93" s="12">
        <v>16.5</v>
      </c>
      <c r="R93" s="12">
        <v>7.13</v>
      </c>
      <c r="S93" s="12">
        <v>0.69</v>
      </c>
      <c r="T93" s="12">
        <v>3700</v>
      </c>
      <c r="U93" s="12">
        <v>5</v>
      </c>
      <c r="V93" s="11">
        <v>92</v>
      </c>
    </row>
    <row r="94" spans="1:22" ht="16.5" customHeight="1" x14ac:dyDescent="0.25">
      <c r="A94" t="s">
        <v>55</v>
      </c>
      <c r="B94" t="str">
        <f>VLOOKUP(VERIFICAREQUIPOS[[#This Row],[SEGÚN LISTA]],EQUIPOS[EQUIPOS],1,0)</f>
        <v>APPLE IPHONE XR 64GB</v>
      </c>
      <c r="D94" s="3" t="s">
        <v>33</v>
      </c>
      <c r="E94" s="12"/>
      <c r="F94" s="12">
        <v>11</v>
      </c>
      <c r="G94" s="12">
        <v>7.6</v>
      </c>
      <c r="H94" s="12">
        <v>12</v>
      </c>
      <c r="I94" s="12">
        <v>3</v>
      </c>
      <c r="J94" s="12">
        <v>12</v>
      </c>
      <c r="K94" s="13" t="s">
        <v>157</v>
      </c>
      <c r="L94" s="12">
        <v>0</v>
      </c>
      <c r="M94" s="12">
        <v>8</v>
      </c>
      <c r="N94" s="14" t="s">
        <v>173</v>
      </c>
      <c r="O94" s="12">
        <v>12</v>
      </c>
      <c r="P94" s="12">
        <v>271</v>
      </c>
      <c r="Q94" s="14">
        <v>15.8</v>
      </c>
      <c r="R94" s="12">
        <v>12.8</v>
      </c>
      <c r="S94" s="12">
        <v>0.64</v>
      </c>
      <c r="T94" s="12">
        <v>4400</v>
      </c>
      <c r="U94" s="12">
        <v>5</v>
      </c>
      <c r="V94" s="11">
        <v>93</v>
      </c>
    </row>
    <row r="95" spans="1:22" ht="16.5" customHeight="1" x14ac:dyDescent="0.25">
      <c r="A95" t="s">
        <v>119</v>
      </c>
      <c r="B95" t="str">
        <f>VLOOKUP(VERIFICAREQUIPOS[[#This Row],[SEGÚN LISTA]],EQUIPOS[EQUIPOS],1,0)</f>
        <v>APPLE IPHONE 14 PRO MAX 512GB</v>
      </c>
      <c r="D95" s="3" t="s">
        <v>105</v>
      </c>
      <c r="E95" s="12"/>
      <c r="F95" s="12">
        <v>12</v>
      </c>
      <c r="G95" s="12">
        <v>7.6</v>
      </c>
      <c r="H95" s="12">
        <v>50</v>
      </c>
      <c r="I95" s="12">
        <v>3</v>
      </c>
      <c r="J95" s="12">
        <v>10</v>
      </c>
      <c r="K95" s="15" t="s">
        <v>157</v>
      </c>
      <c r="L95" s="12">
        <v>0</v>
      </c>
      <c r="M95" s="12">
        <v>8</v>
      </c>
      <c r="N95" s="12" t="s">
        <v>197</v>
      </c>
      <c r="O95" s="12">
        <v>12</v>
      </c>
      <c r="P95" s="12">
        <v>263</v>
      </c>
      <c r="Q95" s="12">
        <v>15.5</v>
      </c>
      <c r="R95" s="12">
        <v>13</v>
      </c>
      <c r="S95" s="12">
        <v>0.63</v>
      </c>
      <c r="T95" s="12">
        <v>4400</v>
      </c>
      <c r="U95" s="12">
        <v>5</v>
      </c>
      <c r="V95" s="11">
        <v>94</v>
      </c>
    </row>
    <row r="96" spans="1:22" ht="16.5" customHeight="1" x14ac:dyDescent="0.25">
      <c r="A96" t="s">
        <v>118</v>
      </c>
      <c r="B96" t="str">
        <f>VLOOKUP(VERIFICAREQUIPOS[[#This Row],[SEGÚN LISTA]],EQUIPOS[EQUIPOS],1,0)</f>
        <v>APPLE IPHONE 14 PRO MAX 256GB</v>
      </c>
      <c r="D96" s="3" t="s">
        <v>92</v>
      </c>
      <c r="E96" s="12"/>
      <c r="F96" s="12">
        <v>11</v>
      </c>
      <c r="G96" s="12">
        <v>6.67</v>
      </c>
      <c r="H96" s="12">
        <v>48</v>
      </c>
      <c r="I96" s="12">
        <v>4</v>
      </c>
      <c r="J96" s="12">
        <v>32</v>
      </c>
      <c r="K96" s="15" t="s">
        <v>157</v>
      </c>
      <c r="L96" s="12">
        <v>256</v>
      </c>
      <c r="M96" s="12">
        <v>8</v>
      </c>
      <c r="N96" s="12" t="s">
        <v>172</v>
      </c>
      <c r="O96" s="12">
        <v>6</v>
      </c>
      <c r="P96" s="12">
        <v>190</v>
      </c>
      <c r="Q96" s="12">
        <v>16.399999999999999</v>
      </c>
      <c r="R96" s="12">
        <v>7.3</v>
      </c>
      <c r="S96" s="12">
        <v>0.88</v>
      </c>
      <c r="T96" s="12">
        <v>4500</v>
      </c>
      <c r="U96" s="12">
        <v>5</v>
      </c>
      <c r="V96" s="11">
        <v>95</v>
      </c>
    </row>
    <row r="97" spans="1:22" ht="16.5" customHeight="1" x14ac:dyDescent="0.25">
      <c r="A97" t="s">
        <v>117</v>
      </c>
      <c r="B97" t="str">
        <f>VLOOKUP(VERIFICAREQUIPOS[[#This Row],[SEGÚN LISTA]],EQUIPOS[EQUIPOS],1,0)</f>
        <v>APPLE IPHONE 14 PRO MAX 1TB</v>
      </c>
      <c r="D97" s="3" t="s">
        <v>87</v>
      </c>
      <c r="E97" s="12"/>
      <c r="F97" s="12">
        <v>11</v>
      </c>
      <c r="G97" s="12">
        <v>6.44</v>
      </c>
      <c r="H97" s="12">
        <v>64</v>
      </c>
      <c r="I97" s="12">
        <v>3</v>
      </c>
      <c r="J97" s="12">
        <v>44</v>
      </c>
      <c r="K97" s="13" t="s">
        <v>160</v>
      </c>
      <c r="L97" s="12">
        <v>256</v>
      </c>
      <c r="M97" s="12">
        <v>8</v>
      </c>
      <c r="N97" s="14" t="s">
        <v>189</v>
      </c>
      <c r="O97" s="12">
        <v>8</v>
      </c>
      <c r="P97" s="12">
        <v>176</v>
      </c>
      <c r="Q97" s="12">
        <v>15.9</v>
      </c>
      <c r="R97" s="12">
        <v>7.39</v>
      </c>
      <c r="S97" s="12">
        <v>0.73</v>
      </c>
      <c r="T97" s="12">
        <v>4000</v>
      </c>
      <c r="U97" s="12">
        <v>5</v>
      </c>
      <c r="V97" s="11">
        <v>96</v>
      </c>
    </row>
    <row r="98" spans="1:22" ht="16.5" customHeight="1" x14ac:dyDescent="0.25">
      <c r="A98" t="s">
        <v>116</v>
      </c>
      <c r="B98" t="str">
        <f>VLOOKUP(VERIFICAREQUIPOS[[#This Row],[SEGÚN LISTA]],EQUIPOS[EQUIPOS],1,0)</f>
        <v>APPLE IPHONE 14 PRO MAX 128GB</v>
      </c>
      <c r="D98" s="3" t="s">
        <v>131</v>
      </c>
      <c r="E98" s="12"/>
      <c r="F98" s="12">
        <v>12</v>
      </c>
      <c r="G98" s="12">
        <v>6.78</v>
      </c>
      <c r="H98" s="12">
        <v>50</v>
      </c>
      <c r="I98" s="12">
        <v>4</v>
      </c>
      <c r="J98" s="12">
        <v>32</v>
      </c>
      <c r="K98" s="15" t="s">
        <v>157</v>
      </c>
      <c r="L98" s="12">
        <v>0</v>
      </c>
      <c r="M98" s="12">
        <v>8</v>
      </c>
      <c r="N98" s="12" t="s">
        <v>195</v>
      </c>
      <c r="O98" s="12">
        <v>12</v>
      </c>
      <c r="P98" s="12">
        <v>215</v>
      </c>
      <c r="Q98" s="12">
        <v>16.399999999999999</v>
      </c>
      <c r="R98" s="12">
        <v>7.53</v>
      </c>
      <c r="S98" s="12">
        <v>0.91</v>
      </c>
      <c r="T98" s="12">
        <v>4700</v>
      </c>
      <c r="U98" s="12">
        <v>5</v>
      </c>
      <c r="V98" s="11">
        <v>97</v>
      </c>
    </row>
    <row r="99" spans="1:22" ht="16.5" customHeight="1" x14ac:dyDescent="0.25">
      <c r="A99" t="s">
        <v>115</v>
      </c>
      <c r="B99" t="str">
        <f>VLOOKUP(VERIFICAREQUIPOS[[#This Row],[SEGÚN LISTA]],EQUIPOS[EQUIPOS],1,0)</f>
        <v>APPLE IPHONE 14 PRO 512GB</v>
      </c>
      <c r="D99" s="3" t="s">
        <v>1040</v>
      </c>
      <c r="E99" s="12"/>
      <c r="F99" s="12">
        <v>12</v>
      </c>
      <c r="G99" s="12" t="s">
        <v>1133</v>
      </c>
      <c r="H99" s="12">
        <v>13</v>
      </c>
      <c r="I99" s="12">
        <v>2</v>
      </c>
      <c r="J99" s="12">
        <v>5</v>
      </c>
      <c r="K99" s="12" t="s">
        <v>159</v>
      </c>
      <c r="L99" s="12">
        <v>0</v>
      </c>
      <c r="M99" s="11">
        <v>8</v>
      </c>
      <c r="N99" s="12" t="s">
        <v>1136</v>
      </c>
      <c r="O99" s="12">
        <v>4</v>
      </c>
      <c r="P99" s="12">
        <v>183</v>
      </c>
      <c r="Q99" s="12">
        <v>16.399999999999999</v>
      </c>
      <c r="R99" s="12">
        <v>7.55</v>
      </c>
      <c r="S99" s="12">
        <v>0.82</v>
      </c>
      <c r="T99" s="12" t="s">
        <v>1134</v>
      </c>
      <c r="U99" s="12">
        <v>4</v>
      </c>
      <c r="V99" s="11">
        <v>98</v>
      </c>
    </row>
    <row r="100" spans="1:22" ht="16.5" customHeight="1" x14ac:dyDescent="0.25">
      <c r="A100" t="s">
        <v>114</v>
      </c>
      <c r="B100" t="str">
        <f>VLOOKUP(VERIFICAREQUIPOS[[#This Row],[SEGÚN LISTA]],EQUIPOS[EQUIPOS],1,0)</f>
        <v>APPLE IPHONE 14 PRO 256GB</v>
      </c>
      <c r="D100" s="3" t="s">
        <v>1038</v>
      </c>
      <c r="E100" s="12"/>
      <c r="F100" s="12">
        <v>12</v>
      </c>
      <c r="G100" s="12" t="s">
        <v>1135</v>
      </c>
      <c r="H100" s="12">
        <v>50</v>
      </c>
      <c r="I100" s="12">
        <v>3</v>
      </c>
      <c r="J100" s="12">
        <v>8</v>
      </c>
      <c r="K100" s="12" t="s">
        <v>160</v>
      </c>
      <c r="L100" s="12">
        <v>1024</v>
      </c>
      <c r="M100" s="12">
        <v>8</v>
      </c>
      <c r="N100" s="12" t="s">
        <v>1139</v>
      </c>
      <c r="O100" s="12">
        <v>6</v>
      </c>
      <c r="P100" s="12">
        <v>192</v>
      </c>
      <c r="Q100" s="12">
        <v>16.43</v>
      </c>
      <c r="R100" s="12">
        <v>7.61</v>
      </c>
      <c r="S100" s="12">
        <v>0.84</v>
      </c>
      <c r="T100" s="12" t="s">
        <v>1137</v>
      </c>
      <c r="U100" s="12">
        <v>4</v>
      </c>
      <c r="V100" s="11">
        <v>99</v>
      </c>
    </row>
    <row r="101" spans="1:22" ht="16.5" customHeight="1" x14ac:dyDescent="0.25">
      <c r="A101" t="s">
        <v>113</v>
      </c>
      <c r="B101" t="str">
        <f>VLOOKUP(VERIFICAREQUIPOS[[#This Row],[SEGÚN LISTA]],EQUIPOS[EQUIPOS],1,0)</f>
        <v>APPLE IPHONE 14 PRO 1TB</v>
      </c>
      <c r="D101" s="3" t="s">
        <v>85</v>
      </c>
      <c r="E101" s="12"/>
      <c r="F101" s="12">
        <v>11</v>
      </c>
      <c r="G101" s="12">
        <v>6.58</v>
      </c>
      <c r="H101" s="12">
        <v>48</v>
      </c>
      <c r="I101" s="12">
        <v>3</v>
      </c>
      <c r="J101" s="12">
        <v>16</v>
      </c>
      <c r="K101" s="13" t="s">
        <v>160</v>
      </c>
      <c r="L101" s="12">
        <v>256</v>
      </c>
      <c r="M101" s="12">
        <v>8</v>
      </c>
      <c r="N101" s="14" t="s">
        <v>167</v>
      </c>
      <c r="O101" s="12">
        <v>4</v>
      </c>
      <c r="P101" s="12">
        <v>191</v>
      </c>
      <c r="Q101" s="12">
        <v>16.399999999999999</v>
      </c>
      <c r="R101" s="12">
        <v>7.55</v>
      </c>
      <c r="S101" s="12">
        <v>0.84</v>
      </c>
      <c r="T101" s="12">
        <v>5000</v>
      </c>
      <c r="U101" s="12">
        <v>4.5</v>
      </c>
      <c r="V101" s="11">
        <v>100</v>
      </c>
    </row>
    <row r="102" spans="1:22" ht="16.5" customHeight="1" x14ac:dyDescent="0.25">
      <c r="A102" t="s">
        <v>112</v>
      </c>
      <c r="B102" t="str">
        <f>VLOOKUP(VERIFICAREQUIPOS[[#This Row],[SEGÚN LISTA]],EQUIPOS[EQUIPOS],1,0)</f>
        <v>APPLE IPHONE 14 PRO 128GB</v>
      </c>
      <c r="D102" s="3" t="s">
        <v>1039</v>
      </c>
      <c r="E102" s="12"/>
      <c r="F102" s="12">
        <v>12</v>
      </c>
      <c r="G102" s="12" t="s">
        <v>1138</v>
      </c>
      <c r="H102" s="12">
        <v>50</v>
      </c>
      <c r="I102" s="12">
        <v>3</v>
      </c>
      <c r="J102" s="12">
        <v>16</v>
      </c>
      <c r="K102" s="12" t="s">
        <v>160</v>
      </c>
      <c r="L102" s="12">
        <v>0</v>
      </c>
      <c r="M102" s="12">
        <v>8</v>
      </c>
      <c r="N102" s="12" t="s">
        <v>1139</v>
      </c>
      <c r="O102" s="12">
        <v>8</v>
      </c>
      <c r="P102" s="12">
        <v>188</v>
      </c>
      <c r="Q102" s="12">
        <v>16.43</v>
      </c>
      <c r="R102" s="12">
        <v>7.61</v>
      </c>
      <c r="S102" s="12">
        <v>0.83</v>
      </c>
      <c r="T102" s="12" t="s">
        <v>1140</v>
      </c>
      <c r="U102" s="12">
        <v>4.5</v>
      </c>
      <c r="V102" s="11">
        <v>101</v>
      </c>
    </row>
    <row r="103" spans="1:22" ht="16.5" customHeight="1" x14ac:dyDescent="0.25">
      <c r="A103" t="s">
        <v>111</v>
      </c>
      <c r="B103" t="str">
        <f>VLOOKUP(VERIFICAREQUIPOS[[#This Row],[SEGÚN LISTA]],EQUIPOS[EQUIPOS],1,0)</f>
        <v>APPLE IPHONE 14 PLUS 512GB</v>
      </c>
      <c r="D103" s="3" t="s">
        <v>86</v>
      </c>
      <c r="E103" s="12"/>
      <c r="F103" s="12">
        <v>11</v>
      </c>
      <c r="G103" s="12">
        <v>6.58</v>
      </c>
      <c r="H103" s="12">
        <v>64</v>
      </c>
      <c r="I103" s="12">
        <v>3</v>
      </c>
      <c r="J103" s="12">
        <v>16</v>
      </c>
      <c r="K103" s="13" t="s">
        <v>160</v>
      </c>
      <c r="L103" s="12">
        <v>256</v>
      </c>
      <c r="M103" s="12">
        <v>8</v>
      </c>
      <c r="N103" s="14" t="s">
        <v>167</v>
      </c>
      <c r="O103" s="12">
        <v>6</v>
      </c>
      <c r="P103" s="12">
        <v>190</v>
      </c>
      <c r="Q103" s="12">
        <v>16.5</v>
      </c>
      <c r="R103" s="12">
        <v>7.55</v>
      </c>
      <c r="S103" s="12">
        <v>0.84</v>
      </c>
      <c r="T103" s="12">
        <v>5000</v>
      </c>
      <c r="U103" s="12">
        <v>4.5</v>
      </c>
      <c r="V103" s="11">
        <v>102</v>
      </c>
    </row>
    <row r="104" spans="1:22" ht="16.5" customHeight="1" x14ac:dyDescent="0.25">
      <c r="A104" t="s">
        <v>110</v>
      </c>
      <c r="B104" t="str">
        <f>VLOOKUP(VERIFICAREQUIPOS[[#This Row],[SEGÚN LISTA]],EQUIPOS[EQUIPOS],1,0)</f>
        <v>APPLE IPHONE 14 PLUS 256GB</v>
      </c>
      <c r="D104" s="3" t="s">
        <v>34</v>
      </c>
      <c r="E104" s="12"/>
      <c r="F104" s="12">
        <v>11</v>
      </c>
      <c r="G104" s="12">
        <v>6.55</v>
      </c>
      <c r="H104" s="12">
        <v>64</v>
      </c>
      <c r="I104" s="12">
        <v>3</v>
      </c>
      <c r="J104" s="12">
        <v>20</v>
      </c>
      <c r="K104" s="15" t="s">
        <v>160</v>
      </c>
      <c r="L104" s="12">
        <v>256</v>
      </c>
      <c r="M104" s="12">
        <v>8</v>
      </c>
      <c r="N104" s="12" t="s">
        <v>166</v>
      </c>
      <c r="O104" s="12">
        <v>6</v>
      </c>
      <c r="P104" s="12">
        <v>159</v>
      </c>
      <c r="Q104" s="12">
        <v>16</v>
      </c>
      <c r="R104" s="12">
        <v>7.57</v>
      </c>
      <c r="S104" s="12">
        <v>0.68</v>
      </c>
      <c r="T104" s="12">
        <v>4250</v>
      </c>
      <c r="U104" s="12">
        <v>5</v>
      </c>
      <c r="V104" s="11">
        <v>103</v>
      </c>
    </row>
    <row r="105" spans="1:22" ht="16.5" customHeight="1" x14ac:dyDescent="0.25">
      <c r="A105" t="s">
        <v>109</v>
      </c>
      <c r="B105" t="str">
        <f>VLOOKUP(VERIFICAREQUIPOS[[#This Row],[SEGÚN LISTA]],EQUIPOS[EQUIPOS],1,0)</f>
        <v>APPLE IPHONE 14 PLUS 128GB</v>
      </c>
      <c r="D105" s="3" t="s">
        <v>35</v>
      </c>
      <c r="E105" s="12"/>
      <c r="F105" s="12">
        <v>11</v>
      </c>
      <c r="G105" s="12">
        <v>6.55</v>
      </c>
      <c r="H105" s="12">
        <v>64</v>
      </c>
      <c r="I105" s="12">
        <v>3</v>
      </c>
      <c r="J105" s="12">
        <v>20</v>
      </c>
      <c r="K105" s="15" t="s">
        <v>157</v>
      </c>
      <c r="L105" s="12">
        <v>256</v>
      </c>
      <c r="M105" s="12">
        <v>8</v>
      </c>
      <c r="N105" s="12" t="s">
        <v>166</v>
      </c>
      <c r="O105" s="12">
        <v>8</v>
      </c>
      <c r="P105" s="12">
        <v>159</v>
      </c>
      <c r="Q105" s="12">
        <v>16</v>
      </c>
      <c r="R105" s="12">
        <v>7.57</v>
      </c>
      <c r="S105" s="12">
        <v>0.68</v>
      </c>
      <c r="T105" s="12">
        <v>4250</v>
      </c>
      <c r="U105" s="12">
        <v>5</v>
      </c>
      <c r="V105" s="11">
        <v>104</v>
      </c>
    </row>
    <row r="106" spans="1:22" ht="16.5" customHeight="1" x14ac:dyDescent="0.25">
      <c r="A106" t="s">
        <v>108</v>
      </c>
      <c r="B106" t="str">
        <f>VLOOKUP(VERIFICAREQUIPOS[[#This Row],[SEGÚN LISTA]],EQUIPOS[EQUIPOS],1,0)</f>
        <v>APPLE IPHONE 14 512GB</v>
      </c>
      <c r="D106" s="3" t="s">
        <v>36</v>
      </c>
      <c r="E106" s="12"/>
      <c r="F106" s="12">
        <v>11</v>
      </c>
      <c r="G106" s="12">
        <v>6.67</v>
      </c>
      <c r="H106" s="12">
        <v>108</v>
      </c>
      <c r="I106" s="12">
        <v>3</v>
      </c>
      <c r="J106" s="12">
        <v>16</v>
      </c>
      <c r="K106" s="15" t="s">
        <v>157</v>
      </c>
      <c r="L106" s="12">
        <v>0</v>
      </c>
      <c r="M106" s="12">
        <v>8</v>
      </c>
      <c r="N106" s="12" t="s">
        <v>198</v>
      </c>
      <c r="O106" s="12">
        <v>8</v>
      </c>
      <c r="P106" s="12">
        <v>203</v>
      </c>
      <c r="Q106" s="12">
        <v>16.399999999999999</v>
      </c>
      <c r="R106" s="12">
        <v>7.69</v>
      </c>
      <c r="S106" s="12">
        <v>0.88</v>
      </c>
      <c r="T106" s="12">
        <v>5000</v>
      </c>
      <c r="U106" s="12">
        <v>5</v>
      </c>
      <c r="V106" s="11">
        <v>105</v>
      </c>
    </row>
    <row r="107" spans="1:22" ht="16.5" customHeight="1" x14ac:dyDescent="0.25">
      <c r="A107" t="s">
        <v>107</v>
      </c>
      <c r="B107" t="str">
        <f>VLOOKUP(VERIFICAREQUIPOS[[#This Row],[SEGÚN LISTA]],EQUIPOS[EQUIPOS],1,0)</f>
        <v>APPLE IPHONE 14 256GB</v>
      </c>
      <c r="D107" s="3" t="s">
        <v>64</v>
      </c>
      <c r="E107" s="12"/>
      <c r="F107" s="12">
        <v>11</v>
      </c>
      <c r="G107" s="12">
        <v>6.67</v>
      </c>
      <c r="H107" s="12">
        <v>108</v>
      </c>
      <c r="I107" s="12">
        <v>3</v>
      </c>
      <c r="J107" s="12">
        <v>16</v>
      </c>
      <c r="K107" s="15" t="s">
        <v>157</v>
      </c>
      <c r="L107" s="12">
        <v>0</v>
      </c>
      <c r="M107" s="12">
        <v>8</v>
      </c>
      <c r="N107" s="12" t="s">
        <v>173</v>
      </c>
      <c r="O107" s="12">
        <v>8</v>
      </c>
      <c r="P107" s="12">
        <v>204</v>
      </c>
      <c r="Q107" s="12">
        <v>16.100000000000001</v>
      </c>
      <c r="R107" s="12">
        <v>7.69</v>
      </c>
      <c r="S107" s="12">
        <v>0.88</v>
      </c>
      <c r="T107" s="12">
        <v>5000</v>
      </c>
      <c r="U107" s="12">
        <v>5</v>
      </c>
      <c r="V107" s="11">
        <v>106</v>
      </c>
    </row>
    <row r="108" spans="1:22" ht="16.5" customHeight="1" x14ac:dyDescent="0.25">
      <c r="A108" t="s">
        <v>106</v>
      </c>
      <c r="B108" t="str">
        <f>VLOOKUP(VERIFICAREQUIPOS[[#This Row],[SEGÚN LISTA]],EQUIPOS[EQUIPOS],1,0)</f>
        <v>APPLE IPHONE 14 128GB</v>
      </c>
      <c r="D108" s="3" t="s">
        <v>82</v>
      </c>
      <c r="E108" s="12"/>
      <c r="F108" s="12">
        <v>12</v>
      </c>
      <c r="G108" s="12">
        <v>6.28</v>
      </c>
      <c r="H108" s="12">
        <v>50</v>
      </c>
      <c r="I108" s="12">
        <v>3</v>
      </c>
      <c r="J108" s="12">
        <v>32</v>
      </c>
      <c r="K108" s="15" t="s">
        <v>157</v>
      </c>
      <c r="L108" s="12">
        <v>0</v>
      </c>
      <c r="M108" s="11">
        <v>8</v>
      </c>
      <c r="N108" s="12" t="s">
        <v>174</v>
      </c>
      <c r="O108" s="12">
        <v>8</v>
      </c>
      <c r="P108" s="12">
        <v>180</v>
      </c>
      <c r="Q108" s="12">
        <v>15.2</v>
      </c>
      <c r="R108" s="12">
        <v>6.99</v>
      </c>
      <c r="S108" s="12">
        <v>0.82</v>
      </c>
      <c r="T108" s="12">
        <v>4500</v>
      </c>
      <c r="U108" s="12">
        <v>5</v>
      </c>
      <c r="V108" s="11">
        <v>107</v>
      </c>
    </row>
    <row r="109" spans="1:22" ht="16.5" customHeight="1" x14ac:dyDescent="0.25">
      <c r="A109" t="s">
        <v>59</v>
      </c>
      <c r="B109" t="str">
        <f>VLOOKUP(VERIFICAREQUIPOS[[#This Row],[SEGÚN LISTA]],EQUIPOS[EQUIPOS],1,0)</f>
        <v>APPLE IPHONE 13 PRO MAX 256GB</v>
      </c>
      <c r="D109" s="3" t="s">
        <v>132</v>
      </c>
      <c r="E109" s="12"/>
      <c r="F109" s="12">
        <v>12</v>
      </c>
      <c r="G109" s="12" t="s">
        <v>199</v>
      </c>
      <c r="H109" s="12">
        <v>108</v>
      </c>
      <c r="I109" s="12">
        <v>3</v>
      </c>
      <c r="J109" s="12">
        <v>32</v>
      </c>
      <c r="K109" s="15" t="s">
        <v>160</v>
      </c>
      <c r="L109" s="12">
        <v>0</v>
      </c>
      <c r="M109" s="12">
        <v>8</v>
      </c>
      <c r="N109" s="12" t="s">
        <v>200</v>
      </c>
      <c r="O109" s="12">
        <v>8</v>
      </c>
      <c r="P109" s="12">
        <v>173</v>
      </c>
      <c r="Q109" s="12">
        <v>15.9</v>
      </c>
      <c r="R109" s="12">
        <v>7.33</v>
      </c>
      <c r="S109" s="12">
        <v>0.73</v>
      </c>
      <c r="T109" s="12" t="s">
        <v>1174</v>
      </c>
      <c r="U109" s="12">
        <v>5</v>
      </c>
      <c r="V109" s="11">
        <v>108</v>
      </c>
    </row>
    <row r="110" spans="1:22" ht="16.5" customHeight="1" x14ac:dyDescent="0.25">
      <c r="A110" t="s">
        <v>44</v>
      </c>
      <c r="B110" t="str">
        <f>VLOOKUP(VERIFICAREQUIPOS[[#This Row],[SEGÚN LISTA]],EQUIPOS[EQUIPOS],1,0)</f>
        <v>APPLE IPHONE 13 PRO MAX 1TB</v>
      </c>
      <c r="D110" s="3" t="s">
        <v>133</v>
      </c>
      <c r="E110" s="12"/>
      <c r="F110" s="12">
        <v>12</v>
      </c>
      <c r="G110" s="12">
        <v>6.67</v>
      </c>
      <c r="H110" s="12">
        <v>108</v>
      </c>
      <c r="I110" s="12">
        <v>3</v>
      </c>
      <c r="J110" s="12">
        <v>20</v>
      </c>
      <c r="K110" s="15" t="s">
        <v>157</v>
      </c>
      <c r="L110" s="12">
        <v>0</v>
      </c>
      <c r="M110" s="12">
        <v>8</v>
      </c>
      <c r="N110" s="12">
        <v>2.85</v>
      </c>
      <c r="O110" s="12">
        <v>8</v>
      </c>
      <c r="P110" s="12">
        <v>202</v>
      </c>
      <c r="Q110" s="12">
        <v>16.100000000000001</v>
      </c>
      <c r="R110" s="12">
        <v>7.59</v>
      </c>
      <c r="S110" s="12">
        <v>0.86</v>
      </c>
      <c r="T110" s="12">
        <v>5000</v>
      </c>
      <c r="U110" s="12">
        <v>5</v>
      </c>
      <c r="V110" s="11">
        <v>109</v>
      </c>
    </row>
    <row r="111" spans="1:22" ht="16.5" customHeight="1" x14ac:dyDescent="0.25">
      <c r="A111" t="s">
        <v>13</v>
      </c>
      <c r="B111" t="str">
        <f>VLOOKUP(VERIFICAREQUIPOS[[#This Row],[SEGÚN LISTA]],EQUIPOS[EQUIPOS],1,0)</f>
        <v>APPLE IPHONE 13 PRO 512GB</v>
      </c>
      <c r="D111" s="3" t="s">
        <v>134</v>
      </c>
      <c r="E111" s="12"/>
      <c r="F111" s="12">
        <v>12</v>
      </c>
      <c r="G111" s="12">
        <v>6.67</v>
      </c>
      <c r="H111" s="12">
        <v>200</v>
      </c>
      <c r="I111" s="12">
        <v>3</v>
      </c>
      <c r="J111" s="12">
        <v>20</v>
      </c>
      <c r="K111" s="15" t="s">
        <v>157</v>
      </c>
      <c r="L111" s="12">
        <v>0</v>
      </c>
      <c r="M111" s="12">
        <v>8</v>
      </c>
      <c r="N111" s="12">
        <v>2.85</v>
      </c>
      <c r="O111" s="12">
        <v>8</v>
      </c>
      <c r="P111" s="12">
        <v>205</v>
      </c>
      <c r="Q111" s="12">
        <v>16.100000000000001</v>
      </c>
      <c r="R111" s="12">
        <v>7.59</v>
      </c>
      <c r="S111" s="12">
        <v>0.86</v>
      </c>
      <c r="T111" s="12">
        <v>5000</v>
      </c>
      <c r="U111" s="12">
        <v>5</v>
      </c>
      <c r="V111" s="11">
        <v>110</v>
      </c>
    </row>
    <row r="112" spans="1:22" ht="16.5" customHeight="1" x14ac:dyDescent="0.25">
      <c r="A112" t="s">
        <v>9</v>
      </c>
      <c r="B112" t="str">
        <f>VLOOKUP(VERIFICAREQUIPOS[[#This Row],[SEGÚN LISTA]],EQUIPOS[EQUIPOS],1,0)</f>
        <v>APPLE IPHONE 13 MINI 512GB</v>
      </c>
      <c r="D112" s="3" t="s">
        <v>98</v>
      </c>
      <c r="E112" s="12"/>
      <c r="F112" s="12">
        <v>11</v>
      </c>
      <c r="G112" s="12">
        <v>6.6</v>
      </c>
      <c r="H112" s="12">
        <v>50</v>
      </c>
      <c r="I112" s="12">
        <v>3</v>
      </c>
      <c r="J112" s="12">
        <v>13</v>
      </c>
      <c r="K112" s="15" t="s">
        <v>160</v>
      </c>
      <c r="L112" s="12">
        <v>256</v>
      </c>
      <c r="M112" s="12">
        <v>8</v>
      </c>
      <c r="N112" s="12" t="s">
        <v>190</v>
      </c>
      <c r="O112" s="12">
        <v>4</v>
      </c>
      <c r="P112" s="12">
        <v>195</v>
      </c>
      <c r="Q112" s="12">
        <v>16.3</v>
      </c>
      <c r="R112" s="12">
        <v>7.58</v>
      </c>
      <c r="S112" s="12">
        <v>0.88</v>
      </c>
      <c r="T112" s="12">
        <v>5000</v>
      </c>
      <c r="U112" s="12">
        <v>5</v>
      </c>
      <c r="V112" s="11">
        <v>111</v>
      </c>
    </row>
    <row r="113" spans="1:22" ht="16.5" customHeight="1" x14ac:dyDescent="0.25">
      <c r="A113" t="s">
        <v>9</v>
      </c>
      <c r="B113" t="str">
        <f>VLOOKUP(VERIFICAREQUIPOS[[#This Row],[SEGÚN LISTA]],EQUIPOS[EQUIPOS],1,0)</f>
        <v>APPLE IPHONE 13 MINI 512GB</v>
      </c>
      <c r="D113" s="3" t="s">
        <v>99</v>
      </c>
      <c r="E113" s="12"/>
      <c r="F113" s="12">
        <v>12</v>
      </c>
      <c r="G113" s="12">
        <v>6.5</v>
      </c>
      <c r="H113" s="12">
        <v>50</v>
      </c>
      <c r="I113" s="12">
        <v>4</v>
      </c>
      <c r="J113" s="12">
        <v>8</v>
      </c>
      <c r="K113" s="15" t="s">
        <v>160</v>
      </c>
      <c r="L113" s="12">
        <v>256</v>
      </c>
      <c r="M113" s="12">
        <v>8</v>
      </c>
      <c r="N113" s="12" t="s">
        <v>202</v>
      </c>
      <c r="O113" s="12">
        <v>4</v>
      </c>
      <c r="P113" s="12">
        <v>181</v>
      </c>
      <c r="Q113" s="12">
        <v>16.2</v>
      </c>
      <c r="R113" s="12">
        <v>7.55</v>
      </c>
      <c r="S113" s="12">
        <v>0.89</v>
      </c>
      <c r="T113" s="12">
        <v>5000</v>
      </c>
      <c r="U113" s="12">
        <v>4.5</v>
      </c>
      <c r="V113" s="11">
        <v>112</v>
      </c>
    </row>
    <row r="114" spans="1:22" ht="16.5" customHeight="1" x14ac:dyDescent="0.25">
      <c r="A114" t="s">
        <v>7</v>
      </c>
      <c r="B114" t="str">
        <f>VLOOKUP(VERIFICAREQUIPOS[[#This Row],[SEGÚN LISTA]],EQUIPOS[EQUIPOS],1,0)</f>
        <v>APPLE IPHONE 13 MINI 128GB</v>
      </c>
      <c r="D114" s="3" t="s">
        <v>511</v>
      </c>
      <c r="E114" s="12"/>
      <c r="F114" s="12">
        <v>12</v>
      </c>
      <c r="G114" s="12">
        <v>6.5</v>
      </c>
      <c r="H114" s="12">
        <v>50</v>
      </c>
      <c r="I114" s="12">
        <v>4</v>
      </c>
      <c r="J114" s="12">
        <v>8</v>
      </c>
      <c r="K114" s="12" t="s">
        <v>159</v>
      </c>
      <c r="L114" s="12">
        <v>256</v>
      </c>
      <c r="M114" s="12">
        <v>8</v>
      </c>
      <c r="N114" s="12" t="s">
        <v>202</v>
      </c>
      <c r="O114" s="12">
        <v>4</v>
      </c>
      <c r="P114" s="12">
        <v>181</v>
      </c>
      <c r="Q114" s="12">
        <v>16.2</v>
      </c>
      <c r="R114" s="12">
        <v>7.55</v>
      </c>
      <c r="S114" s="12">
        <v>0.89</v>
      </c>
      <c r="T114" s="12">
        <v>5000</v>
      </c>
      <c r="U114" s="12">
        <v>4.5</v>
      </c>
      <c r="V114" s="11">
        <v>113</v>
      </c>
    </row>
    <row r="115" spans="1:22" ht="16.5" customHeight="1" x14ac:dyDescent="0.25">
      <c r="A115" t="s">
        <v>7</v>
      </c>
      <c r="B115" t="str">
        <f>VLOOKUP(VERIFICAREQUIPOS[[#This Row],[SEGÚN LISTA]],EQUIPOS[EQUIPOS],1,0)</f>
        <v>APPLE IPHONE 13 MINI 128GB</v>
      </c>
      <c r="D115" s="3" t="s">
        <v>90</v>
      </c>
      <c r="E115" s="12"/>
      <c r="F115" s="12">
        <v>11</v>
      </c>
      <c r="G115" s="12">
        <v>6.53</v>
      </c>
      <c r="H115" s="12">
        <v>13</v>
      </c>
      <c r="I115" s="12">
        <v>1</v>
      </c>
      <c r="J115" s="12">
        <v>5</v>
      </c>
      <c r="K115" s="15" t="s">
        <v>176</v>
      </c>
      <c r="L115" s="12">
        <v>256</v>
      </c>
      <c r="M115" s="12">
        <v>8</v>
      </c>
      <c r="N115" s="12" t="s">
        <v>169</v>
      </c>
      <c r="O115" s="12">
        <v>2</v>
      </c>
      <c r="P115" s="12">
        <v>194</v>
      </c>
      <c r="Q115" s="12">
        <v>16.399999999999999</v>
      </c>
      <c r="R115" s="12">
        <v>7.71</v>
      </c>
      <c r="S115" s="12">
        <v>0.9</v>
      </c>
      <c r="T115" s="12">
        <v>5000</v>
      </c>
      <c r="U115" s="12">
        <v>4</v>
      </c>
      <c r="V115" s="11">
        <v>114</v>
      </c>
    </row>
    <row r="116" spans="1:22" ht="16.5" customHeight="1" x14ac:dyDescent="0.25">
      <c r="A116" t="s">
        <v>7</v>
      </c>
      <c r="B116" t="str">
        <f>VLOOKUP(VERIFICAREQUIPOS[[#This Row],[SEGÚN LISTA]],EQUIPOS[EQUIPOS],1,0)</f>
        <v>APPLE IPHONE 13 MINI 128GB</v>
      </c>
      <c r="D116" s="3" t="s">
        <v>89</v>
      </c>
      <c r="E116" s="12"/>
      <c r="F116" s="12">
        <v>11</v>
      </c>
      <c r="G116" s="12">
        <v>6.71</v>
      </c>
      <c r="H116" s="12">
        <v>50</v>
      </c>
      <c r="I116" s="12">
        <v>2</v>
      </c>
      <c r="J116" s="12">
        <v>5</v>
      </c>
      <c r="K116" s="15" t="s">
        <v>159</v>
      </c>
      <c r="L116" s="12">
        <v>1024</v>
      </c>
      <c r="M116" s="12">
        <v>8</v>
      </c>
      <c r="N116" s="12" t="s">
        <v>167</v>
      </c>
      <c r="O116" s="12">
        <v>4</v>
      </c>
      <c r="P116" s="12">
        <v>190</v>
      </c>
      <c r="Q116" s="12">
        <v>16.899999999999999</v>
      </c>
      <c r="R116" s="12">
        <v>7.66</v>
      </c>
      <c r="S116" s="12">
        <v>0.83</v>
      </c>
      <c r="T116" s="12">
        <v>5000</v>
      </c>
      <c r="U116" s="12">
        <v>4</v>
      </c>
      <c r="V116" s="11">
        <v>115</v>
      </c>
    </row>
    <row r="117" spans="1:22" ht="16.5" customHeight="1" x14ac:dyDescent="0.25">
      <c r="A117" t="s">
        <v>5</v>
      </c>
      <c r="B117" t="str">
        <f>VLOOKUP(VERIFICAREQUIPOS[[#This Row],[SEGÚN LISTA]],EQUIPOS[EQUIPOS],1,0)</f>
        <v>APPLE IPHONE 13 256GB</v>
      </c>
      <c r="D117" s="3" t="s">
        <v>1052</v>
      </c>
      <c r="E117" s="12"/>
      <c r="F117" s="12">
        <v>12</v>
      </c>
      <c r="G117" s="12" t="s">
        <v>1141</v>
      </c>
      <c r="H117" s="12">
        <v>50</v>
      </c>
      <c r="I117" s="12">
        <v>2</v>
      </c>
      <c r="J117" s="12">
        <v>5</v>
      </c>
      <c r="K117" s="12" t="s">
        <v>159</v>
      </c>
      <c r="L117" s="12">
        <v>1024</v>
      </c>
      <c r="M117" s="12">
        <v>8</v>
      </c>
      <c r="N117" s="12" t="s">
        <v>1164</v>
      </c>
      <c r="O117" s="12">
        <v>4</v>
      </c>
      <c r="P117" s="12">
        <v>192</v>
      </c>
      <c r="Q117" s="12">
        <v>16.88</v>
      </c>
      <c r="R117" s="12">
        <v>7.64</v>
      </c>
      <c r="S117" s="12">
        <v>0.88</v>
      </c>
      <c r="T117" s="12" t="s">
        <v>1134</v>
      </c>
      <c r="U117" s="12">
        <v>4</v>
      </c>
      <c r="V117" s="11">
        <v>116</v>
      </c>
    </row>
    <row r="118" spans="1:22" ht="16.5" customHeight="1" x14ac:dyDescent="0.25">
      <c r="A118" t="s">
        <v>5</v>
      </c>
      <c r="B118" t="str">
        <f>VLOOKUP(VERIFICAREQUIPOS[[#This Row],[SEGÚN LISTA]],EQUIPOS[EQUIPOS],1,0)</f>
        <v>APPLE IPHONE 13 256GB</v>
      </c>
      <c r="D118" s="3" t="s">
        <v>68</v>
      </c>
      <c r="E118" s="12"/>
      <c r="F118" s="12">
        <v>10</v>
      </c>
      <c r="G118" s="12">
        <v>6.53</v>
      </c>
      <c r="H118" s="12">
        <v>13</v>
      </c>
      <c r="I118" s="12">
        <v>1</v>
      </c>
      <c r="J118" s="12">
        <v>5</v>
      </c>
      <c r="K118" s="15" t="s">
        <v>176</v>
      </c>
      <c r="L118" s="12">
        <v>256</v>
      </c>
      <c r="M118" s="12">
        <v>8</v>
      </c>
      <c r="N118" s="12" t="s">
        <v>169</v>
      </c>
      <c r="O118" s="12">
        <v>2</v>
      </c>
      <c r="P118" s="12">
        <v>196</v>
      </c>
      <c r="Q118" s="12">
        <v>16.399999999999999</v>
      </c>
      <c r="R118" s="12">
        <v>7.71</v>
      </c>
      <c r="S118" s="12">
        <v>0.9</v>
      </c>
      <c r="T118" s="12">
        <v>5000</v>
      </c>
      <c r="U118" s="12">
        <v>4</v>
      </c>
      <c r="V118" s="11">
        <v>117</v>
      </c>
    </row>
    <row r="119" spans="1:22" ht="16.5" customHeight="1" x14ac:dyDescent="0.25">
      <c r="A119" t="s">
        <v>5</v>
      </c>
      <c r="B119" t="str">
        <f>VLOOKUP(VERIFICAREQUIPOS[[#This Row],[SEGÚN LISTA]],EQUIPOS[EQUIPOS],1,0)</f>
        <v>APPLE IPHONE 13 256GB</v>
      </c>
      <c r="D119" s="3" t="s">
        <v>67</v>
      </c>
      <c r="E119" s="12"/>
      <c r="F119" s="12">
        <v>10</v>
      </c>
      <c r="G119" s="12">
        <v>6.53</v>
      </c>
      <c r="H119" s="12">
        <v>13</v>
      </c>
      <c r="I119" s="12">
        <v>3</v>
      </c>
      <c r="J119" s="12">
        <v>5</v>
      </c>
      <c r="K119" s="15" t="s">
        <v>159</v>
      </c>
      <c r="L119" s="12">
        <v>512</v>
      </c>
      <c r="M119" s="12">
        <v>8</v>
      </c>
      <c r="N119" s="12" t="s">
        <v>171</v>
      </c>
      <c r="O119" s="12">
        <v>2</v>
      </c>
      <c r="P119" s="12">
        <v>196</v>
      </c>
      <c r="Q119" s="12">
        <v>16.399999999999999</v>
      </c>
      <c r="R119" s="12">
        <v>7.07</v>
      </c>
      <c r="S119" s="12">
        <v>0.9</v>
      </c>
      <c r="T119" s="12">
        <v>5000</v>
      </c>
      <c r="U119" s="12">
        <v>4</v>
      </c>
      <c r="V119" s="11">
        <v>118</v>
      </c>
    </row>
    <row r="120" spans="1:22" ht="16.5" customHeight="1" x14ac:dyDescent="0.25">
      <c r="A120" t="s">
        <v>4</v>
      </c>
      <c r="B120" t="str">
        <f>VLOOKUP(VERIFICAREQUIPOS[[#This Row],[SEGÚN LISTA]],EQUIPOS[EQUIPOS],1,0)</f>
        <v>APPLE IPHONE 13 128GB</v>
      </c>
      <c r="D120" s="3" t="s">
        <v>135</v>
      </c>
      <c r="E120" s="12"/>
      <c r="F120" s="12">
        <v>12</v>
      </c>
      <c r="G120" s="12">
        <v>6.52</v>
      </c>
      <c r="H120" s="12">
        <v>8</v>
      </c>
      <c r="I120" s="12">
        <v>2</v>
      </c>
      <c r="J120" s="12">
        <v>5</v>
      </c>
      <c r="K120" s="15" t="s">
        <v>176</v>
      </c>
      <c r="L120" s="12">
        <v>1024</v>
      </c>
      <c r="M120" s="12">
        <v>8</v>
      </c>
      <c r="N120" s="12">
        <v>2.2000000000000002</v>
      </c>
      <c r="O120" s="12">
        <v>2</v>
      </c>
      <c r="P120" s="12">
        <v>192</v>
      </c>
      <c r="Q120" s="12">
        <v>16.5</v>
      </c>
      <c r="R120" s="12">
        <v>7.68</v>
      </c>
      <c r="S120" s="12">
        <v>0.91</v>
      </c>
      <c r="T120" s="12">
        <v>5000</v>
      </c>
      <c r="U120" s="12">
        <v>4</v>
      </c>
      <c r="V120" s="11">
        <v>119</v>
      </c>
    </row>
    <row r="121" spans="1:22" ht="16.5" customHeight="1" x14ac:dyDescent="0.25">
      <c r="A121" t="s">
        <v>4</v>
      </c>
      <c r="B121" t="str">
        <f>VLOOKUP(VERIFICAREQUIPOS[[#This Row],[SEGÚN LISTA]],EQUIPOS[EQUIPOS],1,0)</f>
        <v>APPLE IPHONE 13 128GB</v>
      </c>
      <c r="D121" s="3" t="s">
        <v>1053</v>
      </c>
      <c r="E121" s="12"/>
      <c r="F121" s="12">
        <v>12</v>
      </c>
      <c r="G121" s="12">
        <v>6.52</v>
      </c>
      <c r="H121" s="12">
        <v>8</v>
      </c>
      <c r="I121" s="12">
        <v>2</v>
      </c>
      <c r="J121" s="12">
        <v>5</v>
      </c>
      <c r="K121" s="12" t="s">
        <v>176</v>
      </c>
      <c r="L121" s="12">
        <v>1024</v>
      </c>
      <c r="M121" s="12">
        <v>8</v>
      </c>
      <c r="N121" s="12" t="s">
        <v>1142</v>
      </c>
      <c r="O121" s="12">
        <v>2</v>
      </c>
      <c r="P121" s="12">
        <v>192</v>
      </c>
      <c r="Q121" s="12">
        <v>16.5</v>
      </c>
      <c r="R121" s="12">
        <v>7.68</v>
      </c>
      <c r="S121" s="12">
        <v>0.9</v>
      </c>
      <c r="T121" s="12" t="s">
        <v>1134</v>
      </c>
      <c r="U121" s="12">
        <v>4</v>
      </c>
      <c r="V121" s="11">
        <v>120</v>
      </c>
    </row>
    <row r="122" spans="1:22" ht="16.5" customHeight="1" x14ac:dyDescent="0.25">
      <c r="A122" t="s">
        <v>4</v>
      </c>
      <c r="B122" t="str">
        <f>VLOOKUP(VERIFICAREQUIPOS[[#This Row],[SEGÚN LISTA]],EQUIPOS[EQUIPOS],1,0)</f>
        <v>APPLE IPHONE 13 128GB</v>
      </c>
      <c r="D122" s="3" t="s">
        <v>37</v>
      </c>
      <c r="E122" s="12"/>
      <c r="F122" s="12">
        <v>11</v>
      </c>
      <c r="G122" s="12">
        <v>6.67</v>
      </c>
      <c r="H122" s="12">
        <v>108</v>
      </c>
      <c r="I122" s="12">
        <v>4</v>
      </c>
      <c r="J122" s="12">
        <v>16</v>
      </c>
      <c r="K122" s="15" t="s">
        <v>160</v>
      </c>
      <c r="L122" s="12">
        <v>256</v>
      </c>
      <c r="M122" s="12">
        <v>8</v>
      </c>
      <c r="N122" s="12" t="s">
        <v>171</v>
      </c>
      <c r="O122" s="12">
        <v>6</v>
      </c>
      <c r="P122" s="12">
        <v>193</v>
      </c>
      <c r="Q122" s="12">
        <v>16.399999999999999</v>
      </c>
      <c r="R122" s="12">
        <v>7.65</v>
      </c>
      <c r="S122" s="12">
        <v>0.81</v>
      </c>
      <c r="T122" s="12">
        <v>5020</v>
      </c>
      <c r="U122" s="12">
        <v>4.5</v>
      </c>
      <c r="V122" s="11">
        <v>121</v>
      </c>
    </row>
    <row r="123" spans="1:22" ht="16.5" customHeight="1" x14ac:dyDescent="0.25">
      <c r="A123" t="s">
        <v>3</v>
      </c>
      <c r="B123" t="str">
        <f>VLOOKUP(VERIFICAREQUIPOS[[#This Row],[SEGÚN LISTA]],EQUIPOS[EQUIPOS],1,0)</f>
        <v>APPLE IPHONE 12 64GB</v>
      </c>
      <c r="D123" s="3" t="s">
        <v>38</v>
      </c>
      <c r="E123" s="12"/>
      <c r="F123" s="12">
        <v>11</v>
      </c>
      <c r="G123" s="12">
        <v>6.67</v>
      </c>
      <c r="H123" s="12">
        <v>108</v>
      </c>
      <c r="I123" s="12">
        <v>4</v>
      </c>
      <c r="J123" s="12">
        <v>16</v>
      </c>
      <c r="K123" s="15" t="s">
        <v>160</v>
      </c>
      <c r="L123" s="12">
        <v>512</v>
      </c>
      <c r="M123" s="12">
        <v>8</v>
      </c>
      <c r="N123" s="12" t="s">
        <v>171</v>
      </c>
      <c r="O123" s="12">
        <v>8</v>
      </c>
      <c r="P123" s="12">
        <v>193</v>
      </c>
      <c r="Q123" s="12">
        <v>16.399999999999999</v>
      </c>
      <c r="R123" s="12">
        <v>7.65</v>
      </c>
      <c r="S123" s="12">
        <v>0.81</v>
      </c>
      <c r="T123" s="12">
        <v>5030</v>
      </c>
      <c r="U123" s="12">
        <v>4.5</v>
      </c>
      <c r="V123" s="11">
        <v>122</v>
      </c>
    </row>
    <row r="124" spans="1:22" ht="16.5" customHeight="1" x14ac:dyDescent="0.25">
      <c r="A124" t="s">
        <v>3</v>
      </c>
      <c r="B124" t="str">
        <f>VLOOKUP(VERIFICAREQUIPOS[[#This Row],[SEGÚN LISTA]],EQUIPOS[EQUIPOS],1,0)</f>
        <v>APPLE IPHONE 12 64GB</v>
      </c>
      <c r="D124" s="3" t="s">
        <v>39</v>
      </c>
      <c r="E124" s="12"/>
      <c r="F124" s="12">
        <v>11</v>
      </c>
      <c r="G124" s="12">
        <v>6.43</v>
      </c>
      <c r="H124" s="12">
        <v>64</v>
      </c>
      <c r="I124" s="12">
        <v>4</v>
      </c>
      <c r="J124" s="12">
        <v>13</v>
      </c>
      <c r="K124" s="15" t="s">
        <v>160</v>
      </c>
      <c r="L124" s="12">
        <v>512</v>
      </c>
      <c r="M124" s="12">
        <v>8</v>
      </c>
      <c r="N124" s="12" t="s">
        <v>203</v>
      </c>
      <c r="O124" s="12">
        <v>6</v>
      </c>
      <c r="P124" s="12">
        <v>178</v>
      </c>
      <c r="Q124" s="12">
        <v>16</v>
      </c>
      <c r="R124" s="12">
        <v>7.45</v>
      </c>
      <c r="S124" s="12">
        <v>0.83</v>
      </c>
      <c r="T124" s="12">
        <v>5000</v>
      </c>
      <c r="U124" s="12">
        <v>4</v>
      </c>
      <c r="V124" s="11">
        <v>123</v>
      </c>
    </row>
    <row r="125" spans="1:22" ht="16.5" customHeight="1" x14ac:dyDescent="0.25">
      <c r="A125" t="s">
        <v>3</v>
      </c>
      <c r="B125" t="str">
        <f>VLOOKUP(VERIFICAREQUIPOS[[#This Row],[SEGÚN LISTA]],EQUIPOS[EQUIPOS],1,0)</f>
        <v>APPLE IPHONE 12 64GB</v>
      </c>
      <c r="D125" s="3" t="s">
        <v>80</v>
      </c>
      <c r="E125" s="12"/>
      <c r="F125" s="12">
        <v>11</v>
      </c>
      <c r="G125" s="12">
        <v>6.43</v>
      </c>
      <c r="H125" s="12">
        <v>50</v>
      </c>
      <c r="I125" s="12">
        <v>4</v>
      </c>
      <c r="J125" s="12">
        <v>13</v>
      </c>
      <c r="K125" s="15" t="s">
        <v>160</v>
      </c>
      <c r="L125" s="12">
        <v>256</v>
      </c>
      <c r="M125" s="12">
        <v>8</v>
      </c>
      <c r="N125" s="12" t="s">
        <v>166</v>
      </c>
      <c r="O125" s="12">
        <v>4</v>
      </c>
      <c r="P125" s="12">
        <v>179</v>
      </c>
      <c r="Q125" s="12">
        <v>15.9</v>
      </c>
      <c r="R125" s="12">
        <v>7.39</v>
      </c>
      <c r="S125" s="12">
        <v>0.81</v>
      </c>
      <c r="T125" s="12">
        <v>5000</v>
      </c>
      <c r="U125" s="12">
        <v>4.5</v>
      </c>
      <c r="V125" s="11">
        <v>124</v>
      </c>
    </row>
    <row r="126" spans="1:22" ht="16.5" customHeight="1" x14ac:dyDescent="0.25">
      <c r="A126" t="s">
        <v>2</v>
      </c>
      <c r="B126" t="str">
        <f>VLOOKUP(VERIFICAREQUIPOS[[#This Row],[SEGÚN LISTA]],EQUIPOS[EQUIPOS],1,0)</f>
        <v>APPLE IPHONE 12 128GB</v>
      </c>
      <c r="D126" s="3" t="s">
        <v>58</v>
      </c>
      <c r="E126" s="12"/>
      <c r="F126" s="12">
        <v>11</v>
      </c>
      <c r="G126" s="12">
        <v>6.43</v>
      </c>
      <c r="H126" s="12">
        <v>50</v>
      </c>
      <c r="I126" s="12">
        <v>4</v>
      </c>
      <c r="J126" s="12">
        <v>13</v>
      </c>
      <c r="K126" s="15" t="s">
        <v>160</v>
      </c>
      <c r="L126" s="12">
        <v>256</v>
      </c>
      <c r="M126" s="12">
        <v>8</v>
      </c>
      <c r="N126" s="12" t="s">
        <v>170</v>
      </c>
      <c r="O126" s="16">
        <v>4</v>
      </c>
      <c r="P126" s="12">
        <v>179</v>
      </c>
      <c r="Q126" s="12">
        <v>15.9</v>
      </c>
      <c r="R126" s="12">
        <v>7.39</v>
      </c>
      <c r="S126" s="12">
        <v>0.81</v>
      </c>
      <c r="T126" s="12">
        <v>5000</v>
      </c>
      <c r="U126" s="12">
        <v>4.5</v>
      </c>
      <c r="V126" s="11">
        <v>125</v>
      </c>
    </row>
    <row r="127" spans="1:22" ht="16.5" customHeight="1" x14ac:dyDescent="0.25">
      <c r="A127" t="s">
        <v>2</v>
      </c>
      <c r="B127" t="str">
        <f>VLOOKUP(VERIFICAREQUIPOS[[#This Row],[SEGÚN LISTA]],EQUIPOS[EQUIPOS],1,0)</f>
        <v>APPLE IPHONE 12 128GB</v>
      </c>
      <c r="D127" s="3" t="s">
        <v>88</v>
      </c>
      <c r="E127" s="12"/>
      <c r="F127" s="12">
        <v>11</v>
      </c>
      <c r="G127" s="12">
        <v>6.43</v>
      </c>
      <c r="H127" s="12">
        <v>50</v>
      </c>
      <c r="I127" s="12">
        <v>4</v>
      </c>
      <c r="J127" s="12">
        <v>13</v>
      </c>
      <c r="K127" s="15" t="s">
        <v>160</v>
      </c>
      <c r="L127" s="12">
        <v>256</v>
      </c>
      <c r="M127" s="12">
        <v>8</v>
      </c>
      <c r="N127" s="12" t="s">
        <v>166</v>
      </c>
      <c r="O127" s="12">
        <v>4</v>
      </c>
      <c r="P127" s="12">
        <v>179</v>
      </c>
      <c r="Q127" s="12">
        <v>15.9</v>
      </c>
      <c r="R127" s="12">
        <v>7.39</v>
      </c>
      <c r="S127" s="12">
        <v>0.81</v>
      </c>
      <c r="T127" s="12">
        <v>5000</v>
      </c>
      <c r="U127" s="12">
        <v>5</v>
      </c>
      <c r="V127" s="11">
        <v>126</v>
      </c>
    </row>
    <row r="128" spans="1:22" ht="16.5" customHeight="1" x14ac:dyDescent="0.25">
      <c r="A128" t="s">
        <v>2</v>
      </c>
      <c r="B128" t="str">
        <f>VLOOKUP(VERIFICAREQUIPOS[[#This Row],[SEGÚN LISTA]],EQUIPOS[EQUIPOS],1,0)</f>
        <v>APPLE IPHONE 12 128GB</v>
      </c>
      <c r="D128" s="3" t="s">
        <v>74</v>
      </c>
      <c r="E128" s="12"/>
      <c r="F128" s="12">
        <v>11</v>
      </c>
      <c r="G128" s="12">
        <v>6.67</v>
      </c>
      <c r="H128" s="12">
        <v>108</v>
      </c>
      <c r="I128" s="12">
        <v>4</v>
      </c>
      <c r="J128" s="12">
        <v>16</v>
      </c>
      <c r="K128" s="15" t="s">
        <v>160</v>
      </c>
      <c r="L128" s="12">
        <v>256</v>
      </c>
      <c r="M128" s="12">
        <v>8</v>
      </c>
      <c r="N128" s="12" t="s">
        <v>203</v>
      </c>
      <c r="O128" s="12">
        <v>6</v>
      </c>
      <c r="P128" s="12">
        <v>202</v>
      </c>
      <c r="Q128" s="12">
        <v>16.399999999999999</v>
      </c>
      <c r="R128" s="12">
        <v>7.61</v>
      </c>
      <c r="S128" s="12">
        <v>0.81</v>
      </c>
      <c r="T128" s="12">
        <v>5000</v>
      </c>
      <c r="U128" s="12">
        <v>4.5</v>
      </c>
      <c r="V128" s="11">
        <v>127</v>
      </c>
    </row>
    <row r="129" spans="1:22" ht="16.5" customHeight="1" x14ac:dyDescent="0.25">
      <c r="A129" t="s">
        <v>1</v>
      </c>
      <c r="B129" t="str">
        <f>VLOOKUP(VERIFICAREQUIPOS[[#This Row],[SEGÚN LISTA]],EQUIPOS[EQUIPOS],1,0)</f>
        <v>APPLE IPHONE 11 64GB</v>
      </c>
      <c r="D129" s="3" t="s">
        <v>75</v>
      </c>
      <c r="E129" s="12"/>
      <c r="F129" s="12">
        <v>11</v>
      </c>
      <c r="G129" s="12">
        <v>6.67</v>
      </c>
      <c r="H129" s="12">
        <v>108</v>
      </c>
      <c r="I129" s="12">
        <v>3</v>
      </c>
      <c r="J129" s="12">
        <v>16</v>
      </c>
      <c r="K129" s="15" t="s">
        <v>160</v>
      </c>
      <c r="L129" s="12">
        <v>256</v>
      </c>
      <c r="M129" s="12">
        <v>8</v>
      </c>
      <c r="N129" s="12" t="s">
        <v>182</v>
      </c>
      <c r="O129" s="12">
        <v>4</v>
      </c>
      <c r="P129" s="12">
        <v>202</v>
      </c>
      <c r="Q129" s="12">
        <v>16.399999999999999</v>
      </c>
      <c r="R129" s="12">
        <v>7.61</v>
      </c>
      <c r="S129" s="12">
        <v>0.81</v>
      </c>
      <c r="T129" s="12">
        <v>5000</v>
      </c>
      <c r="U129" s="12">
        <v>5</v>
      </c>
      <c r="V129" s="11">
        <v>128</v>
      </c>
    </row>
    <row r="130" spans="1:22" ht="16.5" customHeight="1" x14ac:dyDescent="0.25">
      <c r="A130" t="s">
        <v>1</v>
      </c>
      <c r="B130" t="str">
        <f>VLOOKUP(VERIFICAREQUIPOS[[#This Row],[SEGÚN LISTA]],EQUIPOS[EQUIPOS],1,0)</f>
        <v>APPLE IPHONE 11 64GB</v>
      </c>
      <c r="D130" s="3" t="s">
        <v>71</v>
      </c>
      <c r="E130" s="12"/>
      <c r="F130" s="12">
        <v>11</v>
      </c>
      <c r="G130" s="12">
        <v>6.43</v>
      </c>
      <c r="H130" s="12">
        <v>108</v>
      </c>
      <c r="I130" s="12">
        <v>4</v>
      </c>
      <c r="J130" s="12">
        <v>16</v>
      </c>
      <c r="K130" s="15" t="s">
        <v>160</v>
      </c>
      <c r="L130" s="12">
        <v>256</v>
      </c>
      <c r="M130" s="12">
        <v>8</v>
      </c>
      <c r="N130" s="12" t="s">
        <v>203</v>
      </c>
      <c r="O130" s="12">
        <v>6</v>
      </c>
      <c r="P130" s="12">
        <v>179</v>
      </c>
      <c r="Q130" s="12">
        <v>15.9</v>
      </c>
      <c r="R130" s="12">
        <v>7.73</v>
      </c>
      <c r="S130" s="12">
        <v>0.81</v>
      </c>
      <c r="T130" s="12">
        <v>5000</v>
      </c>
      <c r="U130" s="12">
        <v>4.5</v>
      </c>
      <c r="V130" s="11">
        <v>129</v>
      </c>
    </row>
    <row r="131" spans="1:22" ht="16.5" customHeight="1" x14ac:dyDescent="0.25">
      <c r="A131" t="s">
        <v>1</v>
      </c>
      <c r="B131" t="str">
        <f>VLOOKUP(VERIFICAREQUIPOS[[#This Row],[SEGÚN LISTA]],EQUIPOS[EQUIPOS],1,0)</f>
        <v>APPLE IPHONE 11 64GB</v>
      </c>
      <c r="D131" s="3" t="s">
        <v>1127</v>
      </c>
      <c r="E131" s="12"/>
      <c r="F131" s="12">
        <v>12</v>
      </c>
      <c r="G131" s="12">
        <v>6.67</v>
      </c>
      <c r="H131" s="12">
        <v>48</v>
      </c>
      <c r="I131" s="12">
        <v>3</v>
      </c>
      <c r="J131" s="12">
        <v>16</v>
      </c>
      <c r="K131" s="12" t="s">
        <v>160</v>
      </c>
      <c r="L131" s="12">
        <v>0</v>
      </c>
      <c r="M131" s="12">
        <v>8</v>
      </c>
      <c r="N131" s="12" t="s">
        <v>1166</v>
      </c>
      <c r="O131" s="12">
        <v>4</v>
      </c>
      <c r="P131" s="12">
        <v>189</v>
      </c>
      <c r="Q131" s="12">
        <v>16.600000000000001</v>
      </c>
      <c r="R131" s="12">
        <v>7.62</v>
      </c>
      <c r="S131" s="12">
        <v>0.8</v>
      </c>
      <c r="T131" s="12" t="s">
        <v>1143</v>
      </c>
      <c r="U131" s="12">
        <v>5</v>
      </c>
      <c r="V131" s="11">
        <v>130</v>
      </c>
    </row>
    <row r="132" spans="1:22" ht="16.5" customHeight="1" x14ac:dyDescent="0.25">
      <c r="A132" t="s">
        <v>0</v>
      </c>
      <c r="B132" t="str">
        <f>VLOOKUP(VERIFICAREQUIPOS[[#This Row],[SEGÚN LISTA]],EQUIPOS[EQUIPOS],1,0)</f>
        <v>APPLE IPHONE 11 256GB</v>
      </c>
      <c r="D132" s="3" t="s">
        <v>1221</v>
      </c>
      <c r="E132" s="12"/>
      <c r="F132" s="12">
        <v>12</v>
      </c>
      <c r="G132" s="12" t="s">
        <v>1222</v>
      </c>
      <c r="H132" s="12">
        <v>200</v>
      </c>
      <c r="I132" s="12">
        <v>4</v>
      </c>
      <c r="J132" s="12">
        <v>16</v>
      </c>
      <c r="K132" s="12" t="s">
        <v>157</v>
      </c>
      <c r="L132" s="12">
        <v>0</v>
      </c>
      <c r="M132" s="12">
        <v>8</v>
      </c>
      <c r="N132" s="12" t="s">
        <v>1223</v>
      </c>
      <c r="O132" s="12">
        <v>8</v>
      </c>
      <c r="P132" s="12">
        <v>204</v>
      </c>
      <c r="Q132" s="12">
        <v>16.3</v>
      </c>
      <c r="R132" s="12">
        <v>7.6</v>
      </c>
      <c r="S132" s="12">
        <v>0.79</v>
      </c>
      <c r="T132" s="12" t="s">
        <v>1224</v>
      </c>
      <c r="U132" s="12">
        <v>4</v>
      </c>
      <c r="V132" s="11">
        <v>131</v>
      </c>
    </row>
    <row r="133" spans="1:22" ht="16.5" customHeight="1" x14ac:dyDescent="0.25">
      <c r="A133" t="s">
        <v>0</v>
      </c>
      <c r="B133" t="str">
        <f>VLOOKUP(VERIFICAREQUIPOS[[#This Row],[SEGÚN LISTA]],EQUIPOS[EQUIPOS],1,0)</f>
        <v>APPLE IPHONE 11 256GB</v>
      </c>
      <c r="D133" s="3" t="s">
        <v>1201</v>
      </c>
      <c r="E133" s="12"/>
      <c r="F133" s="12">
        <v>13</v>
      </c>
      <c r="G133" s="12">
        <v>6.43</v>
      </c>
      <c r="H133" s="12">
        <v>108</v>
      </c>
      <c r="I133" s="12">
        <v>3</v>
      </c>
      <c r="J133" s="12">
        <v>16</v>
      </c>
      <c r="K133" s="12" t="s">
        <v>157</v>
      </c>
      <c r="L133" s="12">
        <v>0</v>
      </c>
      <c r="M133" s="12">
        <v>8</v>
      </c>
      <c r="N133" s="12" t="s">
        <v>1207</v>
      </c>
      <c r="O133" s="12">
        <v>8</v>
      </c>
      <c r="P133" s="12">
        <v>179</v>
      </c>
      <c r="Q133" s="12">
        <v>16</v>
      </c>
      <c r="R133" s="12">
        <v>7.34</v>
      </c>
      <c r="S133" s="12">
        <v>0.81</v>
      </c>
      <c r="T133" s="12" t="s">
        <v>1143</v>
      </c>
      <c r="U133" s="12">
        <v>4</v>
      </c>
      <c r="V133" s="11">
        <v>132</v>
      </c>
    </row>
    <row r="134" spans="1:22" ht="16.5" customHeight="1" x14ac:dyDescent="0.25">
      <c r="A134" t="s">
        <v>0</v>
      </c>
      <c r="B134" t="str">
        <f>VLOOKUP(VERIFICAREQUIPOS[[#This Row],[SEGÚN LISTA]],EQUIPOS[EQUIPOS],1,0)</f>
        <v>APPLE IPHONE 11 256GB</v>
      </c>
      <c r="D134" s="3" t="s">
        <v>0</v>
      </c>
      <c r="E134" s="12"/>
      <c r="F134" s="12">
        <v>13</v>
      </c>
      <c r="G134" s="12">
        <v>6.1</v>
      </c>
      <c r="H134" s="12">
        <v>13</v>
      </c>
      <c r="I134" s="12">
        <v>2</v>
      </c>
      <c r="J134" s="12">
        <v>12</v>
      </c>
      <c r="K134" s="13" t="s">
        <v>157</v>
      </c>
      <c r="L134" s="12">
        <v>0</v>
      </c>
      <c r="M134" s="12">
        <v>6</v>
      </c>
      <c r="N134" s="14" t="s">
        <v>158</v>
      </c>
      <c r="O134" s="12">
        <v>4</v>
      </c>
      <c r="P134" s="12">
        <v>194</v>
      </c>
      <c r="Q134" s="12">
        <v>15</v>
      </c>
      <c r="R134" s="12">
        <v>7.57</v>
      </c>
      <c r="S134" s="12">
        <v>0.83</v>
      </c>
      <c r="T134" s="12">
        <v>3110</v>
      </c>
      <c r="U134" s="12">
        <v>4.5</v>
      </c>
      <c r="V134" s="11">
        <v>133</v>
      </c>
    </row>
    <row r="135" spans="1:22" ht="16.5" customHeight="1" x14ac:dyDescent="0.25">
      <c r="D135" s="3" t="s">
        <v>1</v>
      </c>
      <c r="E135" s="12"/>
      <c r="F135" s="12">
        <v>13</v>
      </c>
      <c r="G135" s="12">
        <v>6.1</v>
      </c>
      <c r="H135" s="12">
        <v>13</v>
      </c>
      <c r="I135" s="12">
        <v>2</v>
      </c>
      <c r="J135" s="12">
        <v>12</v>
      </c>
      <c r="K135" s="13" t="s">
        <v>159</v>
      </c>
      <c r="L135" s="12">
        <v>0</v>
      </c>
      <c r="M135" s="12">
        <v>6</v>
      </c>
      <c r="N135" s="14" t="s">
        <v>158</v>
      </c>
      <c r="O135" s="12">
        <v>4</v>
      </c>
      <c r="P135" s="12">
        <v>194</v>
      </c>
      <c r="Q135" s="12">
        <v>15</v>
      </c>
      <c r="R135" s="12">
        <v>7.57</v>
      </c>
      <c r="S135" s="12">
        <v>0.83</v>
      </c>
      <c r="T135" s="12">
        <v>3110</v>
      </c>
      <c r="U135" s="12">
        <v>4.5</v>
      </c>
      <c r="V135" s="11">
        <v>134</v>
      </c>
    </row>
    <row r="136" spans="1:22" ht="16.5" customHeight="1" x14ac:dyDescent="0.25">
      <c r="D136" s="3" t="s">
        <v>2</v>
      </c>
      <c r="E136" s="12"/>
      <c r="F136" s="12">
        <v>14</v>
      </c>
      <c r="G136" s="12">
        <v>6.1</v>
      </c>
      <c r="H136" s="12">
        <v>12</v>
      </c>
      <c r="I136" s="12">
        <v>2</v>
      </c>
      <c r="J136" s="12">
        <v>12</v>
      </c>
      <c r="K136" s="13" t="s">
        <v>160</v>
      </c>
      <c r="L136" s="12">
        <v>0</v>
      </c>
      <c r="M136" s="12">
        <v>6</v>
      </c>
      <c r="N136" s="14" t="s">
        <v>161</v>
      </c>
      <c r="O136" s="12">
        <v>4</v>
      </c>
      <c r="P136" s="12">
        <v>164</v>
      </c>
      <c r="Q136" s="12">
        <v>14.6</v>
      </c>
      <c r="R136" s="12">
        <v>7.15</v>
      </c>
      <c r="S136" s="12">
        <v>0.74</v>
      </c>
      <c r="T136" s="12">
        <v>2815</v>
      </c>
      <c r="U136" s="12">
        <v>5</v>
      </c>
      <c r="V136" s="11">
        <v>135</v>
      </c>
    </row>
    <row r="137" spans="1:22" ht="16.5" customHeight="1" x14ac:dyDescent="0.25">
      <c r="D137" s="3" t="s">
        <v>3</v>
      </c>
      <c r="E137" s="12"/>
      <c r="F137" s="12">
        <v>14</v>
      </c>
      <c r="G137" s="12">
        <v>6.1</v>
      </c>
      <c r="H137" s="12">
        <v>12</v>
      </c>
      <c r="I137" s="12">
        <v>2</v>
      </c>
      <c r="J137" s="12">
        <v>12</v>
      </c>
      <c r="K137" s="13" t="s">
        <v>159</v>
      </c>
      <c r="L137" s="12">
        <v>0</v>
      </c>
      <c r="M137" s="12">
        <v>6</v>
      </c>
      <c r="N137" s="14" t="s">
        <v>161</v>
      </c>
      <c r="O137" s="12">
        <v>4</v>
      </c>
      <c r="P137" s="12">
        <v>164</v>
      </c>
      <c r="Q137" s="12">
        <v>14.6</v>
      </c>
      <c r="R137" s="12">
        <v>7.15</v>
      </c>
      <c r="S137" s="12">
        <v>0.74</v>
      </c>
      <c r="T137" s="12">
        <v>2815</v>
      </c>
      <c r="U137" s="12">
        <v>5</v>
      </c>
      <c r="V137" s="11">
        <v>136</v>
      </c>
    </row>
    <row r="138" spans="1:22" ht="16.5" customHeight="1" x14ac:dyDescent="0.25">
      <c r="D138" s="3" t="s">
        <v>53</v>
      </c>
      <c r="E138" s="12"/>
      <c r="F138" s="12">
        <v>14</v>
      </c>
      <c r="G138" s="12">
        <v>5.4</v>
      </c>
      <c r="H138" s="12">
        <v>12</v>
      </c>
      <c r="I138" s="12">
        <v>2</v>
      </c>
      <c r="J138" s="12">
        <v>12</v>
      </c>
      <c r="K138" s="13" t="s">
        <v>157</v>
      </c>
      <c r="L138" s="12">
        <v>0</v>
      </c>
      <c r="M138" s="12">
        <v>6</v>
      </c>
      <c r="N138" s="14" t="s">
        <v>161</v>
      </c>
      <c r="O138" s="12">
        <v>4</v>
      </c>
      <c r="P138" s="12">
        <v>135</v>
      </c>
      <c r="Q138" s="12">
        <v>13.1</v>
      </c>
      <c r="R138" s="12">
        <v>6.42</v>
      </c>
      <c r="S138" s="12">
        <v>0.74</v>
      </c>
      <c r="T138" s="12">
        <v>2227</v>
      </c>
      <c r="U138" s="12">
        <v>5</v>
      </c>
      <c r="V138" s="11">
        <v>137</v>
      </c>
    </row>
    <row r="139" spans="1:22" ht="16.5" customHeight="1" x14ac:dyDescent="0.25">
      <c r="D139" s="3" t="s">
        <v>4</v>
      </c>
      <c r="E139" s="12"/>
      <c r="F139" s="12">
        <v>15</v>
      </c>
      <c r="G139" s="12">
        <v>6.1</v>
      </c>
      <c r="H139" s="12">
        <v>12</v>
      </c>
      <c r="I139" s="12">
        <v>2</v>
      </c>
      <c r="J139" s="12">
        <v>12</v>
      </c>
      <c r="K139" s="13" t="s">
        <v>160</v>
      </c>
      <c r="L139" s="12">
        <v>0</v>
      </c>
      <c r="M139" s="12">
        <v>6</v>
      </c>
      <c r="N139" s="14" t="s">
        <v>163</v>
      </c>
      <c r="O139" s="12">
        <v>4</v>
      </c>
      <c r="P139" s="12">
        <v>174</v>
      </c>
      <c r="Q139" s="12">
        <v>14.6</v>
      </c>
      <c r="R139" s="12">
        <v>7.15</v>
      </c>
      <c r="S139" s="12">
        <v>0.77</v>
      </c>
      <c r="T139" s="12">
        <v>3227</v>
      </c>
      <c r="U139" s="12">
        <v>5</v>
      </c>
      <c r="V139" s="11">
        <v>138</v>
      </c>
    </row>
    <row r="140" spans="1:22" ht="16.5" customHeight="1" x14ac:dyDescent="0.25">
      <c r="D140" s="3" t="s">
        <v>5</v>
      </c>
      <c r="E140" s="12"/>
      <c r="F140" s="12">
        <v>15</v>
      </c>
      <c r="G140" s="12">
        <v>6.1</v>
      </c>
      <c r="H140" s="12">
        <v>12</v>
      </c>
      <c r="I140" s="12">
        <v>2</v>
      </c>
      <c r="J140" s="12">
        <v>12</v>
      </c>
      <c r="K140" s="13" t="s">
        <v>157</v>
      </c>
      <c r="L140" s="12">
        <v>0</v>
      </c>
      <c r="M140" s="12">
        <v>6</v>
      </c>
      <c r="N140" s="14" t="s">
        <v>163</v>
      </c>
      <c r="O140" s="12">
        <v>4</v>
      </c>
      <c r="P140" s="12">
        <v>174</v>
      </c>
      <c r="Q140" s="12">
        <v>14.6</v>
      </c>
      <c r="R140" s="12">
        <v>7.15</v>
      </c>
      <c r="S140" s="12">
        <v>0.77</v>
      </c>
      <c r="T140" s="12">
        <v>3227</v>
      </c>
      <c r="U140" s="12">
        <v>5</v>
      </c>
      <c r="V140" s="11">
        <v>139</v>
      </c>
    </row>
    <row r="141" spans="1:22" ht="16.5" customHeight="1" x14ac:dyDescent="0.25">
      <c r="D141" s="3" t="s">
        <v>6</v>
      </c>
      <c r="E141" s="12"/>
      <c r="F141" s="12">
        <v>15</v>
      </c>
      <c r="G141" s="12">
        <v>6.1</v>
      </c>
      <c r="H141" s="12">
        <v>12</v>
      </c>
      <c r="I141" s="12">
        <v>2</v>
      </c>
      <c r="J141" s="12">
        <v>12</v>
      </c>
      <c r="K141" s="13" t="s">
        <v>162</v>
      </c>
      <c r="L141" s="12">
        <v>0</v>
      </c>
      <c r="M141" s="12">
        <v>6</v>
      </c>
      <c r="N141" s="14" t="s">
        <v>163</v>
      </c>
      <c r="O141" s="12">
        <v>4</v>
      </c>
      <c r="P141" s="12">
        <v>174</v>
      </c>
      <c r="Q141" s="12">
        <v>14.6</v>
      </c>
      <c r="R141" s="12">
        <v>7.15</v>
      </c>
      <c r="S141" s="12">
        <v>0.77</v>
      </c>
      <c r="T141" s="12">
        <v>3227</v>
      </c>
      <c r="U141" s="12">
        <v>5</v>
      </c>
      <c r="V141" s="11">
        <v>140</v>
      </c>
    </row>
    <row r="142" spans="1:22" ht="16.5" customHeight="1" x14ac:dyDescent="0.25">
      <c r="D142" s="3" t="s">
        <v>7</v>
      </c>
      <c r="E142" s="12"/>
      <c r="F142" s="12">
        <v>15</v>
      </c>
      <c r="G142" s="12">
        <v>5.4</v>
      </c>
      <c r="H142" s="12">
        <v>12</v>
      </c>
      <c r="I142" s="12">
        <v>2</v>
      </c>
      <c r="J142" s="12">
        <v>12</v>
      </c>
      <c r="K142" s="13" t="s">
        <v>160</v>
      </c>
      <c r="L142" s="12">
        <v>0</v>
      </c>
      <c r="M142" s="12">
        <v>6</v>
      </c>
      <c r="N142" s="14" t="s">
        <v>163</v>
      </c>
      <c r="O142" s="12">
        <v>4</v>
      </c>
      <c r="P142" s="12">
        <v>141</v>
      </c>
      <c r="Q142" s="12">
        <v>13.1</v>
      </c>
      <c r="R142" s="12">
        <v>6.42</v>
      </c>
      <c r="S142" s="12">
        <v>0.77</v>
      </c>
      <c r="T142" s="12">
        <v>2406</v>
      </c>
      <c r="U142" s="12">
        <v>5</v>
      </c>
      <c r="V142" s="11">
        <v>141</v>
      </c>
    </row>
    <row r="143" spans="1:22" ht="16.5" customHeight="1" x14ac:dyDescent="0.25">
      <c r="D143" s="3" t="s">
        <v>8</v>
      </c>
      <c r="E143" s="12"/>
      <c r="F143" s="12">
        <v>15</v>
      </c>
      <c r="G143" s="12">
        <v>5.4</v>
      </c>
      <c r="H143" s="12">
        <v>12</v>
      </c>
      <c r="I143" s="12">
        <v>2</v>
      </c>
      <c r="J143" s="12">
        <v>12</v>
      </c>
      <c r="K143" s="13" t="s">
        <v>157</v>
      </c>
      <c r="L143" s="12">
        <v>0</v>
      </c>
      <c r="M143" s="12">
        <v>6</v>
      </c>
      <c r="N143" s="14" t="s">
        <v>163</v>
      </c>
      <c r="O143" s="12">
        <v>4</v>
      </c>
      <c r="P143" s="12">
        <v>141</v>
      </c>
      <c r="Q143" s="12">
        <v>13.1</v>
      </c>
      <c r="R143" s="12">
        <v>6.42</v>
      </c>
      <c r="S143" s="12">
        <v>0.77</v>
      </c>
      <c r="T143" s="12">
        <v>2406</v>
      </c>
      <c r="U143" s="12">
        <v>5</v>
      </c>
      <c r="V143" s="11">
        <v>142</v>
      </c>
    </row>
    <row r="144" spans="1:22" ht="16.5" customHeight="1" x14ac:dyDescent="0.25">
      <c r="D144" s="3" t="s">
        <v>9</v>
      </c>
      <c r="E144" s="12"/>
      <c r="F144" s="12">
        <v>15</v>
      </c>
      <c r="G144" s="12">
        <v>5.4</v>
      </c>
      <c r="H144" s="12">
        <v>12</v>
      </c>
      <c r="I144" s="12">
        <v>2</v>
      </c>
      <c r="J144" s="12">
        <v>12</v>
      </c>
      <c r="K144" s="13" t="s">
        <v>162</v>
      </c>
      <c r="L144" s="12">
        <v>0</v>
      </c>
      <c r="M144" s="12">
        <v>6</v>
      </c>
      <c r="N144" s="14" t="s">
        <v>163</v>
      </c>
      <c r="O144" s="12">
        <v>4</v>
      </c>
      <c r="P144" s="12">
        <v>141</v>
      </c>
      <c r="Q144" s="12">
        <v>13.1</v>
      </c>
      <c r="R144" s="12">
        <v>6.42</v>
      </c>
      <c r="S144" s="12">
        <v>0.77</v>
      </c>
      <c r="T144" s="12">
        <v>2406</v>
      </c>
      <c r="U144" s="12">
        <v>5</v>
      </c>
      <c r="V144" s="11">
        <v>143</v>
      </c>
    </row>
    <row r="145" spans="4:22" ht="16.5" customHeight="1" x14ac:dyDescent="0.25">
      <c r="D145" s="3" t="s">
        <v>10</v>
      </c>
      <c r="E145" s="12"/>
      <c r="F145" s="12">
        <v>15</v>
      </c>
      <c r="G145" s="12">
        <v>6.1</v>
      </c>
      <c r="H145" s="12">
        <v>12</v>
      </c>
      <c r="I145" s="12">
        <v>3</v>
      </c>
      <c r="J145" s="12">
        <v>12</v>
      </c>
      <c r="K145" s="13" t="s">
        <v>160</v>
      </c>
      <c r="L145" s="12">
        <v>0</v>
      </c>
      <c r="M145" s="12">
        <v>6</v>
      </c>
      <c r="N145" s="14" t="s">
        <v>163</v>
      </c>
      <c r="O145" s="12">
        <v>3</v>
      </c>
      <c r="P145" s="12">
        <v>204</v>
      </c>
      <c r="Q145" s="12">
        <v>14.6</v>
      </c>
      <c r="R145" s="12">
        <v>7.15</v>
      </c>
      <c r="S145" s="12">
        <v>0.77</v>
      </c>
      <c r="T145" s="12">
        <v>3095</v>
      </c>
      <c r="U145" s="12">
        <v>5</v>
      </c>
      <c r="V145" s="11">
        <v>144</v>
      </c>
    </row>
    <row r="146" spans="4:22" ht="18" customHeight="1" x14ac:dyDescent="0.25">
      <c r="D146" t="s">
        <v>11</v>
      </c>
      <c r="F146" s="11">
        <v>15</v>
      </c>
      <c r="G146" s="11">
        <v>6.1</v>
      </c>
      <c r="H146" s="11">
        <v>12</v>
      </c>
      <c r="I146" s="11">
        <v>3</v>
      </c>
      <c r="J146" s="11">
        <v>12</v>
      </c>
      <c r="K146" s="23" t="s">
        <v>164</v>
      </c>
      <c r="L146" s="11">
        <v>0</v>
      </c>
      <c r="M146" s="11">
        <v>6</v>
      </c>
      <c r="N146" s="24" t="s">
        <v>163</v>
      </c>
      <c r="O146" s="11">
        <v>3</v>
      </c>
      <c r="P146" s="11">
        <v>204</v>
      </c>
      <c r="Q146" s="11">
        <v>14.6</v>
      </c>
      <c r="R146" s="11">
        <v>7.15</v>
      </c>
      <c r="S146" s="11">
        <v>0.77</v>
      </c>
      <c r="T146" s="11">
        <v>3095</v>
      </c>
      <c r="U146" s="12">
        <v>5</v>
      </c>
      <c r="V146" s="11">
        <v>145</v>
      </c>
    </row>
    <row r="147" spans="4:22" ht="18" customHeight="1" x14ac:dyDescent="0.25">
      <c r="D147" t="s">
        <v>12</v>
      </c>
      <c r="F147" s="11">
        <v>15</v>
      </c>
      <c r="G147" s="11">
        <v>6.1</v>
      </c>
      <c r="H147" s="11">
        <v>12</v>
      </c>
      <c r="I147" s="11">
        <v>3</v>
      </c>
      <c r="J147" s="11">
        <v>12</v>
      </c>
      <c r="K147" s="23" t="s">
        <v>157</v>
      </c>
      <c r="L147" s="11">
        <v>0</v>
      </c>
      <c r="M147" s="11">
        <v>6</v>
      </c>
      <c r="N147" s="24" t="s">
        <v>163</v>
      </c>
      <c r="O147" s="11">
        <v>3</v>
      </c>
      <c r="P147" s="11">
        <v>204</v>
      </c>
      <c r="Q147" s="11">
        <v>14.6</v>
      </c>
      <c r="R147" s="11">
        <v>7.15</v>
      </c>
      <c r="S147" s="11">
        <v>0.77</v>
      </c>
      <c r="T147" s="11">
        <v>3095</v>
      </c>
      <c r="U147" s="12">
        <v>5</v>
      </c>
      <c r="V147" s="11">
        <v>146</v>
      </c>
    </row>
    <row r="148" spans="4:22" ht="18" customHeight="1" x14ac:dyDescent="0.25">
      <c r="D148" t="s">
        <v>13</v>
      </c>
      <c r="F148" s="11">
        <v>15</v>
      </c>
      <c r="G148" s="11">
        <v>6.1</v>
      </c>
      <c r="H148" s="11">
        <v>12</v>
      </c>
      <c r="I148" s="11">
        <v>3</v>
      </c>
      <c r="J148" s="11">
        <v>12</v>
      </c>
      <c r="K148" s="23" t="s">
        <v>162</v>
      </c>
      <c r="L148" s="11">
        <v>0</v>
      </c>
      <c r="M148" s="11">
        <v>6</v>
      </c>
      <c r="N148" s="24" t="s">
        <v>163</v>
      </c>
      <c r="O148" s="11">
        <v>3</v>
      </c>
      <c r="P148" s="11">
        <v>204</v>
      </c>
      <c r="Q148" s="11">
        <v>14.6</v>
      </c>
      <c r="R148" s="11">
        <v>7.15</v>
      </c>
      <c r="S148" s="11">
        <v>0.77</v>
      </c>
      <c r="T148" s="11">
        <v>3095</v>
      </c>
      <c r="U148" s="12">
        <v>5</v>
      </c>
      <c r="V148" s="11">
        <v>147</v>
      </c>
    </row>
    <row r="149" spans="4:22" ht="18" customHeight="1" x14ac:dyDescent="0.25">
      <c r="D149" t="s">
        <v>43</v>
      </c>
      <c r="F149" s="11">
        <v>15</v>
      </c>
      <c r="G149" s="11">
        <v>6.7</v>
      </c>
      <c r="H149" s="11">
        <v>12</v>
      </c>
      <c r="I149" s="11">
        <v>3</v>
      </c>
      <c r="J149" s="11">
        <v>12</v>
      </c>
      <c r="K149" s="22" t="s">
        <v>160</v>
      </c>
      <c r="L149" s="11">
        <v>0</v>
      </c>
      <c r="M149" s="11">
        <v>6</v>
      </c>
      <c r="N149" s="24" t="s">
        <v>163</v>
      </c>
      <c r="O149" s="11">
        <v>6</v>
      </c>
      <c r="P149" s="11">
        <v>238</v>
      </c>
      <c r="Q149" s="11">
        <v>16</v>
      </c>
      <c r="R149" s="11">
        <v>7.65</v>
      </c>
      <c r="S149" s="11">
        <v>0.78</v>
      </c>
      <c r="T149" s="11">
        <v>4352</v>
      </c>
      <c r="U149" s="12">
        <v>5</v>
      </c>
      <c r="V149" s="11">
        <v>148</v>
      </c>
    </row>
    <row r="150" spans="4:22" ht="19.5" customHeight="1" x14ac:dyDescent="0.25">
      <c r="D150" t="s">
        <v>44</v>
      </c>
      <c r="F150" s="11">
        <v>15</v>
      </c>
      <c r="G150" s="11">
        <v>6.7</v>
      </c>
      <c r="H150" s="11">
        <v>12</v>
      </c>
      <c r="I150" s="11">
        <v>3</v>
      </c>
      <c r="J150" s="11">
        <v>12</v>
      </c>
      <c r="K150" s="22" t="s">
        <v>164</v>
      </c>
      <c r="L150" s="11">
        <v>0</v>
      </c>
      <c r="M150" s="11">
        <v>6</v>
      </c>
      <c r="N150" s="24" t="s">
        <v>163</v>
      </c>
      <c r="O150" s="11">
        <v>6</v>
      </c>
      <c r="P150" s="11">
        <v>238</v>
      </c>
      <c r="Q150" s="11">
        <v>16</v>
      </c>
      <c r="R150" s="11">
        <v>7.65</v>
      </c>
      <c r="S150" s="11">
        <v>0.78</v>
      </c>
      <c r="T150" s="11">
        <v>4352</v>
      </c>
      <c r="U150" s="12">
        <v>5</v>
      </c>
      <c r="V150" s="11">
        <v>149</v>
      </c>
    </row>
    <row r="151" spans="4:22" ht="19.5" customHeight="1" x14ac:dyDescent="0.25">
      <c r="D151" t="s">
        <v>59</v>
      </c>
      <c r="F151" s="11">
        <v>15</v>
      </c>
      <c r="G151" s="11">
        <v>6.7</v>
      </c>
      <c r="H151" s="11">
        <v>12</v>
      </c>
      <c r="I151" s="11">
        <v>3</v>
      </c>
      <c r="J151" s="11">
        <v>12</v>
      </c>
      <c r="K151" s="22" t="s">
        <v>157</v>
      </c>
      <c r="L151" s="11">
        <v>0</v>
      </c>
      <c r="M151" s="11">
        <v>6</v>
      </c>
      <c r="N151" s="24" t="s">
        <v>163</v>
      </c>
      <c r="O151" s="11">
        <v>6</v>
      </c>
      <c r="P151" s="11">
        <v>238</v>
      </c>
      <c r="Q151" s="11">
        <v>16</v>
      </c>
      <c r="R151" s="11">
        <v>7.65</v>
      </c>
      <c r="S151" s="11">
        <v>0.78</v>
      </c>
      <c r="T151" s="11">
        <v>4352</v>
      </c>
      <c r="U151" s="12">
        <v>5</v>
      </c>
      <c r="V151" s="11">
        <v>150</v>
      </c>
    </row>
    <row r="152" spans="4:22" ht="16.5" customHeight="1" x14ac:dyDescent="0.25">
      <c r="D152" t="s">
        <v>45</v>
      </c>
      <c r="F152" s="11">
        <v>15</v>
      </c>
      <c r="G152" s="11">
        <v>6.7</v>
      </c>
      <c r="H152" s="11">
        <v>12</v>
      </c>
      <c r="I152" s="11">
        <v>3</v>
      </c>
      <c r="J152" s="11">
        <v>12</v>
      </c>
      <c r="K152" s="22" t="s">
        <v>162</v>
      </c>
      <c r="L152" s="11">
        <v>0</v>
      </c>
      <c r="M152" s="11">
        <v>6</v>
      </c>
      <c r="N152" s="24" t="s">
        <v>163</v>
      </c>
      <c r="O152" s="11">
        <v>6</v>
      </c>
      <c r="P152" s="11">
        <v>238</v>
      </c>
      <c r="Q152" s="11">
        <v>16</v>
      </c>
      <c r="R152" s="11">
        <v>7.65</v>
      </c>
      <c r="S152" s="11">
        <v>0.78</v>
      </c>
      <c r="T152" s="11">
        <v>4352</v>
      </c>
      <c r="U152" s="12">
        <v>5</v>
      </c>
      <c r="V152" s="11">
        <v>151</v>
      </c>
    </row>
    <row r="153" spans="4:22" ht="14.25" customHeight="1" x14ac:dyDescent="0.25">
      <c r="D153" t="s">
        <v>106</v>
      </c>
      <c r="F153" s="11">
        <v>16</v>
      </c>
      <c r="G153" s="11">
        <v>6.1</v>
      </c>
      <c r="H153" s="11">
        <v>12</v>
      </c>
      <c r="I153" s="11">
        <v>3</v>
      </c>
      <c r="J153" s="11">
        <v>12</v>
      </c>
      <c r="K153" s="22" t="s">
        <v>160</v>
      </c>
      <c r="L153" s="11">
        <v>0</v>
      </c>
      <c r="M153" s="11">
        <v>6</v>
      </c>
      <c r="N153" s="24" t="s">
        <v>163</v>
      </c>
      <c r="O153" s="11">
        <v>6</v>
      </c>
      <c r="P153" s="11">
        <v>172</v>
      </c>
      <c r="Q153" s="11">
        <v>14.67</v>
      </c>
      <c r="R153" s="11">
        <v>7.15</v>
      </c>
      <c r="S153" s="11">
        <v>0.78</v>
      </c>
      <c r="T153" s="11">
        <v>3279</v>
      </c>
      <c r="U153" s="12">
        <v>5</v>
      </c>
      <c r="V153" s="11">
        <v>152</v>
      </c>
    </row>
    <row r="154" spans="4:22" ht="15.75" customHeight="1" x14ac:dyDescent="0.25">
      <c r="D154" t="s">
        <v>107</v>
      </c>
      <c r="F154" s="11">
        <v>16</v>
      </c>
      <c r="G154" s="11">
        <v>6.1</v>
      </c>
      <c r="H154" s="11">
        <v>12</v>
      </c>
      <c r="I154" s="11">
        <v>3</v>
      </c>
      <c r="J154" s="11">
        <v>12</v>
      </c>
      <c r="K154" s="22" t="s">
        <v>157</v>
      </c>
      <c r="L154" s="11">
        <v>0</v>
      </c>
      <c r="M154" s="11">
        <v>6</v>
      </c>
      <c r="N154" s="24" t="s">
        <v>163</v>
      </c>
      <c r="O154" s="11">
        <v>6</v>
      </c>
      <c r="P154" s="11">
        <v>172</v>
      </c>
      <c r="Q154" s="11">
        <v>14.67</v>
      </c>
      <c r="R154" s="11">
        <v>7.15</v>
      </c>
      <c r="S154" s="11">
        <v>0.78</v>
      </c>
      <c r="T154" s="11">
        <v>3279</v>
      </c>
      <c r="U154" s="12">
        <v>5</v>
      </c>
      <c r="V154" s="11">
        <v>153</v>
      </c>
    </row>
    <row r="155" spans="4:22" ht="20.25" customHeight="1" x14ac:dyDescent="0.25">
      <c r="D155" t="s">
        <v>108</v>
      </c>
      <c r="F155" s="11">
        <v>16</v>
      </c>
      <c r="G155" s="11">
        <v>6.1</v>
      </c>
      <c r="H155" s="11">
        <v>12</v>
      </c>
      <c r="I155" s="11">
        <v>3</v>
      </c>
      <c r="J155" s="11">
        <v>12</v>
      </c>
      <c r="K155" s="22" t="s">
        <v>162</v>
      </c>
      <c r="L155" s="11">
        <v>0</v>
      </c>
      <c r="M155" s="11">
        <v>6</v>
      </c>
      <c r="N155" s="24" t="s">
        <v>163</v>
      </c>
      <c r="O155" s="11">
        <v>6</v>
      </c>
      <c r="P155" s="11">
        <v>172</v>
      </c>
      <c r="Q155" s="11">
        <v>14.67</v>
      </c>
      <c r="R155" s="11">
        <v>7.15</v>
      </c>
      <c r="S155" s="11">
        <v>0.78</v>
      </c>
      <c r="T155" s="11">
        <v>3279</v>
      </c>
      <c r="U155" s="12">
        <v>5</v>
      </c>
      <c r="V155" s="11">
        <v>154</v>
      </c>
    </row>
    <row r="156" spans="4:22" ht="26.25" customHeight="1" x14ac:dyDescent="0.25">
      <c r="D156" t="s">
        <v>109</v>
      </c>
      <c r="F156" s="11">
        <v>16</v>
      </c>
      <c r="G156" s="11">
        <v>6.7</v>
      </c>
      <c r="H156" s="11">
        <v>12</v>
      </c>
      <c r="I156" s="11">
        <v>3</v>
      </c>
      <c r="J156" s="11">
        <v>12</v>
      </c>
      <c r="K156" s="22" t="s">
        <v>160</v>
      </c>
      <c r="L156" s="11">
        <v>0</v>
      </c>
      <c r="M156" s="11">
        <v>6</v>
      </c>
      <c r="N156" s="24" t="s">
        <v>163</v>
      </c>
      <c r="O156" s="11">
        <v>6</v>
      </c>
      <c r="P156" s="11">
        <v>203</v>
      </c>
      <c r="Q156" s="11">
        <v>16</v>
      </c>
      <c r="R156" s="11">
        <v>7.81</v>
      </c>
      <c r="S156" s="11">
        <v>0.78</v>
      </c>
      <c r="T156" s="11">
        <v>4325</v>
      </c>
      <c r="U156" s="12">
        <v>5</v>
      </c>
      <c r="V156" s="11">
        <v>155</v>
      </c>
    </row>
    <row r="157" spans="4:22" ht="20.25" customHeight="1" x14ac:dyDescent="0.25">
      <c r="D157" t="s">
        <v>110</v>
      </c>
      <c r="F157" s="11">
        <v>16</v>
      </c>
      <c r="G157" s="11">
        <v>6.7</v>
      </c>
      <c r="H157" s="11">
        <v>12</v>
      </c>
      <c r="I157" s="11">
        <v>3</v>
      </c>
      <c r="J157" s="11">
        <v>12</v>
      </c>
      <c r="K157" s="22" t="s">
        <v>157</v>
      </c>
      <c r="L157" s="11">
        <v>0</v>
      </c>
      <c r="M157" s="11">
        <v>6</v>
      </c>
      <c r="N157" s="24" t="s">
        <v>163</v>
      </c>
      <c r="O157" s="11">
        <v>6</v>
      </c>
      <c r="P157" s="11">
        <v>203</v>
      </c>
      <c r="Q157" s="11">
        <v>16</v>
      </c>
      <c r="R157" s="11">
        <v>7.81</v>
      </c>
      <c r="S157" s="11">
        <v>0.78</v>
      </c>
      <c r="T157" s="11">
        <v>4325</v>
      </c>
      <c r="U157" s="12">
        <v>5</v>
      </c>
      <c r="V157" s="11">
        <v>156</v>
      </c>
    </row>
    <row r="158" spans="4:22" ht="20.25" customHeight="1" x14ac:dyDescent="0.25">
      <c r="D158" t="s">
        <v>111</v>
      </c>
      <c r="F158" s="11">
        <v>16</v>
      </c>
      <c r="G158" s="11">
        <v>6.7</v>
      </c>
      <c r="H158" s="11">
        <v>12</v>
      </c>
      <c r="I158" s="11">
        <v>3</v>
      </c>
      <c r="J158" s="11">
        <v>12</v>
      </c>
      <c r="K158" s="22" t="s">
        <v>162</v>
      </c>
      <c r="L158" s="11">
        <v>0</v>
      </c>
      <c r="M158" s="11">
        <v>6</v>
      </c>
      <c r="N158" s="24" t="s">
        <v>163</v>
      </c>
      <c r="O158" s="11">
        <v>6</v>
      </c>
      <c r="P158" s="11">
        <v>203</v>
      </c>
      <c r="Q158" s="11">
        <v>16</v>
      </c>
      <c r="R158" s="11">
        <v>7.81</v>
      </c>
      <c r="S158" s="11">
        <v>0.78</v>
      </c>
      <c r="T158" s="11">
        <v>4325</v>
      </c>
      <c r="U158" s="12">
        <v>5</v>
      </c>
      <c r="V158" s="11">
        <v>157</v>
      </c>
    </row>
    <row r="159" spans="4:22" ht="18" customHeight="1" x14ac:dyDescent="0.25">
      <c r="D159" t="s">
        <v>112</v>
      </c>
      <c r="F159" s="11">
        <v>16</v>
      </c>
      <c r="G159" s="11">
        <v>6.1</v>
      </c>
      <c r="H159" s="11">
        <v>48</v>
      </c>
      <c r="I159" s="11">
        <v>4</v>
      </c>
      <c r="J159" s="11">
        <v>12</v>
      </c>
      <c r="K159" s="22" t="s">
        <v>160</v>
      </c>
      <c r="L159" s="11">
        <v>0</v>
      </c>
      <c r="M159" s="11">
        <v>6</v>
      </c>
      <c r="N159" s="24" t="s">
        <v>163</v>
      </c>
      <c r="O159" s="11">
        <v>6</v>
      </c>
      <c r="P159" s="11">
        <v>206</v>
      </c>
      <c r="Q159" s="11">
        <v>14.75</v>
      </c>
      <c r="R159" s="11">
        <v>7.15</v>
      </c>
      <c r="S159" s="11">
        <v>0.78500000000000003</v>
      </c>
      <c r="T159" s="11">
        <v>3200</v>
      </c>
      <c r="U159" s="12">
        <v>5</v>
      </c>
      <c r="V159" s="11">
        <v>158</v>
      </c>
    </row>
    <row r="160" spans="4:22" x14ac:dyDescent="0.25">
      <c r="D160" t="s">
        <v>113</v>
      </c>
      <c r="F160" s="11">
        <v>16</v>
      </c>
      <c r="G160" s="11">
        <v>6.1</v>
      </c>
      <c r="H160" s="11">
        <v>48</v>
      </c>
      <c r="I160" s="11">
        <v>4</v>
      </c>
      <c r="J160" s="11">
        <v>12</v>
      </c>
      <c r="K160" s="22" t="s">
        <v>164</v>
      </c>
      <c r="L160" s="11">
        <v>0</v>
      </c>
      <c r="M160" s="11">
        <v>6</v>
      </c>
      <c r="N160" s="24" t="s">
        <v>163</v>
      </c>
      <c r="O160" s="11">
        <v>6</v>
      </c>
      <c r="P160" s="11">
        <v>206</v>
      </c>
      <c r="Q160" s="11">
        <v>14.75</v>
      </c>
      <c r="R160" s="11">
        <v>7.15</v>
      </c>
      <c r="S160" s="11">
        <v>0.78500000000000003</v>
      </c>
      <c r="T160" s="11">
        <v>3200</v>
      </c>
      <c r="U160" s="12">
        <v>5</v>
      </c>
      <c r="V160" s="11">
        <v>159</v>
      </c>
    </row>
    <row r="161" spans="4:22" x14ac:dyDescent="0.25">
      <c r="D161" t="s">
        <v>114</v>
      </c>
      <c r="F161" s="11">
        <v>16</v>
      </c>
      <c r="G161" s="11">
        <v>6.1</v>
      </c>
      <c r="H161" s="11">
        <v>48</v>
      </c>
      <c r="I161" s="11">
        <v>4</v>
      </c>
      <c r="J161" s="11">
        <v>12</v>
      </c>
      <c r="K161" s="22" t="s">
        <v>157</v>
      </c>
      <c r="L161" s="11">
        <v>0</v>
      </c>
      <c r="M161" s="11">
        <v>6</v>
      </c>
      <c r="N161" s="24" t="s">
        <v>163</v>
      </c>
      <c r="O161" s="11">
        <v>6</v>
      </c>
      <c r="P161" s="11">
        <v>206</v>
      </c>
      <c r="Q161" s="11">
        <v>14.75</v>
      </c>
      <c r="R161" s="11">
        <v>7.15</v>
      </c>
      <c r="S161" s="11">
        <v>0.78500000000000003</v>
      </c>
      <c r="T161" s="11">
        <v>3200</v>
      </c>
      <c r="U161" s="12">
        <v>5</v>
      </c>
      <c r="V161" s="11">
        <v>160</v>
      </c>
    </row>
    <row r="162" spans="4:22" x14ac:dyDescent="0.25">
      <c r="D162" t="s">
        <v>115</v>
      </c>
      <c r="F162" s="11">
        <v>16</v>
      </c>
      <c r="G162" s="11">
        <v>6.1</v>
      </c>
      <c r="H162" s="11">
        <v>48</v>
      </c>
      <c r="I162" s="11">
        <v>4</v>
      </c>
      <c r="J162" s="11">
        <v>12</v>
      </c>
      <c r="K162" s="22" t="s">
        <v>162</v>
      </c>
      <c r="L162" s="11">
        <v>0</v>
      </c>
      <c r="M162" s="11">
        <v>6</v>
      </c>
      <c r="N162" s="24" t="s">
        <v>163</v>
      </c>
      <c r="O162" s="11">
        <v>6</v>
      </c>
      <c r="P162" s="11">
        <v>206</v>
      </c>
      <c r="Q162" s="11">
        <v>14.75</v>
      </c>
      <c r="R162" s="11">
        <v>7.15</v>
      </c>
      <c r="S162" s="11">
        <v>0.78500000000000003</v>
      </c>
      <c r="T162" s="11">
        <v>3200</v>
      </c>
      <c r="U162" s="12">
        <v>5</v>
      </c>
      <c r="V162" s="11">
        <v>161</v>
      </c>
    </row>
    <row r="163" spans="4:22" x14ac:dyDescent="0.25">
      <c r="D163" t="s">
        <v>116</v>
      </c>
      <c r="F163" s="11">
        <v>16</v>
      </c>
      <c r="G163" s="11">
        <v>6.7</v>
      </c>
      <c r="H163" s="11">
        <v>48</v>
      </c>
      <c r="I163" s="11">
        <v>4</v>
      </c>
      <c r="J163" s="11">
        <v>12</v>
      </c>
      <c r="K163" s="22" t="s">
        <v>160</v>
      </c>
      <c r="L163" s="11">
        <v>0</v>
      </c>
      <c r="M163" s="11">
        <v>6</v>
      </c>
      <c r="N163" s="24" t="s">
        <v>163</v>
      </c>
      <c r="O163" s="11">
        <v>6</v>
      </c>
      <c r="P163" s="11">
        <v>240</v>
      </c>
      <c r="Q163" s="11">
        <v>16</v>
      </c>
      <c r="R163" s="11">
        <v>7.76</v>
      </c>
      <c r="S163" s="11">
        <v>0.78500000000000003</v>
      </c>
      <c r="T163" s="11">
        <v>4323</v>
      </c>
      <c r="U163" s="12">
        <v>5</v>
      </c>
      <c r="V163" s="11">
        <v>162</v>
      </c>
    </row>
    <row r="164" spans="4:22" x14ac:dyDescent="0.25">
      <c r="D164" t="s">
        <v>117</v>
      </c>
      <c r="F164" s="11">
        <v>16</v>
      </c>
      <c r="G164" s="11">
        <v>6.7</v>
      </c>
      <c r="H164" s="11">
        <v>48</v>
      </c>
      <c r="I164" s="11">
        <v>4</v>
      </c>
      <c r="J164" s="11">
        <v>12</v>
      </c>
      <c r="K164" s="22" t="s">
        <v>164</v>
      </c>
      <c r="L164" s="11">
        <v>0</v>
      </c>
      <c r="M164" s="11">
        <v>6</v>
      </c>
      <c r="N164" s="24" t="s">
        <v>163</v>
      </c>
      <c r="O164" s="11">
        <v>6</v>
      </c>
      <c r="P164" s="11">
        <v>240</v>
      </c>
      <c r="Q164" s="11">
        <v>16</v>
      </c>
      <c r="R164" s="11">
        <v>7.76</v>
      </c>
      <c r="S164" s="11">
        <v>0.78500000000000003</v>
      </c>
      <c r="T164" s="11">
        <v>4323</v>
      </c>
      <c r="U164" s="12">
        <v>5</v>
      </c>
      <c r="V164" s="11">
        <v>163</v>
      </c>
    </row>
    <row r="165" spans="4:22" x14ac:dyDescent="0.25">
      <c r="D165" t="s">
        <v>118</v>
      </c>
      <c r="F165" s="11">
        <v>16</v>
      </c>
      <c r="G165" s="11">
        <v>6.7</v>
      </c>
      <c r="H165" s="11">
        <v>48</v>
      </c>
      <c r="I165" s="11">
        <v>4</v>
      </c>
      <c r="J165" s="11">
        <v>12</v>
      </c>
      <c r="K165" s="22" t="s">
        <v>157</v>
      </c>
      <c r="L165" s="11">
        <v>0</v>
      </c>
      <c r="M165" s="11">
        <v>6</v>
      </c>
      <c r="N165" s="24" t="s">
        <v>163</v>
      </c>
      <c r="O165" s="11">
        <v>6</v>
      </c>
      <c r="P165" s="11">
        <v>240</v>
      </c>
      <c r="Q165" s="11">
        <v>16</v>
      </c>
      <c r="R165" s="11">
        <v>7.76</v>
      </c>
      <c r="S165" s="11">
        <v>0.78500000000000003</v>
      </c>
      <c r="T165" s="11">
        <v>4323</v>
      </c>
      <c r="U165" s="12">
        <v>5</v>
      </c>
      <c r="V165" s="11">
        <v>164</v>
      </c>
    </row>
    <row r="166" spans="4:22" ht="18.75" customHeight="1" x14ac:dyDescent="0.25">
      <c r="D166" t="s">
        <v>119</v>
      </c>
      <c r="F166" s="11">
        <v>16</v>
      </c>
      <c r="G166" s="11">
        <v>6.7</v>
      </c>
      <c r="H166" s="11">
        <v>48</v>
      </c>
      <c r="I166" s="11">
        <v>4</v>
      </c>
      <c r="J166" s="11">
        <v>12</v>
      </c>
      <c r="K166" s="22" t="s">
        <v>162</v>
      </c>
      <c r="L166" s="11">
        <v>0</v>
      </c>
      <c r="M166" s="11">
        <v>6</v>
      </c>
      <c r="N166" s="24" t="s">
        <v>163</v>
      </c>
      <c r="O166" s="11">
        <v>6</v>
      </c>
      <c r="P166" s="11">
        <v>240</v>
      </c>
      <c r="Q166" s="11">
        <v>16</v>
      </c>
      <c r="R166" s="11">
        <v>7.76</v>
      </c>
      <c r="S166" s="11">
        <v>0.78500000000000003</v>
      </c>
      <c r="T166" s="11">
        <v>4323</v>
      </c>
      <c r="U166" s="12">
        <v>5</v>
      </c>
      <c r="V166" s="11">
        <v>165</v>
      </c>
    </row>
    <row r="167" spans="4:22" x14ac:dyDescent="0.25">
      <c r="D167" t="s">
        <v>96</v>
      </c>
      <c r="F167" s="11">
        <v>15</v>
      </c>
      <c r="G167" s="11">
        <v>4.7</v>
      </c>
      <c r="H167" s="11">
        <v>12</v>
      </c>
      <c r="I167" s="11">
        <v>1</v>
      </c>
      <c r="J167" s="11">
        <v>7</v>
      </c>
      <c r="K167" s="22" t="s">
        <v>160</v>
      </c>
      <c r="L167" s="11">
        <v>0</v>
      </c>
      <c r="M167" s="11">
        <v>6</v>
      </c>
      <c r="N167" s="24" t="s">
        <v>161</v>
      </c>
      <c r="O167" s="11">
        <v>4</v>
      </c>
      <c r="P167" s="11">
        <v>144</v>
      </c>
      <c r="Q167" s="11">
        <v>13.84</v>
      </c>
      <c r="R167" s="11">
        <v>6.73</v>
      </c>
      <c r="S167" s="11">
        <v>0.73</v>
      </c>
      <c r="T167" s="11">
        <v>2438</v>
      </c>
      <c r="U167" s="12">
        <v>5</v>
      </c>
      <c r="V167" s="11">
        <v>166</v>
      </c>
    </row>
    <row r="168" spans="4:22" x14ac:dyDescent="0.25">
      <c r="D168" t="s">
        <v>93</v>
      </c>
      <c r="F168" s="11">
        <v>15</v>
      </c>
      <c r="G168" s="11">
        <v>4.7</v>
      </c>
      <c r="H168" s="11">
        <v>12</v>
      </c>
      <c r="I168" s="11">
        <v>1</v>
      </c>
      <c r="J168" s="11">
        <v>7</v>
      </c>
      <c r="K168" s="22" t="s">
        <v>157</v>
      </c>
      <c r="L168" s="11">
        <v>0</v>
      </c>
      <c r="M168" s="11">
        <v>6</v>
      </c>
      <c r="N168" s="24" t="s">
        <v>161</v>
      </c>
      <c r="O168" s="11">
        <v>4</v>
      </c>
      <c r="P168" s="11">
        <v>144</v>
      </c>
      <c r="Q168" s="11">
        <v>13.84</v>
      </c>
      <c r="R168" s="11">
        <v>6.73</v>
      </c>
      <c r="S168" s="11">
        <v>0.73</v>
      </c>
      <c r="T168" s="25">
        <v>2438</v>
      </c>
      <c r="U168" s="12">
        <v>5</v>
      </c>
      <c r="V168" s="11">
        <v>167</v>
      </c>
    </row>
    <row r="169" spans="4:22" x14ac:dyDescent="0.25">
      <c r="D169" t="s">
        <v>91</v>
      </c>
      <c r="F169" s="11">
        <v>15</v>
      </c>
      <c r="G169" s="11">
        <v>4.7</v>
      </c>
      <c r="H169" s="11">
        <v>12</v>
      </c>
      <c r="I169" s="11">
        <v>1</v>
      </c>
      <c r="J169" s="11">
        <v>7</v>
      </c>
      <c r="K169" s="22" t="s">
        <v>159</v>
      </c>
      <c r="L169" s="11">
        <v>0</v>
      </c>
      <c r="M169" s="11">
        <v>6</v>
      </c>
      <c r="N169" s="24" t="s">
        <v>161</v>
      </c>
      <c r="O169" s="11">
        <v>4</v>
      </c>
      <c r="P169" s="11">
        <v>144</v>
      </c>
      <c r="Q169" s="11">
        <v>13.84</v>
      </c>
      <c r="R169" s="11">
        <v>6.73</v>
      </c>
      <c r="S169" s="11">
        <v>0.73</v>
      </c>
      <c r="T169" s="11">
        <v>2438</v>
      </c>
      <c r="U169" s="12">
        <v>5</v>
      </c>
      <c r="V169" s="11">
        <v>168</v>
      </c>
    </row>
    <row r="170" spans="4:22" x14ac:dyDescent="0.25">
      <c r="D170" t="s">
        <v>55</v>
      </c>
      <c r="F170" s="11">
        <v>12</v>
      </c>
      <c r="G170" s="11">
        <v>6.1</v>
      </c>
      <c r="H170" s="11">
        <v>12</v>
      </c>
      <c r="I170" s="11">
        <v>1</v>
      </c>
      <c r="J170" s="11">
        <v>12</v>
      </c>
      <c r="K170" s="23" t="s">
        <v>159</v>
      </c>
      <c r="L170" s="11">
        <v>0</v>
      </c>
      <c r="M170" s="11">
        <v>6</v>
      </c>
      <c r="N170" s="24" t="s">
        <v>163</v>
      </c>
      <c r="O170" s="11">
        <v>3</v>
      </c>
      <c r="P170" s="11">
        <v>164</v>
      </c>
      <c r="Q170" s="11">
        <v>15.09</v>
      </c>
      <c r="R170" s="11">
        <v>7.57</v>
      </c>
      <c r="S170" s="11">
        <v>0.83</v>
      </c>
      <c r="T170" s="11">
        <v>2942</v>
      </c>
      <c r="U170" s="11">
        <v>4.5</v>
      </c>
      <c r="V170" s="11">
        <v>169</v>
      </c>
    </row>
    <row r="171" spans="4:22" x14ac:dyDescent="0.25">
      <c r="D171" t="s">
        <v>66</v>
      </c>
      <c r="F171" s="11">
        <v>12</v>
      </c>
      <c r="G171" s="11">
        <v>6.1</v>
      </c>
      <c r="H171" s="11">
        <v>12</v>
      </c>
      <c r="I171" s="11">
        <v>1</v>
      </c>
      <c r="J171" s="11">
        <v>12</v>
      </c>
      <c r="K171" s="23" t="s">
        <v>159</v>
      </c>
      <c r="L171" s="11">
        <v>0</v>
      </c>
      <c r="M171" s="11">
        <v>6</v>
      </c>
      <c r="N171" s="24" t="s">
        <v>163</v>
      </c>
      <c r="O171" s="11">
        <v>3</v>
      </c>
      <c r="P171" s="11">
        <v>164</v>
      </c>
      <c r="Q171" s="11">
        <v>15.09</v>
      </c>
      <c r="R171" s="11">
        <v>7.57</v>
      </c>
      <c r="S171" s="11">
        <v>0.83</v>
      </c>
      <c r="T171" s="11">
        <v>2942</v>
      </c>
      <c r="U171" s="11">
        <v>4.5</v>
      </c>
      <c r="V171" s="11">
        <v>170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I180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1" spans="1:243" x14ac:dyDescent="0.25">
      <c r="A1" t="s">
        <v>1268</v>
      </c>
    </row>
    <row r="2" spans="1:243" x14ac:dyDescent="0.25">
      <c r="A2" t="s">
        <v>1269</v>
      </c>
    </row>
    <row r="3" spans="1:243" x14ac:dyDescent="0.25">
      <c r="A3" t="s">
        <v>1270</v>
      </c>
    </row>
    <row r="4" spans="1:243" x14ac:dyDescent="0.25">
      <c r="A4" t="s">
        <v>1271</v>
      </c>
    </row>
    <row r="5" spans="1:243" x14ac:dyDescent="0.25">
      <c r="A5" t="s">
        <v>1272</v>
      </c>
    </row>
    <row r="6" spans="1:243" x14ac:dyDescent="0.25">
      <c r="A6" t="s">
        <v>1273</v>
      </c>
    </row>
    <row r="7" spans="1:243" x14ac:dyDescent="0.25">
      <c r="A7" t="s">
        <v>1274</v>
      </c>
    </row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1044</v>
      </c>
      <c r="D11">
        <f>SUMIFS(DICCIONARIO[Cantidad],DICCIONARIO[Modelo],UNIFICADA[[#This Row],[Equipo]])</f>
        <v>0</v>
      </c>
      <c r="E11" s="1" t="str">
        <f>IFERROR(VLOOKUP($C11,EQUIPOS[],UNIFICADO!E$9,0),"")</f>
        <v>12 GO</v>
      </c>
      <c r="F11" s="1" t="str">
        <f>IFERROR(VLOOKUP($C11,EQUIPOS[],UNIFICADO!F$9,0),"")</f>
        <v>6.52 HD+</v>
      </c>
      <c r="G11" s="1">
        <f>IFERROR(VLOOKUP($C11,EQUIPOS[],UNIFICADO!G$9,0),"")</f>
        <v>13</v>
      </c>
      <c r="H11" s="1">
        <f>IFERROR(VLOOKUP($C11,EQUIPOS[],UNIFICADO!H$9,0),"")</f>
        <v>3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>
        <f>IFERROR(VLOOKUP($C11,EQUIPOS[],UNIFICADO!L$9,0),"")</f>
        <v>8</v>
      </c>
      <c r="M11" s="1" t="str">
        <f>IFERROR(VLOOKUP($C11,EQUIPOS[],UNIFICADO!M$9,0),"")</f>
        <v>1.6/1.2</v>
      </c>
      <c r="N11" s="1">
        <f>IFERROR(VLOOKUP($C11,EQUIPOS[],UNIFICADO!N$9,0),"")</f>
        <v>2</v>
      </c>
      <c r="O11" s="1">
        <f>IFERROR(VLOOKUP($C11,EQUIPOS[],UNIFICADO!O$9,0),"")</f>
        <v>198</v>
      </c>
      <c r="P11" s="1">
        <f>IFERROR(VLOOKUP($C11,EQUIPOS[],UNIFICADO!P$9,0),"")</f>
        <v>16.5</v>
      </c>
      <c r="Q11" s="1">
        <f>IFERROR(VLOOKUP($C11,EQUIPOS[],UNIFICADO!Q$9,0),"")</f>
        <v>7.64</v>
      </c>
      <c r="R11" s="1">
        <f>IFERROR(VLOOKUP($C11,EQUIPOS[],UNIFICADO!R$9,0),"")</f>
        <v>0.9</v>
      </c>
      <c r="S11" s="1">
        <f>IFERROR(VLOOKUP($C11,EQUIPOS[],UNIFICADO!S$9,0),"")</f>
        <v>4000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 t="shared" ref="V11:V42" si="0">IFERROR(IF(V$9="ND","ND",VLOOKUP($C11,PAR,V$9,0)),"ND")</f>
        <v>ND</v>
      </c>
      <c r="W11" s="1" t="str">
        <f t="shared" ref="W11:W42" si="1">IFERROR(IF(W$9="ND","ND",VLOOKUP($C11,PRP,W$9,0)),"ND")</f>
        <v>ND</v>
      </c>
      <c r="X11" s="1" t="str">
        <f t="shared" ref="X11:Y30" si="2">IF(X$9="ND","ND",VLOOKUP($C11,AC,X$9,0))</f>
        <v>ND</v>
      </c>
      <c r="Y11" s="1" t="str">
        <f t="shared" si="2"/>
        <v>ND</v>
      </c>
      <c r="Z11" s="1" t="str">
        <f t="shared" ref="Z11:AH20" si="3">IFERROR(IF(Z$9="ND","ND",VLOOKUP($C11,AC,Z$9,0)),"ND")</f>
        <v>ND</v>
      </c>
      <c r="AA11" s="1" t="str">
        <f t="shared" si="3"/>
        <v>ND</v>
      </c>
      <c r="AB11" s="1" t="str">
        <f t="shared" si="3"/>
        <v>ND</v>
      </c>
      <c r="AC11" s="1" t="str">
        <f t="shared" si="3"/>
        <v>ND</v>
      </c>
      <c r="AD11" s="1" t="str">
        <f t="shared" si="3"/>
        <v>ND</v>
      </c>
      <c r="AE11" s="1" t="str">
        <f t="shared" si="3"/>
        <v>ND</v>
      </c>
      <c r="AF11" s="1" t="str">
        <f t="shared" si="3"/>
        <v>ND</v>
      </c>
      <c r="AG11" s="1" t="str">
        <f t="shared" si="3"/>
        <v>ND</v>
      </c>
      <c r="AH11" s="1" t="str">
        <f t="shared" si="3"/>
        <v>ND</v>
      </c>
      <c r="AI11" s="1" t="str">
        <f t="shared" ref="AI11:AI42" si="4">IFERROR(ROUNDUP(AJ11/6,2)+29.9,"ND")</f>
        <v>ND</v>
      </c>
      <c r="AJ11" s="1" t="str">
        <f t="shared" ref="AJ11:AJ42" si="5">IFERROR(IF(AJ$9="ND","ND",ROUNDUP(VALUE(VLOOKUP($C11,A6M,AJ$9,0))/6,2)),"ND")</f>
        <v>ND</v>
      </c>
      <c r="AK11" s="1" t="str">
        <f t="shared" ref="AK11:AK42" si="6">IFERROR(ROUNDUP(AL11/6,2)+39.9,"ND")</f>
        <v>ND</v>
      </c>
      <c r="AL11" s="1" t="str">
        <f t="shared" ref="AL11:AL42" si="7">IFERROR(IF(AL$9="ND","ND",ROUNDUP(VALUE(VLOOKUP($C11,A6M,AL$9,0))/6,2)),"ND")</f>
        <v>ND</v>
      </c>
      <c r="AM11" s="1" t="str">
        <f t="shared" ref="AM11:AM42" si="8">IFERROR(ROUNDUP(AN11/6,2)+49.9,"ND")</f>
        <v>ND</v>
      </c>
      <c r="AN11" s="1" t="str">
        <f t="shared" ref="AN11:AN42" si="9">IFERROR(IF(AN$9="ND","ND",VLOOKUP($C11,A6M,AN$9,0)),"ND")</f>
        <v>ND</v>
      </c>
      <c r="AO11" s="1" t="str">
        <f t="shared" ref="AO11:AO42" si="10">IFERROR(ROUNDUP(AP11/6,2)+55.9,"ND")</f>
        <v>ND</v>
      </c>
      <c r="AP11" s="1" t="str">
        <f t="shared" ref="AP11:AP42" si="11">IFERROR(IF(AP$9="ND","ND",VLOOKUP($C11,A6M,AP$9,0)),"ND")</f>
        <v>ND</v>
      </c>
      <c r="AQ11" s="1" t="str">
        <f t="shared" ref="AQ11:AQ42" si="12">IFERROR(ROUNDUP(AR11/6,2)+69.9,"ND")</f>
        <v>ND</v>
      </c>
      <c r="AR11" s="1" t="str">
        <f t="shared" ref="AR11:AR42" si="13">IFERROR(IF(AR$9="ND","ND",VLOOKUP($C11,A6M,AR$9,0)),"ND")</f>
        <v>ND</v>
      </c>
      <c r="AS11" s="1" t="str">
        <f t="shared" ref="AS11:AS42" si="14">IFERROR(ROUNDUP(AT11/6,2)+79.9,"ND")</f>
        <v>ND</v>
      </c>
      <c r="AT11" s="1" t="str">
        <f t="shared" ref="AT11:AT42" si="15">IFERROR(IF(AT$9="ND","ND",VLOOKUP($C11,A6M,AT$9,0)),"ND")</f>
        <v>ND</v>
      </c>
      <c r="AU11" s="1" t="str">
        <f t="shared" ref="AU11:AU42" si="16">IFERROR(ROUNDUP(AV11/6,2)+95.9,"ND")</f>
        <v>ND</v>
      </c>
      <c r="AV11" s="1" t="str">
        <f t="shared" ref="AV11:AV42" si="17">IFERROR(IF(AV$9="ND","ND",VLOOKUP($C11,A6M,AV$9,0)),"ND")</f>
        <v>ND</v>
      </c>
      <c r="AW11" s="1" t="str">
        <f t="shared" ref="AW11:AW42" si="18">IFERROR(ROUNDUP(AX11/6,2)+109.9,"ND")</f>
        <v>ND</v>
      </c>
      <c r="AX11" s="1" t="str">
        <f t="shared" ref="AX11:AX42" si="19">IFERROR(IF(AX$9="ND","ND",VLOOKUP($C11,A6M,AX$9,0)),"ND")</f>
        <v>ND</v>
      </c>
      <c r="AY11" s="1" t="str">
        <f t="shared" ref="AY11:AY42" si="20">IFERROR(ROUNDUP(AZ11/6,2)+159.9,"ND")</f>
        <v>ND</v>
      </c>
      <c r="AZ11" s="1" t="str">
        <f t="shared" ref="AZ11:AZ42" si="21">IFERROR(IF(AZ$9="ND","ND",VLOOKUP($C11,A6M,AZ$9,0)),"ND")</f>
        <v>ND</v>
      </c>
      <c r="BA11" s="1" t="str">
        <f t="shared" ref="BA11:BA42" si="22">IFERROR(ROUNDUP(BB11/6,2)+189.9,"ND")</f>
        <v>ND</v>
      </c>
      <c r="BB11" s="1" t="str">
        <f t="shared" ref="BB11:BB42" si="23">IFERROR(IF(BB$9="ND","ND",VLOOKUP($C11,A6M,BB$9,0)),"ND")</f>
        <v>ND</v>
      </c>
      <c r="BC11" s="1" t="str">
        <f t="shared" ref="BC11:BC42" si="24">IFERROR(ROUNDUP(BD11/6,2)+289.9,"ND")</f>
        <v>ND</v>
      </c>
      <c r="BD11" s="1" t="str">
        <f t="shared" ref="BD11:BD42" si="25">IFERROR(IF(BD$9="ND","ND",VLOOKUP($C11,A6M,BD$9,0)),"ND")</f>
        <v>ND</v>
      </c>
      <c r="BE11" s="1" t="str">
        <f t="shared" ref="BE11:BE42" si="26">IFERROR(ROUNDUP(BF11/12,2)+29.9,"ND")</f>
        <v>ND</v>
      </c>
      <c r="BF11" s="1" t="str">
        <f t="shared" ref="BF11:BF42" si="27">IFERROR(IF(BF$9="ND","ND",VLOOKUP($C11,A12M,BF$9,0)),"ND")</f>
        <v>ND</v>
      </c>
      <c r="BG11" s="1" t="str">
        <f t="shared" ref="BG11:BG42" si="28">IFERROR(ROUNDUP(BH11/12,2)+39.9,"ND")</f>
        <v>ND</v>
      </c>
      <c r="BH11" s="1" t="str">
        <f t="shared" ref="BH11:BH42" si="29">IFERROR(IF(BH$9="ND","ND",VLOOKUP($C11,A12M,BH$9,0)),"ND")</f>
        <v>ND</v>
      </c>
      <c r="BI11" s="1" t="str">
        <f t="shared" ref="BI11:BI42" si="30">IFERROR(ROUNDUP(BJ11/12,2)+49.9,"ND")</f>
        <v>ND</v>
      </c>
      <c r="BJ11" s="1" t="str">
        <f t="shared" ref="BJ11:BJ42" si="31">IFERROR(IF(BJ$9="ND","ND",VLOOKUP($C11,A12M,BJ$9,0)),"ND")</f>
        <v>ND</v>
      </c>
      <c r="BK11" s="1" t="str">
        <f t="shared" ref="BK11:BK42" si="32">IFERROR(ROUNDUP(BL11/12,2)+55.9,"ND")</f>
        <v>ND</v>
      </c>
      <c r="BL11" s="1" t="str">
        <f t="shared" ref="BL11:BL42" si="33">IFERROR(IF(BL$9="ND","ND",VLOOKUP($C11,A12M,BL$9,0)),"ND")</f>
        <v>ND</v>
      </c>
      <c r="BM11" s="1" t="str">
        <f t="shared" ref="BM11:BM42" si="34">IFERROR(ROUNDUP(BN11/12,2)+69.9,"ND")</f>
        <v>ND</v>
      </c>
      <c r="BN11" s="1" t="str">
        <f t="shared" ref="BN11:BN42" si="35">IFERROR(IF(BN$9="ND","ND",VLOOKUP($C11,A12M,BN$9,0)),"ND")</f>
        <v>ND</v>
      </c>
      <c r="BO11" s="1" t="str">
        <f t="shared" ref="BO11:BO42" si="36">IFERROR(ROUNDUP(BP11/12,2)+79.9,"ND")</f>
        <v>ND</v>
      </c>
      <c r="BP11" s="1" t="str">
        <f t="shared" ref="BP11:BP42" si="37">IFERROR(IF(BP$9="ND","ND",VLOOKUP($C11,A12M,BP$9,0)),"ND")</f>
        <v>ND</v>
      </c>
      <c r="BQ11" s="1" t="str">
        <f t="shared" ref="BQ11:BQ42" si="38">IFERROR(ROUNDUP(BR11/12,2)+95.9,"ND")</f>
        <v>ND</v>
      </c>
      <c r="BR11" s="1" t="str">
        <f t="shared" ref="BR11:BR42" si="39">IFERROR(IF(BR$9="ND","ND",VLOOKUP($C11,A12M,BR$9,0)),"ND")</f>
        <v>ND</v>
      </c>
      <c r="BS11" s="1" t="str">
        <f t="shared" ref="BS11:BS42" si="40">IFERROR(ROUNDUP(BT11/12,2)+109.9,"ND")</f>
        <v>ND</v>
      </c>
      <c r="BT11" s="1" t="str">
        <f t="shared" ref="BT11:BT42" si="41">IFERROR(IF(BT$9="ND","ND",VLOOKUP($C11,A12M,BT$9,0)),"ND")</f>
        <v>ND</v>
      </c>
      <c r="BU11" s="1" t="str">
        <f t="shared" ref="BU11:BU42" si="42">IFERROR(ROUNDUP(BV11/12,2)+159.9,"ND")</f>
        <v>ND</v>
      </c>
      <c r="BV11" s="1" t="str">
        <f t="shared" ref="BV11:BV42" si="43">IFERROR(IF(BV$9="ND","ND",VLOOKUP($C11,A12M,BV$9,0)),"ND")</f>
        <v>ND</v>
      </c>
      <c r="BW11" s="1" t="str">
        <f t="shared" ref="BW11:BW42" si="44">IFERROR(ROUNDUP(BX11/12,2)+189.9,"ND")</f>
        <v>ND</v>
      </c>
      <c r="BX11" s="1" t="str">
        <f t="shared" ref="BX11:BX42" si="45">IFERROR(IF(BX$9="ND","ND",VLOOKUP($C11,A12M,BX$9,0)),"ND")</f>
        <v>ND</v>
      </c>
      <c r="BY11" s="1" t="str">
        <f t="shared" ref="BY11:BY42" si="46">IFERROR(ROUNDUP(BZ11/12,2)+289.9,"ND")</f>
        <v>ND</v>
      </c>
      <c r="BZ11" s="1" t="str">
        <f t="shared" ref="BZ11:BZ42" si="47">IFERROR(IF(BZ$9="ND","ND",VLOOKUP($C11,A12M,BZ$9,0)),"ND")</f>
        <v>ND</v>
      </c>
      <c r="CA11" s="1" t="str">
        <f t="shared" ref="CA11:CK20" si="48">IFERROR(IF(CA$9="ND","ND",VLOOKUP($C11,FULLC,CA$9,0)),"ND")</f>
        <v>ND</v>
      </c>
      <c r="CB11" s="1" t="str">
        <f t="shared" si="48"/>
        <v>ND</v>
      </c>
      <c r="CC11" s="1" t="str">
        <f t="shared" si="48"/>
        <v>ND</v>
      </c>
      <c r="CD11" s="1" t="str">
        <f t="shared" si="48"/>
        <v>ND</v>
      </c>
      <c r="CE11" s="1" t="str">
        <f t="shared" si="48"/>
        <v>ND</v>
      </c>
      <c r="CF11" s="1" t="str">
        <f t="shared" si="48"/>
        <v>ND</v>
      </c>
      <c r="CG11" s="1" t="str">
        <f t="shared" si="48"/>
        <v>ND</v>
      </c>
      <c r="CH11" s="1" t="str">
        <f t="shared" si="48"/>
        <v>ND</v>
      </c>
      <c r="CI11" s="1" t="str">
        <f t="shared" si="48"/>
        <v>ND</v>
      </c>
      <c r="CJ11" s="1" t="str">
        <f t="shared" si="48"/>
        <v>ND</v>
      </c>
      <c r="CK11" s="1" t="str">
        <f t="shared" si="48"/>
        <v>ND</v>
      </c>
      <c r="CL11" s="1" t="str">
        <f t="shared" ref="CL11:CV20" si="49">IFERROR(IF(CL$9="ND","ND",VLOOKUP($C11,LINA,CL$9,0)),"ND")</f>
        <v>ND</v>
      </c>
      <c r="CM11" s="1" t="str">
        <f t="shared" si="49"/>
        <v>ND</v>
      </c>
      <c r="CN11" s="1" t="str">
        <f t="shared" si="49"/>
        <v>ND</v>
      </c>
      <c r="CO11" s="1" t="str">
        <f t="shared" si="49"/>
        <v>ND</v>
      </c>
      <c r="CP11" s="1" t="str">
        <f t="shared" si="49"/>
        <v>ND</v>
      </c>
      <c r="CQ11" s="1" t="str">
        <f t="shared" si="49"/>
        <v>ND</v>
      </c>
      <c r="CR11" s="1" t="str">
        <f t="shared" si="49"/>
        <v>ND</v>
      </c>
      <c r="CS11" s="1" t="str">
        <f t="shared" si="49"/>
        <v>ND</v>
      </c>
      <c r="CT11" s="1" t="str">
        <f t="shared" si="49"/>
        <v>ND</v>
      </c>
      <c r="CU11" s="1" t="str">
        <f t="shared" si="49"/>
        <v>ND</v>
      </c>
      <c r="CV11" s="1" t="str">
        <f t="shared" si="49"/>
        <v>ND</v>
      </c>
      <c r="CW11" s="1" t="str">
        <f t="shared" ref="CW11:CW42" si="50">IFERROR(ROUNDUP(CX11/6,2)+29.9,"ND")</f>
        <v>ND</v>
      </c>
      <c r="CX11" s="1" t="str">
        <f t="shared" ref="CX11:CX42" si="51">IFERROR(IF(CX$9="ND","ND",VLOOKUP($C11,AC6M,CX$9,0)),"ND")</f>
        <v>ND</v>
      </c>
      <c r="CY11" s="1" t="str">
        <f t="shared" ref="CY11:CY42" si="52">IFERROR(ROUNDUP(CZ11/6,2)+39.9,"ND")</f>
        <v>ND</v>
      </c>
      <c r="CZ11" s="1" t="str">
        <f t="shared" ref="CZ11:CZ42" si="53">IFERROR(IF(CZ$9="ND","ND",VLOOKUP($C11,AC6M,CZ$9,0)),"ND")</f>
        <v>ND</v>
      </c>
      <c r="DA11" s="1" t="str">
        <f t="shared" ref="DA11:DA42" si="54">IFERROR(ROUNDUP(DB11/6,2)+49.9,"ND")</f>
        <v>ND</v>
      </c>
      <c r="DB11" s="1" t="str">
        <f t="shared" ref="DB11:DB42" si="55">IFERROR(IF(DB$9="ND","ND",VLOOKUP($C11,AC6M,DB$9,0)),"ND")</f>
        <v>ND</v>
      </c>
      <c r="DC11" s="1" t="str">
        <f t="shared" ref="DC11:DC42" si="56">IFERROR(ROUNDUP(DD11/6,2)+55.9,"ND")</f>
        <v>ND</v>
      </c>
      <c r="DD11" s="1" t="str">
        <f t="shared" ref="DD11:DD42" si="57">IFERROR(IF(DD$9="ND","ND",VLOOKUP($C11,AC6M,DD$9,0)),"ND")</f>
        <v>ND</v>
      </c>
      <c r="DE11" s="1" t="str">
        <f t="shared" ref="DE11:DE42" si="58">IFERROR(ROUNDUP(DF11/6,2)+69.9,"ND")</f>
        <v>ND</v>
      </c>
      <c r="DF11" s="1" t="str">
        <f t="shared" ref="DF11:DF42" si="59">IFERROR(IF(DF$9="ND","ND",VLOOKUP($C11,AC6M,DF$9,0)),"ND")</f>
        <v>ND</v>
      </c>
      <c r="DG11" s="1" t="str">
        <f t="shared" ref="DG11:DG42" si="60">IFERROR(ROUNDUP(DH11/6,2)+79.9,"ND")</f>
        <v>ND</v>
      </c>
      <c r="DH11" s="1" t="str">
        <f t="shared" ref="DH11:DH42" si="61">IFERROR(IF(DH$9="ND","ND",VLOOKUP($C11,AC6M,DH$9,0)),"ND")</f>
        <v>ND</v>
      </c>
      <c r="DI11" s="1" t="str">
        <f t="shared" ref="DI11:DI42" si="62">IFERROR(ROUNDUP(DJ11/6,2)+95.9,"ND")</f>
        <v>ND</v>
      </c>
      <c r="DJ11" s="1" t="str">
        <f t="shared" ref="DJ11:DJ42" si="63">IFERROR(IF(DJ$9="ND","ND",VLOOKUP($C11,AC6M,DJ$9,0)),"ND")</f>
        <v>ND</v>
      </c>
      <c r="DK11" s="1" t="str">
        <f t="shared" ref="DK11:DK42" si="64">IFERROR(ROUNDUP(DL11/6,2)+109.9,"ND")</f>
        <v>ND</v>
      </c>
      <c r="DL11" s="1" t="str">
        <f t="shared" ref="DL11:DL42" si="65">IFERROR(IF(DL$9="ND","ND",VLOOKUP($C11,AC6M,DL$9,0)),"ND")</f>
        <v>ND</v>
      </c>
      <c r="DM11" s="1" t="str">
        <f t="shared" ref="DM11:DM42" si="66">IFERROR(ROUNDUP(DN11/6,2)+159.9,"ND")</f>
        <v>ND</v>
      </c>
      <c r="DN11" s="1" t="str">
        <f t="shared" ref="DN11:DN42" si="67">IFERROR(IF(DN$9="ND","ND",VLOOKUP($C11,AC6M,DN$9,0)),"ND")</f>
        <v>ND</v>
      </c>
      <c r="DO11" s="1" t="str">
        <f t="shared" ref="DO11:DO42" si="68">IFERROR(ROUNDUP(DP11/6,2)+189.9,"ND")</f>
        <v>ND</v>
      </c>
      <c r="DP11" s="1" t="str">
        <f t="shared" ref="DP11:DP42" si="69">IFERROR(IF(DP$9="ND","ND",VLOOKUP($C11,AC6M,DP$9,0)),"ND")</f>
        <v>ND</v>
      </c>
      <c r="DQ11" s="1" t="str">
        <f t="shared" ref="DQ11:DQ42" si="70">IFERROR(ROUNDUP(DR11/6,2)+289.9,"ND")</f>
        <v>ND</v>
      </c>
      <c r="DR11" s="1" t="str">
        <f t="shared" ref="DR11:DR42" si="71">IFERROR(IF(DR$9="ND","ND",VLOOKUP($C11,AC6M,DR$9,0)),"ND")</f>
        <v>ND</v>
      </c>
      <c r="DS11" s="1" t="str">
        <f t="shared" ref="DS11:DS42" si="72">IFERROR(ROUNDUP(DT11/12,2)+29.9,"ND")</f>
        <v>ND</v>
      </c>
      <c r="DT11" s="1" t="str">
        <f t="shared" ref="DT11:DT42" si="73">IFERROR(IF(DT$9="ND","ND",VLOOKUP($C11,AC12M,DT$9,0)),"ND")</f>
        <v>ND</v>
      </c>
      <c r="DU11" s="1" t="str">
        <f t="shared" ref="DU11:DU42" si="74">IFERROR(ROUNDUP(DV11/12,2)+39.9,"ND")</f>
        <v>ND</v>
      </c>
      <c r="DV11" s="1" t="str">
        <f t="shared" ref="DV11:DV42" si="75">IFERROR(IF(DV$9="ND","ND",VLOOKUP($C11,AC12M,DV$9,0)),"ND")</f>
        <v>ND</v>
      </c>
      <c r="DW11" s="1" t="str">
        <f t="shared" ref="DW11:DW42" si="76">IFERROR(ROUNDUP(DX11/12,2)+49.9,"ND")</f>
        <v>ND</v>
      </c>
      <c r="DX11" s="1" t="str">
        <f t="shared" ref="DX11:DX42" si="77">IFERROR(IF(DX$9="ND","ND",VLOOKUP($C11,AC12M,DX$9,0)),"ND")</f>
        <v>ND</v>
      </c>
      <c r="DY11" s="1" t="str">
        <f t="shared" ref="DY11:DY42" si="78">IFERROR(ROUNDUP(DZ11/12,2)+55.9,"ND")</f>
        <v>ND</v>
      </c>
      <c r="DZ11" s="1" t="str">
        <f t="shared" ref="DZ11:DZ42" si="79">IFERROR(IF(DZ$9="ND","ND",VLOOKUP($C11,AC12M,DZ$9,0)),"ND")</f>
        <v>ND</v>
      </c>
      <c r="EA11" s="1" t="str">
        <f t="shared" ref="EA11:EA42" si="80">IFERROR(ROUNDUP(EB11/12,2)+69.9,"ND")</f>
        <v>ND</v>
      </c>
      <c r="EB11" s="1" t="str">
        <f t="shared" ref="EB11:EB42" si="81">IFERROR(IF(EB$9="ND","ND",VLOOKUP($C11,AC12M,EB$9,0)),"ND")</f>
        <v>ND</v>
      </c>
      <c r="EC11" s="1" t="str">
        <f t="shared" ref="EC11:EC42" si="82">IFERROR(ROUNDUP(ED11/12,2)+79.9,"ND")</f>
        <v>ND</v>
      </c>
      <c r="ED11" s="1" t="str">
        <f t="shared" ref="ED11:ED42" si="83">IFERROR(IF(ED$9="ND","ND",VLOOKUP($C11,AC12M,ED$9,0)),"ND")</f>
        <v>ND</v>
      </c>
      <c r="EE11" s="1" t="str">
        <f t="shared" ref="EE11:EE42" si="84">IFERROR(ROUNDUP(EF11/12,2)+95.9,"ND")</f>
        <v>ND</v>
      </c>
      <c r="EF11" s="1" t="str">
        <f t="shared" ref="EF11:EF42" si="85">IFERROR(IF(EF$9="ND","ND",VLOOKUP($C11,AC12M,EF$9,0)),"ND")</f>
        <v>ND</v>
      </c>
      <c r="EG11" s="1" t="str">
        <f t="shared" ref="EG11:EG42" si="86">IFERROR(ROUNDUP(EH11/12,2)+109.9,"ND")</f>
        <v>ND</v>
      </c>
      <c r="EH11" s="1" t="str">
        <f t="shared" ref="EH11:EH42" si="87">IFERROR(IF(EH$9="ND","ND",VLOOKUP($C11,AC12M,EH$9,0)),"ND")</f>
        <v>ND</v>
      </c>
      <c r="EI11" s="1" t="str">
        <f t="shared" ref="EI11:EI42" si="88">IFERROR(ROUNDUP(EJ11/12,2)+159.9,"ND")</f>
        <v>ND</v>
      </c>
      <c r="EJ11" s="1" t="str">
        <f t="shared" ref="EJ11:EJ42" si="89">IFERROR(IF(EJ$9="ND","ND",VLOOKUP($C11,AC12M,EJ$9,0)),"ND")</f>
        <v>ND</v>
      </c>
      <c r="EK11" s="1" t="str">
        <f t="shared" ref="EK11:EK42" si="90">IFERROR(ROUNDUP(EL11/12,2)+189.9,"ND")</f>
        <v>ND</v>
      </c>
      <c r="EL11" s="1" t="str">
        <f t="shared" ref="EL11:EL42" si="91">IFERROR(IF(EL$9="ND","ND",VLOOKUP($C11,AC12M,EL$9,0)),"ND")</f>
        <v>ND</v>
      </c>
      <c r="EM11" s="1" t="str">
        <f t="shared" ref="EM11:EM42" si="92">IFERROR(ROUNDUP(EN11/12,2)+289.9,"ND")</f>
        <v>ND</v>
      </c>
      <c r="EN11" s="1" t="str">
        <f t="shared" ref="EN11:EN42" si="93">IFERROR(IF(EN$9="ND","ND",VLOOKUP($C11,AC12M,EN$9,0)),"ND")</f>
        <v>ND</v>
      </c>
      <c r="EO11" s="1" t="str">
        <f t="shared" ref="EO11:EY20" si="94">IFERROR(IF(EO$9="ND","ND",VLOOKUP($C11,PAR,EO$9,0)),"ND")</f>
        <v>ND</v>
      </c>
      <c r="EP11" s="1" t="str">
        <f t="shared" si="94"/>
        <v>ND</v>
      </c>
      <c r="EQ11" s="1" t="str">
        <f t="shared" si="94"/>
        <v>ND</v>
      </c>
      <c r="ER11" s="1" t="str">
        <f t="shared" si="94"/>
        <v>ND</v>
      </c>
      <c r="ES11" s="1" t="str">
        <f t="shared" si="94"/>
        <v>ND</v>
      </c>
      <c r="ET11" s="1" t="str">
        <f t="shared" si="94"/>
        <v>ND</v>
      </c>
      <c r="EU11" s="1" t="str">
        <f t="shared" si="94"/>
        <v>ND</v>
      </c>
      <c r="EV11" s="1" t="str">
        <f t="shared" si="94"/>
        <v>ND</v>
      </c>
      <c r="EW11" s="1" t="str">
        <f t="shared" si="94"/>
        <v>ND</v>
      </c>
      <c r="EX11" s="1" t="str">
        <f t="shared" si="94"/>
        <v>ND</v>
      </c>
      <c r="EY11" s="1" t="str">
        <f t="shared" si="94"/>
        <v>ND</v>
      </c>
      <c r="EZ11" s="1" t="str">
        <f t="shared" ref="EZ11:FJ20" si="95">IFERROR(IF(EZ$9="ND","ND",VLOOKUP($C11,PE,EZ$9,0)),"ND")</f>
        <v>ND</v>
      </c>
      <c r="FA11" s="1" t="str">
        <f t="shared" si="95"/>
        <v>ND</v>
      </c>
      <c r="FB11" s="1" t="str">
        <f t="shared" si="95"/>
        <v>ND</v>
      </c>
      <c r="FC11" s="1" t="str">
        <f t="shared" si="95"/>
        <v>ND</v>
      </c>
      <c r="FD11" s="1" t="str">
        <f t="shared" si="95"/>
        <v>ND</v>
      </c>
      <c r="FE11" s="1" t="str">
        <f t="shared" si="95"/>
        <v>ND</v>
      </c>
      <c r="FF11" s="1" t="str">
        <f t="shared" si="95"/>
        <v>ND</v>
      </c>
      <c r="FG11" s="1" t="str">
        <f t="shared" si="95"/>
        <v>ND</v>
      </c>
      <c r="FH11" s="1" t="str">
        <f t="shared" si="95"/>
        <v>ND</v>
      </c>
      <c r="FI11" s="1" t="str">
        <f t="shared" si="95"/>
        <v>ND</v>
      </c>
      <c r="FJ11" s="1" t="str">
        <f t="shared" si="95"/>
        <v>ND</v>
      </c>
      <c r="FK11" s="1" t="str">
        <f t="shared" ref="FK11:FU20" si="96">IFERROR(IF(FK$9="ND","ND",VLOOKUP($C11,RE,FK$9,0)),"ND")</f>
        <v>ND</v>
      </c>
      <c r="FL11" s="1" t="str">
        <f t="shared" si="96"/>
        <v>ND</v>
      </c>
      <c r="FM11" s="1" t="str">
        <f t="shared" si="96"/>
        <v>ND</v>
      </c>
      <c r="FN11" s="1" t="str">
        <f t="shared" si="96"/>
        <v>ND</v>
      </c>
      <c r="FO11" s="1" t="str">
        <f t="shared" si="96"/>
        <v>ND</v>
      </c>
      <c r="FP11" s="1" t="str">
        <f t="shared" si="96"/>
        <v>ND</v>
      </c>
      <c r="FQ11" s="1" t="str">
        <f t="shared" si="96"/>
        <v>ND</v>
      </c>
      <c r="FR11" s="1" t="str">
        <f t="shared" si="96"/>
        <v>ND</v>
      </c>
      <c r="FS11" s="1" t="str">
        <f t="shared" si="96"/>
        <v>ND</v>
      </c>
      <c r="FT11" s="1" t="str">
        <f t="shared" si="96"/>
        <v>ND</v>
      </c>
      <c r="FU11" s="1" t="str">
        <f t="shared" si="96"/>
        <v>ND</v>
      </c>
      <c r="FV11" s="1" t="str">
        <f t="shared" ref="FV11:FV42" si="97">IFERROR(ROUNDUP(FW11/6,2)+29.9,"ND")</f>
        <v>ND</v>
      </c>
      <c r="FW11" s="1" t="str">
        <f t="shared" ref="FW11:FW42" si="98">IFERROR(IF(FW$9="ND","ND",VLOOKUP($C11,LC6M,FW$9,0)),"ND")</f>
        <v>ND</v>
      </c>
      <c r="FX11" s="1" t="str">
        <f t="shared" ref="FX11:FX42" si="99">IFERROR(ROUNDUP(FY11/6,2)+39.9,"ND")</f>
        <v>ND</v>
      </c>
      <c r="FY11" s="1" t="str">
        <f t="shared" ref="FY11:FY42" si="100">IFERROR(IF(FY$9="ND","ND",VLOOKUP($C11,LC6M,FY$9,0)),"ND")</f>
        <v>ND</v>
      </c>
      <c r="FZ11" s="1" t="str">
        <f t="shared" ref="FZ11:FZ42" si="101">IFERROR(ROUNDUP(GA11/6,2)+49.9,"ND")</f>
        <v>ND</v>
      </c>
      <c r="GA11" s="1" t="str">
        <f t="shared" ref="GA11:GA42" si="102">IFERROR(IF(GA$9="ND","ND",VLOOKUP($C11,LC6M,GA$9,0)),"ND")</f>
        <v>ND</v>
      </c>
      <c r="GB11" s="1" t="str">
        <f t="shared" ref="GB11:GB42" si="103">IFERROR(ROUNDUP(GC11/6,2)+55.9,"ND")</f>
        <v>ND</v>
      </c>
      <c r="GC11" s="1" t="str">
        <f t="shared" ref="GC11:GC42" si="104">IFERROR(IF(GC$9="ND","ND",VLOOKUP($C11,LC6M,GC$9,0)),"ND")</f>
        <v>ND</v>
      </c>
      <c r="GD11" s="1" t="str">
        <f t="shared" ref="GD11:GD42" si="105">IFERROR(ROUNDUP(GE11/6,2)+69.9,"ND")</f>
        <v>ND</v>
      </c>
      <c r="GE11" s="1" t="str">
        <f t="shared" ref="GE11:GE42" si="106">IFERROR(IF(GE$9="ND","ND",VLOOKUP($C11,LC6M,GE$9,0)),"ND")</f>
        <v>ND</v>
      </c>
      <c r="GF11" s="1" t="str">
        <f t="shared" ref="GF11:GF42" si="107">IFERROR(ROUNDUP(GG11/6,2)+79.9,"ND")</f>
        <v>ND</v>
      </c>
      <c r="GG11" s="1" t="str">
        <f t="shared" ref="GG11:GG42" si="108">IFERROR(IF(GG$9="ND","ND",VLOOKUP($C11,LC6M,GG$9,0)),"ND")</f>
        <v>ND</v>
      </c>
      <c r="GH11" s="1" t="str">
        <f t="shared" ref="GH11:GH42" si="109">IFERROR(ROUNDUP(GI11/6,2)+95.9,"ND")</f>
        <v>ND</v>
      </c>
      <c r="GI11" s="1" t="str">
        <f t="shared" ref="GI11:GI42" si="110">IFERROR(IF(GI$9="ND","ND",VLOOKUP($C11,LC6M,GI$9,0)),"ND")</f>
        <v>ND</v>
      </c>
      <c r="GJ11" s="1" t="str">
        <f t="shared" ref="GJ11:GJ42" si="111">IFERROR(ROUNDUP(GK11/6,2)+109.9,"ND")</f>
        <v>ND</v>
      </c>
      <c r="GK11" s="1" t="str">
        <f t="shared" ref="GK11:GK42" si="112">IFERROR(IF(GK$9="ND","ND",VLOOKUP($C11,LC6M,GK$9,0)),"ND")</f>
        <v>ND</v>
      </c>
      <c r="GL11" s="1" t="str">
        <f t="shared" ref="GL11:GL42" si="113">IFERROR(ROUNDUP(GM11/6,2)+159.9,"ND")</f>
        <v>ND</v>
      </c>
      <c r="GM11" s="1" t="str">
        <f t="shared" ref="GM11:GM42" si="114">IFERROR(IF(GM$9="ND","ND",VLOOKUP($C11,LC6M,GM$9,0)),"ND")</f>
        <v>ND</v>
      </c>
      <c r="GN11" s="1" t="str">
        <f t="shared" ref="GN11:GN42" si="115">IFERROR(ROUNDUP(GO11/6,2)+189.9,"ND")</f>
        <v>ND</v>
      </c>
      <c r="GO11" s="1" t="str">
        <f t="shared" ref="GO11:GO42" si="116">IFERROR(IF(GO$9="ND","ND",VLOOKUP($C11,LC6M,GO$9,0)),"ND")</f>
        <v>ND</v>
      </c>
      <c r="GP11" s="1" t="str">
        <f t="shared" ref="GP11:GP42" si="117">IFERROR(ROUNDUP(GQ11/6,2)+289.9,"ND")</f>
        <v>ND</v>
      </c>
      <c r="GQ11" s="1" t="str">
        <f t="shared" ref="GQ11:GQ42" si="118">IFERROR(IF(GQ$9="ND","ND",VLOOKUP($C11,LC6M,GQ$9,0)),"ND")</f>
        <v>ND</v>
      </c>
      <c r="GR11" s="1" t="str">
        <f t="shared" ref="GR11:GR42" si="119">IFERROR(ROUNDUP(GS11/12,2)+29.9,"ND")</f>
        <v>ND</v>
      </c>
      <c r="GS11" s="1" t="str">
        <f t="shared" ref="GS11:GS42" si="120">IFERROR(IF(GS$9="ND","ND",VLOOKUP($C11,LP12M,GS$9,0)),"ND")</f>
        <v>ND</v>
      </c>
      <c r="GT11" s="1" t="str">
        <f t="shared" ref="GT11:GT42" si="121">IFERROR(ROUNDUP(GU11/12,2)+39.9,"ND")</f>
        <v>ND</v>
      </c>
      <c r="GU11" s="1" t="str">
        <f t="shared" ref="GU11:GU42" si="122">IFERROR(IF(GU$9="ND","ND",VLOOKUP($C11,LP12M,GU$9,0)),"ND")</f>
        <v>ND</v>
      </c>
      <c r="GV11" s="1" t="str">
        <f t="shared" ref="GV11:GV42" si="123">IFERROR(ROUNDUP(GW11/12,2)+49.9,"ND")</f>
        <v>ND</v>
      </c>
      <c r="GW11" s="1" t="str">
        <f t="shared" ref="GW11:GW42" si="124">IFERROR(IF(GW$9="ND","ND",VLOOKUP($C11,LP12M,GW$9,0)),"ND")</f>
        <v>ND</v>
      </c>
      <c r="GX11" s="1" t="str">
        <f t="shared" ref="GX11:GX42" si="125">IFERROR(ROUNDUP(GY11/12,2)+55.9,"ND")</f>
        <v>ND</v>
      </c>
      <c r="GY11" s="1" t="str">
        <f t="shared" ref="GY11:GY42" si="126">IFERROR(IF(GY$9="ND","ND",VLOOKUP($C11,LP12M,GY$9,0)),"ND")</f>
        <v>ND</v>
      </c>
      <c r="GZ11" s="1" t="str">
        <f t="shared" ref="GZ11:GZ42" si="127">IFERROR(ROUNDUP(HA11/12,2)+69.9,"ND")</f>
        <v>ND</v>
      </c>
      <c r="HA11" s="1" t="str">
        <f t="shared" ref="HA11:HA42" si="128">IFERROR(IF(HA$9="ND","ND",VLOOKUP($C11,LP12M,HA$9,0)),"ND")</f>
        <v>ND</v>
      </c>
      <c r="HB11" s="1" t="str">
        <f t="shared" ref="HB11:HB42" si="129">IFERROR(ROUNDUP(HC11/12,2)+79.9,"ND")</f>
        <v>ND</v>
      </c>
      <c r="HC11" s="1" t="str">
        <f t="shared" ref="HC11:HC42" si="130">IFERROR(IF(HC$9="ND","ND",VLOOKUP($C11,LP12M,HC$9,0)),"ND")</f>
        <v>ND</v>
      </c>
      <c r="HD11" s="1" t="str">
        <f t="shared" ref="HD11:HD42" si="131">IFERROR(ROUNDUP(HE11/12,2)+95.9,"ND")</f>
        <v>ND</v>
      </c>
      <c r="HE11" s="1" t="str">
        <f t="shared" ref="HE11:HE42" si="132">IFERROR(IF(HE$9="ND","ND",VLOOKUP($C11,LP12M,HE$9,0)),"ND")</f>
        <v>ND</v>
      </c>
      <c r="HF11" s="1" t="str">
        <f t="shared" ref="HF11:HF42" si="133">IFERROR(ROUNDUP(HG11/12,2)+109.9,"ND")</f>
        <v>ND</v>
      </c>
      <c r="HG11" s="1" t="str">
        <f t="shared" ref="HG11:HG42" si="134">IFERROR(IF(HG$9="ND","ND",VLOOKUP($C11,LP12M,HG$9,0)),"ND")</f>
        <v>ND</v>
      </c>
      <c r="HH11" s="1" t="str">
        <f t="shared" ref="HH11:HH42" si="135">IFERROR(ROUNDUP(HI11/12,2)+159.9,"ND")</f>
        <v>ND</v>
      </c>
      <c r="HI11" s="1" t="str">
        <f t="shared" ref="HI11:HI42" si="136">IFERROR(IF(HI$9="ND","ND",VLOOKUP($C11,LP12M,HI$9,0)),"ND")</f>
        <v>ND</v>
      </c>
      <c r="HJ11" s="1" t="str">
        <f t="shared" ref="HJ11:HJ42" si="137">IFERROR(ROUNDUP(HK11/12,2)+189.9,"ND")</f>
        <v>ND</v>
      </c>
      <c r="HK11" s="1" t="str">
        <f t="shared" ref="HK11:HK42" si="138">IFERROR(IF(HK$9="ND","ND",VLOOKUP($C11,LP12M,HK$9,0)),"ND")</f>
        <v>ND</v>
      </c>
      <c r="HL11" s="1" t="str">
        <f t="shared" ref="HL11:HL42" si="139">IFERROR(ROUNDUP(HM11/12,2)+289.9,"ND")</f>
        <v>ND</v>
      </c>
      <c r="HM11" s="1" t="str">
        <f t="shared" ref="HM11:HM42" si="140">IFERROR(IF(HM$9="ND","ND",VLOOKUP($C11,LP12M,HM$9,0)),"ND")</f>
        <v>ND</v>
      </c>
      <c r="HN11" s="1" t="str">
        <f t="shared" ref="HN11:HN42" si="141">IFERROR(ROUNDUP(HO11/12,2)+29.9,"ND")</f>
        <v>ND</v>
      </c>
      <c r="HO11" s="1" t="str">
        <f t="shared" ref="HO11:HO42" si="142">IFERROR(IF(HO$9="ND","ND",VLOOKUP($C11,LR12M,HO$9,0)),"ND")</f>
        <v>ND</v>
      </c>
      <c r="HP11" s="1" t="str">
        <f t="shared" ref="HP11:HP42" si="143">IFERROR(ROUNDUP(HQ11/12,2)+39.9,"ND")</f>
        <v>ND</v>
      </c>
      <c r="HQ11" s="1" t="str">
        <f t="shared" ref="HQ11:HQ42" si="144">IFERROR(IF(HQ$9="ND","ND",VLOOKUP($C11,LR12M,HQ$9,0)),"ND")</f>
        <v>ND</v>
      </c>
      <c r="HR11" s="1" t="str">
        <f t="shared" ref="HR11:HR42" si="145">IFERROR(ROUNDUP(HS11/12,2)+49.9,"ND")</f>
        <v>ND</v>
      </c>
      <c r="HS11" s="1" t="str">
        <f t="shared" ref="HS11:HS42" si="146">IFERROR(IF(HS$9="ND","ND",VLOOKUP($C11,LR12M,HS$9,0)),"ND")</f>
        <v>ND</v>
      </c>
      <c r="HT11" s="1" t="str">
        <f t="shared" ref="HT11:HT42" si="147">IFERROR(ROUNDUP(HU11/12,2)+55.9,"ND")</f>
        <v>ND</v>
      </c>
      <c r="HU11" s="1" t="str">
        <f t="shared" ref="HU11:HU42" si="148">IFERROR(IF(HU$9="ND","ND",VLOOKUP($C11,LR12M,HU$9,0)),"ND")</f>
        <v>ND</v>
      </c>
      <c r="HV11" s="1" t="str">
        <f t="shared" ref="HV11:HV42" si="149">IFERROR(ROUNDUP(HW11/12,2)+69.9,"ND")</f>
        <v>ND</v>
      </c>
      <c r="HW11" s="1" t="str">
        <f t="shared" ref="HW11:HW42" si="150">IFERROR(IF(HW$9="ND","ND",VLOOKUP($C11,LR12M,HW$9,0)),"ND")</f>
        <v>ND</v>
      </c>
      <c r="HX11" s="1" t="str">
        <f t="shared" ref="HX11:HX42" si="151">IFERROR(ROUNDUP(HY11/12,2)+79.9,"ND")</f>
        <v>ND</v>
      </c>
      <c r="HY11" s="1" t="str">
        <f t="shared" ref="HY11:HY42" si="152">IFERROR(IF(HY$9="ND","ND",VLOOKUP($C11,LR12M,HY$9,0)),"ND")</f>
        <v>ND</v>
      </c>
      <c r="HZ11" s="1" t="str">
        <f t="shared" ref="HZ11:HZ42" si="153">IFERROR(ROUNDUP(IA11/12,2)+95.9,"ND")</f>
        <v>ND</v>
      </c>
      <c r="IA11" s="1" t="str">
        <f t="shared" ref="IA11:IA42" si="154">IFERROR(IF(IA$9="ND","ND",VLOOKUP($C11,LR12M,IA$9,0)),"ND")</f>
        <v>ND</v>
      </c>
      <c r="IB11" s="1" t="str">
        <f t="shared" ref="IB11:IB42" si="155">IFERROR(ROUNDUP(IC11/12,2)+109.9,"ND")</f>
        <v>ND</v>
      </c>
      <c r="IC11" s="1" t="str">
        <f t="shared" ref="IC11:IC42" si="156">IFERROR(IF(IC$9="ND","ND",VLOOKUP($C11,LR12M,IC$9,0)),"ND")</f>
        <v>ND</v>
      </c>
      <c r="ID11" s="1" t="str">
        <f t="shared" ref="ID11:ID42" si="157">IFERROR(ROUNDUP(IE11/12,2)+159.9,"ND")</f>
        <v>ND</v>
      </c>
      <c r="IE11" s="1" t="str">
        <f t="shared" ref="IE11:IE42" si="158">IFERROR(IF(IE$9="ND","ND",VLOOKUP($C11,LR12M,IE$9,0)),"ND")</f>
        <v>ND</v>
      </c>
      <c r="IF11" s="1" t="str">
        <f t="shared" ref="IF11:IF42" si="159">IFERROR(ROUNDUP(IG11/12,2)+189.9,"ND")</f>
        <v>ND</v>
      </c>
      <c r="IG11" s="1" t="str">
        <f t="shared" ref="IG11:IG42" si="160">IFERROR(IF(IG$9="ND","ND",VLOOKUP($C11,LR12M,IG$9,0)),"ND")</f>
        <v>ND</v>
      </c>
      <c r="IH11" s="1" t="str">
        <f t="shared" ref="IH11:IH42" si="161">IFERROR(ROUNDUP(II11/12,2)+289.9,"ND")</f>
        <v>ND</v>
      </c>
      <c r="II11" s="1" t="str">
        <f t="shared" ref="II11:II42" si="162">IFERROR(IF(II$9="ND","ND",VLOOKUP($C11,LR12M,II$9,0)),"ND")</f>
        <v>ND</v>
      </c>
    </row>
    <row r="12" spans="1:243" x14ac:dyDescent="0.25">
      <c r="C12" t="s">
        <v>1045</v>
      </c>
      <c r="D12">
        <f>SUMIFS(DICCIONARIO[Cantidad],DICCIONARIO[Modelo],UNIFICADA[[#This Row],[Equipo]])</f>
        <v>0</v>
      </c>
      <c r="E12" s="1">
        <f>IFERROR(VLOOKUP($C12,EQUIPOS[],UNIFICADO!E$9,0),"")</f>
        <v>12</v>
      </c>
      <c r="F12" s="1" t="str">
        <f>IFERROR(VLOOKUP($C12,EQUIPOS[],UNIFICADO!F$9,0),"")</f>
        <v>6.6 FullHD+</v>
      </c>
      <c r="G12" s="1">
        <f>IFERROR(VLOOKUP($C12,EQUIPOS[],UNIFICADO!G$9,0),"")</f>
        <v>50</v>
      </c>
      <c r="H12" s="1">
        <f>IFERROR(VLOOKUP($C12,EQUIPOS[],UNIFICADO!H$9,0),"")</f>
        <v>3</v>
      </c>
      <c r="I12" s="1">
        <f>IFERROR(VLOOKUP($C12,EQUIPOS[],UNIFICADO!I$9,0),"")</f>
        <v>8</v>
      </c>
      <c r="J12" s="1" t="str">
        <f>IFERROR(VLOOKUP($C12,EQUIPOS[],UNIFICADO!J$9,0),"")</f>
        <v>128GB</v>
      </c>
      <c r="K12" s="1">
        <f>IFERROR(VLOOKUP($C12,EQUIPOS[],UNIFICADO!K$9,0),"")</f>
        <v>1024</v>
      </c>
      <c r="L12" s="1">
        <f>IFERROR(VLOOKUP($C12,EQUIPOS[],UNIFICADO!L$9,0),"")</f>
        <v>8</v>
      </c>
      <c r="M12" s="1" t="str">
        <f>IFERROR(VLOOKUP($C12,EQUIPOS[],UNIFICADO!M$9,0),"")</f>
        <v>Unisoc T616</v>
      </c>
      <c r="N12" s="1">
        <f>IFERROR(VLOOKUP($C12,EQUIPOS[],UNIFICADO!N$9,0),"")</f>
        <v>6</v>
      </c>
      <c r="O12" s="1">
        <f>IFERROR(VLOOKUP($C12,EQUIPOS[],UNIFICADO!O$9,0),"")</f>
        <v>182</v>
      </c>
      <c r="P12" s="1">
        <f>IFERROR(VLOOKUP($C12,EQUIPOS[],UNIFICADO!P$9,0),"")</f>
        <v>16.399999999999999</v>
      </c>
      <c r="Q12" s="1">
        <f>IFERROR(VLOOKUP($C12,EQUIPOS[],UNIFICADO!Q$9,0),"")</f>
        <v>7.49</v>
      </c>
      <c r="R12" s="1">
        <f>IFERROR(VLOOKUP($C12,EQUIPOS[],UNIFICADO!R$9,0),"")</f>
        <v>0.8</v>
      </c>
      <c r="S12" s="1" t="str">
        <f>IFERROR(VLOOKUP($C12,EQUIPOS[],UNIFICADO!S$9,0),"")</f>
        <v>4500 22.5W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si="0"/>
        <v>ND</v>
      </c>
      <c r="W12" s="1" t="str">
        <f t="shared" si="1"/>
        <v>ND</v>
      </c>
      <c r="X12" s="1" t="str">
        <f t="shared" si="2"/>
        <v>ND</v>
      </c>
      <c r="Y12" s="1" t="str">
        <f t="shared" si="2"/>
        <v>ND</v>
      </c>
      <c r="Z12" s="1" t="str">
        <f t="shared" si="3"/>
        <v>ND</v>
      </c>
      <c r="AA12" s="1" t="str">
        <f t="shared" si="3"/>
        <v>ND</v>
      </c>
      <c r="AB12" s="1" t="str">
        <f t="shared" si="3"/>
        <v>ND</v>
      </c>
      <c r="AC12" s="1" t="str">
        <f t="shared" si="3"/>
        <v>ND</v>
      </c>
      <c r="AD12" s="1" t="str">
        <f t="shared" si="3"/>
        <v>ND</v>
      </c>
      <c r="AE12" s="1" t="str">
        <f t="shared" si="3"/>
        <v>ND</v>
      </c>
      <c r="AF12" s="1" t="str">
        <f t="shared" si="3"/>
        <v>ND</v>
      </c>
      <c r="AG12" s="1" t="str">
        <f t="shared" si="3"/>
        <v>ND</v>
      </c>
      <c r="AH12" s="1" t="str">
        <f t="shared" si="3"/>
        <v>ND</v>
      </c>
      <c r="AI12" s="1" t="str">
        <f t="shared" si="4"/>
        <v>ND</v>
      </c>
      <c r="AJ12" s="1" t="str">
        <f t="shared" si="5"/>
        <v>ND</v>
      </c>
      <c r="AK12" s="1" t="str">
        <f t="shared" si="6"/>
        <v>ND</v>
      </c>
      <c r="AL12" s="1" t="str">
        <f t="shared" si="7"/>
        <v>ND</v>
      </c>
      <c r="AM12" s="1" t="str">
        <f t="shared" si="8"/>
        <v>ND</v>
      </c>
      <c r="AN12" s="1" t="str">
        <f t="shared" si="9"/>
        <v>ND</v>
      </c>
      <c r="AO12" s="1" t="str">
        <f t="shared" si="10"/>
        <v>ND</v>
      </c>
      <c r="AP12" s="1" t="str">
        <f t="shared" si="11"/>
        <v>ND</v>
      </c>
      <c r="AQ12" s="1" t="str">
        <f t="shared" si="12"/>
        <v>ND</v>
      </c>
      <c r="AR12" s="1" t="str">
        <f t="shared" si="13"/>
        <v>ND</v>
      </c>
      <c r="AS12" s="1" t="str">
        <f t="shared" si="14"/>
        <v>ND</v>
      </c>
      <c r="AT12" s="1" t="str">
        <f t="shared" si="15"/>
        <v>ND</v>
      </c>
      <c r="AU12" s="1" t="str">
        <f t="shared" si="16"/>
        <v>ND</v>
      </c>
      <c r="AV12" s="1" t="str">
        <f t="shared" si="17"/>
        <v>ND</v>
      </c>
      <c r="AW12" s="1" t="str">
        <f t="shared" si="18"/>
        <v>ND</v>
      </c>
      <c r="AX12" s="1" t="str">
        <f t="shared" si="19"/>
        <v>ND</v>
      </c>
      <c r="AY12" s="1" t="str">
        <f t="shared" si="20"/>
        <v>ND</v>
      </c>
      <c r="AZ12" s="1" t="str">
        <f t="shared" si="21"/>
        <v>ND</v>
      </c>
      <c r="BA12" s="1" t="str">
        <f t="shared" si="22"/>
        <v>ND</v>
      </c>
      <c r="BB12" s="1" t="str">
        <f t="shared" si="23"/>
        <v>ND</v>
      </c>
      <c r="BC12" s="1" t="str">
        <f t="shared" si="24"/>
        <v>ND</v>
      </c>
      <c r="BD12" s="1" t="str">
        <f t="shared" si="25"/>
        <v>ND</v>
      </c>
      <c r="BE12" s="1" t="str">
        <f t="shared" si="26"/>
        <v>ND</v>
      </c>
      <c r="BF12" s="1" t="str">
        <f t="shared" si="27"/>
        <v>ND</v>
      </c>
      <c r="BG12" s="1" t="str">
        <f t="shared" si="28"/>
        <v>ND</v>
      </c>
      <c r="BH12" s="1" t="str">
        <f t="shared" si="29"/>
        <v>ND</v>
      </c>
      <c r="BI12" s="1" t="str">
        <f t="shared" si="30"/>
        <v>ND</v>
      </c>
      <c r="BJ12" s="1" t="str">
        <f t="shared" si="31"/>
        <v>ND</v>
      </c>
      <c r="BK12" s="1" t="str">
        <f t="shared" si="32"/>
        <v>ND</v>
      </c>
      <c r="BL12" s="1" t="str">
        <f t="shared" si="33"/>
        <v>ND</v>
      </c>
      <c r="BM12" s="1" t="str">
        <f t="shared" si="34"/>
        <v>ND</v>
      </c>
      <c r="BN12" s="1" t="str">
        <f t="shared" si="35"/>
        <v>ND</v>
      </c>
      <c r="BO12" s="1" t="str">
        <f t="shared" si="36"/>
        <v>ND</v>
      </c>
      <c r="BP12" s="1" t="str">
        <f t="shared" si="37"/>
        <v>ND</v>
      </c>
      <c r="BQ12" s="1" t="str">
        <f t="shared" si="38"/>
        <v>ND</v>
      </c>
      <c r="BR12" s="1" t="str">
        <f t="shared" si="39"/>
        <v>ND</v>
      </c>
      <c r="BS12" s="1" t="str">
        <f t="shared" si="40"/>
        <v>ND</v>
      </c>
      <c r="BT12" s="1" t="str">
        <f t="shared" si="41"/>
        <v>ND</v>
      </c>
      <c r="BU12" s="1" t="str">
        <f t="shared" si="42"/>
        <v>ND</v>
      </c>
      <c r="BV12" s="1" t="str">
        <f t="shared" si="43"/>
        <v>ND</v>
      </c>
      <c r="BW12" s="1" t="str">
        <f t="shared" si="44"/>
        <v>ND</v>
      </c>
      <c r="BX12" s="1" t="str">
        <f t="shared" si="45"/>
        <v>ND</v>
      </c>
      <c r="BY12" s="1" t="str">
        <f t="shared" si="46"/>
        <v>ND</v>
      </c>
      <c r="BZ12" s="1" t="str">
        <f t="shared" si="47"/>
        <v>ND</v>
      </c>
      <c r="CA12" s="1" t="str">
        <f t="shared" si="48"/>
        <v>ND</v>
      </c>
      <c r="CB12" s="1" t="str">
        <f t="shared" si="48"/>
        <v>ND</v>
      </c>
      <c r="CC12" s="1" t="str">
        <f t="shared" si="48"/>
        <v>ND</v>
      </c>
      <c r="CD12" s="1" t="str">
        <f t="shared" si="48"/>
        <v>ND</v>
      </c>
      <c r="CE12" s="1" t="str">
        <f t="shared" si="48"/>
        <v>ND</v>
      </c>
      <c r="CF12" s="1" t="str">
        <f t="shared" si="48"/>
        <v>ND</v>
      </c>
      <c r="CG12" s="1" t="str">
        <f t="shared" si="48"/>
        <v>ND</v>
      </c>
      <c r="CH12" s="1" t="str">
        <f t="shared" si="48"/>
        <v>ND</v>
      </c>
      <c r="CI12" s="1" t="str">
        <f t="shared" si="48"/>
        <v>ND</v>
      </c>
      <c r="CJ12" s="1" t="str">
        <f t="shared" si="48"/>
        <v>ND</v>
      </c>
      <c r="CK12" s="1" t="str">
        <f t="shared" si="48"/>
        <v>ND</v>
      </c>
      <c r="CL12" s="1" t="str">
        <f t="shared" si="49"/>
        <v>ND</v>
      </c>
      <c r="CM12" s="1" t="str">
        <f t="shared" si="49"/>
        <v>ND</v>
      </c>
      <c r="CN12" s="1" t="str">
        <f t="shared" si="49"/>
        <v>ND</v>
      </c>
      <c r="CO12" s="1" t="str">
        <f t="shared" si="49"/>
        <v>ND</v>
      </c>
      <c r="CP12" s="1" t="str">
        <f t="shared" si="49"/>
        <v>ND</v>
      </c>
      <c r="CQ12" s="1" t="str">
        <f t="shared" si="49"/>
        <v>ND</v>
      </c>
      <c r="CR12" s="1" t="str">
        <f t="shared" si="49"/>
        <v>ND</v>
      </c>
      <c r="CS12" s="1" t="str">
        <f t="shared" si="49"/>
        <v>ND</v>
      </c>
      <c r="CT12" s="1" t="str">
        <f t="shared" si="49"/>
        <v>ND</v>
      </c>
      <c r="CU12" s="1" t="str">
        <f t="shared" si="49"/>
        <v>ND</v>
      </c>
      <c r="CV12" s="1" t="str">
        <f t="shared" si="49"/>
        <v>ND</v>
      </c>
      <c r="CW12" s="1" t="str">
        <f t="shared" si="50"/>
        <v>ND</v>
      </c>
      <c r="CX12" s="1" t="str">
        <f t="shared" si="51"/>
        <v>ND</v>
      </c>
      <c r="CY12" s="1" t="str">
        <f t="shared" si="52"/>
        <v>ND</v>
      </c>
      <c r="CZ12" s="1" t="str">
        <f t="shared" si="53"/>
        <v>ND</v>
      </c>
      <c r="DA12" s="1" t="str">
        <f t="shared" si="54"/>
        <v>ND</v>
      </c>
      <c r="DB12" s="1" t="str">
        <f t="shared" si="55"/>
        <v>ND</v>
      </c>
      <c r="DC12" s="1" t="str">
        <f t="shared" si="56"/>
        <v>ND</v>
      </c>
      <c r="DD12" s="1" t="str">
        <f t="shared" si="57"/>
        <v>ND</v>
      </c>
      <c r="DE12" s="1" t="str">
        <f t="shared" si="58"/>
        <v>ND</v>
      </c>
      <c r="DF12" s="1" t="str">
        <f t="shared" si="59"/>
        <v>ND</v>
      </c>
      <c r="DG12" s="1" t="str">
        <f t="shared" si="60"/>
        <v>ND</v>
      </c>
      <c r="DH12" s="1" t="str">
        <f t="shared" si="61"/>
        <v>ND</v>
      </c>
      <c r="DI12" s="1" t="str">
        <f t="shared" si="62"/>
        <v>ND</v>
      </c>
      <c r="DJ12" s="1" t="str">
        <f t="shared" si="63"/>
        <v>ND</v>
      </c>
      <c r="DK12" s="1" t="str">
        <f t="shared" si="64"/>
        <v>ND</v>
      </c>
      <c r="DL12" s="1" t="str">
        <f t="shared" si="65"/>
        <v>ND</v>
      </c>
      <c r="DM12" s="1" t="str">
        <f t="shared" si="66"/>
        <v>ND</v>
      </c>
      <c r="DN12" s="1" t="str">
        <f t="shared" si="67"/>
        <v>ND</v>
      </c>
      <c r="DO12" s="1" t="str">
        <f t="shared" si="68"/>
        <v>ND</v>
      </c>
      <c r="DP12" s="1" t="str">
        <f t="shared" si="69"/>
        <v>ND</v>
      </c>
      <c r="DQ12" s="1" t="str">
        <f t="shared" si="70"/>
        <v>ND</v>
      </c>
      <c r="DR12" s="1" t="str">
        <f t="shared" si="71"/>
        <v>ND</v>
      </c>
      <c r="DS12" s="1" t="str">
        <f t="shared" si="72"/>
        <v>ND</v>
      </c>
      <c r="DT12" s="1" t="str">
        <f t="shared" si="73"/>
        <v>ND</v>
      </c>
      <c r="DU12" s="1" t="str">
        <f t="shared" si="74"/>
        <v>ND</v>
      </c>
      <c r="DV12" s="1" t="str">
        <f t="shared" si="75"/>
        <v>ND</v>
      </c>
      <c r="DW12" s="1" t="str">
        <f t="shared" si="76"/>
        <v>ND</v>
      </c>
      <c r="DX12" s="1" t="str">
        <f t="shared" si="77"/>
        <v>ND</v>
      </c>
      <c r="DY12" s="1" t="str">
        <f t="shared" si="78"/>
        <v>ND</v>
      </c>
      <c r="DZ12" s="1" t="str">
        <f t="shared" si="79"/>
        <v>ND</v>
      </c>
      <c r="EA12" s="1" t="str">
        <f t="shared" si="80"/>
        <v>ND</v>
      </c>
      <c r="EB12" s="1" t="str">
        <f t="shared" si="81"/>
        <v>ND</v>
      </c>
      <c r="EC12" s="1" t="str">
        <f t="shared" si="82"/>
        <v>ND</v>
      </c>
      <c r="ED12" s="1" t="str">
        <f t="shared" si="83"/>
        <v>ND</v>
      </c>
      <c r="EE12" s="1" t="str">
        <f t="shared" si="84"/>
        <v>ND</v>
      </c>
      <c r="EF12" s="1" t="str">
        <f t="shared" si="85"/>
        <v>ND</v>
      </c>
      <c r="EG12" s="1" t="str">
        <f t="shared" si="86"/>
        <v>ND</v>
      </c>
      <c r="EH12" s="1" t="str">
        <f t="shared" si="87"/>
        <v>ND</v>
      </c>
      <c r="EI12" s="1" t="str">
        <f t="shared" si="88"/>
        <v>ND</v>
      </c>
      <c r="EJ12" s="1" t="str">
        <f t="shared" si="89"/>
        <v>ND</v>
      </c>
      <c r="EK12" s="1" t="str">
        <f t="shared" si="90"/>
        <v>ND</v>
      </c>
      <c r="EL12" s="1" t="str">
        <f t="shared" si="91"/>
        <v>ND</v>
      </c>
      <c r="EM12" s="1" t="str">
        <f t="shared" si="92"/>
        <v>ND</v>
      </c>
      <c r="EN12" s="1" t="str">
        <f t="shared" si="93"/>
        <v>ND</v>
      </c>
      <c r="EO12" s="1" t="str">
        <f t="shared" si="94"/>
        <v>ND</v>
      </c>
      <c r="EP12" s="1" t="str">
        <f t="shared" si="94"/>
        <v>ND</v>
      </c>
      <c r="EQ12" s="1" t="str">
        <f t="shared" si="94"/>
        <v>ND</v>
      </c>
      <c r="ER12" s="1" t="str">
        <f t="shared" si="94"/>
        <v>ND</v>
      </c>
      <c r="ES12" s="1" t="str">
        <f t="shared" si="94"/>
        <v>ND</v>
      </c>
      <c r="ET12" s="1" t="str">
        <f t="shared" si="94"/>
        <v>ND</v>
      </c>
      <c r="EU12" s="1" t="str">
        <f t="shared" si="94"/>
        <v>ND</v>
      </c>
      <c r="EV12" s="1" t="str">
        <f t="shared" si="94"/>
        <v>ND</v>
      </c>
      <c r="EW12" s="1" t="str">
        <f t="shared" si="94"/>
        <v>ND</v>
      </c>
      <c r="EX12" s="1" t="str">
        <f t="shared" si="94"/>
        <v>ND</v>
      </c>
      <c r="EY12" s="1" t="str">
        <f t="shared" si="94"/>
        <v>ND</v>
      </c>
      <c r="EZ12" s="1" t="str">
        <f t="shared" si="95"/>
        <v>ND</v>
      </c>
      <c r="FA12" s="1" t="str">
        <f t="shared" si="95"/>
        <v>ND</v>
      </c>
      <c r="FB12" s="1" t="str">
        <f t="shared" si="95"/>
        <v>ND</v>
      </c>
      <c r="FC12" s="1" t="str">
        <f t="shared" si="95"/>
        <v>ND</v>
      </c>
      <c r="FD12" s="1" t="str">
        <f t="shared" si="95"/>
        <v>ND</v>
      </c>
      <c r="FE12" s="1" t="str">
        <f t="shared" si="95"/>
        <v>ND</v>
      </c>
      <c r="FF12" s="1" t="str">
        <f t="shared" si="95"/>
        <v>ND</v>
      </c>
      <c r="FG12" s="1" t="str">
        <f t="shared" si="95"/>
        <v>ND</v>
      </c>
      <c r="FH12" s="1" t="str">
        <f t="shared" si="95"/>
        <v>ND</v>
      </c>
      <c r="FI12" s="1" t="str">
        <f t="shared" si="95"/>
        <v>ND</v>
      </c>
      <c r="FJ12" s="1" t="str">
        <f t="shared" si="95"/>
        <v>ND</v>
      </c>
      <c r="FK12" s="1" t="str">
        <f t="shared" si="96"/>
        <v>ND</v>
      </c>
      <c r="FL12" s="1" t="str">
        <f t="shared" si="96"/>
        <v>ND</v>
      </c>
      <c r="FM12" s="1" t="str">
        <f t="shared" si="96"/>
        <v>ND</v>
      </c>
      <c r="FN12" s="1" t="str">
        <f t="shared" si="96"/>
        <v>ND</v>
      </c>
      <c r="FO12" s="1" t="str">
        <f t="shared" si="96"/>
        <v>ND</v>
      </c>
      <c r="FP12" s="1" t="str">
        <f t="shared" si="96"/>
        <v>ND</v>
      </c>
      <c r="FQ12" s="1" t="str">
        <f t="shared" si="96"/>
        <v>ND</v>
      </c>
      <c r="FR12" s="1" t="str">
        <f t="shared" si="96"/>
        <v>ND</v>
      </c>
      <c r="FS12" s="1" t="str">
        <f t="shared" si="96"/>
        <v>ND</v>
      </c>
      <c r="FT12" s="1" t="str">
        <f t="shared" si="96"/>
        <v>ND</v>
      </c>
      <c r="FU12" s="1" t="str">
        <f t="shared" si="96"/>
        <v>ND</v>
      </c>
      <c r="FV12" s="1" t="str">
        <f t="shared" si="97"/>
        <v>ND</v>
      </c>
      <c r="FW12" s="1" t="str">
        <f t="shared" si="98"/>
        <v>ND</v>
      </c>
      <c r="FX12" s="1" t="str">
        <f t="shared" si="99"/>
        <v>ND</v>
      </c>
      <c r="FY12" s="1" t="str">
        <f t="shared" si="100"/>
        <v>ND</v>
      </c>
      <c r="FZ12" s="1" t="str">
        <f t="shared" si="101"/>
        <v>ND</v>
      </c>
      <c r="GA12" s="1" t="str">
        <f t="shared" si="102"/>
        <v>ND</v>
      </c>
      <c r="GB12" s="1" t="str">
        <f t="shared" si="103"/>
        <v>ND</v>
      </c>
      <c r="GC12" s="1" t="str">
        <f t="shared" si="104"/>
        <v>ND</v>
      </c>
      <c r="GD12" s="1" t="str">
        <f t="shared" si="105"/>
        <v>ND</v>
      </c>
      <c r="GE12" s="1" t="str">
        <f t="shared" si="106"/>
        <v>ND</v>
      </c>
      <c r="GF12" s="1" t="str">
        <f t="shared" si="107"/>
        <v>ND</v>
      </c>
      <c r="GG12" s="1" t="str">
        <f t="shared" si="108"/>
        <v>ND</v>
      </c>
      <c r="GH12" s="1" t="str">
        <f t="shared" si="109"/>
        <v>ND</v>
      </c>
      <c r="GI12" s="1" t="str">
        <f t="shared" si="110"/>
        <v>ND</v>
      </c>
      <c r="GJ12" s="1" t="str">
        <f t="shared" si="111"/>
        <v>ND</v>
      </c>
      <c r="GK12" s="1" t="str">
        <f t="shared" si="112"/>
        <v>ND</v>
      </c>
      <c r="GL12" s="1" t="str">
        <f t="shared" si="113"/>
        <v>ND</v>
      </c>
      <c r="GM12" s="1" t="str">
        <f t="shared" si="114"/>
        <v>ND</v>
      </c>
      <c r="GN12" s="1" t="str">
        <f t="shared" si="115"/>
        <v>ND</v>
      </c>
      <c r="GO12" s="1" t="str">
        <f t="shared" si="116"/>
        <v>ND</v>
      </c>
      <c r="GP12" s="1" t="str">
        <f t="shared" si="117"/>
        <v>ND</v>
      </c>
      <c r="GQ12" s="1" t="str">
        <f t="shared" si="118"/>
        <v>ND</v>
      </c>
      <c r="GR12" s="1" t="str">
        <f t="shared" si="119"/>
        <v>ND</v>
      </c>
      <c r="GS12" s="1" t="str">
        <f t="shared" si="120"/>
        <v>ND</v>
      </c>
      <c r="GT12" s="1" t="str">
        <f t="shared" si="121"/>
        <v>ND</v>
      </c>
      <c r="GU12" s="1" t="str">
        <f t="shared" si="122"/>
        <v>ND</v>
      </c>
      <c r="GV12" s="1" t="str">
        <f t="shared" si="123"/>
        <v>ND</v>
      </c>
      <c r="GW12" s="1" t="str">
        <f t="shared" si="124"/>
        <v>ND</v>
      </c>
      <c r="GX12" s="1" t="str">
        <f t="shared" si="125"/>
        <v>ND</v>
      </c>
      <c r="GY12" s="1" t="str">
        <f t="shared" si="126"/>
        <v>ND</v>
      </c>
      <c r="GZ12" s="1" t="str">
        <f t="shared" si="127"/>
        <v>ND</v>
      </c>
      <c r="HA12" s="1" t="str">
        <f t="shared" si="128"/>
        <v>ND</v>
      </c>
      <c r="HB12" s="1" t="str">
        <f t="shared" si="129"/>
        <v>ND</v>
      </c>
      <c r="HC12" s="1" t="str">
        <f t="shared" si="130"/>
        <v>ND</v>
      </c>
      <c r="HD12" s="1" t="str">
        <f t="shared" si="131"/>
        <v>ND</v>
      </c>
      <c r="HE12" s="1" t="str">
        <f t="shared" si="132"/>
        <v>ND</v>
      </c>
      <c r="HF12" s="1" t="str">
        <f t="shared" si="133"/>
        <v>ND</v>
      </c>
      <c r="HG12" s="1" t="str">
        <f t="shared" si="134"/>
        <v>ND</v>
      </c>
      <c r="HH12" s="1" t="str">
        <f t="shared" si="135"/>
        <v>ND</v>
      </c>
      <c r="HI12" s="1" t="str">
        <f t="shared" si="136"/>
        <v>ND</v>
      </c>
      <c r="HJ12" s="1" t="str">
        <f t="shared" si="137"/>
        <v>ND</v>
      </c>
      <c r="HK12" s="1" t="str">
        <f t="shared" si="138"/>
        <v>ND</v>
      </c>
      <c r="HL12" s="1" t="str">
        <f t="shared" si="139"/>
        <v>ND</v>
      </c>
      <c r="HM12" s="1" t="str">
        <f t="shared" si="140"/>
        <v>ND</v>
      </c>
      <c r="HN12" s="1" t="str">
        <f t="shared" si="141"/>
        <v>ND</v>
      </c>
      <c r="HO12" s="1" t="str">
        <f t="shared" si="142"/>
        <v>ND</v>
      </c>
      <c r="HP12" s="1" t="str">
        <f t="shared" si="143"/>
        <v>ND</v>
      </c>
      <c r="HQ12" s="1" t="str">
        <f t="shared" si="144"/>
        <v>ND</v>
      </c>
      <c r="HR12" s="1" t="str">
        <f t="shared" si="145"/>
        <v>ND</v>
      </c>
      <c r="HS12" s="1" t="str">
        <f t="shared" si="146"/>
        <v>ND</v>
      </c>
      <c r="HT12" s="1" t="str">
        <f t="shared" si="147"/>
        <v>ND</v>
      </c>
      <c r="HU12" s="1" t="str">
        <f t="shared" si="148"/>
        <v>ND</v>
      </c>
      <c r="HV12" s="1" t="str">
        <f t="shared" si="149"/>
        <v>ND</v>
      </c>
      <c r="HW12" s="1" t="str">
        <f t="shared" si="150"/>
        <v>ND</v>
      </c>
      <c r="HX12" s="1" t="str">
        <f t="shared" si="151"/>
        <v>ND</v>
      </c>
      <c r="HY12" s="1" t="str">
        <f t="shared" si="152"/>
        <v>ND</v>
      </c>
      <c r="HZ12" s="1" t="str">
        <f t="shared" si="153"/>
        <v>ND</v>
      </c>
      <c r="IA12" s="1" t="str">
        <f t="shared" si="154"/>
        <v>ND</v>
      </c>
      <c r="IB12" s="1" t="str">
        <f t="shared" si="155"/>
        <v>ND</v>
      </c>
      <c r="IC12" s="1" t="str">
        <f t="shared" si="156"/>
        <v>ND</v>
      </c>
      <c r="ID12" s="1" t="str">
        <f t="shared" si="157"/>
        <v>ND</v>
      </c>
      <c r="IE12" s="1" t="str">
        <f t="shared" si="158"/>
        <v>ND</v>
      </c>
      <c r="IF12" s="1" t="str">
        <f t="shared" si="159"/>
        <v>ND</v>
      </c>
      <c r="IG12" s="1" t="str">
        <f t="shared" si="160"/>
        <v>ND</v>
      </c>
      <c r="IH12" s="1" t="str">
        <f t="shared" si="161"/>
        <v>ND</v>
      </c>
      <c r="II12" s="1" t="str">
        <f t="shared" si="162"/>
        <v>ND</v>
      </c>
    </row>
    <row r="13" spans="1:243" x14ac:dyDescent="0.25">
      <c r="C13" t="s">
        <v>70</v>
      </c>
      <c r="D13">
        <f>SUMIFS(DICCIONARIO[Cantidad],DICCIONARIO[Modelo],UNIFICADA[[#This Row],[Equipo]])</f>
        <v>3</v>
      </c>
      <c r="E13" s="1">
        <f>IFERROR(VLOOKUP($C13,EQUIPOS[],UNIFICADO!E$9,0),"")</f>
        <v>11</v>
      </c>
      <c r="F13" s="1">
        <f>IFERROR(VLOOKUP($C13,EQUIPOS[],UNIFICADO!F$9,0),"")</f>
        <v>6</v>
      </c>
      <c r="G13" s="1">
        <f>IFERROR(VLOOKUP($C13,EQUIPOS[],UNIFICADO!G$9,0),"")</f>
        <v>5</v>
      </c>
      <c r="H13" s="1">
        <f>IFERROR(VLOOKUP($C13,EQUIPOS[],UNIFICADO!H$9,0),"")</f>
        <v>1</v>
      </c>
      <c r="I13" s="1">
        <f>IFERROR(VLOOKUP($C13,EQUIPOS[],UNIFICADO!I$9,0),"")</f>
        <v>2</v>
      </c>
      <c r="J13" s="1" t="str">
        <f>IFERROR(VLOOKUP($C13,EQUIPOS[],UNIFICADO!J$9,0),"")</f>
        <v>32GB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1.6/1.2</v>
      </c>
      <c r="N13" s="1">
        <f>IFERROR(VLOOKUP($C13,EQUIPOS[],UNIFICADO!N$9,0),"")</f>
        <v>1</v>
      </c>
      <c r="O13" s="1">
        <f>IFERROR(VLOOKUP($C13,EQUIPOS[],UNIFICADO!O$9,0),"")</f>
        <v>173</v>
      </c>
      <c r="P13" s="1">
        <f>IFERROR(VLOOKUP($C13,EQUIPOS[],UNIFICADO!P$9,0),"")</f>
        <v>15.9</v>
      </c>
      <c r="Q13" s="1">
        <f>IFERROR(VLOOKUP($C13,EQUIPOS[],UNIFICADO!Q$9,0),"")</f>
        <v>7.75</v>
      </c>
      <c r="R13" s="1">
        <f>IFERROR(VLOOKUP($C13,EQUIPOS[],UNIFICADO!R$9,0),"")</f>
        <v>0.96</v>
      </c>
      <c r="S13" s="1">
        <f>IFERROR(VLOOKUP($C13,EQUIPOS[],UNIFICADO!S$9,0),"")</f>
        <v>3000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0"/>
        <v>ND</v>
      </c>
      <c r="W13" s="1" t="str">
        <f t="shared" si="1"/>
        <v>ND</v>
      </c>
      <c r="X13" s="1" t="str">
        <f t="shared" si="2"/>
        <v>ND</v>
      </c>
      <c r="Y13" s="1" t="str">
        <f t="shared" si="2"/>
        <v>ND</v>
      </c>
      <c r="Z13" s="1" t="str">
        <f t="shared" si="3"/>
        <v>ND</v>
      </c>
      <c r="AA13" s="1" t="str">
        <f t="shared" si="3"/>
        <v>ND</v>
      </c>
      <c r="AB13" s="1" t="str">
        <f t="shared" si="3"/>
        <v>ND</v>
      </c>
      <c r="AC13" s="1" t="str">
        <f t="shared" si="3"/>
        <v>ND</v>
      </c>
      <c r="AD13" s="1" t="str">
        <f t="shared" si="3"/>
        <v>ND</v>
      </c>
      <c r="AE13" s="1" t="str">
        <f t="shared" si="3"/>
        <v>ND</v>
      </c>
      <c r="AF13" s="1" t="str">
        <f t="shared" si="3"/>
        <v>ND</v>
      </c>
      <c r="AG13" s="1" t="str">
        <f t="shared" si="3"/>
        <v>ND</v>
      </c>
      <c r="AH13" s="1" t="str">
        <f t="shared" si="3"/>
        <v>ND</v>
      </c>
      <c r="AI13" s="1" t="str">
        <f t="shared" si="4"/>
        <v>ND</v>
      </c>
      <c r="AJ13" s="1" t="str">
        <f t="shared" si="5"/>
        <v>ND</v>
      </c>
      <c r="AK13" s="1" t="str">
        <f t="shared" si="6"/>
        <v>ND</v>
      </c>
      <c r="AL13" s="1" t="str">
        <f t="shared" si="7"/>
        <v>ND</v>
      </c>
      <c r="AM13" s="1" t="str">
        <f t="shared" si="8"/>
        <v>ND</v>
      </c>
      <c r="AN13" s="1" t="str">
        <f t="shared" si="9"/>
        <v>ND</v>
      </c>
      <c r="AO13" s="1" t="str">
        <f t="shared" si="10"/>
        <v>ND</v>
      </c>
      <c r="AP13" s="1" t="str">
        <f t="shared" si="11"/>
        <v>ND</v>
      </c>
      <c r="AQ13" s="1" t="str">
        <f t="shared" si="12"/>
        <v>ND</v>
      </c>
      <c r="AR13" s="1" t="str">
        <f t="shared" si="13"/>
        <v>ND</v>
      </c>
      <c r="AS13" s="1" t="str">
        <f t="shared" si="14"/>
        <v>ND</v>
      </c>
      <c r="AT13" s="1" t="str">
        <f t="shared" si="15"/>
        <v>ND</v>
      </c>
      <c r="AU13" s="1" t="str">
        <f t="shared" si="16"/>
        <v>ND</v>
      </c>
      <c r="AV13" s="1" t="str">
        <f t="shared" si="17"/>
        <v>ND</v>
      </c>
      <c r="AW13" s="1" t="str">
        <f t="shared" si="18"/>
        <v>ND</v>
      </c>
      <c r="AX13" s="1" t="str">
        <f t="shared" si="19"/>
        <v>ND</v>
      </c>
      <c r="AY13" s="1" t="str">
        <f t="shared" si="20"/>
        <v>ND</v>
      </c>
      <c r="AZ13" s="1" t="str">
        <f t="shared" si="21"/>
        <v>ND</v>
      </c>
      <c r="BA13" s="1" t="str">
        <f t="shared" si="22"/>
        <v>ND</v>
      </c>
      <c r="BB13" s="1" t="str">
        <f t="shared" si="23"/>
        <v>ND</v>
      </c>
      <c r="BC13" s="1" t="str">
        <f t="shared" si="24"/>
        <v>ND</v>
      </c>
      <c r="BD13" s="1" t="str">
        <f t="shared" si="25"/>
        <v>ND</v>
      </c>
      <c r="BE13" s="1" t="str">
        <f t="shared" si="26"/>
        <v>ND</v>
      </c>
      <c r="BF13" s="1" t="str">
        <f t="shared" si="27"/>
        <v>ND</v>
      </c>
      <c r="BG13" s="1" t="str">
        <f t="shared" si="28"/>
        <v>ND</v>
      </c>
      <c r="BH13" s="1" t="str">
        <f t="shared" si="29"/>
        <v>ND</v>
      </c>
      <c r="BI13" s="1" t="str">
        <f t="shared" si="30"/>
        <v>ND</v>
      </c>
      <c r="BJ13" s="1" t="str">
        <f t="shared" si="31"/>
        <v>ND</v>
      </c>
      <c r="BK13" s="1" t="str">
        <f t="shared" si="32"/>
        <v>ND</v>
      </c>
      <c r="BL13" s="1" t="str">
        <f t="shared" si="33"/>
        <v>ND</v>
      </c>
      <c r="BM13" s="1" t="str">
        <f t="shared" si="34"/>
        <v>ND</v>
      </c>
      <c r="BN13" s="1" t="str">
        <f t="shared" si="35"/>
        <v>ND</v>
      </c>
      <c r="BO13" s="1" t="str">
        <f t="shared" si="36"/>
        <v>ND</v>
      </c>
      <c r="BP13" s="1" t="str">
        <f t="shared" si="37"/>
        <v>ND</v>
      </c>
      <c r="BQ13" s="1" t="str">
        <f t="shared" si="38"/>
        <v>ND</v>
      </c>
      <c r="BR13" s="1" t="str">
        <f t="shared" si="39"/>
        <v>ND</v>
      </c>
      <c r="BS13" s="1" t="str">
        <f t="shared" si="40"/>
        <v>ND</v>
      </c>
      <c r="BT13" s="1" t="str">
        <f t="shared" si="41"/>
        <v>ND</v>
      </c>
      <c r="BU13" s="1" t="str">
        <f t="shared" si="42"/>
        <v>ND</v>
      </c>
      <c r="BV13" s="1" t="str">
        <f t="shared" si="43"/>
        <v>ND</v>
      </c>
      <c r="BW13" s="1" t="str">
        <f t="shared" si="44"/>
        <v>ND</v>
      </c>
      <c r="BX13" s="1" t="str">
        <f t="shared" si="45"/>
        <v>ND</v>
      </c>
      <c r="BY13" s="1" t="str">
        <f t="shared" si="46"/>
        <v>ND</v>
      </c>
      <c r="BZ13" s="1" t="str">
        <f t="shared" si="47"/>
        <v>ND</v>
      </c>
      <c r="CA13" s="1" t="str">
        <f t="shared" si="48"/>
        <v>ND</v>
      </c>
      <c r="CB13" s="1" t="str">
        <f t="shared" si="48"/>
        <v>ND</v>
      </c>
      <c r="CC13" s="1" t="str">
        <f t="shared" si="48"/>
        <v>ND</v>
      </c>
      <c r="CD13" s="1" t="str">
        <f t="shared" si="48"/>
        <v>ND</v>
      </c>
      <c r="CE13" s="1" t="str">
        <f t="shared" si="48"/>
        <v>ND</v>
      </c>
      <c r="CF13" s="1" t="str">
        <f t="shared" si="48"/>
        <v>ND</v>
      </c>
      <c r="CG13" s="1" t="str">
        <f t="shared" si="48"/>
        <v>ND</v>
      </c>
      <c r="CH13" s="1" t="str">
        <f t="shared" si="48"/>
        <v>ND</v>
      </c>
      <c r="CI13" s="1" t="str">
        <f t="shared" si="48"/>
        <v>ND</v>
      </c>
      <c r="CJ13" s="1" t="str">
        <f t="shared" si="48"/>
        <v>ND</v>
      </c>
      <c r="CK13" s="1" t="str">
        <f t="shared" si="48"/>
        <v>ND</v>
      </c>
      <c r="CL13" s="1" t="str">
        <f t="shared" si="49"/>
        <v>ND</v>
      </c>
      <c r="CM13" s="1" t="str">
        <f t="shared" si="49"/>
        <v>ND</v>
      </c>
      <c r="CN13" s="1" t="str">
        <f t="shared" si="49"/>
        <v>ND</v>
      </c>
      <c r="CO13" s="1" t="str">
        <f t="shared" si="49"/>
        <v>ND</v>
      </c>
      <c r="CP13" s="1" t="str">
        <f t="shared" si="49"/>
        <v>ND</v>
      </c>
      <c r="CQ13" s="1" t="str">
        <f t="shared" si="49"/>
        <v>ND</v>
      </c>
      <c r="CR13" s="1" t="str">
        <f t="shared" si="49"/>
        <v>ND</v>
      </c>
      <c r="CS13" s="1" t="str">
        <f t="shared" si="49"/>
        <v>ND</v>
      </c>
      <c r="CT13" s="1" t="str">
        <f t="shared" si="49"/>
        <v>ND</v>
      </c>
      <c r="CU13" s="1" t="str">
        <f t="shared" si="49"/>
        <v>ND</v>
      </c>
      <c r="CV13" s="1" t="str">
        <f t="shared" si="49"/>
        <v>ND</v>
      </c>
      <c r="CW13" s="1" t="str">
        <f t="shared" si="50"/>
        <v>ND</v>
      </c>
      <c r="CX13" s="1" t="str">
        <f t="shared" si="51"/>
        <v>ND</v>
      </c>
      <c r="CY13" s="1" t="str">
        <f t="shared" si="52"/>
        <v>ND</v>
      </c>
      <c r="CZ13" s="1" t="str">
        <f t="shared" si="53"/>
        <v>ND</v>
      </c>
      <c r="DA13" s="1" t="str">
        <f t="shared" si="54"/>
        <v>ND</v>
      </c>
      <c r="DB13" s="1" t="str">
        <f t="shared" si="55"/>
        <v>ND</v>
      </c>
      <c r="DC13" s="1" t="str">
        <f t="shared" si="56"/>
        <v>ND</v>
      </c>
      <c r="DD13" s="1" t="str">
        <f t="shared" si="57"/>
        <v>ND</v>
      </c>
      <c r="DE13" s="1" t="str">
        <f t="shared" si="58"/>
        <v>ND</v>
      </c>
      <c r="DF13" s="1" t="str">
        <f t="shared" si="59"/>
        <v>ND</v>
      </c>
      <c r="DG13" s="1" t="str">
        <f t="shared" si="60"/>
        <v>ND</v>
      </c>
      <c r="DH13" s="1" t="str">
        <f t="shared" si="61"/>
        <v>ND</v>
      </c>
      <c r="DI13" s="1" t="str">
        <f t="shared" si="62"/>
        <v>ND</v>
      </c>
      <c r="DJ13" s="1" t="str">
        <f t="shared" si="63"/>
        <v>ND</v>
      </c>
      <c r="DK13" s="1" t="str">
        <f t="shared" si="64"/>
        <v>ND</v>
      </c>
      <c r="DL13" s="1" t="str">
        <f t="shared" si="65"/>
        <v>ND</v>
      </c>
      <c r="DM13" s="1" t="str">
        <f t="shared" si="66"/>
        <v>ND</v>
      </c>
      <c r="DN13" s="1" t="str">
        <f t="shared" si="67"/>
        <v>ND</v>
      </c>
      <c r="DO13" s="1" t="str">
        <f t="shared" si="68"/>
        <v>ND</v>
      </c>
      <c r="DP13" s="1" t="str">
        <f t="shared" si="69"/>
        <v>ND</v>
      </c>
      <c r="DQ13" s="1" t="str">
        <f t="shared" si="70"/>
        <v>ND</v>
      </c>
      <c r="DR13" s="1" t="str">
        <f t="shared" si="71"/>
        <v>ND</v>
      </c>
      <c r="DS13" s="1" t="str">
        <f t="shared" si="72"/>
        <v>ND</v>
      </c>
      <c r="DT13" s="1" t="str">
        <f t="shared" si="73"/>
        <v>ND</v>
      </c>
      <c r="DU13" s="1" t="str">
        <f t="shared" si="74"/>
        <v>ND</v>
      </c>
      <c r="DV13" s="1" t="str">
        <f t="shared" si="75"/>
        <v>ND</v>
      </c>
      <c r="DW13" s="1" t="str">
        <f t="shared" si="76"/>
        <v>ND</v>
      </c>
      <c r="DX13" s="1" t="str">
        <f t="shared" si="77"/>
        <v>ND</v>
      </c>
      <c r="DY13" s="1" t="str">
        <f t="shared" si="78"/>
        <v>ND</v>
      </c>
      <c r="DZ13" s="1" t="str">
        <f t="shared" si="79"/>
        <v>ND</v>
      </c>
      <c r="EA13" s="1" t="str">
        <f t="shared" si="80"/>
        <v>ND</v>
      </c>
      <c r="EB13" s="1" t="str">
        <f t="shared" si="81"/>
        <v>ND</v>
      </c>
      <c r="EC13" s="1" t="str">
        <f t="shared" si="82"/>
        <v>ND</v>
      </c>
      <c r="ED13" s="1" t="str">
        <f t="shared" si="83"/>
        <v>ND</v>
      </c>
      <c r="EE13" s="1" t="str">
        <f t="shared" si="84"/>
        <v>ND</v>
      </c>
      <c r="EF13" s="1" t="str">
        <f t="shared" si="85"/>
        <v>ND</v>
      </c>
      <c r="EG13" s="1" t="str">
        <f t="shared" si="86"/>
        <v>ND</v>
      </c>
      <c r="EH13" s="1" t="str">
        <f t="shared" si="87"/>
        <v>ND</v>
      </c>
      <c r="EI13" s="1" t="str">
        <f t="shared" si="88"/>
        <v>ND</v>
      </c>
      <c r="EJ13" s="1" t="str">
        <f t="shared" si="89"/>
        <v>ND</v>
      </c>
      <c r="EK13" s="1" t="str">
        <f t="shared" si="90"/>
        <v>ND</v>
      </c>
      <c r="EL13" s="1" t="str">
        <f t="shared" si="91"/>
        <v>ND</v>
      </c>
      <c r="EM13" s="1" t="str">
        <f t="shared" si="92"/>
        <v>ND</v>
      </c>
      <c r="EN13" s="1" t="str">
        <f t="shared" si="93"/>
        <v>ND</v>
      </c>
      <c r="EO13" s="1" t="str">
        <f t="shared" si="94"/>
        <v>ND</v>
      </c>
      <c r="EP13" s="1" t="str">
        <f t="shared" si="94"/>
        <v>ND</v>
      </c>
      <c r="EQ13" s="1" t="str">
        <f t="shared" si="94"/>
        <v>ND</v>
      </c>
      <c r="ER13" s="1" t="str">
        <f t="shared" si="94"/>
        <v>ND</v>
      </c>
      <c r="ES13" s="1" t="str">
        <f t="shared" si="94"/>
        <v>ND</v>
      </c>
      <c r="ET13" s="1" t="str">
        <f t="shared" si="94"/>
        <v>ND</v>
      </c>
      <c r="EU13" s="1" t="str">
        <f t="shared" si="94"/>
        <v>ND</v>
      </c>
      <c r="EV13" s="1" t="str">
        <f t="shared" si="94"/>
        <v>ND</v>
      </c>
      <c r="EW13" s="1" t="str">
        <f t="shared" si="94"/>
        <v>ND</v>
      </c>
      <c r="EX13" s="1" t="str">
        <f t="shared" si="94"/>
        <v>ND</v>
      </c>
      <c r="EY13" s="1" t="str">
        <f t="shared" si="94"/>
        <v>ND</v>
      </c>
      <c r="EZ13" s="1" t="str">
        <f t="shared" si="95"/>
        <v>ND</v>
      </c>
      <c r="FA13" s="1" t="str">
        <f t="shared" si="95"/>
        <v>ND</v>
      </c>
      <c r="FB13" s="1" t="str">
        <f t="shared" si="95"/>
        <v>ND</v>
      </c>
      <c r="FC13" s="1" t="str">
        <f t="shared" si="95"/>
        <v>ND</v>
      </c>
      <c r="FD13" s="1" t="str">
        <f t="shared" si="95"/>
        <v>ND</v>
      </c>
      <c r="FE13" s="1" t="str">
        <f t="shared" si="95"/>
        <v>ND</v>
      </c>
      <c r="FF13" s="1" t="str">
        <f t="shared" si="95"/>
        <v>ND</v>
      </c>
      <c r="FG13" s="1" t="str">
        <f t="shared" si="95"/>
        <v>ND</v>
      </c>
      <c r="FH13" s="1" t="str">
        <f t="shared" si="95"/>
        <v>ND</v>
      </c>
      <c r="FI13" s="1" t="str">
        <f t="shared" si="95"/>
        <v>ND</v>
      </c>
      <c r="FJ13" s="1" t="str">
        <f t="shared" si="95"/>
        <v>ND</v>
      </c>
      <c r="FK13" s="1" t="str">
        <f t="shared" si="96"/>
        <v>ND</v>
      </c>
      <c r="FL13" s="1" t="str">
        <f t="shared" si="96"/>
        <v>ND</v>
      </c>
      <c r="FM13" s="1" t="str">
        <f t="shared" si="96"/>
        <v>ND</v>
      </c>
      <c r="FN13" s="1" t="str">
        <f t="shared" si="96"/>
        <v>ND</v>
      </c>
      <c r="FO13" s="1" t="str">
        <f t="shared" si="96"/>
        <v>ND</v>
      </c>
      <c r="FP13" s="1" t="str">
        <f t="shared" si="96"/>
        <v>ND</v>
      </c>
      <c r="FQ13" s="1" t="str">
        <f t="shared" si="96"/>
        <v>ND</v>
      </c>
      <c r="FR13" s="1" t="str">
        <f t="shared" si="96"/>
        <v>ND</v>
      </c>
      <c r="FS13" s="1" t="str">
        <f t="shared" si="96"/>
        <v>ND</v>
      </c>
      <c r="FT13" s="1" t="str">
        <f t="shared" si="96"/>
        <v>ND</v>
      </c>
      <c r="FU13" s="1" t="str">
        <f t="shared" si="96"/>
        <v>ND</v>
      </c>
      <c r="FV13" s="1" t="str">
        <f t="shared" si="97"/>
        <v>ND</v>
      </c>
      <c r="FW13" s="1" t="str">
        <f t="shared" si="98"/>
        <v>ND</v>
      </c>
      <c r="FX13" s="1" t="str">
        <f t="shared" si="99"/>
        <v>ND</v>
      </c>
      <c r="FY13" s="1" t="str">
        <f t="shared" si="100"/>
        <v>ND</v>
      </c>
      <c r="FZ13" s="1" t="str">
        <f t="shared" si="101"/>
        <v>ND</v>
      </c>
      <c r="GA13" s="1" t="str">
        <f t="shared" si="102"/>
        <v>ND</v>
      </c>
      <c r="GB13" s="1" t="str">
        <f t="shared" si="103"/>
        <v>ND</v>
      </c>
      <c r="GC13" s="1" t="str">
        <f t="shared" si="104"/>
        <v>ND</v>
      </c>
      <c r="GD13" s="1" t="str">
        <f t="shared" si="105"/>
        <v>ND</v>
      </c>
      <c r="GE13" s="1" t="str">
        <f t="shared" si="106"/>
        <v>ND</v>
      </c>
      <c r="GF13" s="1" t="str">
        <f t="shared" si="107"/>
        <v>ND</v>
      </c>
      <c r="GG13" s="1" t="str">
        <f t="shared" si="108"/>
        <v>ND</v>
      </c>
      <c r="GH13" s="1" t="str">
        <f t="shared" si="109"/>
        <v>ND</v>
      </c>
      <c r="GI13" s="1" t="str">
        <f t="shared" si="110"/>
        <v>ND</v>
      </c>
      <c r="GJ13" s="1" t="str">
        <f t="shared" si="111"/>
        <v>ND</v>
      </c>
      <c r="GK13" s="1" t="str">
        <f t="shared" si="112"/>
        <v>ND</v>
      </c>
      <c r="GL13" s="1" t="str">
        <f t="shared" si="113"/>
        <v>ND</v>
      </c>
      <c r="GM13" s="1" t="str">
        <f t="shared" si="114"/>
        <v>ND</v>
      </c>
      <c r="GN13" s="1" t="str">
        <f t="shared" si="115"/>
        <v>ND</v>
      </c>
      <c r="GO13" s="1" t="str">
        <f t="shared" si="116"/>
        <v>ND</v>
      </c>
      <c r="GP13" s="1" t="str">
        <f t="shared" si="117"/>
        <v>ND</v>
      </c>
      <c r="GQ13" s="1" t="str">
        <f t="shared" si="118"/>
        <v>ND</v>
      </c>
      <c r="GR13" s="1" t="str">
        <f t="shared" si="119"/>
        <v>ND</v>
      </c>
      <c r="GS13" s="1" t="str">
        <f t="shared" si="120"/>
        <v>ND</v>
      </c>
      <c r="GT13" s="1" t="str">
        <f t="shared" si="121"/>
        <v>ND</v>
      </c>
      <c r="GU13" s="1" t="str">
        <f t="shared" si="122"/>
        <v>ND</v>
      </c>
      <c r="GV13" s="1" t="str">
        <f t="shared" si="123"/>
        <v>ND</v>
      </c>
      <c r="GW13" s="1" t="str">
        <f t="shared" si="124"/>
        <v>ND</v>
      </c>
      <c r="GX13" s="1" t="str">
        <f t="shared" si="125"/>
        <v>ND</v>
      </c>
      <c r="GY13" s="1" t="str">
        <f t="shared" si="126"/>
        <v>ND</v>
      </c>
      <c r="GZ13" s="1" t="str">
        <f t="shared" si="127"/>
        <v>ND</v>
      </c>
      <c r="HA13" s="1" t="str">
        <f t="shared" si="128"/>
        <v>ND</v>
      </c>
      <c r="HB13" s="1" t="str">
        <f t="shared" si="129"/>
        <v>ND</v>
      </c>
      <c r="HC13" s="1" t="str">
        <f t="shared" si="130"/>
        <v>ND</v>
      </c>
      <c r="HD13" s="1" t="str">
        <f t="shared" si="131"/>
        <v>ND</v>
      </c>
      <c r="HE13" s="1" t="str">
        <f t="shared" si="132"/>
        <v>ND</v>
      </c>
      <c r="HF13" s="1" t="str">
        <f t="shared" si="133"/>
        <v>ND</v>
      </c>
      <c r="HG13" s="1" t="str">
        <f t="shared" si="134"/>
        <v>ND</v>
      </c>
      <c r="HH13" s="1" t="str">
        <f t="shared" si="135"/>
        <v>ND</v>
      </c>
      <c r="HI13" s="1" t="str">
        <f t="shared" si="136"/>
        <v>ND</v>
      </c>
      <c r="HJ13" s="1" t="str">
        <f t="shared" si="137"/>
        <v>ND</v>
      </c>
      <c r="HK13" s="1" t="str">
        <f t="shared" si="138"/>
        <v>ND</v>
      </c>
      <c r="HL13" s="1" t="str">
        <f t="shared" si="139"/>
        <v>ND</v>
      </c>
      <c r="HM13" s="1" t="str">
        <f t="shared" si="140"/>
        <v>ND</v>
      </c>
      <c r="HN13" s="1" t="str">
        <f t="shared" si="141"/>
        <v>ND</v>
      </c>
      <c r="HO13" s="1" t="str">
        <f t="shared" si="142"/>
        <v>ND</v>
      </c>
      <c r="HP13" s="1" t="str">
        <f t="shared" si="143"/>
        <v>ND</v>
      </c>
      <c r="HQ13" s="1" t="str">
        <f t="shared" si="144"/>
        <v>ND</v>
      </c>
      <c r="HR13" s="1" t="str">
        <f t="shared" si="145"/>
        <v>ND</v>
      </c>
      <c r="HS13" s="1" t="str">
        <f t="shared" si="146"/>
        <v>ND</v>
      </c>
      <c r="HT13" s="1" t="str">
        <f t="shared" si="147"/>
        <v>ND</v>
      </c>
      <c r="HU13" s="1" t="str">
        <f t="shared" si="148"/>
        <v>ND</v>
      </c>
      <c r="HV13" s="1" t="str">
        <f t="shared" si="149"/>
        <v>ND</v>
      </c>
      <c r="HW13" s="1" t="str">
        <f t="shared" si="150"/>
        <v>ND</v>
      </c>
      <c r="HX13" s="1" t="str">
        <f t="shared" si="151"/>
        <v>ND</v>
      </c>
      <c r="HY13" s="1" t="str">
        <f t="shared" si="152"/>
        <v>ND</v>
      </c>
      <c r="HZ13" s="1" t="str">
        <f t="shared" si="153"/>
        <v>ND</v>
      </c>
      <c r="IA13" s="1" t="str">
        <f t="shared" si="154"/>
        <v>ND</v>
      </c>
      <c r="IB13" s="1" t="str">
        <f t="shared" si="155"/>
        <v>ND</v>
      </c>
      <c r="IC13" s="1" t="str">
        <f t="shared" si="156"/>
        <v>ND</v>
      </c>
      <c r="ID13" s="1" t="str">
        <f t="shared" si="157"/>
        <v>ND</v>
      </c>
      <c r="IE13" s="1" t="str">
        <f t="shared" si="158"/>
        <v>ND</v>
      </c>
      <c r="IF13" s="1" t="str">
        <f t="shared" si="159"/>
        <v>ND</v>
      </c>
      <c r="IG13" s="1" t="str">
        <f t="shared" si="160"/>
        <v>ND</v>
      </c>
      <c r="IH13" s="1" t="str">
        <f t="shared" si="161"/>
        <v>ND</v>
      </c>
      <c r="II13" s="1" t="str">
        <f t="shared" si="162"/>
        <v>ND</v>
      </c>
    </row>
    <row r="14" spans="1:243" x14ac:dyDescent="0.25">
      <c r="C14" t="s">
        <v>40</v>
      </c>
      <c r="D14">
        <f>SUMIFS(DICCIONARIO[Cantidad],DICCIONARIO[Modelo],UNIFICADA[[#This Row],[Equipo]])</f>
        <v>0</v>
      </c>
      <c r="E14" s="1">
        <f>IFERROR(VLOOKUP($C14,EQUIPOS[],UNIFICADO!E$9,0),"")</f>
        <v>9</v>
      </c>
      <c r="F14" s="1">
        <f>IFERROR(VLOOKUP($C14,EQUIPOS[],UNIFICADO!F$9,0),"")</f>
        <v>6.09</v>
      </c>
      <c r="G14" s="1">
        <f>IFERROR(VLOOKUP($C14,EQUIPOS[],UNIFICADO!G$9,0),"")</f>
        <v>13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32GB</v>
      </c>
      <c r="K14" s="1">
        <f>IFERROR(VLOOKUP($C14,EQUIPOS[],UNIFICADO!K$9,0),"")</f>
        <v>128</v>
      </c>
      <c r="L14" s="1">
        <f>IFERROR(VLOOKUP($C14,EQUIPOS[],UNIFICADO!L$9,0),"")</f>
        <v>8</v>
      </c>
      <c r="M14" s="1" t="str">
        <f>IFERROR(VLOOKUP($C14,EQUIPOS[],UNIFICADO!M$9,0),"")</f>
        <v>1.6/1.2</v>
      </c>
      <c r="N14" s="1">
        <f>IFERROR(VLOOKUP($C14,EQUIPOS[],UNIFICADO!N$9,0),"")</f>
        <v>2</v>
      </c>
      <c r="O14" s="1">
        <f>IFERROR(VLOOKUP($C14,EQUIPOS[],UNIFICADO!O$9,0),"")</f>
        <v>155</v>
      </c>
      <c r="P14" s="1">
        <f>IFERROR(VLOOKUP($C14,EQUIPOS[],UNIFICADO!P$9,0),"")</f>
        <v>15.6</v>
      </c>
      <c r="Q14" s="1">
        <f>IFERROR(VLOOKUP($C14,EQUIPOS[],UNIFICADO!Q$9,0),"")</f>
        <v>7.26</v>
      </c>
      <c r="R14" s="1">
        <f>IFERROR(VLOOKUP($C14,EQUIPOS[],UNIFICADO!R$9,0),"")</f>
        <v>0.8</v>
      </c>
      <c r="S14" s="1">
        <f>IFERROR(VLOOKUP($C14,EQUIPOS[],UNIFICADO!S$9,0),"")</f>
        <v>3200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0"/>
        <v>ND</v>
      </c>
      <c r="W14" s="1" t="str">
        <f t="shared" si="1"/>
        <v>ND</v>
      </c>
      <c r="X14" s="1" t="str">
        <f t="shared" si="2"/>
        <v>ND</v>
      </c>
      <c r="Y14" s="1" t="str">
        <f t="shared" si="2"/>
        <v>ND</v>
      </c>
      <c r="Z14" s="1" t="str">
        <f t="shared" si="3"/>
        <v>ND</v>
      </c>
      <c r="AA14" s="1" t="str">
        <f t="shared" si="3"/>
        <v>ND</v>
      </c>
      <c r="AB14" s="1" t="str">
        <f t="shared" si="3"/>
        <v>ND</v>
      </c>
      <c r="AC14" s="1" t="str">
        <f t="shared" si="3"/>
        <v>ND</v>
      </c>
      <c r="AD14" s="1" t="str">
        <f t="shared" si="3"/>
        <v>ND</v>
      </c>
      <c r="AE14" s="1" t="str">
        <f t="shared" si="3"/>
        <v>ND</v>
      </c>
      <c r="AF14" s="1" t="str">
        <f t="shared" si="3"/>
        <v>ND</v>
      </c>
      <c r="AG14" s="1" t="str">
        <f t="shared" si="3"/>
        <v>ND</v>
      </c>
      <c r="AH14" s="1" t="str">
        <f t="shared" si="3"/>
        <v>ND</v>
      </c>
      <c r="AI14" s="1" t="str">
        <f t="shared" si="4"/>
        <v>ND</v>
      </c>
      <c r="AJ14" s="1" t="str">
        <f t="shared" si="5"/>
        <v>ND</v>
      </c>
      <c r="AK14" s="1" t="str">
        <f t="shared" si="6"/>
        <v>ND</v>
      </c>
      <c r="AL14" s="1" t="str">
        <f t="shared" si="7"/>
        <v>ND</v>
      </c>
      <c r="AM14" s="1" t="str">
        <f t="shared" si="8"/>
        <v>ND</v>
      </c>
      <c r="AN14" s="1" t="str">
        <f t="shared" si="9"/>
        <v>ND</v>
      </c>
      <c r="AO14" s="1" t="str">
        <f t="shared" si="10"/>
        <v>ND</v>
      </c>
      <c r="AP14" s="1" t="str">
        <f t="shared" si="11"/>
        <v>ND</v>
      </c>
      <c r="AQ14" s="1" t="str">
        <f t="shared" si="12"/>
        <v>ND</v>
      </c>
      <c r="AR14" s="1" t="str">
        <f t="shared" si="13"/>
        <v>ND</v>
      </c>
      <c r="AS14" s="1" t="str">
        <f t="shared" si="14"/>
        <v>ND</v>
      </c>
      <c r="AT14" s="1" t="str">
        <f t="shared" si="15"/>
        <v>ND</v>
      </c>
      <c r="AU14" s="1" t="str">
        <f t="shared" si="16"/>
        <v>ND</v>
      </c>
      <c r="AV14" s="1" t="str">
        <f t="shared" si="17"/>
        <v>ND</v>
      </c>
      <c r="AW14" s="1" t="str">
        <f t="shared" si="18"/>
        <v>ND</v>
      </c>
      <c r="AX14" s="1" t="str">
        <f t="shared" si="19"/>
        <v>ND</v>
      </c>
      <c r="AY14" s="1" t="str">
        <f t="shared" si="20"/>
        <v>ND</v>
      </c>
      <c r="AZ14" s="1" t="str">
        <f t="shared" si="21"/>
        <v>ND</v>
      </c>
      <c r="BA14" s="1" t="str">
        <f t="shared" si="22"/>
        <v>ND</v>
      </c>
      <c r="BB14" s="1" t="str">
        <f t="shared" si="23"/>
        <v>ND</v>
      </c>
      <c r="BC14" s="1" t="str">
        <f t="shared" si="24"/>
        <v>ND</v>
      </c>
      <c r="BD14" s="1" t="str">
        <f t="shared" si="25"/>
        <v>ND</v>
      </c>
      <c r="BE14" s="1" t="str">
        <f t="shared" si="26"/>
        <v>ND</v>
      </c>
      <c r="BF14" s="1" t="str">
        <f t="shared" si="27"/>
        <v>ND</v>
      </c>
      <c r="BG14" s="1" t="str">
        <f t="shared" si="28"/>
        <v>ND</v>
      </c>
      <c r="BH14" s="1" t="str">
        <f t="shared" si="29"/>
        <v>ND</v>
      </c>
      <c r="BI14" s="1" t="str">
        <f t="shared" si="30"/>
        <v>ND</v>
      </c>
      <c r="BJ14" s="1" t="str">
        <f t="shared" si="31"/>
        <v>ND</v>
      </c>
      <c r="BK14" s="1" t="str">
        <f t="shared" si="32"/>
        <v>ND</v>
      </c>
      <c r="BL14" s="1" t="str">
        <f t="shared" si="33"/>
        <v>ND</v>
      </c>
      <c r="BM14" s="1" t="str">
        <f t="shared" si="34"/>
        <v>ND</v>
      </c>
      <c r="BN14" s="1" t="str">
        <f t="shared" si="35"/>
        <v>ND</v>
      </c>
      <c r="BO14" s="1" t="str">
        <f t="shared" si="36"/>
        <v>ND</v>
      </c>
      <c r="BP14" s="1" t="str">
        <f t="shared" si="37"/>
        <v>ND</v>
      </c>
      <c r="BQ14" s="1" t="str">
        <f t="shared" si="38"/>
        <v>ND</v>
      </c>
      <c r="BR14" s="1" t="str">
        <f t="shared" si="39"/>
        <v>ND</v>
      </c>
      <c r="BS14" s="1" t="str">
        <f t="shared" si="40"/>
        <v>ND</v>
      </c>
      <c r="BT14" s="1" t="str">
        <f t="shared" si="41"/>
        <v>ND</v>
      </c>
      <c r="BU14" s="1" t="str">
        <f t="shared" si="42"/>
        <v>ND</v>
      </c>
      <c r="BV14" s="1" t="str">
        <f t="shared" si="43"/>
        <v>ND</v>
      </c>
      <c r="BW14" s="1" t="str">
        <f t="shared" si="44"/>
        <v>ND</v>
      </c>
      <c r="BX14" s="1" t="str">
        <f t="shared" si="45"/>
        <v>ND</v>
      </c>
      <c r="BY14" s="1" t="str">
        <f t="shared" si="46"/>
        <v>ND</v>
      </c>
      <c r="BZ14" s="1" t="str">
        <f t="shared" si="47"/>
        <v>ND</v>
      </c>
      <c r="CA14" s="1" t="str">
        <f t="shared" si="48"/>
        <v>ND</v>
      </c>
      <c r="CB14" s="1" t="str">
        <f t="shared" si="48"/>
        <v>ND</v>
      </c>
      <c r="CC14" s="1" t="str">
        <f t="shared" si="48"/>
        <v>ND</v>
      </c>
      <c r="CD14" s="1" t="str">
        <f t="shared" si="48"/>
        <v>ND</v>
      </c>
      <c r="CE14" s="1" t="str">
        <f t="shared" si="48"/>
        <v>ND</v>
      </c>
      <c r="CF14" s="1" t="str">
        <f t="shared" si="48"/>
        <v>ND</v>
      </c>
      <c r="CG14" s="1" t="str">
        <f t="shared" si="48"/>
        <v>ND</v>
      </c>
      <c r="CH14" s="1" t="str">
        <f t="shared" si="48"/>
        <v>ND</v>
      </c>
      <c r="CI14" s="1" t="str">
        <f t="shared" si="48"/>
        <v>ND</v>
      </c>
      <c r="CJ14" s="1" t="str">
        <f t="shared" si="48"/>
        <v>ND</v>
      </c>
      <c r="CK14" s="1" t="str">
        <f t="shared" si="48"/>
        <v>ND</v>
      </c>
      <c r="CL14" s="1" t="str">
        <f t="shared" si="49"/>
        <v>ND</v>
      </c>
      <c r="CM14" s="1" t="str">
        <f t="shared" si="49"/>
        <v>ND</v>
      </c>
      <c r="CN14" s="1" t="str">
        <f t="shared" si="49"/>
        <v>ND</v>
      </c>
      <c r="CO14" s="1" t="str">
        <f t="shared" si="49"/>
        <v>ND</v>
      </c>
      <c r="CP14" s="1" t="str">
        <f t="shared" si="49"/>
        <v>ND</v>
      </c>
      <c r="CQ14" s="1" t="str">
        <f t="shared" si="49"/>
        <v>ND</v>
      </c>
      <c r="CR14" s="1" t="str">
        <f t="shared" si="49"/>
        <v>ND</v>
      </c>
      <c r="CS14" s="1" t="str">
        <f t="shared" si="49"/>
        <v>ND</v>
      </c>
      <c r="CT14" s="1" t="str">
        <f t="shared" si="49"/>
        <v>ND</v>
      </c>
      <c r="CU14" s="1" t="str">
        <f t="shared" si="49"/>
        <v>ND</v>
      </c>
      <c r="CV14" s="1" t="str">
        <f t="shared" si="49"/>
        <v>ND</v>
      </c>
      <c r="CW14" s="1" t="str">
        <f t="shared" si="50"/>
        <v>ND</v>
      </c>
      <c r="CX14" s="1" t="str">
        <f t="shared" si="51"/>
        <v>ND</v>
      </c>
      <c r="CY14" s="1" t="str">
        <f t="shared" si="52"/>
        <v>ND</v>
      </c>
      <c r="CZ14" s="1" t="str">
        <f t="shared" si="53"/>
        <v>ND</v>
      </c>
      <c r="DA14" s="1" t="str">
        <f t="shared" si="54"/>
        <v>ND</v>
      </c>
      <c r="DB14" s="1" t="str">
        <f t="shared" si="55"/>
        <v>ND</v>
      </c>
      <c r="DC14" s="1" t="str">
        <f t="shared" si="56"/>
        <v>ND</v>
      </c>
      <c r="DD14" s="1" t="str">
        <f t="shared" si="57"/>
        <v>ND</v>
      </c>
      <c r="DE14" s="1" t="str">
        <f t="shared" si="58"/>
        <v>ND</v>
      </c>
      <c r="DF14" s="1" t="str">
        <f t="shared" si="59"/>
        <v>ND</v>
      </c>
      <c r="DG14" s="1" t="str">
        <f t="shared" si="60"/>
        <v>ND</v>
      </c>
      <c r="DH14" s="1" t="str">
        <f t="shared" si="61"/>
        <v>ND</v>
      </c>
      <c r="DI14" s="1" t="str">
        <f t="shared" si="62"/>
        <v>ND</v>
      </c>
      <c r="DJ14" s="1" t="str">
        <f t="shared" si="63"/>
        <v>ND</v>
      </c>
      <c r="DK14" s="1" t="str">
        <f t="shared" si="64"/>
        <v>ND</v>
      </c>
      <c r="DL14" s="1" t="str">
        <f t="shared" si="65"/>
        <v>ND</v>
      </c>
      <c r="DM14" s="1" t="str">
        <f t="shared" si="66"/>
        <v>ND</v>
      </c>
      <c r="DN14" s="1" t="str">
        <f t="shared" si="67"/>
        <v>ND</v>
      </c>
      <c r="DO14" s="1" t="str">
        <f t="shared" si="68"/>
        <v>ND</v>
      </c>
      <c r="DP14" s="1" t="str">
        <f t="shared" si="69"/>
        <v>ND</v>
      </c>
      <c r="DQ14" s="1" t="str">
        <f t="shared" si="70"/>
        <v>ND</v>
      </c>
      <c r="DR14" s="1" t="str">
        <f t="shared" si="71"/>
        <v>ND</v>
      </c>
      <c r="DS14" s="1" t="str">
        <f t="shared" si="72"/>
        <v>ND</v>
      </c>
      <c r="DT14" s="1" t="str">
        <f t="shared" si="73"/>
        <v>ND</v>
      </c>
      <c r="DU14" s="1" t="str">
        <f t="shared" si="74"/>
        <v>ND</v>
      </c>
      <c r="DV14" s="1" t="str">
        <f t="shared" si="75"/>
        <v>ND</v>
      </c>
      <c r="DW14" s="1" t="str">
        <f t="shared" si="76"/>
        <v>ND</v>
      </c>
      <c r="DX14" s="1" t="str">
        <f t="shared" si="77"/>
        <v>ND</v>
      </c>
      <c r="DY14" s="1" t="str">
        <f t="shared" si="78"/>
        <v>ND</v>
      </c>
      <c r="DZ14" s="1" t="str">
        <f t="shared" si="79"/>
        <v>ND</v>
      </c>
      <c r="EA14" s="1" t="str">
        <f t="shared" si="80"/>
        <v>ND</v>
      </c>
      <c r="EB14" s="1" t="str">
        <f t="shared" si="81"/>
        <v>ND</v>
      </c>
      <c r="EC14" s="1" t="str">
        <f t="shared" si="82"/>
        <v>ND</v>
      </c>
      <c r="ED14" s="1" t="str">
        <f t="shared" si="83"/>
        <v>ND</v>
      </c>
      <c r="EE14" s="1" t="str">
        <f t="shared" si="84"/>
        <v>ND</v>
      </c>
      <c r="EF14" s="1" t="str">
        <f t="shared" si="85"/>
        <v>ND</v>
      </c>
      <c r="EG14" s="1" t="str">
        <f t="shared" si="86"/>
        <v>ND</v>
      </c>
      <c r="EH14" s="1" t="str">
        <f t="shared" si="87"/>
        <v>ND</v>
      </c>
      <c r="EI14" s="1" t="str">
        <f t="shared" si="88"/>
        <v>ND</v>
      </c>
      <c r="EJ14" s="1" t="str">
        <f t="shared" si="89"/>
        <v>ND</v>
      </c>
      <c r="EK14" s="1" t="str">
        <f t="shared" si="90"/>
        <v>ND</v>
      </c>
      <c r="EL14" s="1" t="str">
        <f t="shared" si="91"/>
        <v>ND</v>
      </c>
      <c r="EM14" s="1" t="str">
        <f t="shared" si="92"/>
        <v>ND</v>
      </c>
      <c r="EN14" s="1" t="str">
        <f t="shared" si="93"/>
        <v>ND</v>
      </c>
      <c r="EO14" s="1" t="str">
        <f t="shared" si="94"/>
        <v>ND</v>
      </c>
      <c r="EP14" s="1" t="str">
        <f t="shared" si="94"/>
        <v>ND</v>
      </c>
      <c r="EQ14" s="1" t="str">
        <f t="shared" si="94"/>
        <v>ND</v>
      </c>
      <c r="ER14" s="1" t="str">
        <f t="shared" si="94"/>
        <v>ND</v>
      </c>
      <c r="ES14" s="1" t="str">
        <f t="shared" si="94"/>
        <v>ND</v>
      </c>
      <c r="ET14" s="1" t="str">
        <f t="shared" si="94"/>
        <v>ND</v>
      </c>
      <c r="EU14" s="1" t="str">
        <f t="shared" si="94"/>
        <v>ND</v>
      </c>
      <c r="EV14" s="1" t="str">
        <f t="shared" si="94"/>
        <v>ND</v>
      </c>
      <c r="EW14" s="1" t="str">
        <f t="shared" si="94"/>
        <v>ND</v>
      </c>
      <c r="EX14" s="1" t="str">
        <f t="shared" si="94"/>
        <v>ND</v>
      </c>
      <c r="EY14" s="1" t="str">
        <f t="shared" si="94"/>
        <v>ND</v>
      </c>
      <c r="EZ14" s="1" t="str">
        <f t="shared" si="95"/>
        <v>ND</v>
      </c>
      <c r="FA14" s="1" t="str">
        <f t="shared" si="95"/>
        <v>ND</v>
      </c>
      <c r="FB14" s="1" t="str">
        <f t="shared" si="95"/>
        <v>ND</v>
      </c>
      <c r="FC14" s="1" t="str">
        <f t="shared" si="95"/>
        <v>ND</v>
      </c>
      <c r="FD14" s="1" t="str">
        <f t="shared" si="95"/>
        <v>ND</v>
      </c>
      <c r="FE14" s="1" t="str">
        <f t="shared" si="95"/>
        <v>ND</v>
      </c>
      <c r="FF14" s="1" t="str">
        <f t="shared" si="95"/>
        <v>ND</v>
      </c>
      <c r="FG14" s="1" t="str">
        <f t="shared" si="95"/>
        <v>ND</v>
      </c>
      <c r="FH14" s="1" t="str">
        <f t="shared" si="95"/>
        <v>ND</v>
      </c>
      <c r="FI14" s="1" t="str">
        <f t="shared" si="95"/>
        <v>ND</v>
      </c>
      <c r="FJ14" s="1" t="str">
        <f t="shared" si="95"/>
        <v>ND</v>
      </c>
      <c r="FK14" s="1" t="str">
        <f t="shared" si="96"/>
        <v>ND</v>
      </c>
      <c r="FL14" s="1" t="str">
        <f t="shared" si="96"/>
        <v>ND</v>
      </c>
      <c r="FM14" s="1" t="str">
        <f t="shared" si="96"/>
        <v>ND</v>
      </c>
      <c r="FN14" s="1" t="str">
        <f t="shared" si="96"/>
        <v>ND</v>
      </c>
      <c r="FO14" s="1" t="str">
        <f t="shared" si="96"/>
        <v>ND</v>
      </c>
      <c r="FP14" s="1" t="str">
        <f t="shared" si="96"/>
        <v>ND</v>
      </c>
      <c r="FQ14" s="1" t="str">
        <f t="shared" si="96"/>
        <v>ND</v>
      </c>
      <c r="FR14" s="1" t="str">
        <f t="shared" si="96"/>
        <v>ND</v>
      </c>
      <c r="FS14" s="1" t="str">
        <f t="shared" si="96"/>
        <v>ND</v>
      </c>
      <c r="FT14" s="1" t="str">
        <f t="shared" si="96"/>
        <v>ND</v>
      </c>
      <c r="FU14" s="1" t="str">
        <f t="shared" si="96"/>
        <v>ND</v>
      </c>
      <c r="FV14" s="1" t="str">
        <f t="shared" si="97"/>
        <v>ND</v>
      </c>
      <c r="FW14" s="1" t="str">
        <f t="shared" si="98"/>
        <v>ND</v>
      </c>
      <c r="FX14" s="1" t="str">
        <f t="shared" si="99"/>
        <v>ND</v>
      </c>
      <c r="FY14" s="1" t="str">
        <f t="shared" si="100"/>
        <v>ND</v>
      </c>
      <c r="FZ14" s="1" t="str">
        <f t="shared" si="101"/>
        <v>ND</v>
      </c>
      <c r="GA14" s="1" t="str">
        <f t="shared" si="102"/>
        <v>ND</v>
      </c>
      <c r="GB14" s="1" t="str">
        <f t="shared" si="103"/>
        <v>ND</v>
      </c>
      <c r="GC14" s="1" t="str">
        <f t="shared" si="104"/>
        <v>ND</v>
      </c>
      <c r="GD14" s="1" t="str">
        <f t="shared" si="105"/>
        <v>ND</v>
      </c>
      <c r="GE14" s="1" t="str">
        <f t="shared" si="106"/>
        <v>ND</v>
      </c>
      <c r="GF14" s="1" t="str">
        <f t="shared" si="107"/>
        <v>ND</v>
      </c>
      <c r="GG14" s="1" t="str">
        <f t="shared" si="108"/>
        <v>ND</v>
      </c>
      <c r="GH14" s="1" t="str">
        <f t="shared" si="109"/>
        <v>ND</v>
      </c>
      <c r="GI14" s="1" t="str">
        <f t="shared" si="110"/>
        <v>ND</v>
      </c>
      <c r="GJ14" s="1" t="str">
        <f t="shared" si="111"/>
        <v>ND</v>
      </c>
      <c r="GK14" s="1" t="str">
        <f t="shared" si="112"/>
        <v>ND</v>
      </c>
      <c r="GL14" s="1" t="str">
        <f t="shared" si="113"/>
        <v>ND</v>
      </c>
      <c r="GM14" s="1" t="str">
        <f t="shared" si="114"/>
        <v>ND</v>
      </c>
      <c r="GN14" s="1" t="str">
        <f t="shared" si="115"/>
        <v>ND</v>
      </c>
      <c r="GO14" s="1" t="str">
        <f t="shared" si="116"/>
        <v>ND</v>
      </c>
      <c r="GP14" s="1" t="str">
        <f t="shared" si="117"/>
        <v>ND</v>
      </c>
      <c r="GQ14" s="1" t="str">
        <f t="shared" si="118"/>
        <v>ND</v>
      </c>
      <c r="GR14" s="1" t="str">
        <f t="shared" si="119"/>
        <v>ND</v>
      </c>
      <c r="GS14" s="1" t="str">
        <f t="shared" si="120"/>
        <v>ND</v>
      </c>
      <c r="GT14" s="1" t="str">
        <f t="shared" si="121"/>
        <v>ND</v>
      </c>
      <c r="GU14" s="1" t="str">
        <f t="shared" si="122"/>
        <v>ND</v>
      </c>
      <c r="GV14" s="1" t="str">
        <f t="shared" si="123"/>
        <v>ND</v>
      </c>
      <c r="GW14" s="1" t="str">
        <f t="shared" si="124"/>
        <v>ND</v>
      </c>
      <c r="GX14" s="1" t="str">
        <f t="shared" si="125"/>
        <v>ND</v>
      </c>
      <c r="GY14" s="1" t="str">
        <f t="shared" si="126"/>
        <v>ND</v>
      </c>
      <c r="GZ14" s="1" t="str">
        <f t="shared" si="127"/>
        <v>ND</v>
      </c>
      <c r="HA14" s="1" t="str">
        <f t="shared" si="128"/>
        <v>ND</v>
      </c>
      <c r="HB14" s="1" t="str">
        <f t="shared" si="129"/>
        <v>ND</v>
      </c>
      <c r="HC14" s="1" t="str">
        <f t="shared" si="130"/>
        <v>ND</v>
      </c>
      <c r="HD14" s="1" t="str">
        <f t="shared" si="131"/>
        <v>ND</v>
      </c>
      <c r="HE14" s="1" t="str">
        <f t="shared" si="132"/>
        <v>ND</v>
      </c>
      <c r="HF14" s="1" t="str">
        <f t="shared" si="133"/>
        <v>ND</v>
      </c>
      <c r="HG14" s="1" t="str">
        <f t="shared" si="134"/>
        <v>ND</v>
      </c>
      <c r="HH14" s="1" t="str">
        <f t="shared" si="135"/>
        <v>ND</v>
      </c>
      <c r="HI14" s="1" t="str">
        <f t="shared" si="136"/>
        <v>ND</v>
      </c>
      <c r="HJ14" s="1" t="str">
        <f t="shared" si="137"/>
        <v>ND</v>
      </c>
      <c r="HK14" s="1" t="str">
        <f t="shared" si="138"/>
        <v>ND</v>
      </c>
      <c r="HL14" s="1" t="str">
        <f t="shared" si="139"/>
        <v>ND</v>
      </c>
      <c r="HM14" s="1" t="str">
        <f t="shared" si="140"/>
        <v>ND</v>
      </c>
      <c r="HN14" s="1" t="str">
        <f t="shared" si="141"/>
        <v>ND</v>
      </c>
      <c r="HO14" s="1" t="str">
        <f t="shared" si="142"/>
        <v>ND</v>
      </c>
      <c r="HP14" s="1" t="str">
        <f t="shared" si="143"/>
        <v>ND</v>
      </c>
      <c r="HQ14" s="1" t="str">
        <f t="shared" si="144"/>
        <v>ND</v>
      </c>
      <c r="HR14" s="1" t="str">
        <f t="shared" si="145"/>
        <v>ND</v>
      </c>
      <c r="HS14" s="1" t="str">
        <f t="shared" si="146"/>
        <v>ND</v>
      </c>
      <c r="HT14" s="1" t="str">
        <f t="shared" si="147"/>
        <v>ND</v>
      </c>
      <c r="HU14" s="1" t="str">
        <f t="shared" si="148"/>
        <v>ND</v>
      </c>
      <c r="HV14" s="1" t="str">
        <f t="shared" si="149"/>
        <v>ND</v>
      </c>
      <c r="HW14" s="1" t="str">
        <f t="shared" si="150"/>
        <v>ND</v>
      </c>
      <c r="HX14" s="1" t="str">
        <f t="shared" si="151"/>
        <v>ND</v>
      </c>
      <c r="HY14" s="1" t="str">
        <f t="shared" si="152"/>
        <v>ND</v>
      </c>
      <c r="HZ14" s="1" t="str">
        <f t="shared" si="153"/>
        <v>ND</v>
      </c>
      <c r="IA14" s="1" t="str">
        <f t="shared" si="154"/>
        <v>ND</v>
      </c>
      <c r="IB14" s="1" t="str">
        <f t="shared" si="155"/>
        <v>ND</v>
      </c>
      <c r="IC14" s="1" t="str">
        <f t="shared" si="156"/>
        <v>ND</v>
      </c>
      <c r="ID14" s="1" t="str">
        <f t="shared" si="157"/>
        <v>ND</v>
      </c>
      <c r="IE14" s="1" t="str">
        <f t="shared" si="158"/>
        <v>ND</v>
      </c>
      <c r="IF14" s="1" t="str">
        <f t="shared" si="159"/>
        <v>ND</v>
      </c>
      <c r="IG14" s="1" t="str">
        <f t="shared" si="160"/>
        <v>ND</v>
      </c>
      <c r="IH14" s="1" t="str">
        <f t="shared" si="161"/>
        <v>ND</v>
      </c>
      <c r="II14" s="1" t="str">
        <f t="shared" si="162"/>
        <v>ND</v>
      </c>
    </row>
    <row r="15" spans="1:243" x14ac:dyDescent="0.25">
      <c r="C15" t="s">
        <v>41</v>
      </c>
      <c r="D15">
        <f>SUMIFS(DICCIONARIO[Cantidad],DICCIONARIO[Modelo],UNIFICADA[[#This Row],[Equipo]])</f>
        <v>9</v>
      </c>
      <c r="E15" s="1">
        <f>IFERROR(VLOOKUP($C15,EQUIPOS[],UNIFICADO!E$9,0),"")</f>
        <v>10</v>
      </c>
      <c r="F15" s="1">
        <f>IFERROR(VLOOKUP($C15,EQUIPOS[],UNIFICADO!F$9,0),"")</f>
        <v>6.53</v>
      </c>
      <c r="G15" s="1">
        <f>IFERROR(VLOOKUP($C15,EQUIPOS[],UNIFICADO!G$9,0),"")</f>
        <v>13</v>
      </c>
      <c r="H15" s="1">
        <f>IFERROR(VLOOKUP($C15,EQUIPOS[],UNIFICADO!H$9,0),"")</f>
        <v>2</v>
      </c>
      <c r="I15" s="1">
        <f>IFERROR(VLOOKUP($C15,EQUIPOS[],UNIFICADO!I$9,0),"")</f>
        <v>5</v>
      </c>
      <c r="J15" s="1" t="str">
        <f>IFERROR(VLOOKUP($C15,EQUIPOS[],UNIFICADO!J$9,0),"")</f>
        <v>32GB</v>
      </c>
      <c r="K15" s="1">
        <f>IFERROR(VLOOKUP($C15,EQUIPOS[],UNIFICADO!K$9,0),"")</f>
        <v>256</v>
      </c>
      <c r="L15" s="1">
        <f>IFERROR(VLOOKUP($C15,EQUIPOS[],UNIFICADO!L$9,0),"")</f>
        <v>8</v>
      </c>
      <c r="M15" s="1" t="str">
        <f>IFERROR(VLOOKUP($C15,EQUIPOS[],UNIFICADO!M$9,0),"")</f>
        <v>1.6/1.2</v>
      </c>
      <c r="N15" s="1">
        <f>IFERROR(VLOOKUP($C15,EQUIPOS[],UNIFICADO!N$9,0),"")</f>
        <v>2</v>
      </c>
      <c r="O15" s="1">
        <f>IFERROR(VLOOKUP($C15,EQUIPOS[],UNIFICADO!O$9,0),"")</f>
        <v>174</v>
      </c>
      <c r="P15" s="1">
        <f>IFERROR(VLOOKUP($C15,EQUIPOS[],UNIFICADO!P$9,0),"")</f>
        <v>16.600000000000001</v>
      </c>
      <c r="Q15" s="1">
        <f>IFERROR(VLOOKUP($C15,EQUIPOS[],UNIFICADO!Q$9,0),"")</f>
        <v>7.5</v>
      </c>
      <c r="R15" s="1">
        <f>IFERROR(VLOOKUP($C15,EQUIPOS[],UNIFICADO!R$9,0),"")</f>
        <v>0.85</v>
      </c>
      <c r="S15" s="1">
        <f>IFERROR(VLOOKUP($C15,EQUIPOS[],UNIFICADO!S$9,0),"")</f>
        <v>3200</v>
      </c>
      <c r="T15" s="1">
        <f>IFERROR(VLOOKUP($C15,EQUIPOS[],UNIFICADO!T$9,0),"")</f>
        <v>4</v>
      </c>
      <c r="U15" s="1">
        <f>VLOOKUP(UNIFICADA[[#This Row],[Equipo]],EQUIPOS[],19,0)</f>
        <v>5</v>
      </c>
      <c r="V15" s="1" t="str">
        <f t="shared" si="0"/>
        <v>ND</v>
      </c>
      <c r="W15" s="1" t="str">
        <f t="shared" si="1"/>
        <v>ND</v>
      </c>
      <c r="X15" s="1" t="str">
        <f t="shared" si="2"/>
        <v>ND</v>
      </c>
      <c r="Y15" s="1" t="str">
        <f t="shared" si="2"/>
        <v>ND</v>
      </c>
      <c r="Z15" s="1" t="str">
        <f t="shared" si="3"/>
        <v>ND</v>
      </c>
      <c r="AA15" s="1" t="str">
        <f t="shared" si="3"/>
        <v>ND</v>
      </c>
      <c r="AB15" s="1" t="str">
        <f t="shared" si="3"/>
        <v>ND</v>
      </c>
      <c r="AC15" s="1" t="str">
        <f t="shared" si="3"/>
        <v>ND</v>
      </c>
      <c r="AD15" s="1" t="str">
        <f t="shared" si="3"/>
        <v>ND</v>
      </c>
      <c r="AE15" s="1" t="str">
        <f t="shared" si="3"/>
        <v>ND</v>
      </c>
      <c r="AF15" s="1" t="str">
        <f t="shared" si="3"/>
        <v>ND</v>
      </c>
      <c r="AG15" s="1" t="str">
        <f t="shared" si="3"/>
        <v>ND</v>
      </c>
      <c r="AH15" s="1" t="str">
        <f t="shared" si="3"/>
        <v>ND</v>
      </c>
      <c r="AI15" s="1" t="str">
        <f t="shared" si="4"/>
        <v>ND</v>
      </c>
      <c r="AJ15" s="1" t="str">
        <f t="shared" si="5"/>
        <v>ND</v>
      </c>
      <c r="AK15" s="1" t="str">
        <f t="shared" si="6"/>
        <v>ND</v>
      </c>
      <c r="AL15" s="1" t="str">
        <f t="shared" si="7"/>
        <v>ND</v>
      </c>
      <c r="AM15" s="1" t="str">
        <f t="shared" si="8"/>
        <v>ND</v>
      </c>
      <c r="AN15" s="1" t="str">
        <f t="shared" si="9"/>
        <v>ND</v>
      </c>
      <c r="AO15" s="1" t="str">
        <f t="shared" si="10"/>
        <v>ND</v>
      </c>
      <c r="AP15" s="1" t="str">
        <f t="shared" si="11"/>
        <v>ND</v>
      </c>
      <c r="AQ15" s="1" t="str">
        <f t="shared" si="12"/>
        <v>ND</v>
      </c>
      <c r="AR15" s="1" t="str">
        <f t="shared" si="13"/>
        <v>ND</v>
      </c>
      <c r="AS15" s="1" t="str">
        <f t="shared" si="14"/>
        <v>ND</v>
      </c>
      <c r="AT15" s="1" t="str">
        <f t="shared" si="15"/>
        <v>ND</v>
      </c>
      <c r="AU15" s="1" t="str">
        <f t="shared" si="16"/>
        <v>ND</v>
      </c>
      <c r="AV15" s="1" t="str">
        <f t="shared" si="17"/>
        <v>ND</v>
      </c>
      <c r="AW15" s="1" t="str">
        <f t="shared" si="18"/>
        <v>ND</v>
      </c>
      <c r="AX15" s="1" t="str">
        <f t="shared" si="19"/>
        <v>ND</v>
      </c>
      <c r="AY15" s="1" t="str">
        <f t="shared" si="20"/>
        <v>ND</v>
      </c>
      <c r="AZ15" s="1" t="str">
        <f t="shared" si="21"/>
        <v>ND</v>
      </c>
      <c r="BA15" s="1" t="str">
        <f t="shared" si="22"/>
        <v>ND</v>
      </c>
      <c r="BB15" s="1" t="str">
        <f t="shared" si="23"/>
        <v>ND</v>
      </c>
      <c r="BC15" s="1" t="str">
        <f t="shared" si="24"/>
        <v>ND</v>
      </c>
      <c r="BD15" s="1" t="str">
        <f t="shared" si="25"/>
        <v>ND</v>
      </c>
      <c r="BE15" s="1" t="str">
        <f t="shared" si="26"/>
        <v>ND</v>
      </c>
      <c r="BF15" s="1" t="str">
        <f t="shared" si="27"/>
        <v>ND</v>
      </c>
      <c r="BG15" s="1" t="str">
        <f t="shared" si="28"/>
        <v>ND</v>
      </c>
      <c r="BH15" s="1" t="str">
        <f t="shared" si="29"/>
        <v>ND</v>
      </c>
      <c r="BI15" s="1" t="str">
        <f t="shared" si="30"/>
        <v>ND</v>
      </c>
      <c r="BJ15" s="1" t="str">
        <f t="shared" si="31"/>
        <v>ND</v>
      </c>
      <c r="BK15" s="1" t="str">
        <f t="shared" si="32"/>
        <v>ND</v>
      </c>
      <c r="BL15" s="1" t="str">
        <f t="shared" si="33"/>
        <v>ND</v>
      </c>
      <c r="BM15" s="1" t="str">
        <f t="shared" si="34"/>
        <v>ND</v>
      </c>
      <c r="BN15" s="1" t="str">
        <f t="shared" si="35"/>
        <v>ND</v>
      </c>
      <c r="BO15" s="1" t="str">
        <f t="shared" si="36"/>
        <v>ND</v>
      </c>
      <c r="BP15" s="1" t="str">
        <f t="shared" si="37"/>
        <v>ND</v>
      </c>
      <c r="BQ15" s="1" t="str">
        <f t="shared" si="38"/>
        <v>ND</v>
      </c>
      <c r="BR15" s="1" t="str">
        <f t="shared" si="39"/>
        <v>ND</v>
      </c>
      <c r="BS15" s="1" t="str">
        <f t="shared" si="40"/>
        <v>ND</v>
      </c>
      <c r="BT15" s="1" t="str">
        <f t="shared" si="41"/>
        <v>ND</v>
      </c>
      <c r="BU15" s="1" t="str">
        <f t="shared" si="42"/>
        <v>ND</v>
      </c>
      <c r="BV15" s="1" t="str">
        <f t="shared" si="43"/>
        <v>ND</v>
      </c>
      <c r="BW15" s="1" t="str">
        <f t="shared" si="44"/>
        <v>ND</v>
      </c>
      <c r="BX15" s="1" t="str">
        <f t="shared" si="45"/>
        <v>ND</v>
      </c>
      <c r="BY15" s="1" t="str">
        <f t="shared" si="46"/>
        <v>ND</v>
      </c>
      <c r="BZ15" s="1" t="str">
        <f t="shared" si="47"/>
        <v>ND</v>
      </c>
      <c r="CA15" s="1" t="str">
        <f t="shared" si="48"/>
        <v>ND</v>
      </c>
      <c r="CB15" s="1" t="str">
        <f t="shared" si="48"/>
        <v>ND</v>
      </c>
      <c r="CC15" s="1" t="str">
        <f t="shared" si="48"/>
        <v>ND</v>
      </c>
      <c r="CD15" s="1" t="str">
        <f t="shared" si="48"/>
        <v>ND</v>
      </c>
      <c r="CE15" s="1" t="str">
        <f t="shared" si="48"/>
        <v>ND</v>
      </c>
      <c r="CF15" s="1" t="str">
        <f t="shared" si="48"/>
        <v>ND</v>
      </c>
      <c r="CG15" s="1" t="str">
        <f t="shared" si="48"/>
        <v>ND</v>
      </c>
      <c r="CH15" s="1" t="str">
        <f t="shared" si="48"/>
        <v>ND</v>
      </c>
      <c r="CI15" s="1" t="str">
        <f t="shared" si="48"/>
        <v>ND</v>
      </c>
      <c r="CJ15" s="1" t="str">
        <f t="shared" si="48"/>
        <v>ND</v>
      </c>
      <c r="CK15" s="1" t="str">
        <f t="shared" si="48"/>
        <v>ND</v>
      </c>
      <c r="CL15" s="1" t="str">
        <f t="shared" si="49"/>
        <v>ND</v>
      </c>
      <c r="CM15" s="1" t="str">
        <f t="shared" si="49"/>
        <v>ND</v>
      </c>
      <c r="CN15" s="1" t="str">
        <f t="shared" si="49"/>
        <v>ND</v>
      </c>
      <c r="CO15" s="1" t="str">
        <f t="shared" si="49"/>
        <v>ND</v>
      </c>
      <c r="CP15" s="1" t="str">
        <f t="shared" si="49"/>
        <v>ND</v>
      </c>
      <c r="CQ15" s="1" t="str">
        <f t="shared" si="49"/>
        <v>ND</v>
      </c>
      <c r="CR15" s="1" t="str">
        <f t="shared" si="49"/>
        <v>ND</v>
      </c>
      <c r="CS15" s="1" t="str">
        <f t="shared" si="49"/>
        <v>ND</v>
      </c>
      <c r="CT15" s="1" t="str">
        <f t="shared" si="49"/>
        <v>ND</v>
      </c>
      <c r="CU15" s="1" t="str">
        <f t="shared" si="49"/>
        <v>ND</v>
      </c>
      <c r="CV15" s="1" t="str">
        <f t="shared" si="49"/>
        <v>ND</v>
      </c>
      <c r="CW15" s="1" t="str">
        <f t="shared" si="50"/>
        <v>ND</v>
      </c>
      <c r="CX15" s="1" t="str">
        <f t="shared" si="51"/>
        <v>ND</v>
      </c>
      <c r="CY15" s="1" t="str">
        <f t="shared" si="52"/>
        <v>ND</v>
      </c>
      <c r="CZ15" s="1" t="str">
        <f t="shared" si="53"/>
        <v>ND</v>
      </c>
      <c r="DA15" s="1" t="str">
        <f t="shared" si="54"/>
        <v>ND</v>
      </c>
      <c r="DB15" s="1" t="str">
        <f t="shared" si="55"/>
        <v>ND</v>
      </c>
      <c r="DC15" s="1" t="str">
        <f t="shared" si="56"/>
        <v>ND</v>
      </c>
      <c r="DD15" s="1" t="str">
        <f t="shared" si="57"/>
        <v>ND</v>
      </c>
      <c r="DE15" s="1" t="str">
        <f t="shared" si="58"/>
        <v>ND</v>
      </c>
      <c r="DF15" s="1" t="str">
        <f t="shared" si="59"/>
        <v>ND</v>
      </c>
      <c r="DG15" s="1" t="str">
        <f t="shared" si="60"/>
        <v>ND</v>
      </c>
      <c r="DH15" s="1" t="str">
        <f t="shared" si="61"/>
        <v>ND</v>
      </c>
      <c r="DI15" s="1" t="str">
        <f t="shared" si="62"/>
        <v>ND</v>
      </c>
      <c r="DJ15" s="1" t="str">
        <f t="shared" si="63"/>
        <v>ND</v>
      </c>
      <c r="DK15" s="1" t="str">
        <f t="shared" si="64"/>
        <v>ND</v>
      </c>
      <c r="DL15" s="1" t="str">
        <f t="shared" si="65"/>
        <v>ND</v>
      </c>
      <c r="DM15" s="1" t="str">
        <f t="shared" si="66"/>
        <v>ND</v>
      </c>
      <c r="DN15" s="1" t="str">
        <f t="shared" si="67"/>
        <v>ND</v>
      </c>
      <c r="DO15" s="1" t="str">
        <f t="shared" si="68"/>
        <v>ND</v>
      </c>
      <c r="DP15" s="1" t="str">
        <f t="shared" si="69"/>
        <v>ND</v>
      </c>
      <c r="DQ15" s="1" t="str">
        <f t="shared" si="70"/>
        <v>ND</v>
      </c>
      <c r="DR15" s="1" t="str">
        <f t="shared" si="71"/>
        <v>ND</v>
      </c>
      <c r="DS15" s="1" t="str">
        <f t="shared" si="72"/>
        <v>ND</v>
      </c>
      <c r="DT15" s="1" t="str">
        <f t="shared" si="73"/>
        <v>ND</v>
      </c>
      <c r="DU15" s="1" t="str">
        <f t="shared" si="74"/>
        <v>ND</v>
      </c>
      <c r="DV15" s="1" t="str">
        <f t="shared" si="75"/>
        <v>ND</v>
      </c>
      <c r="DW15" s="1" t="str">
        <f t="shared" si="76"/>
        <v>ND</v>
      </c>
      <c r="DX15" s="1" t="str">
        <f t="shared" si="77"/>
        <v>ND</v>
      </c>
      <c r="DY15" s="1" t="str">
        <f t="shared" si="78"/>
        <v>ND</v>
      </c>
      <c r="DZ15" s="1" t="str">
        <f t="shared" si="79"/>
        <v>ND</v>
      </c>
      <c r="EA15" s="1" t="str">
        <f t="shared" si="80"/>
        <v>ND</v>
      </c>
      <c r="EB15" s="1" t="str">
        <f t="shared" si="81"/>
        <v>ND</v>
      </c>
      <c r="EC15" s="1" t="str">
        <f t="shared" si="82"/>
        <v>ND</v>
      </c>
      <c r="ED15" s="1" t="str">
        <f t="shared" si="83"/>
        <v>ND</v>
      </c>
      <c r="EE15" s="1" t="str">
        <f t="shared" si="84"/>
        <v>ND</v>
      </c>
      <c r="EF15" s="1" t="str">
        <f t="shared" si="85"/>
        <v>ND</v>
      </c>
      <c r="EG15" s="1" t="str">
        <f t="shared" si="86"/>
        <v>ND</v>
      </c>
      <c r="EH15" s="1" t="str">
        <f t="shared" si="87"/>
        <v>ND</v>
      </c>
      <c r="EI15" s="1" t="str">
        <f t="shared" si="88"/>
        <v>ND</v>
      </c>
      <c r="EJ15" s="1" t="str">
        <f t="shared" si="89"/>
        <v>ND</v>
      </c>
      <c r="EK15" s="1" t="str">
        <f t="shared" si="90"/>
        <v>ND</v>
      </c>
      <c r="EL15" s="1" t="str">
        <f t="shared" si="91"/>
        <v>ND</v>
      </c>
      <c r="EM15" s="1" t="str">
        <f t="shared" si="92"/>
        <v>ND</v>
      </c>
      <c r="EN15" s="1" t="str">
        <f t="shared" si="93"/>
        <v>ND</v>
      </c>
      <c r="EO15" s="1" t="str">
        <f t="shared" si="94"/>
        <v>ND</v>
      </c>
      <c r="EP15" s="1" t="str">
        <f t="shared" si="94"/>
        <v>ND</v>
      </c>
      <c r="EQ15" s="1" t="str">
        <f t="shared" si="94"/>
        <v>ND</v>
      </c>
      <c r="ER15" s="1" t="str">
        <f t="shared" si="94"/>
        <v>ND</v>
      </c>
      <c r="ES15" s="1" t="str">
        <f t="shared" si="94"/>
        <v>ND</v>
      </c>
      <c r="ET15" s="1" t="str">
        <f t="shared" si="94"/>
        <v>ND</v>
      </c>
      <c r="EU15" s="1" t="str">
        <f t="shared" si="94"/>
        <v>ND</v>
      </c>
      <c r="EV15" s="1" t="str">
        <f t="shared" si="94"/>
        <v>ND</v>
      </c>
      <c r="EW15" s="1" t="str">
        <f t="shared" si="94"/>
        <v>ND</v>
      </c>
      <c r="EX15" s="1" t="str">
        <f t="shared" si="94"/>
        <v>ND</v>
      </c>
      <c r="EY15" s="1" t="str">
        <f t="shared" si="94"/>
        <v>ND</v>
      </c>
      <c r="EZ15" s="1" t="str">
        <f t="shared" si="95"/>
        <v>ND</v>
      </c>
      <c r="FA15" s="1" t="str">
        <f t="shared" si="95"/>
        <v>ND</v>
      </c>
      <c r="FB15" s="1" t="str">
        <f t="shared" si="95"/>
        <v>ND</v>
      </c>
      <c r="FC15" s="1" t="str">
        <f t="shared" si="95"/>
        <v>ND</v>
      </c>
      <c r="FD15" s="1" t="str">
        <f t="shared" si="95"/>
        <v>ND</v>
      </c>
      <c r="FE15" s="1" t="str">
        <f t="shared" si="95"/>
        <v>ND</v>
      </c>
      <c r="FF15" s="1" t="str">
        <f t="shared" si="95"/>
        <v>ND</v>
      </c>
      <c r="FG15" s="1" t="str">
        <f t="shared" si="95"/>
        <v>ND</v>
      </c>
      <c r="FH15" s="1" t="str">
        <f t="shared" si="95"/>
        <v>ND</v>
      </c>
      <c r="FI15" s="1" t="str">
        <f t="shared" si="95"/>
        <v>ND</v>
      </c>
      <c r="FJ15" s="1" t="str">
        <f t="shared" si="95"/>
        <v>ND</v>
      </c>
      <c r="FK15" s="1" t="str">
        <f t="shared" si="96"/>
        <v>ND</v>
      </c>
      <c r="FL15" s="1" t="str">
        <f t="shared" si="96"/>
        <v>ND</v>
      </c>
      <c r="FM15" s="1" t="str">
        <f t="shared" si="96"/>
        <v>ND</v>
      </c>
      <c r="FN15" s="1" t="str">
        <f t="shared" si="96"/>
        <v>ND</v>
      </c>
      <c r="FO15" s="1" t="str">
        <f t="shared" si="96"/>
        <v>ND</v>
      </c>
      <c r="FP15" s="1" t="str">
        <f t="shared" si="96"/>
        <v>ND</v>
      </c>
      <c r="FQ15" s="1" t="str">
        <f t="shared" si="96"/>
        <v>ND</v>
      </c>
      <c r="FR15" s="1" t="str">
        <f t="shared" si="96"/>
        <v>ND</v>
      </c>
      <c r="FS15" s="1" t="str">
        <f t="shared" si="96"/>
        <v>ND</v>
      </c>
      <c r="FT15" s="1" t="str">
        <f t="shared" si="96"/>
        <v>ND</v>
      </c>
      <c r="FU15" s="1" t="str">
        <f t="shared" si="96"/>
        <v>ND</v>
      </c>
      <c r="FV15" s="1" t="str">
        <f t="shared" si="97"/>
        <v>ND</v>
      </c>
      <c r="FW15" s="1" t="str">
        <f t="shared" si="98"/>
        <v>ND</v>
      </c>
      <c r="FX15" s="1" t="str">
        <f t="shared" si="99"/>
        <v>ND</v>
      </c>
      <c r="FY15" s="1" t="str">
        <f t="shared" si="100"/>
        <v>ND</v>
      </c>
      <c r="FZ15" s="1" t="str">
        <f t="shared" si="101"/>
        <v>ND</v>
      </c>
      <c r="GA15" s="1" t="str">
        <f t="shared" si="102"/>
        <v>ND</v>
      </c>
      <c r="GB15" s="1" t="str">
        <f t="shared" si="103"/>
        <v>ND</v>
      </c>
      <c r="GC15" s="1" t="str">
        <f t="shared" si="104"/>
        <v>ND</v>
      </c>
      <c r="GD15" s="1" t="str">
        <f t="shared" si="105"/>
        <v>ND</v>
      </c>
      <c r="GE15" s="1" t="str">
        <f t="shared" si="106"/>
        <v>ND</v>
      </c>
      <c r="GF15" s="1" t="str">
        <f t="shared" si="107"/>
        <v>ND</v>
      </c>
      <c r="GG15" s="1" t="str">
        <f t="shared" si="108"/>
        <v>ND</v>
      </c>
      <c r="GH15" s="1" t="str">
        <f t="shared" si="109"/>
        <v>ND</v>
      </c>
      <c r="GI15" s="1" t="str">
        <f t="shared" si="110"/>
        <v>ND</v>
      </c>
      <c r="GJ15" s="1" t="str">
        <f t="shared" si="111"/>
        <v>ND</v>
      </c>
      <c r="GK15" s="1" t="str">
        <f t="shared" si="112"/>
        <v>ND</v>
      </c>
      <c r="GL15" s="1" t="str">
        <f t="shared" si="113"/>
        <v>ND</v>
      </c>
      <c r="GM15" s="1" t="str">
        <f t="shared" si="114"/>
        <v>ND</v>
      </c>
      <c r="GN15" s="1" t="str">
        <f t="shared" si="115"/>
        <v>ND</v>
      </c>
      <c r="GO15" s="1" t="str">
        <f t="shared" si="116"/>
        <v>ND</v>
      </c>
      <c r="GP15" s="1" t="str">
        <f t="shared" si="117"/>
        <v>ND</v>
      </c>
      <c r="GQ15" s="1" t="str">
        <f t="shared" si="118"/>
        <v>ND</v>
      </c>
      <c r="GR15" s="1" t="str">
        <f t="shared" si="119"/>
        <v>ND</v>
      </c>
      <c r="GS15" s="1" t="str">
        <f t="shared" si="120"/>
        <v>ND</v>
      </c>
      <c r="GT15" s="1" t="str">
        <f t="shared" si="121"/>
        <v>ND</v>
      </c>
      <c r="GU15" s="1" t="str">
        <f t="shared" si="122"/>
        <v>ND</v>
      </c>
      <c r="GV15" s="1" t="str">
        <f t="shared" si="123"/>
        <v>ND</v>
      </c>
      <c r="GW15" s="1" t="str">
        <f t="shared" si="124"/>
        <v>ND</v>
      </c>
      <c r="GX15" s="1" t="str">
        <f t="shared" si="125"/>
        <v>ND</v>
      </c>
      <c r="GY15" s="1" t="str">
        <f t="shared" si="126"/>
        <v>ND</v>
      </c>
      <c r="GZ15" s="1" t="str">
        <f t="shared" si="127"/>
        <v>ND</v>
      </c>
      <c r="HA15" s="1" t="str">
        <f t="shared" si="128"/>
        <v>ND</v>
      </c>
      <c r="HB15" s="1" t="str">
        <f t="shared" si="129"/>
        <v>ND</v>
      </c>
      <c r="HC15" s="1" t="str">
        <f t="shared" si="130"/>
        <v>ND</v>
      </c>
      <c r="HD15" s="1" t="str">
        <f t="shared" si="131"/>
        <v>ND</v>
      </c>
      <c r="HE15" s="1" t="str">
        <f t="shared" si="132"/>
        <v>ND</v>
      </c>
      <c r="HF15" s="1" t="str">
        <f t="shared" si="133"/>
        <v>ND</v>
      </c>
      <c r="HG15" s="1" t="str">
        <f t="shared" si="134"/>
        <v>ND</v>
      </c>
      <c r="HH15" s="1" t="str">
        <f t="shared" si="135"/>
        <v>ND</v>
      </c>
      <c r="HI15" s="1" t="str">
        <f t="shared" si="136"/>
        <v>ND</v>
      </c>
      <c r="HJ15" s="1" t="str">
        <f t="shared" si="137"/>
        <v>ND</v>
      </c>
      <c r="HK15" s="1" t="str">
        <f t="shared" si="138"/>
        <v>ND</v>
      </c>
      <c r="HL15" s="1" t="str">
        <f t="shared" si="139"/>
        <v>ND</v>
      </c>
      <c r="HM15" s="1" t="str">
        <f t="shared" si="140"/>
        <v>ND</v>
      </c>
      <c r="HN15" s="1" t="str">
        <f t="shared" si="141"/>
        <v>ND</v>
      </c>
      <c r="HO15" s="1" t="str">
        <f t="shared" si="142"/>
        <v>ND</v>
      </c>
      <c r="HP15" s="1" t="str">
        <f t="shared" si="143"/>
        <v>ND</v>
      </c>
      <c r="HQ15" s="1" t="str">
        <f t="shared" si="144"/>
        <v>ND</v>
      </c>
      <c r="HR15" s="1" t="str">
        <f t="shared" si="145"/>
        <v>ND</v>
      </c>
      <c r="HS15" s="1" t="str">
        <f t="shared" si="146"/>
        <v>ND</v>
      </c>
      <c r="HT15" s="1" t="str">
        <f t="shared" si="147"/>
        <v>ND</v>
      </c>
      <c r="HU15" s="1" t="str">
        <f t="shared" si="148"/>
        <v>ND</v>
      </c>
      <c r="HV15" s="1" t="str">
        <f t="shared" si="149"/>
        <v>ND</v>
      </c>
      <c r="HW15" s="1" t="str">
        <f t="shared" si="150"/>
        <v>ND</v>
      </c>
      <c r="HX15" s="1" t="str">
        <f t="shared" si="151"/>
        <v>ND</v>
      </c>
      <c r="HY15" s="1" t="str">
        <f t="shared" si="152"/>
        <v>ND</v>
      </c>
      <c r="HZ15" s="1" t="str">
        <f t="shared" si="153"/>
        <v>ND</v>
      </c>
      <c r="IA15" s="1" t="str">
        <f t="shared" si="154"/>
        <v>ND</v>
      </c>
      <c r="IB15" s="1" t="str">
        <f t="shared" si="155"/>
        <v>ND</v>
      </c>
      <c r="IC15" s="1" t="str">
        <f t="shared" si="156"/>
        <v>ND</v>
      </c>
      <c r="ID15" s="1" t="str">
        <f t="shared" si="157"/>
        <v>ND</v>
      </c>
      <c r="IE15" s="1" t="str">
        <f t="shared" si="158"/>
        <v>ND</v>
      </c>
      <c r="IF15" s="1" t="str">
        <f t="shared" si="159"/>
        <v>ND</v>
      </c>
      <c r="IG15" s="1" t="str">
        <f t="shared" si="160"/>
        <v>ND</v>
      </c>
      <c r="IH15" s="1" t="str">
        <f t="shared" si="161"/>
        <v>ND</v>
      </c>
      <c r="II15" s="1" t="str">
        <f t="shared" si="162"/>
        <v>ND</v>
      </c>
    </row>
    <row r="16" spans="1:243" x14ac:dyDescent="0.25">
      <c r="C16" t="s">
        <v>42</v>
      </c>
      <c r="D16">
        <f>SUMIFS(DICCIONARIO[Cantidad],DICCIONARIO[Modelo],UNIFICADA[[#This Row],[Equipo]])</f>
        <v>5</v>
      </c>
      <c r="E16" s="1">
        <f>IFERROR(VLOOKUP($C16,EQUIPOS[],UNIFICADO!E$9,0),"")</f>
        <v>11</v>
      </c>
      <c r="F16" s="1">
        <f>IFERROR(VLOOKUP($C16,EQUIPOS[],UNIFICADO!F$9,0),"")</f>
        <v>6.52</v>
      </c>
      <c r="G16" s="1">
        <f>IFERROR(VLOOKUP($C16,EQUIPOS[],UNIFICADO!G$9,0),"")</f>
        <v>16</v>
      </c>
      <c r="H16" s="1">
        <f>IFERROR(VLOOKUP($C16,EQUIPOS[],UNIFICADO!H$9,0),"")</f>
        <v>3</v>
      </c>
      <c r="I16" s="1">
        <f>IFERROR(VLOOKUP($C16,EQUIPOS[],UNIFICADO!I$9,0),"")</f>
        <v>8</v>
      </c>
      <c r="J16" s="1" t="str">
        <f>IFERROR(VLOOKUP($C16,EQUIPOS[],UNIFICADO!J$9,0),"")</f>
        <v>64GB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1.6/1.2</v>
      </c>
      <c r="N16" s="1">
        <f>IFERROR(VLOOKUP($C16,EQUIPOS[],UNIFICADO!N$9,0),"")</f>
        <v>3</v>
      </c>
      <c r="O16" s="1">
        <f>IFERROR(VLOOKUP($C16,EQUIPOS[],UNIFICADO!O$9,0),"")</f>
        <v>180</v>
      </c>
      <c r="P16" s="1">
        <f>IFERROR(VLOOKUP($C16,EQUIPOS[],UNIFICADO!P$9,0),"")</f>
        <v>16.5</v>
      </c>
      <c r="Q16" s="1">
        <f>IFERROR(VLOOKUP($C16,EQUIPOS[],UNIFICADO!Q$9,0),"")</f>
        <v>7.52</v>
      </c>
      <c r="R16" s="1">
        <f>IFERROR(VLOOKUP($C16,EQUIPOS[],UNIFICADO!R$9,0),"")</f>
        <v>0.82</v>
      </c>
      <c r="S16" s="1">
        <f>IFERROR(VLOOKUP($C16,EQUIPOS[],UNIFICADO!S$9,0),"")</f>
        <v>4000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0"/>
        <v>ND</v>
      </c>
      <c r="W16" s="1" t="str">
        <f t="shared" si="1"/>
        <v>ND</v>
      </c>
      <c r="X16" s="1" t="str">
        <f t="shared" si="2"/>
        <v>ND</v>
      </c>
      <c r="Y16" s="1" t="str">
        <f t="shared" si="2"/>
        <v>ND</v>
      </c>
      <c r="Z16" s="1" t="str">
        <f t="shared" si="3"/>
        <v>ND</v>
      </c>
      <c r="AA16" s="1" t="str">
        <f t="shared" si="3"/>
        <v>ND</v>
      </c>
      <c r="AB16" s="1" t="str">
        <f t="shared" si="3"/>
        <v>ND</v>
      </c>
      <c r="AC16" s="1" t="str">
        <f t="shared" si="3"/>
        <v>ND</v>
      </c>
      <c r="AD16" s="1" t="str">
        <f t="shared" si="3"/>
        <v>ND</v>
      </c>
      <c r="AE16" s="1" t="str">
        <f t="shared" si="3"/>
        <v>ND</v>
      </c>
      <c r="AF16" s="1" t="str">
        <f t="shared" si="3"/>
        <v>ND</v>
      </c>
      <c r="AG16" s="1" t="str">
        <f t="shared" si="3"/>
        <v>ND</v>
      </c>
      <c r="AH16" s="1" t="str">
        <f t="shared" si="3"/>
        <v>ND</v>
      </c>
      <c r="AI16" s="1" t="str">
        <f t="shared" si="4"/>
        <v>ND</v>
      </c>
      <c r="AJ16" s="1" t="str">
        <f t="shared" si="5"/>
        <v>ND</v>
      </c>
      <c r="AK16" s="1" t="str">
        <f t="shared" si="6"/>
        <v>ND</v>
      </c>
      <c r="AL16" s="1" t="str">
        <f t="shared" si="7"/>
        <v>ND</v>
      </c>
      <c r="AM16" s="1" t="str">
        <f t="shared" si="8"/>
        <v>ND</v>
      </c>
      <c r="AN16" s="1" t="str">
        <f t="shared" si="9"/>
        <v>ND</v>
      </c>
      <c r="AO16" s="1" t="str">
        <f t="shared" si="10"/>
        <v>ND</v>
      </c>
      <c r="AP16" s="1" t="str">
        <f t="shared" si="11"/>
        <v>ND</v>
      </c>
      <c r="AQ16" s="1" t="str">
        <f t="shared" si="12"/>
        <v>ND</v>
      </c>
      <c r="AR16" s="1" t="str">
        <f t="shared" si="13"/>
        <v>ND</v>
      </c>
      <c r="AS16" s="1" t="str">
        <f t="shared" si="14"/>
        <v>ND</v>
      </c>
      <c r="AT16" s="1" t="str">
        <f t="shared" si="15"/>
        <v>ND</v>
      </c>
      <c r="AU16" s="1" t="str">
        <f t="shared" si="16"/>
        <v>ND</v>
      </c>
      <c r="AV16" s="1" t="str">
        <f t="shared" si="17"/>
        <v>ND</v>
      </c>
      <c r="AW16" s="1" t="str">
        <f t="shared" si="18"/>
        <v>ND</v>
      </c>
      <c r="AX16" s="1" t="str">
        <f t="shared" si="19"/>
        <v>ND</v>
      </c>
      <c r="AY16" s="1" t="str">
        <f t="shared" si="20"/>
        <v>ND</v>
      </c>
      <c r="AZ16" s="1" t="str">
        <f t="shared" si="21"/>
        <v>ND</v>
      </c>
      <c r="BA16" s="1" t="str">
        <f t="shared" si="22"/>
        <v>ND</v>
      </c>
      <c r="BB16" s="1" t="str">
        <f t="shared" si="23"/>
        <v>ND</v>
      </c>
      <c r="BC16" s="1" t="str">
        <f t="shared" si="24"/>
        <v>ND</v>
      </c>
      <c r="BD16" s="1" t="str">
        <f t="shared" si="25"/>
        <v>ND</v>
      </c>
      <c r="BE16" s="1" t="str">
        <f t="shared" si="26"/>
        <v>ND</v>
      </c>
      <c r="BF16" s="1" t="str">
        <f t="shared" si="27"/>
        <v>ND</v>
      </c>
      <c r="BG16" s="1" t="str">
        <f t="shared" si="28"/>
        <v>ND</v>
      </c>
      <c r="BH16" s="1" t="str">
        <f t="shared" si="29"/>
        <v>ND</v>
      </c>
      <c r="BI16" s="1" t="str">
        <f t="shared" si="30"/>
        <v>ND</v>
      </c>
      <c r="BJ16" s="1" t="str">
        <f t="shared" si="31"/>
        <v>ND</v>
      </c>
      <c r="BK16" s="1" t="str">
        <f t="shared" si="32"/>
        <v>ND</v>
      </c>
      <c r="BL16" s="1" t="str">
        <f t="shared" si="33"/>
        <v>ND</v>
      </c>
      <c r="BM16" s="1" t="str">
        <f t="shared" si="34"/>
        <v>ND</v>
      </c>
      <c r="BN16" s="1" t="str">
        <f t="shared" si="35"/>
        <v>ND</v>
      </c>
      <c r="BO16" s="1" t="str">
        <f t="shared" si="36"/>
        <v>ND</v>
      </c>
      <c r="BP16" s="1" t="str">
        <f t="shared" si="37"/>
        <v>ND</v>
      </c>
      <c r="BQ16" s="1" t="str">
        <f t="shared" si="38"/>
        <v>ND</v>
      </c>
      <c r="BR16" s="1" t="str">
        <f t="shared" si="39"/>
        <v>ND</v>
      </c>
      <c r="BS16" s="1" t="str">
        <f t="shared" si="40"/>
        <v>ND</v>
      </c>
      <c r="BT16" s="1" t="str">
        <f t="shared" si="41"/>
        <v>ND</v>
      </c>
      <c r="BU16" s="1" t="str">
        <f t="shared" si="42"/>
        <v>ND</v>
      </c>
      <c r="BV16" s="1" t="str">
        <f t="shared" si="43"/>
        <v>ND</v>
      </c>
      <c r="BW16" s="1" t="str">
        <f t="shared" si="44"/>
        <v>ND</v>
      </c>
      <c r="BX16" s="1" t="str">
        <f t="shared" si="45"/>
        <v>ND</v>
      </c>
      <c r="BY16" s="1" t="str">
        <f t="shared" si="46"/>
        <v>ND</v>
      </c>
      <c r="BZ16" s="1" t="str">
        <f t="shared" si="47"/>
        <v>ND</v>
      </c>
      <c r="CA16" s="1" t="str">
        <f t="shared" si="48"/>
        <v>ND</v>
      </c>
      <c r="CB16" s="1" t="str">
        <f t="shared" si="48"/>
        <v>ND</v>
      </c>
      <c r="CC16" s="1" t="str">
        <f t="shared" si="48"/>
        <v>ND</v>
      </c>
      <c r="CD16" s="1" t="str">
        <f t="shared" si="48"/>
        <v>ND</v>
      </c>
      <c r="CE16" s="1" t="str">
        <f t="shared" si="48"/>
        <v>ND</v>
      </c>
      <c r="CF16" s="1" t="str">
        <f t="shared" si="48"/>
        <v>ND</v>
      </c>
      <c r="CG16" s="1" t="str">
        <f t="shared" si="48"/>
        <v>ND</v>
      </c>
      <c r="CH16" s="1" t="str">
        <f t="shared" si="48"/>
        <v>ND</v>
      </c>
      <c r="CI16" s="1" t="str">
        <f t="shared" si="48"/>
        <v>ND</v>
      </c>
      <c r="CJ16" s="1" t="str">
        <f t="shared" si="48"/>
        <v>ND</v>
      </c>
      <c r="CK16" s="1" t="str">
        <f t="shared" si="48"/>
        <v>ND</v>
      </c>
      <c r="CL16" s="1" t="str">
        <f t="shared" si="49"/>
        <v>ND</v>
      </c>
      <c r="CM16" s="1" t="str">
        <f t="shared" si="49"/>
        <v>ND</v>
      </c>
      <c r="CN16" s="1" t="str">
        <f t="shared" si="49"/>
        <v>ND</v>
      </c>
      <c r="CO16" s="1" t="str">
        <f t="shared" si="49"/>
        <v>ND</v>
      </c>
      <c r="CP16" s="1" t="str">
        <f t="shared" si="49"/>
        <v>ND</v>
      </c>
      <c r="CQ16" s="1" t="str">
        <f t="shared" si="49"/>
        <v>ND</v>
      </c>
      <c r="CR16" s="1" t="str">
        <f t="shared" si="49"/>
        <v>ND</v>
      </c>
      <c r="CS16" s="1" t="str">
        <f t="shared" si="49"/>
        <v>ND</v>
      </c>
      <c r="CT16" s="1" t="str">
        <f t="shared" si="49"/>
        <v>ND</v>
      </c>
      <c r="CU16" s="1" t="str">
        <f t="shared" si="49"/>
        <v>ND</v>
      </c>
      <c r="CV16" s="1" t="str">
        <f t="shared" si="49"/>
        <v>ND</v>
      </c>
      <c r="CW16" s="1" t="str">
        <f t="shared" si="50"/>
        <v>ND</v>
      </c>
      <c r="CX16" s="1" t="str">
        <f t="shared" si="51"/>
        <v>ND</v>
      </c>
      <c r="CY16" s="1" t="str">
        <f t="shared" si="52"/>
        <v>ND</v>
      </c>
      <c r="CZ16" s="1" t="str">
        <f t="shared" si="53"/>
        <v>ND</v>
      </c>
      <c r="DA16" s="1" t="str">
        <f t="shared" si="54"/>
        <v>ND</v>
      </c>
      <c r="DB16" s="1" t="str">
        <f t="shared" si="55"/>
        <v>ND</v>
      </c>
      <c r="DC16" s="1" t="str">
        <f t="shared" si="56"/>
        <v>ND</v>
      </c>
      <c r="DD16" s="1" t="str">
        <f t="shared" si="57"/>
        <v>ND</v>
      </c>
      <c r="DE16" s="1" t="str">
        <f t="shared" si="58"/>
        <v>ND</v>
      </c>
      <c r="DF16" s="1" t="str">
        <f t="shared" si="59"/>
        <v>ND</v>
      </c>
      <c r="DG16" s="1" t="str">
        <f t="shared" si="60"/>
        <v>ND</v>
      </c>
      <c r="DH16" s="1" t="str">
        <f t="shared" si="61"/>
        <v>ND</v>
      </c>
      <c r="DI16" s="1" t="str">
        <f t="shared" si="62"/>
        <v>ND</v>
      </c>
      <c r="DJ16" s="1" t="str">
        <f t="shared" si="63"/>
        <v>ND</v>
      </c>
      <c r="DK16" s="1" t="str">
        <f t="shared" si="64"/>
        <v>ND</v>
      </c>
      <c r="DL16" s="1" t="str">
        <f t="shared" si="65"/>
        <v>ND</v>
      </c>
      <c r="DM16" s="1" t="str">
        <f t="shared" si="66"/>
        <v>ND</v>
      </c>
      <c r="DN16" s="1" t="str">
        <f t="shared" si="67"/>
        <v>ND</v>
      </c>
      <c r="DO16" s="1" t="str">
        <f t="shared" si="68"/>
        <v>ND</v>
      </c>
      <c r="DP16" s="1" t="str">
        <f t="shared" si="69"/>
        <v>ND</v>
      </c>
      <c r="DQ16" s="1" t="str">
        <f t="shared" si="70"/>
        <v>ND</v>
      </c>
      <c r="DR16" s="1" t="str">
        <f t="shared" si="71"/>
        <v>ND</v>
      </c>
      <c r="DS16" s="1" t="str">
        <f t="shared" si="72"/>
        <v>ND</v>
      </c>
      <c r="DT16" s="1" t="str">
        <f t="shared" si="73"/>
        <v>ND</v>
      </c>
      <c r="DU16" s="1" t="str">
        <f t="shared" si="74"/>
        <v>ND</v>
      </c>
      <c r="DV16" s="1" t="str">
        <f t="shared" si="75"/>
        <v>ND</v>
      </c>
      <c r="DW16" s="1" t="str">
        <f t="shared" si="76"/>
        <v>ND</v>
      </c>
      <c r="DX16" s="1" t="str">
        <f t="shared" si="77"/>
        <v>ND</v>
      </c>
      <c r="DY16" s="1" t="str">
        <f t="shared" si="78"/>
        <v>ND</v>
      </c>
      <c r="DZ16" s="1" t="str">
        <f t="shared" si="79"/>
        <v>ND</v>
      </c>
      <c r="EA16" s="1" t="str">
        <f t="shared" si="80"/>
        <v>ND</v>
      </c>
      <c r="EB16" s="1" t="str">
        <f t="shared" si="81"/>
        <v>ND</v>
      </c>
      <c r="EC16" s="1" t="str">
        <f t="shared" si="82"/>
        <v>ND</v>
      </c>
      <c r="ED16" s="1" t="str">
        <f t="shared" si="83"/>
        <v>ND</v>
      </c>
      <c r="EE16" s="1" t="str">
        <f t="shared" si="84"/>
        <v>ND</v>
      </c>
      <c r="EF16" s="1" t="str">
        <f t="shared" si="85"/>
        <v>ND</v>
      </c>
      <c r="EG16" s="1" t="str">
        <f t="shared" si="86"/>
        <v>ND</v>
      </c>
      <c r="EH16" s="1" t="str">
        <f t="shared" si="87"/>
        <v>ND</v>
      </c>
      <c r="EI16" s="1" t="str">
        <f t="shared" si="88"/>
        <v>ND</v>
      </c>
      <c r="EJ16" s="1" t="str">
        <f t="shared" si="89"/>
        <v>ND</v>
      </c>
      <c r="EK16" s="1" t="str">
        <f t="shared" si="90"/>
        <v>ND</v>
      </c>
      <c r="EL16" s="1" t="str">
        <f t="shared" si="91"/>
        <v>ND</v>
      </c>
      <c r="EM16" s="1" t="str">
        <f t="shared" si="92"/>
        <v>ND</v>
      </c>
      <c r="EN16" s="1" t="str">
        <f t="shared" si="93"/>
        <v>ND</v>
      </c>
      <c r="EO16" s="1" t="str">
        <f t="shared" si="94"/>
        <v>ND</v>
      </c>
      <c r="EP16" s="1" t="str">
        <f t="shared" si="94"/>
        <v>ND</v>
      </c>
      <c r="EQ16" s="1" t="str">
        <f t="shared" si="94"/>
        <v>ND</v>
      </c>
      <c r="ER16" s="1" t="str">
        <f t="shared" si="94"/>
        <v>ND</v>
      </c>
      <c r="ES16" s="1" t="str">
        <f t="shared" si="94"/>
        <v>ND</v>
      </c>
      <c r="ET16" s="1" t="str">
        <f t="shared" si="94"/>
        <v>ND</v>
      </c>
      <c r="EU16" s="1" t="str">
        <f t="shared" si="94"/>
        <v>ND</v>
      </c>
      <c r="EV16" s="1" t="str">
        <f t="shared" si="94"/>
        <v>ND</v>
      </c>
      <c r="EW16" s="1" t="str">
        <f t="shared" si="94"/>
        <v>ND</v>
      </c>
      <c r="EX16" s="1" t="str">
        <f t="shared" si="94"/>
        <v>ND</v>
      </c>
      <c r="EY16" s="1" t="str">
        <f t="shared" si="94"/>
        <v>ND</v>
      </c>
      <c r="EZ16" s="1" t="str">
        <f t="shared" si="95"/>
        <v>ND</v>
      </c>
      <c r="FA16" s="1" t="str">
        <f t="shared" si="95"/>
        <v>ND</v>
      </c>
      <c r="FB16" s="1" t="str">
        <f t="shared" si="95"/>
        <v>ND</v>
      </c>
      <c r="FC16" s="1" t="str">
        <f t="shared" si="95"/>
        <v>ND</v>
      </c>
      <c r="FD16" s="1" t="str">
        <f t="shared" si="95"/>
        <v>ND</v>
      </c>
      <c r="FE16" s="1" t="str">
        <f t="shared" si="95"/>
        <v>ND</v>
      </c>
      <c r="FF16" s="1" t="str">
        <f t="shared" si="95"/>
        <v>ND</v>
      </c>
      <c r="FG16" s="1" t="str">
        <f t="shared" si="95"/>
        <v>ND</v>
      </c>
      <c r="FH16" s="1" t="str">
        <f t="shared" si="95"/>
        <v>ND</v>
      </c>
      <c r="FI16" s="1" t="str">
        <f t="shared" si="95"/>
        <v>ND</v>
      </c>
      <c r="FJ16" s="1" t="str">
        <f t="shared" si="95"/>
        <v>ND</v>
      </c>
      <c r="FK16" s="1" t="str">
        <f t="shared" si="96"/>
        <v>ND</v>
      </c>
      <c r="FL16" s="1" t="str">
        <f t="shared" si="96"/>
        <v>ND</v>
      </c>
      <c r="FM16" s="1" t="str">
        <f t="shared" si="96"/>
        <v>ND</v>
      </c>
      <c r="FN16" s="1" t="str">
        <f t="shared" si="96"/>
        <v>ND</v>
      </c>
      <c r="FO16" s="1" t="str">
        <f t="shared" si="96"/>
        <v>ND</v>
      </c>
      <c r="FP16" s="1" t="str">
        <f t="shared" si="96"/>
        <v>ND</v>
      </c>
      <c r="FQ16" s="1" t="str">
        <f t="shared" si="96"/>
        <v>ND</v>
      </c>
      <c r="FR16" s="1" t="str">
        <f t="shared" si="96"/>
        <v>ND</v>
      </c>
      <c r="FS16" s="1" t="str">
        <f t="shared" si="96"/>
        <v>ND</v>
      </c>
      <c r="FT16" s="1" t="str">
        <f t="shared" si="96"/>
        <v>ND</v>
      </c>
      <c r="FU16" s="1" t="str">
        <f t="shared" si="96"/>
        <v>ND</v>
      </c>
      <c r="FV16" s="1" t="str">
        <f t="shared" si="97"/>
        <v>ND</v>
      </c>
      <c r="FW16" s="1" t="str">
        <f t="shared" si="98"/>
        <v>ND</v>
      </c>
      <c r="FX16" s="1" t="str">
        <f t="shared" si="99"/>
        <v>ND</v>
      </c>
      <c r="FY16" s="1" t="str">
        <f t="shared" si="100"/>
        <v>ND</v>
      </c>
      <c r="FZ16" s="1" t="str">
        <f t="shared" si="101"/>
        <v>ND</v>
      </c>
      <c r="GA16" s="1" t="str">
        <f t="shared" si="102"/>
        <v>ND</v>
      </c>
      <c r="GB16" s="1" t="str">
        <f t="shared" si="103"/>
        <v>ND</v>
      </c>
      <c r="GC16" s="1" t="str">
        <f t="shared" si="104"/>
        <v>ND</v>
      </c>
      <c r="GD16" s="1" t="str">
        <f t="shared" si="105"/>
        <v>ND</v>
      </c>
      <c r="GE16" s="1" t="str">
        <f t="shared" si="106"/>
        <v>ND</v>
      </c>
      <c r="GF16" s="1" t="str">
        <f t="shared" si="107"/>
        <v>ND</v>
      </c>
      <c r="GG16" s="1" t="str">
        <f t="shared" si="108"/>
        <v>ND</v>
      </c>
      <c r="GH16" s="1" t="str">
        <f t="shared" si="109"/>
        <v>ND</v>
      </c>
      <c r="GI16" s="1" t="str">
        <f t="shared" si="110"/>
        <v>ND</v>
      </c>
      <c r="GJ16" s="1" t="str">
        <f t="shared" si="111"/>
        <v>ND</v>
      </c>
      <c r="GK16" s="1" t="str">
        <f t="shared" si="112"/>
        <v>ND</v>
      </c>
      <c r="GL16" s="1" t="str">
        <f t="shared" si="113"/>
        <v>ND</v>
      </c>
      <c r="GM16" s="1" t="str">
        <f t="shared" si="114"/>
        <v>ND</v>
      </c>
      <c r="GN16" s="1" t="str">
        <f t="shared" si="115"/>
        <v>ND</v>
      </c>
      <c r="GO16" s="1" t="str">
        <f t="shared" si="116"/>
        <v>ND</v>
      </c>
      <c r="GP16" s="1" t="str">
        <f t="shared" si="117"/>
        <v>ND</v>
      </c>
      <c r="GQ16" s="1" t="str">
        <f t="shared" si="118"/>
        <v>ND</v>
      </c>
      <c r="GR16" s="1" t="str">
        <f t="shared" si="119"/>
        <v>ND</v>
      </c>
      <c r="GS16" s="1" t="str">
        <f t="shared" si="120"/>
        <v>ND</v>
      </c>
      <c r="GT16" s="1" t="str">
        <f t="shared" si="121"/>
        <v>ND</v>
      </c>
      <c r="GU16" s="1" t="str">
        <f t="shared" si="122"/>
        <v>ND</v>
      </c>
      <c r="GV16" s="1" t="str">
        <f t="shared" si="123"/>
        <v>ND</v>
      </c>
      <c r="GW16" s="1" t="str">
        <f t="shared" si="124"/>
        <v>ND</v>
      </c>
      <c r="GX16" s="1" t="str">
        <f t="shared" si="125"/>
        <v>ND</v>
      </c>
      <c r="GY16" s="1" t="str">
        <f t="shared" si="126"/>
        <v>ND</v>
      </c>
      <c r="GZ16" s="1" t="str">
        <f t="shared" si="127"/>
        <v>ND</v>
      </c>
      <c r="HA16" s="1" t="str">
        <f t="shared" si="128"/>
        <v>ND</v>
      </c>
      <c r="HB16" s="1" t="str">
        <f t="shared" si="129"/>
        <v>ND</v>
      </c>
      <c r="HC16" s="1" t="str">
        <f t="shared" si="130"/>
        <v>ND</v>
      </c>
      <c r="HD16" s="1" t="str">
        <f t="shared" si="131"/>
        <v>ND</v>
      </c>
      <c r="HE16" s="1" t="str">
        <f t="shared" si="132"/>
        <v>ND</v>
      </c>
      <c r="HF16" s="1" t="str">
        <f t="shared" si="133"/>
        <v>ND</v>
      </c>
      <c r="HG16" s="1" t="str">
        <f t="shared" si="134"/>
        <v>ND</v>
      </c>
      <c r="HH16" s="1" t="str">
        <f t="shared" si="135"/>
        <v>ND</v>
      </c>
      <c r="HI16" s="1" t="str">
        <f t="shared" si="136"/>
        <v>ND</v>
      </c>
      <c r="HJ16" s="1" t="str">
        <f t="shared" si="137"/>
        <v>ND</v>
      </c>
      <c r="HK16" s="1" t="str">
        <f t="shared" si="138"/>
        <v>ND</v>
      </c>
      <c r="HL16" s="1" t="str">
        <f t="shared" si="139"/>
        <v>ND</v>
      </c>
      <c r="HM16" s="1" t="str">
        <f t="shared" si="140"/>
        <v>ND</v>
      </c>
      <c r="HN16" s="1" t="str">
        <f t="shared" si="141"/>
        <v>ND</v>
      </c>
      <c r="HO16" s="1" t="str">
        <f t="shared" si="142"/>
        <v>ND</v>
      </c>
      <c r="HP16" s="1" t="str">
        <f t="shared" si="143"/>
        <v>ND</v>
      </c>
      <c r="HQ16" s="1" t="str">
        <f t="shared" si="144"/>
        <v>ND</v>
      </c>
      <c r="HR16" s="1" t="str">
        <f t="shared" si="145"/>
        <v>ND</v>
      </c>
      <c r="HS16" s="1" t="str">
        <f t="shared" si="146"/>
        <v>ND</v>
      </c>
      <c r="HT16" s="1" t="str">
        <f t="shared" si="147"/>
        <v>ND</v>
      </c>
      <c r="HU16" s="1" t="str">
        <f t="shared" si="148"/>
        <v>ND</v>
      </c>
      <c r="HV16" s="1" t="str">
        <f t="shared" si="149"/>
        <v>ND</v>
      </c>
      <c r="HW16" s="1" t="str">
        <f t="shared" si="150"/>
        <v>ND</v>
      </c>
      <c r="HX16" s="1" t="str">
        <f t="shared" si="151"/>
        <v>ND</v>
      </c>
      <c r="HY16" s="1" t="str">
        <f t="shared" si="152"/>
        <v>ND</v>
      </c>
      <c r="HZ16" s="1" t="str">
        <f t="shared" si="153"/>
        <v>ND</v>
      </c>
      <c r="IA16" s="1" t="str">
        <f t="shared" si="154"/>
        <v>ND</v>
      </c>
      <c r="IB16" s="1" t="str">
        <f t="shared" si="155"/>
        <v>ND</v>
      </c>
      <c r="IC16" s="1" t="str">
        <f t="shared" si="156"/>
        <v>ND</v>
      </c>
      <c r="ID16" s="1" t="str">
        <f t="shared" si="157"/>
        <v>ND</v>
      </c>
      <c r="IE16" s="1" t="str">
        <f t="shared" si="158"/>
        <v>ND</v>
      </c>
      <c r="IF16" s="1" t="str">
        <f t="shared" si="159"/>
        <v>ND</v>
      </c>
      <c r="IG16" s="1" t="str">
        <f t="shared" si="160"/>
        <v>ND</v>
      </c>
      <c r="IH16" s="1" t="str">
        <f t="shared" si="161"/>
        <v>ND</v>
      </c>
      <c r="II16" s="1" t="str">
        <f t="shared" si="162"/>
        <v>ND</v>
      </c>
    </row>
    <row r="17" spans="3:243" x14ac:dyDescent="0.25">
      <c r="C17" t="s">
        <v>47</v>
      </c>
      <c r="D17">
        <f>SUMIFS(DICCIONARIO[Cantidad],DICCIONARIO[Modelo],UNIFICADA[[#This Row],[Equipo]])</f>
        <v>0</v>
      </c>
      <c r="E17" s="1">
        <f>IFERROR(VLOOKUP($C17,EQUIPOS[],UNIFICADO!E$9,0),"")</f>
        <v>11</v>
      </c>
      <c r="F17" s="1">
        <f>IFERROR(VLOOKUP($C17,EQUIPOS[],UNIFICADO!F$9,0),"")</f>
        <v>6.82</v>
      </c>
      <c r="G17" s="1">
        <f>IFERROR(VLOOKUP($C17,EQUIPOS[],UNIFICADO!G$9,0),"")</f>
        <v>48</v>
      </c>
      <c r="H17" s="1">
        <f>IFERROR(VLOOKUP($C17,EQUIPOS[],UNIFICADO!H$9,0),"")</f>
        <v>3</v>
      </c>
      <c r="I17" s="1">
        <f>IFERROR(VLOOKUP($C17,EQUIPOS[],UNIFICADO!I$9,0),"")</f>
        <v>8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>
        <f>IFERROR(VLOOKUP($C17,EQUIPOS[],UNIFICADO!M$9,0),"")</f>
        <v>1.6</v>
      </c>
      <c r="N17" s="1">
        <f>IFERROR(VLOOKUP($C17,EQUIPOS[],UNIFICADO!N$9,0),"")</f>
        <v>3</v>
      </c>
      <c r="O17" s="1">
        <f>IFERROR(VLOOKUP($C17,EQUIPOS[],UNIFICADO!O$9,0),"")</f>
        <v>210</v>
      </c>
      <c r="P17" s="1">
        <f>IFERROR(VLOOKUP($C17,EQUIPOS[],UNIFICADO!P$9,0),"")</f>
        <v>17.3</v>
      </c>
      <c r="Q17" s="1">
        <f>IFERROR(VLOOKUP($C17,EQUIPOS[],UNIFICADO!Q$9,0),"")</f>
        <v>7.81</v>
      </c>
      <c r="R17" s="1">
        <f>IFERROR(VLOOKUP($C17,EQUIPOS[],UNIFICADO!R$9,0),"")</f>
        <v>0.89</v>
      </c>
      <c r="S17" s="1">
        <f>IFERROR(VLOOKUP($C17,EQUIPOS[],UNIFICADO!S$9,0),"")</f>
        <v>5000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0"/>
        <v>ND</v>
      </c>
      <c r="W17" s="1" t="str">
        <f t="shared" si="1"/>
        <v>ND</v>
      </c>
      <c r="X17" s="1" t="str">
        <f t="shared" si="2"/>
        <v>ND</v>
      </c>
      <c r="Y17" s="1" t="str">
        <f t="shared" si="2"/>
        <v>ND</v>
      </c>
      <c r="Z17" s="1" t="str">
        <f t="shared" si="3"/>
        <v>ND</v>
      </c>
      <c r="AA17" s="1" t="str">
        <f t="shared" si="3"/>
        <v>ND</v>
      </c>
      <c r="AB17" s="1" t="str">
        <f t="shared" si="3"/>
        <v>ND</v>
      </c>
      <c r="AC17" s="1" t="str">
        <f t="shared" si="3"/>
        <v>ND</v>
      </c>
      <c r="AD17" s="1" t="str">
        <f t="shared" si="3"/>
        <v>ND</v>
      </c>
      <c r="AE17" s="1" t="str">
        <f t="shared" si="3"/>
        <v>ND</v>
      </c>
      <c r="AF17" s="1" t="str">
        <f t="shared" si="3"/>
        <v>ND</v>
      </c>
      <c r="AG17" s="1" t="str">
        <f t="shared" si="3"/>
        <v>ND</v>
      </c>
      <c r="AH17" s="1" t="str">
        <f t="shared" si="3"/>
        <v>ND</v>
      </c>
      <c r="AI17" s="1" t="str">
        <f t="shared" si="4"/>
        <v>ND</v>
      </c>
      <c r="AJ17" s="1" t="str">
        <f t="shared" si="5"/>
        <v>ND</v>
      </c>
      <c r="AK17" s="1" t="str">
        <f t="shared" si="6"/>
        <v>ND</v>
      </c>
      <c r="AL17" s="1" t="str">
        <f t="shared" si="7"/>
        <v>ND</v>
      </c>
      <c r="AM17" s="1" t="str">
        <f t="shared" si="8"/>
        <v>ND</v>
      </c>
      <c r="AN17" s="1" t="str">
        <f t="shared" si="9"/>
        <v>ND</v>
      </c>
      <c r="AO17" s="1" t="str">
        <f t="shared" si="10"/>
        <v>ND</v>
      </c>
      <c r="AP17" s="1" t="str">
        <f t="shared" si="11"/>
        <v>ND</v>
      </c>
      <c r="AQ17" s="1" t="str">
        <f t="shared" si="12"/>
        <v>ND</v>
      </c>
      <c r="AR17" s="1" t="str">
        <f t="shared" si="13"/>
        <v>ND</v>
      </c>
      <c r="AS17" s="1" t="str">
        <f t="shared" si="14"/>
        <v>ND</v>
      </c>
      <c r="AT17" s="1" t="str">
        <f t="shared" si="15"/>
        <v>ND</v>
      </c>
      <c r="AU17" s="1" t="str">
        <f t="shared" si="16"/>
        <v>ND</v>
      </c>
      <c r="AV17" s="1" t="str">
        <f t="shared" si="17"/>
        <v>ND</v>
      </c>
      <c r="AW17" s="1" t="str">
        <f t="shared" si="18"/>
        <v>ND</v>
      </c>
      <c r="AX17" s="1" t="str">
        <f t="shared" si="19"/>
        <v>ND</v>
      </c>
      <c r="AY17" s="1" t="str">
        <f t="shared" si="20"/>
        <v>ND</v>
      </c>
      <c r="AZ17" s="1" t="str">
        <f t="shared" si="21"/>
        <v>ND</v>
      </c>
      <c r="BA17" s="1" t="str">
        <f t="shared" si="22"/>
        <v>ND</v>
      </c>
      <c r="BB17" s="1" t="str">
        <f t="shared" si="23"/>
        <v>ND</v>
      </c>
      <c r="BC17" s="1" t="str">
        <f t="shared" si="24"/>
        <v>ND</v>
      </c>
      <c r="BD17" s="1" t="str">
        <f t="shared" si="25"/>
        <v>ND</v>
      </c>
      <c r="BE17" s="1" t="str">
        <f t="shared" si="26"/>
        <v>ND</v>
      </c>
      <c r="BF17" s="1" t="str">
        <f t="shared" si="27"/>
        <v>ND</v>
      </c>
      <c r="BG17" s="1" t="str">
        <f t="shared" si="28"/>
        <v>ND</v>
      </c>
      <c r="BH17" s="1" t="str">
        <f t="shared" si="29"/>
        <v>ND</v>
      </c>
      <c r="BI17" s="1" t="str">
        <f t="shared" si="30"/>
        <v>ND</v>
      </c>
      <c r="BJ17" s="1" t="str">
        <f t="shared" si="31"/>
        <v>ND</v>
      </c>
      <c r="BK17" s="1" t="str">
        <f t="shared" si="32"/>
        <v>ND</v>
      </c>
      <c r="BL17" s="1" t="str">
        <f t="shared" si="33"/>
        <v>ND</v>
      </c>
      <c r="BM17" s="1" t="str">
        <f t="shared" si="34"/>
        <v>ND</v>
      </c>
      <c r="BN17" s="1" t="str">
        <f t="shared" si="35"/>
        <v>ND</v>
      </c>
      <c r="BO17" s="1" t="str">
        <f t="shared" si="36"/>
        <v>ND</v>
      </c>
      <c r="BP17" s="1" t="str">
        <f t="shared" si="37"/>
        <v>ND</v>
      </c>
      <c r="BQ17" s="1" t="str">
        <f t="shared" si="38"/>
        <v>ND</v>
      </c>
      <c r="BR17" s="1" t="str">
        <f t="shared" si="39"/>
        <v>ND</v>
      </c>
      <c r="BS17" s="1" t="str">
        <f t="shared" si="40"/>
        <v>ND</v>
      </c>
      <c r="BT17" s="1" t="str">
        <f t="shared" si="41"/>
        <v>ND</v>
      </c>
      <c r="BU17" s="1" t="str">
        <f t="shared" si="42"/>
        <v>ND</v>
      </c>
      <c r="BV17" s="1" t="str">
        <f t="shared" si="43"/>
        <v>ND</v>
      </c>
      <c r="BW17" s="1" t="str">
        <f t="shared" si="44"/>
        <v>ND</v>
      </c>
      <c r="BX17" s="1" t="str">
        <f t="shared" si="45"/>
        <v>ND</v>
      </c>
      <c r="BY17" s="1" t="str">
        <f t="shared" si="46"/>
        <v>ND</v>
      </c>
      <c r="BZ17" s="1" t="str">
        <f t="shared" si="47"/>
        <v>ND</v>
      </c>
      <c r="CA17" s="1" t="str">
        <f t="shared" si="48"/>
        <v>ND</v>
      </c>
      <c r="CB17" s="1" t="str">
        <f t="shared" si="48"/>
        <v>ND</v>
      </c>
      <c r="CC17" s="1" t="str">
        <f t="shared" si="48"/>
        <v>ND</v>
      </c>
      <c r="CD17" s="1" t="str">
        <f t="shared" si="48"/>
        <v>ND</v>
      </c>
      <c r="CE17" s="1" t="str">
        <f t="shared" si="48"/>
        <v>ND</v>
      </c>
      <c r="CF17" s="1" t="str">
        <f t="shared" si="48"/>
        <v>ND</v>
      </c>
      <c r="CG17" s="1" t="str">
        <f t="shared" si="48"/>
        <v>ND</v>
      </c>
      <c r="CH17" s="1" t="str">
        <f t="shared" si="48"/>
        <v>ND</v>
      </c>
      <c r="CI17" s="1" t="str">
        <f t="shared" si="48"/>
        <v>ND</v>
      </c>
      <c r="CJ17" s="1" t="str">
        <f t="shared" si="48"/>
        <v>ND</v>
      </c>
      <c r="CK17" s="1" t="str">
        <f t="shared" si="48"/>
        <v>ND</v>
      </c>
      <c r="CL17" s="1" t="str">
        <f t="shared" si="49"/>
        <v>ND</v>
      </c>
      <c r="CM17" s="1" t="str">
        <f t="shared" si="49"/>
        <v>ND</v>
      </c>
      <c r="CN17" s="1" t="str">
        <f t="shared" si="49"/>
        <v>ND</v>
      </c>
      <c r="CO17" s="1" t="str">
        <f t="shared" si="49"/>
        <v>ND</v>
      </c>
      <c r="CP17" s="1" t="str">
        <f t="shared" si="49"/>
        <v>ND</v>
      </c>
      <c r="CQ17" s="1" t="str">
        <f t="shared" si="49"/>
        <v>ND</v>
      </c>
      <c r="CR17" s="1" t="str">
        <f t="shared" si="49"/>
        <v>ND</v>
      </c>
      <c r="CS17" s="1" t="str">
        <f t="shared" si="49"/>
        <v>ND</v>
      </c>
      <c r="CT17" s="1" t="str">
        <f t="shared" si="49"/>
        <v>ND</v>
      </c>
      <c r="CU17" s="1" t="str">
        <f t="shared" si="49"/>
        <v>ND</v>
      </c>
      <c r="CV17" s="1" t="str">
        <f t="shared" si="49"/>
        <v>ND</v>
      </c>
      <c r="CW17" s="1" t="str">
        <f t="shared" si="50"/>
        <v>ND</v>
      </c>
      <c r="CX17" s="1" t="str">
        <f t="shared" si="51"/>
        <v>ND</v>
      </c>
      <c r="CY17" s="1" t="str">
        <f t="shared" si="52"/>
        <v>ND</v>
      </c>
      <c r="CZ17" s="1" t="str">
        <f t="shared" si="53"/>
        <v>ND</v>
      </c>
      <c r="DA17" s="1" t="str">
        <f t="shared" si="54"/>
        <v>ND</v>
      </c>
      <c r="DB17" s="1" t="str">
        <f t="shared" si="55"/>
        <v>ND</v>
      </c>
      <c r="DC17" s="1" t="str">
        <f t="shared" si="56"/>
        <v>ND</v>
      </c>
      <c r="DD17" s="1" t="str">
        <f t="shared" si="57"/>
        <v>ND</v>
      </c>
      <c r="DE17" s="1" t="str">
        <f t="shared" si="58"/>
        <v>ND</v>
      </c>
      <c r="DF17" s="1" t="str">
        <f t="shared" si="59"/>
        <v>ND</v>
      </c>
      <c r="DG17" s="1" t="str">
        <f t="shared" si="60"/>
        <v>ND</v>
      </c>
      <c r="DH17" s="1" t="str">
        <f t="shared" si="61"/>
        <v>ND</v>
      </c>
      <c r="DI17" s="1" t="str">
        <f t="shared" si="62"/>
        <v>ND</v>
      </c>
      <c r="DJ17" s="1" t="str">
        <f t="shared" si="63"/>
        <v>ND</v>
      </c>
      <c r="DK17" s="1" t="str">
        <f t="shared" si="64"/>
        <v>ND</v>
      </c>
      <c r="DL17" s="1" t="str">
        <f t="shared" si="65"/>
        <v>ND</v>
      </c>
      <c r="DM17" s="1" t="str">
        <f t="shared" si="66"/>
        <v>ND</v>
      </c>
      <c r="DN17" s="1" t="str">
        <f t="shared" si="67"/>
        <v>ND</v>
      </c>
      <c r="DO17" s="1" t="str">
        <f t="shared" si="68"/>
        <v>ND</v>
      </c>
      <c r="DP17" s="1" t="str">
        <f t="shared" si="69"/>
        <v>ND</v>
      </c>
      <c r="DQ17" s="1" t="str">
        <f t="shared" si="70"/>
        <v>ND</v>
      </c>
      <c r="DR17" s="1" t="str">
        <f t="shared" si="71"/>
        <v>ND</v>
      </c>
      <c r="DS17" s="1" t="str">
        <f t="shared" si="72"/>
        <v>ND</v>
      </c>
      <c r="DT17" s="1" t="str">
        <f t="shared" si="73"/>
        <v>ND</v>
      </c>
      <c r="DU17" s="1" t="str">
        <f t="shared" si="74"/>
        <v>ND</v>
      </c>
      <c r="DV17" s="1" t="str">
        <f t="shared" si="75"/>
        <v>ND</v>
      </c>
      <c r="DW17" s="1" t="str">
        <f t="shared" si="76"/>
        <v>ND</v>
      </c>
      <c r="DX17" s="1" t="str">
        <f t="shared" si="77"/>
        <v>ND</v>
      </c>
      <c r="DY17" s="1" t="str">
        <f t="shared" si="78"/>
        <v>ND</v>
      </c>
      <c r="DZ17" s="1" t="str">
        <f t="shared" si="79"/>
        <v>ND</v>
      </c>
      <c r="EA17" s="1" t="str">
        <f t="shared" si="80"/>
        <v>ND</v>
      </c>
      <c r="EB17" s="1" t="str">
        <f t="shared" si="81"/>
        <v>ND</v>
      </c>
      <c r="EC17" s="1" t="str">
        <f t="shared" si="82"/>
        <v>ND</v>
      </c>
      <c r="ED17" s="1" t="str">
        <f t="shared" si="83"/>
        <v>ND</v>
      </c>
      <c r="EE17" s="1" t="str">
        <f t="shared" si="84"/>
        <v>ND</v>
      </c>
      <c r="EF17" s="1" t="str">
        <f t="shared" si="85"/>
        <v>ND</v>
      </c>
      <c r="EG17" s="1" t="str">
        <f t="shared" si="86"/>
        <v>ND</v>
      </c>
      <c r="EH17" s="1" t="str">
        <f t="shared" si="87"/>
        <v>ND</v>
      </c>
      <c r="EI17" s="1" t="str">
        <f t="shared" si="88"/>
        <v>ND</v>
      </c>
      <c r="EJ17" s="1" t="str">
        <f t="shared" si="89"/>
        <v>ND</v>
      </c>
      <c r="EK17" s="1" t="str">
        <f t="shared" si="90"/>
        <v>ND</v>
      </c>
      <c r="EL17" s="1" t="str">
        <f t="shared" si="91"/>
        <v>ND</v>
      </c>
      <c r="EM17" s="1" t="str">
        <f t="shared" si="92"/>
        <v>ND</v>
      </c>
      <c r="EN17" s="1" t="str">
        <f t="shared" si="93"/>
        <v>ND</v>
      </c>
      <c r="EO17" s="1" t="str">
        <f t="shared" si="94"/>
        <v>ND</v>
      </c>
      <c r="EP17" s="1" t="str">
        <f t="shared" si="94"/>
        <v>ND</v>
      </c>
      <c r="EQ17" s="1" t="str">
        <f t="shared" si="94"/>
        <v>ND</v>
      </c>
      <c r="ER17" s="1" t="str">
        <f t="shared" si="94"/>
        <v>ND</v>
      </c>
      <c r="ES17" s="1" t="str">
        <f t="shared" si="94"/>
        <v>ND</v>
      </c>
      <c r="ET17" s="1" t="str">
        <f t="shared" si="94"/>
        <v>ND</v>
      </c>
      <c r="EU17" s="1" t="str">
        <f t="shared" si="94"/>
        <v>ND</v>
      </c>
      <c r="EV17" s="1" t="str">
        <f t="shared" si="94"/>
        <v>ND</v>
      </c>
      <c r="EW17" s="1" t="str">
        <f t="shared" si="94"/>
        <v>ND</v>
      </c>
      <c r="EX17" s="1" t="str">
        <f t="shared" si="94"/>
        <v>ND</v>
      </c>
      <c r="EY17" s="1" t="str">
        <f t="shared" si="94"/>
        <v>ND</v>
      </c>
      <c r="EZ17" s="1" t="str">
        <f t="shared" si="95"/>
        <v>ND</v>
      </c>
      <c r="FA17" s="1" t="str">
        <f t="shared" si="95"/>
        <v>ND</v>
      </c>
      <c r="FB17" s="1" t="str">
        <f t="shared" si="95"/>
        <v>ND</v>
      </c>
      <c r="FC17" s="1" t="str">
        <f t="shared" si="95"/>
        <v>ND</v>
      </c>
      <c r="FD17" s="1" t="str">
        <f t="shared" si="95"/>
        <v>ND</v>
      </c>
      <c r="FE17" s="1" t="str">
        <f t="shared" si="95"/>
        <v>ND</v>
      </c>
      <c r="FF17" s="1" t="str">
        <f t="shared" si="95"/>
        <v>ND</v>
      </c>
      <c r="FG17" s="1" t="str">
        <f t="shared" si="95"/>
        <v>ND</v>
      </c>
      <c r="FH17" s="1" t="str">
        <f t="shared" si="95"/>
        <v>ND</v>
      </c>
      <c r="FI17" s="1" t="str">
        <f t="shared" si="95"/>
        <v>ND</v>
      </c>
      <c r="FJ17" s="1" t="str">
        <f t="shared" si="95"/>
        <v>ND</v>
      </c>
      <c r="FK17" s="1" t="str">
        <f t="shared" si="96"/>
        <v>ND</v>
      </c>
      <c r="FL17" s="1" t="str">
        <f t="shared" si="96"/>
        <v>ND</v>
      </c>
      <c r="FM17" s="1" t="str">
        <f t="shared" si="96"/>
        <v>ND</v>
      </c>
      <c r="FN17" s="1" t="str">
        <f t="shared" si="96"/>
        <v>ND</v>
      </c>
      <c r="FO17" s="1" t="str">
        <f t="shared" si="96"/>
        <v>ND</v>
      </c>
      <c r="FP17" s="1" t="str">
        <f t="shared" si="96"/>
        <v>ND</v>
      </c>
      <c r="FQ17" s="1" t="str">
        <f t="shared" si="96"/>
        <v>ND</v>
      </c>
      <c r="FR17" s="1" t="str">
        <f t="shared" si="96"/>
        <v>ND</v>
      </c>
      <c r="FS17" s="1" t="str">
        <f t="shared" si="96"/>
        <v>ND</v>
      </c>
      <c r="FT17" s="1" t="str">
        <f t="shared" si="96"/>
        <v>ND</v>
      </c>
      <c r="FU17" s="1" t="str">
        <f t="shared" si="96"/>
        <v>ND</v>
      </c>
      <c r="FV17" s="1" t="str">
        <f t="shared" si="97"/>
        <v>ND</v>
      </c>
      <c r="FW17" s="1" t="str">
        <f t="shared" si="98"/>
        <v>ND</v>
      </c>
      <c r="FX17" s="1" t="str">
        <f t="shared" si="99"/>
        <v>ND</v>
      </c>
      <c r="FY17" s="1" t="str">
        <f t="shared" si="100"/>
        <v>ND</v>
      </c>
      <c r="FZ17" s="1" t="str">
        <f t="shared" si="101"/>
        <v>ND</v>
      </c>
      <c r="GA17" s="1" t="str">
        <f t="shared" si="102"/>
        <v>ND</v>
      </c>
      <c r="GB17" s="1" t="str">
        <f t="shared" si="103"/>
        <v>ND</v>
      </c>
      <c r="GC17" s="1" t="str">
        <f t="shared" si="104"/>
        <v>ND</v>
      </c>
      <c r="GD17" s="1" t="str">
        <f t="shared" si="105"/>
        <v>ND</v>
      </c>
      <c r="GE17" s="1" t="str">
        <f t="shared" si="106"/>
        <v>ND</v>
      </c>
      <c r="GF17" s="1" t="str">
        <f t="shared" si="107"/>
        <v>ND</v>
      </c>
      <c r="GG17" s="1" t="str">
        <f t="shared" si="108"/>
        <v>ND</v>
      </c>
      <c r="GH17" s="1" t="str">
        <f t="shared" si="109"/>
        <v>ND</v>
      </c>
      <c r="GI17" s="1" t="str">
        <f t="shared" si="110"/>
        <v>ND</v>
      </c>
      <c r="GJ17" s="1" t="str">
        <f t="shared" si="111"/>
        <v>ND</v>
      </c>
      <c r="GK17" s="1" t="str">
        <f t="shared" si="112"/>
        <v>ND</v>
      </c>
      <c r="GL17" s="1" t="str">
        <f t="shared" si="113"/>
        <v>ND</v>
      </c>
      <c r="GM17" s="1" t="str">
        <f t="shared" si="114"/>
        <v>ND</v>
      </c>
      <c r="GN17" s="1" t="str">
        <f t="shared" si="115"/>
        <v>ND</v>
      </c>
      <c r="GO17" s="1" t="str">
        <f t="shared" si="116"/>
        <v>ND</v>
      </c>
      <c r="GP17" s="1" t="str">
        <f t="shared" si="117"/>
        <v>ND</v>
      </c>
      <c r="GQ17" s="1" t="str">
        <f t="shared" si="118"/>
        <v>ND</v>
      </c>
      <c r="GR17" s="1" t="str">
        <f t="shared" si="119"/>
        <v>ND</v>
      </c>
      <c r="GS17" s="1" t="str">
        <f t="shared" si="120"/>
        <v>ND</v>
      </c>
      <c r="GT17" s="1" t="str">
        <f t="shared" si="121"/>
        <v>ND</v>
      </c>
      <c r="GU17" s="1" t="str">
        <f t="shared" si="122"/>
        <v>ND</v>
      </c>
      <c r="GV17" s="1" t="str">
        <f t="shared" si="123"/>
        <v>ND</v>
      </c>
      <c r="GW17" s="1" t="str">
        <f t="shared" si="124"/>
        <v>ND</v>
      </c>
      <c r="GX17" s="1" t="str">
        <f t="shared" si="125"/>
        <v>ND</v>
      </c>
      <c r="GY17" s="1" t="str">
        <f t="shared" si="126"/>
        <v>ND</v>
      </c>
      <c r="GZ17" s="1" t="str">
        <f t="shared" si="127"/>
        <v>ND</v>
      </c>
      <c r="HA17" s="1" t="str">
        <f t="shared" si="128"/>
        <v>ND</v>
      </c>
      <c r="HB17" s="1" t="str">
        <f t="shared" si="129"/>
        <v>ND</v>
      </c>
      <c r="HC17" s="1" t="str">
        <f t="shared" si="130"/>
        <v>ND</v>
      </c>
      <c r="HD17" s="1" t="str">
        <f t="shared" si="131"/>
        <v>ND</v>
      </c>
      <c r="HE17" s="1" t="str">
        <f t="shared" si="132"/>
        <v>ND</v>
      </c>
      <c r="HF17" s="1" t="str">
        <f t="shared" si="133"/>
        <v>ND</v>
      </c>
      <c r="HG17" s="1" t="str">
        <f t="shared" si="134"/>
        <v>ND</v>
      </c>
      <c r="HH17" s="1" t="str">
        <f t="shared" si="135"/>
        <v>ND</v>
      </c>
      <c r="HI17" s="1" t="str">
        <f t="shared" si="136"/>
        <v>ND</v>
      </c>
      <c r="HJ17" s="1" t="str">
        <f t="shared" si="137"/>
        <v>ND</v>
      </c>
      <c r="HK17" s="1" t="str">
        <f t="shared" si="138"/>
        <v>ND</v>
      </c>
      <c r="HL17" s="1" t="str">
        <f t="shared" si="139"/>
        <v>ND</v>
      </c>
      <c r="HM17" s="1" t="str">
        <f t="shared" si="140"/>
        <v>ND</v>
      </c>
      <c r="HN17" s="1" t="str">
        <f t="shared" si="141"/>
        <v>ND</v>
      </c>
      <c r="HO17" s="1" t="str">
        <f t="shared" si="142"/>
        <v>ND</v>
      </c>
      <c r="HP17" s="1" t="str">
        <f t="shared" si="143"/>
        <v>ND</v>
      </c>
      <c r="HQ17" s="1" t="str">
        <f t="shared" si="144"/>
        <v>ND</v>
      </c>
      <c r="HR17" s="1" t="str">
        <f t="shared" si="145"/>
        <v>ND</v>
      </c>
      <c r="HS17" s="1" t="str">
        <f t="shared" si="146"/>
        <v>ND</v>
      </c>
      <c r="HT17" s="1" t="str">
        <f t="shared" si="147"/>
        <v>ND</v>
      </c>
      <c r="HU17" s="1" t="str">
        <f t="shared" si="148"/>
        <v>ND</v>
      </c>
      <c r="HV17" s="1" t="str">
        <f t="shared" si="149"/>
        <v>ND</v>
      </c>
      <c r="HW17" s="1" t="str">
        <f t="shared" si="150"/>
        <v>ND</v>
      </c>
      <c r="HX17" s="1" t="str">
        <f t="shared" si="151"/>
        <v>ND</v>
      </c>
      <c r="HY17" s="1" t="str">
        <f t="shared" si="152"/>
        <v>ND</v>
      </c>
      <c r="HZ17" s="1" t="str">
        <f t="shared" si="153"/>
        <v>ND</v>
      </c>
      <c r="IA17" s="1" t="str">
        <f t="shared" si="154"/>
        <v>ND</v>
      </c>
      <c r="IB17" s="1" t="str">
        <f t="shared" si="155"/>
        <v>ND</v>
      </c>
      <c r="IC17" s="1" t="str">
        <f t="shared" si="156"/>
        <v>ND</v>
      </c>
      <c r="ID17" s="1" t="str">
        <f t="shared" si="157"/>
        <v>ND</v>
      </c>
      <c r="IE17" s="1" t="str">
        <f t="shared" si="158"/>
        <v>ND</v>
      </c>
      <c r="IF17" s="1" t="str">
        <f t="shared" si="159"/>
        <v>ND</v>
      </c>
      <c r="IG17" s="1" t="str">
        <f t="shared" si="160"/>
        <v>ND</v>
      </c>
      <c r="IH17" s="1" t="str">
        <f t="shared" si="161"/>
        <v>ND</v>
      </c>
      <c r="II17" s="1" t="str">
        <f t="shared" si="162"/>
        <v>ND</v>
      </c>
    </row>
    <row r="18" spans="3:243" x14ac:dyDescent="0.25">
      <c r="C18" t="s">
        <v>136</v>
      </c>
      <c r="D18">
        <f>SUMIFS(DICCIONARIO[Cantidad],DICCIONARIO[Modelo],UNIFICADA[[#This Row],[Equipo]])</f>
        <v>0</v>
      </c>
      <c r="E18" s="1">
        <f>IFERROR(VLOOKUP($C18,EQUIPOS[],UNIFICADO!E$9,0),"")</f>
        <v>11</v>
      </c>
      <c r="F18" s="1" t="str">
        <f>IFERROR(VLOOKUP($C18,EQUIPOS[],UNIFICADO!F$9,0),"")</f>
        <v>6.75 HD+ 90Hz</v>
      </c>
      <c r="G18" s="1" t="str">
        <f>IFERROR(VLOOKUP($C18,EQUIPOS[],UNIFICADO!G$9,0),"")</f>
        <v>13+2+2</v>
      </c>
      <c r="H18" s="1">
        <f>IFERROR(VLOOKUP($C18,EQUIPOS[],UNIFICADO!H$9,0),"")</f>
        <v>3</v>
      </c>
      <c r="I18" s="1">
        <f>IFERROR(VLOOKUP($C18,EQUIPOS[],UNIFICADO!I$9,0),"")</f>
        <v>5</v>
      </c>
      <c r="J18" s="1" t="str">
        <f>IFERROR(VLOOKUP($C18,EQUIPOS[],UNIFICADO!J$9,0),"")</f>
        <v>128GB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 xml:space="preserve"> Unisoc T606</v>
      </c>
      <c r="N18" s="1">
        <f>IFERROR(VLOOKUP($C18,EQUIPOS[],UNIFICADO!N$9,0),"")</f>
        <v>3</v>
      </c>
      <c r="O18" s="1">
        <f>IFERROR(VLOOKUP($C18,EQUIPOS[],UNIFICADO!O$9,0),"")</f>
        <v>215</v>
      </c>
      <c r="P18" s="1">
        <f>IFERROR(VLOOKUP($C18,EQUIPOS[],UNIFICADO!P$9,0),"")</f>
        <v>16.8</v>
      </c>
      <c r="Q18" s="1">
        <f>IFERROR(VLOOKUP($C18,EQUIPOS[],UNIFICADO!Q$9,0),"")</f>
        <v>7.75</v>
      </c>
      <c r="R18" s="1">
        <f>IFERROR(VLOOKUP($C18,EQUIPOS[],UNIFICADO!R$9,0),"")</f>
        <v>0.94</v>
      </c>
      <c r="S18" s="1">
        <f>IFERROR(VLOOKUP($C18,EQUIPOS[],UNIFICADO!S$9,0),"")</f>
        <v>6000</v>
      </c>
      <c r="T18" s="1">
        <f>IFERROR(VLOOKUP($C18,EQUIPOS[],UNIFICADO!T$9,0),"")</f>
        <v>5</v>
      </c>
      <c r="U18" s="1">
        <f>VLOOKUP(UNIFICADA[[#This Row],[Equipo]],EQUIPOS[],19,0)</f>
        <v>8</v>
      </c>
      <c r="V18" s="1" t="str">
        <f t="shared" si="0"/>
        <v>ND</v>
      </c>
      <c r="W18" s="1" t="str">
        <f t="shared" si="1"/>
        <v>ND</v>
      </c>
      <c r="X18" s="1" t="str">
        <f t="shared" si="2"/>
        <v>ND</v>
      </c>
      <c r="Y18" s="1" t="str">
        <f t="shared" si="2"/>
        <v>ND</v>
      </c>
      <c r="Z18" s="1" t="str">
        <f t="shared" si="3"/>
        <v>ND</v>
      </c>
      <c r="AA18" s="1" t="str">
        <f t="shared" si="3"/>
        <v>ND</v>
      </c>
      <c r="AB18" s="1" t="str">
        <f t="shared" si="3"/>
        <v>ND</v>
      </c>
      <c r="AC18" s="1" t="str">
        <f t="shared" si="3"/>
        <v>ND</v>
      </c>
      <c r="AD18" s="1" t="str">
        <f t="shared" si="3"/>
        <v>ND</v>
      </c>
      <c r="AE18" s="1" t="str">
        <f t="shared" si="3"/>
        <v>ND</v>
      </c>
      <c r="AF18" s="1" t="str">
        <f t="shared" si="3"/>
        <v>ND</v>
      </c>
      <c r="AG18" s="1" t="str">
        <f t="shared" si="3"/>
        <v>ND</v>
      </c>
      <c r="AH18" s="1" t="str">
        <f t="shared" si="3"/>
        <v>ND</v>
      </c>
      <c r="AI18" s="1" t="str">
        <f t="shared" si="4"/>
        <v>ND</v>
      </c>
      <c r="AJ18" s="1" t="str">
        <f t="shared" si="5"/>
        <v>ND</v>
      </c>
      <c r="AK18" s="1" t="str">
        <f t="shared" si="6"/>
        <v>ND</v>
      </c>
      <c r="AL18" s="1" t="str">
        <f t="shared" si="7"/>
        <v>ND</v>
      </c>
      <c r="AM18" s="1" t="str">
        <f t="shared" si="8"/>
        <v>ND</v>
      </c>
      <c r="AN18" s="1" t="str">
        <f t="shared" si="9"/>
        <v>ND</v>
      </c>
      <c r="AO18" s="1" t="str">
        <f t="shared" si="10"/>
        <v>ND</v>
      </c>
      <c r="AP18" s="1" t="str">
        <f t="shared" si="11"/>
        <v>ND</v>
      </c>
      <c r="AQ18" s="1" t="str">
        <f t="shared" si="12"/>
        <v>ND</v>
      </c>
      <c r="AR18" s="1" t="str">
        <f t="shared" si="13"/>
        <v>ND</v>
      </c>
      <c r="AS18" s="1" t="str">
        <f t="shared" si="14"/>
        <v>ND</v>
      </c>
      <c r="AT18" s="1" t="str">
        <f t="shared" si="15"/>
        <v>ND</v>
      </c>
      <c r="AU18" s="1" t="str">
        <f t="shared" si="16"/>
        <v>ND</v>
      </c>
      <c r="AV18" s="1" t="str">
        <f t="shared" si="17"/>
        <v>ND</v>
      </c>
      <c r="AW18" s="1" t="str">
        <f t="shared" si="18"/>
        <v>ND</v>
      </c>
      <c r="AX18" s="1" t="str">
        <f t="shared" si="19"/>
        <v>ND</v>
      </c>
      <c r="AY18" s="1" t="str">
        <f t="shared" si="20"/>
        <v>ND</v>
      </c>
      <c r="AZ18" s="1" t="str">
        <f t="shared" si="21"/>
        <v>ND</v>
      </c>
      <c r="BA18" s="1" t="str">
        <f t="shared" si="22"/>
        <v>ND</v>
      </c>
      <c r="BB18" s="1" t="str">
        <f t="shared" si="23"/>
        <v>ND</v>
      </c>
      <c r="BC18" s="1" t="str">
        <f t="shared" si="24"/>
        <v>ND</v>
      </c>
      <c r="BD18" s="1" t="str">
        <f t="shared" si="25"/>
        <v>ND</v>
      </c>
      <c r="BE18" s="1" t="str">
        <f t="shared" si="26"/>
        <v>ND</v>
      </c>
      <c r="BF18" s="1" t="str">
        <f t="shared" si="27"/>
        <v>ND</v>
      </c>
      <c r="BG18" s="1" t="str">
        <f t="shared" si="28"/>
        <v>ND</v>
      </c>
      <c r="BH18" s="1" t="str">
        <f t="shared" si="29"/>
        <v>ND</v>
      </c>
      <c r="BI18" s="1" t="str">
        <f t="shared" si="30"/>
        <v>ND</v>
      </c>
      <c r="BJ18" s="1" t="str">
        <f t="shared" si="31"/>
        <v>ND</v>
      </c>
      <c r="BK18" s="1" t="str">
        <f t="shared" si="32"/>
        <v>ND</v>
      </c>
      <c r="BL18" s="1" t="str">
        <f t="shared" si="33"/>
        <v>ND</v>
      </c>
      <c r="BM18" s="1" t="str">
        <f t="shared" si="34"/>
        <v>ND</v>
      </c>
      <c r="BN18" s="1" t="str">
        <f t="shared" si="35"/>
        <v>ND</v>
      </c>
      <c r="BO18" s="1" t="str">
        <f t="shared" si="36"/>
        <v>ND</v>
      </c>
      <c r="BP18" s="1" t="str">
        <f t="shared" si="37"/>
        <v>ND</v>
      </c>
      <c r="BQ18" s="1" t="str">
        <f t="shared" si="38"/>
        <v>ND</v>
      </c>
      <c r="BR18" s="1" t="str">
        <f t="shared" si="39"/>
        <v>ND</v>
      </c>
      <c r="BS18" s="1" t="str">
        <f t="shared" si="40"/>
        <v>ND</v>
      </c>
      <c r="BT18" s="1" t="str">
        <f t="shared" si="41"/>
        <v>ND</v>
      </c>
      <c r="BU18" s="1" t="str">
        <f t="shared" si="42"/>
        <v>ND</v>
      </c>
      <c r="BV18" s="1" t="str">
        <f t="shared" si="43"/>
        <v>ND</v>
      </c>
      <c r="BW18" s="1" t="str">
        <f t="shared" si="44"/>
        <v>ND</v>
      </c>
      <c r="BX18" s="1" t="str">
        <f t="shared" si="45"/>
        <v>ND</v>
      </c>
      <c r="BY18" s="1" t="str">
        <f t="shared" si="46"/>
        <v>ND</v>
      </c>
      <c r="BZ18" s="1" t="str">
        <f t="shared" si="47"/>
        <v>ND</v>
      </c>
      <c r="CA18" s="1" t="str">
        <f t="shared" si="48"/>
        <v>ND</v>
      </c>
      <c r="CB18" s="1" t="str">
        <f t="shared" si="48"/>
        <v>ND</v>
      </c>
      <c r="CC18" s="1" t="str">
        <f t="shared" si="48"/>
        <v>ND</v>
      </c>
      <c r="CD18" s="1" t="str">
        <f t="shared" si="48"/>
        <v>ND</v>
      </c>
      <c r="CE18" s="1" t="str">
        <f t="shared" si="48"/>
        <v>ND</v>
      </c>
      <c r="CF18" s="1" t="str">
        <f t="shared" si="48"/>
        <v>ND</v>
      </c>
      <c r="CG18" s="1" t="str">
        <f t="shared" si="48"/>
        <v>ND</v>
      </c>
      <c r="CH18" s="1" t="str">
        <f t="shared" si="48"/>
        <v>ND</v>
      </c>
      <c r="CI18" s="1" t="str">
        <f t="shared" si="48"/>
        <v>ND</v>
      </c>
      <c r="CJ18" s="1" t="str">
        <f t="shared" si="48"/>
        <v>ND</v>
      </c>
      <c r="CK18" s="1" t="str">
        <f t="shared" si="48"/>
        <v>ND</v>
      </c>
      <c r="CL18" s="1" t="str">
        <f t="shared" si="49"/>
        <v>ND</v>
      </c>
      <c r="CM18" s="1" t="str">
        <f t="shared" si="49"/>
        <v>ND</v>
      </c>
      <c r="CN18" s="1" t="str">
        <f t="shared" si="49"/>
        <v>ND</v>
      </c>
      <c r="CO18" s="1" t="str">
        <f t="shared" si="49"/>
        <v>ND</v>
      </c>
      <c r="CP18" s="1" t="str">
        <f t="shared" si="49"/>
        <v>ND</v>
      </c>
      <c r="CQ18" s="1" t="str">
        <f t="shared" si="49"/>
        <v>ND</v>
      </c>
      <c r="CR18" s="1" t="str">
        <f t="shared" si="49"/>
        <v>ND</v>
      </c>
      <c r="CS18" s="1" t="str">
        <f t="shared" si="49"/>
        <v>ND</v>
      </c>
      <c r="CT18" s="1" t="str">
        <f t="shared" si="49"/>
        <v>ND</v>
      </c>
      <c r="CU18" s="1" t="str">
        <f t="shared" si="49"/>
        <v>ND</v>
      </c>
      <c r="CV18" s="1" t="str">
        <f t="shared" si="49"/>
        <v>ND</v>
      </c>
      <c r="CW18" s="1" t="str">
        <f t="shared" si="50"/>
        <v>ND</v>
      </c>
      <c r="CX18" s="1" t="str">
        <f t="shared" si="51"/>
        <v>ND</v>
      </c>
      <c r="CY18" s="1" t="str">
        <f t="shared" si="52"/>
        <v>ND</v>
      </c>
      <c r="CZ18" s="1" t="str">
        <f t="shared" si="53"/>
        <v>ND</v>
      </c>
      <c r="DA18" s="1" t="str">
        <f t="shared" si="54"/>
        <v>ND</v>
      </c>
      <c r="DB18" s="1" t="str">
        <f t="shared" si="55"/>
        <v>ND</v>
      </c>
      <c r="DC18" s="1" t="str">
        <f t="shared" si="56"/>
        <v>ND</v>
      </c>
      <c r="DD18" s="1" t="str">
        <f t="shared" si="57"/>
        <v>ND</v>
      </c>
      <c r="DE18" s="1" t="str">
        <f t="shared" si="58"/>
        <v>ND</v>
      </c>
      <c r="DF18" s="1" t="str">
        <f t="shared" si="59"/>
        <v>ND</v>
      </c>
      <c r="DG18" s="1" t="str">
        <f t="shared" si="60"/>
        <v>ND</v>
      </c>
      <c r="DH18" s="1" t="str">
        <f t="shared" si="61"/>
        <v>ND</v>
      </c>
      <c r="DI18" s="1" t="str">
        <f t="shared" si="62"/>
        <v>ND</v>
      </c>
      <c r="DJ18" s="1" t="str">
        <f t="shared" si="63"/>
        <v>ND</v>
      </c>
      <c r="DK18" s="1" t="str">
        <f t="shared" si="64"/>
        <v>ND</v>
      </c>
      <c r="DL18" s="1" t="str">
        <f t="shared" si="65"/>
        <v>ND</v>
      </c>
      <c r="DM18" s="1" t="str">
        <f t="shared" si="66"/>
        <v>ND</v>
      </c>
      <c r="DN18" s="1" t="str">
        <f t="shared" si="67"/>
        <v>ND</v>
      </c>
      <c r="DO18" s="1" t="str">
        <f t="shared" si="68"/>
        <v>ND</v>
      </c>
      <c r="DP18" s="1" t="str">
        <f t="shared" si="69"/>
        <v>ND</v>
      </c>
      <c r="DQ18" s="1" t="str">
        <f t="shared" si="70"/>
        <v>ND</v>
      </c>
      <c r="DR18" s="1" t="str">
        <f t="shared" si="71"/>
        <v>ND</v>
      </c>
      <c r="DS18" s="1" t="str">
        <f t="shared" si="72"/>
        <v>ND</v>
      </c>
      <c r="DT18" s="1" t="str">
        <f t="shared" si="73"/>
        <v>ND</v>
      </c>
      <c r="DU18" s="1" t="str">
        <f t="shared" si="74"/>
        <v>ND</v>
      </c>
      <c r="DV18" s="1" t="str">
        <f t="shared" si="75"/>
        <v>ND</v>
      </c>
      <c r="DW18" s="1" t="str">
        <f t="shared" si="76"/>
        <v>ND</v>
      </c>
      <c r="DX18" s="1" t="str">
        <f t="shared" si="77"/>
        <v>ND</v>
      </c>
      <c r="DY18" s="1" t="str">
        <f t="shared" si="78"/>
        <v>ND</v>
      </c>
      <c r="DZ18" s="1" t="str">
        <f t="shared" si="79"/>
        <v>ND</v>
      </c>
      <c r="EA18" s="1" t="str">
        <f t="shared" si="80"/>
        <v>ND</v>
      </c>
      <c r="EB18" s="1" t="str">
        <f t="shared" si="81"/>
        <v>ND</v>
      </c>
      <c r="EC18" s="1" t="str">
        <f t="shared" si="82"/>
        <v>ND</v>
      </c>
      <c r="ED18" s="1" t="str">
        <f t="shared" si="83"/>
        <v>ND</v>
      </c>
      <c r="EE18" s="1" t="str">
        <f t="shared" si="84"/>
        <v>ND</v>
      </c>
      <c r="EF18" s="1" t="str">
        <f t="shared" si="85"/>
        <v>ND</v>
      </c>
      <c r="EG18" s="1" t="str">
        <f t="shared" si="86"/>
        <v>ND</v>
      </c>
      <c r="EH18" s="1" t="str">
        <f t="shared" si="87"/>
        <v>ND</v>
      </c>
      <c r="EI18" s="1" t="str">
        <f t="shared" si="88"/>
        <v>ND</v>
      </c>
      <c r="EJ18" s="1" t="str">
        <f t="shared" si="89"/>
        <v>ND</v>
      </c>
      <c r="EK18" s="1" t="str">
        <f t="shared" si="90"/>
        <v>ND</v>
      </c>
      <c r="EL18" s="1" t="str">
        <f t="shared" si="91"/>
        <v>ND</v>
      </c>
      <c r="EM18" s="1" t="str">
        <f t="shared" si="92"/>
        <v>ND</v>
      </c>
      <c r="EN18" s="1" t="str">
        <f t="shared" si="93"/>
        <v>ND</v>
      </c>
      <c r="EO18" s="1" t="str">
        <f t="shared" si="94"/>
        <v>ND</v>
      </c>
      <c r="EP18" s="1" t="str">
        <f t="shared" si="94"/>
        <v>ND</v>
      </c>
      <c r="EQ18" s="1" t="str">
        <f t="shared" si="94"/>
        <v>ND</v>
      </c>
      <c r="ER18" s="1" t="str">
        <f t="shared" si="94"/>
        <v>ND</v>
      </c>
      <c r="ES18" s="1" t="str">
        <f t="shared" si="94"/>
        <v>ND</v>
      </c>
      <c r="ET18" s="1" t="str">
        <f t="shared" si="94"/>
        <v>ND</v>
      </c>
      <c r="EU18" s="1" t="str">
        <f t="shared" si="94"/>
        <v>ND</v>
      </c>
      <c r="EV18" s="1" t="str">
        <f t="shared" si="94"/>
        <v>ND</v>
      </c>
      <c r="EW18" s="1" t="str">
        <f t="shared" si="94"/>
        <v>ND</v>
      </c>
      <c r="EX18" s="1" t="str">
        <f t="shared" si="94"/>
        <v>ND</v>
      </c>
      <c r="EY18" s="1" t="str">
        <f t="shared" si="94"/>
        <v>ND</v>
      </c>
      <c r="EZ18" s="1" t="str">
        <f t="shared" si="95"/>
        <v>ND</v>
      </c>
      <c r="FA18" s="1" t="str">
        <f t="shared" si="95"/>
        <v>ND</v>
      </c>
      <c r="FB18" s="1" t="str">
        <f t="shared" si="95"/>
        <v>ND</v>
      </c>
      <c r="FC18" s="1" t="str">
        <f t="shared" si="95"/>
        <v>ND</v>
      </c>
      <c r="FD18" s="1" t="str">
        <f t="shared" si="95"/>
        <v>ND</v>
      </c>
      <c r="FE18" s="1" t="str">
        <f t="shared" si="95"/>
        <v>ND</v>
      </c>
      <c r="FF18" s="1" t="str">
        <f t="shared" si="95"/>
        <v>ND</v>
      </c>
      <c r="FG18" s="1" t="str">
        <f t="shared" si="95"/>
        <v>ND</v>
      </c>
      <c r="FH18" s="1" t="str">
        <f t="shared" si="95"/>
        <v>ND</v>
      </c>
      <c r="FI18" s="1" t="str">
        <f t="shared" si="95"/>
        <v>ND</v>
      </c>
      <c r="FJ18" s="1" t="str">
        <f t="shared" si="95"/>
        <v>ND</v>
      </c>
      <c r="FK18" s="1" t="str">
        <f t="shared" si="96"/>
        <v>ND</v>
      </c>
      <c r="FL18" s="1" t="str">
        <f t="shared" si="96"/>
        <v>ND</v>
      </c>
      <c r="FM18" s="1" t="str">
        <f t="shared" si="96"/>
        <v>ND</v>
      </c>
      <c r="FN18" s="1" t="str">
        <f t="shared" si="96"/>
        <v>ND</v>
      </c>
      <c r="FO18" s="1" t="str">
        <f t="shared" si="96"/>
        <v>ND</v>
      </c>
      <c r="FP18" s="1" t="str">
        <f t="shared" si="96"/>
        <v>ND</v>
      </c>
      <c r="FQ18" s="1" t="str">
        <f t="shared" si="96"/>
        <v>ND</v>
      </c>
      <c r="FR18" s="1" t="str">
        <f t="shared" si="96"/>
        <v>ND</v>
      </c>
      <c r="FS18" s="1" t="str">
        <f t="shared" si="96"/>
        <v>ND</v>
      </c>
      <c r="FT18" s="1" t="str">
        <f t="shared" si="96"/>
        <v>ND</v>
      </c>
      <c r="FU18" s="1" t="str">
        <f t="shared" si="96"/>
        <v>ND</v>
      </c>
      <c r="FV18" s="1" t="str">
        <f t="shared" si="97"/>
        <v>ND</v>
      </c>
      <c r="FW18" s="1" t="str">
        <f t="shared" si="98"/>
        <v>ND</v>
      </c>
      <c r="FX18" s="1" t="str">
        <f t="shared" si="99"/>
        <v>ND</v>
      </c>
      <c r="FY18" s="1" t="str">
        <f t="shared" si="100"/>
        <v>ND</v>
      </c>
      <c r="FZ18" s="1" t="str">
        <f t="shared" si="101"/>
        <v>ND</v>
      </c>
      <c r="GA18" s="1" t="str">
        <f t="shared" si="102"/>
        <v>ND</v>
      </c>
      <c r="GB18" s="1" t="str">
        <f t="shared" si="103"/>
        <v>ND</v>
      </c>
      <c r="GC18" s="1" t="str">
        <f t="shared" si="104"/>
        <v>ND</v>
      </c>
      <c r="GD18" s="1" t="str">
        <f t="shared" si="105"/>
        <v>ND</v>
      </c>
      <c r="GE18" s="1" t="str">
        <f t="shared" si="106"/>
        <v>ND</v>
      </c>
      <c r="GF18" s="1" t="str">
        <f t="shared" si="107"/>
        <v>ND</v>
      </c>
      <c r="GG18" s="1" t="str">
        <f t="shared" si="108"/>
        <v>ND</v>
      </c>
      <c r="GH18" s="1" t="str">
        <f t="shared" si="109"/>
        <v>ND</v>
      </c>
      <c r="GI18" s="1" t="str">
        <f t="shared" si="110"/>
        <v>ND</v>
      </c>
      <c r="GJ18" s="1" t="str">
        <f t="shared" si="111"/>
        <v>ND</v>
      </c>
      <c r="GK18" s="1" t="str">
        <f t="shared" si="112"/>
        <v>ND</v>
      </c>
      <c r="GL18" s="1" t="str">
        <f t="shared" si="113"/>
        <v>ND</v>
      </c>
      <c r="GM18" s="1" t="str">
        <f t="shared" si="114"/>
        <v>ND</v>
      </c>
      <c r="GN18" s="1" t="str">
        <f t="shared" si="115"/>
        <v>ND</v>
      </c>
      <c r="GO18" s="1" t="str">
        <f t="shared" si="116"/>
        <v>ND</v>
      </c>
      <c r="GP18" s="1" t="str">
        <f t="shared" si="117"/>
        <v>ND</v>
      </c>
      <c r="GQ18" s="1" t="str">
        <f t="shared" si="118"/>
        <v>ND</v>
      </c>
      <c r="GR18" s="1" t="str">
        <f t="shared" si="119"/>
        <v>ND</v>
      </c>
      <c r="GS18" s="1" t="str">
        <f t="shared" si="120"/>
        <v>ND</v>
      </c>
      <c r="GT18" s="1" t="str">
        <f t="shared" si="121"/>
        <v>ND</v>
      </c>
      <c r="GU18" s="1" t="str">
        <f t="shared" si="122"/>
        <v>ND</v>
      </c>
      <c r="GV18" s="1" t="str">
        <f t="shared" si="123"/>
        <v>ND</v>
      </c>
      <c r="GW18" s="1" t="str">
        <f t="shared" si="124"/>
        <v>ND</v>
      </c>
      <c r="GX18" s="1" t="str">
        <f t="shared" si="125"/>
        <v>ND</v>
      </c>
      <c r="GY18" s="1" t="str">
        <f t="shared" si="126"/>
        <v>ND</v>
      </c>
      <c r="GZ18" s="1" t="str">
        <f t="shared" si="127"/>
        <v>ND</v>
      </c>
      <c r="HA18" s="1" t="str">
        <f t="shared" si="128"/>
        <v>ND</v>
      </c>
      <c r="HB18" s="1" t="str">
        <f t="shared" si="129"/>
        <v>ND</v>
      </c>
      <c r="HC18" s="1" t="str">
        <f t="shared" si="130"/>
        <v>ND</v>
      </c>
      <c r="HD18" s="1" t="str">
        <f t="shared" si="131"/>
        <v>ND</v>
      </c>
      <c r="HE18" s="1" t="str">
        <f t="shared" si="132"/>
        <v>ND</v>
      </c>
      <c r="HF18" s="1" t="str">
        <f t="shared" si="133"/>
        <v>ND</v>
      </c>
      <c r="HG18" s="1" t="str">
        <f t="shared" si="134"/>
        <v>ND</v>
      </c>
      <c r="HH18" s="1" t="str">
        <f t="shared" si="135"/>
        <v>ND</v>
      </c>
      <c r="HI18" s="1" t="str">
        <f t="shared" si="136"/>
        <v>ND</v>
      </c>
      <c r="HJ18" s="1" t="str">
        <f t="shared" si="137"/>
        <v>ND</v>
      </c>
      <c r="HK18" s="1" t="str">
        <f t="shared" si="138"/>
        <v>ND</v>
      </c>
      <c r="HL18" s="1" t="str">
        <f t="shared" si="139"/>
        <v>ND</v>
      </c>
      <c r="HM18" s="1" t="str">
        <f t="shared" si="140"/>
        <v>ND</v>
      </c>
      <c r="HN18" s="1" t="str">
        <f t="shared" si="141"/>
        <v>ND</v>
      </c>
      <c r="HO18" s="1" t="str">
        <f t="shared" si="142"/>
        <v>ND</v>
      </c>
      <c r="HP18" s="1" t="str">
        <f t="shared" si="143"/>
        <v>ND</v>
      </c>
      <c r="HQ18" s="1" t="str">
        <f t="shared" si="144"/>
        <v>ND</v>
      </c>
      <c r="HR18" s="1" t="str">
        <f t="shared" si="145"/>
        <v>ND</v>
      </c>
      <c r="HS18" s="1" t="str">
        <f t="shared" si="146"/>
        <v>ND</v>
      </c>
      <c r="HT18" s="1" t="str">
        <f t="shared" si="147"/>
        <v>ND</v>
      </c>
      <c r="HU18" s="1" t="str">
        <f t="shared" si="148"/>
        <v>ND</v>
      </c>
      <c r="HV18" s="1" t="str">
        <f t="shared" si="149"/>
        <v>ND</v>
      </c>
      <c r="HW18" s="1" t="str">
        <f t="shared" si="150"/>
        <v>ND</v>
      </c>
      <c r="HX18" s="1" t="str">
        <f t="shared" si="151"/>
        <v>ND</v>
      </c>
      <c r="HY18" s="1" t="str">
        <f t="shared" si="152"/>
        <v>ND</v>
      </c>
      <c r="HZ18" s="1" t="str">
        <f t="shared" si="153"/>
        <v>ND</v>
      </c>
      <c r="IA18" s="1" t="str">
        <f t="shared" si="154"/>
        <v>ND</v>
      </c>
      <c r="IB18" s="1" t="str">
        <f t="shared" si="155"/>
        <v>ND</v>
      </c>
      <c r="IC18" s="1" t="str">
        <f t="shared" si="156"/>
        <v>ND</v>
      </c>
      <c r="ID18" s="1" t="str">
        <f t="shared" si="157"/>
        <v>ND</v>
      </c>
      <c r="IE18" s="1" t="str">
        <f t="shared" si="158"/>
        <v>ND</v>
      </c>
      <c r="IF18" s="1" t="str">
        <f t="shared" si="159"/>
        <v>ND</v>
      </c>
      <c r="IG18" s="1" t="str">
        <f t="shared" si="160"/>
        <v>ND</v>
      </c>
      <c r="IH18" s="1" t="str">
        <f t="shared" si="161"/>
        <v>ND</v>
      </c>
      <c r="II18" s="1" t="str">
        <f t="shared" si="162"/>
        <v>ND</v>
      </c>
    </row>
    <row r="19" spans="3:243" x14ac:dyDescent="0.25">
      <c r="C19" t="s">
        <v>137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6.74</v>
      </c>
      <c r="G19" s="1">
        <f>IFERROR(VLOOKUP($C19,EQUIPOS[],UNIFICADO!G$9,0),"")</f>
        <v>48</v>
      </c>
      <c r="H19" s="1">
        <f>IFERROR(VLOOKUP($C19,EQUIPOS[],UNIFICADO!H$9,0),"")</f>
        <v>3</v>
      </c>
      <c r="I19" s="1">
        <f>IFERROR(VLOOKUP($C19,EQUIPOS[],UNIFICADO!I$9,0),"")</f>
        <v>8</v>
      </c>
      <c r="J19" s="1" t="str">
        <f>IFERROR(VLOOKUP($C19,EQUIPOS[],UNIFICADO!J$9,0),"")</f>
        <v>128GB</v>
      </c>
      <c r="K19" s="1">
        <f>IFERROR(VLOOKUP($C19,EQUIPOS[],UNIFICADO!K$9,0),"")</f>
        <v>1024</v>
      </c>
      <c r="L19" s="1">
        <f>IFERROR(VLOOKUP($C19,EQUIPOS[],UNIFICADO!L$9,0),"")</f>
        <v>8</v>
      </c>
      <c r="M19" s="1">
        <f>IFERROR(VLOOKUP($C19,EQUIPOS[],UNIFICADO!M$9,0),"")</f>
        <v>2.2000000000000002</v>
      </c>
      <c r="N19" s="1">
        <f>IFERROR(VLOOKUP($C19,EQUIPOS[],UNIFICADO!N$9,0),"")</f>
        <v>4</v>
      </c>
      <c r="O19" s="1">
        <f>IFERROR(VLOOKUP($C19,EQUIPOS[],UNIFICADO!O$9,0),"")</f>
        <v>214</v>
      </c>
      <c r="P19" s="1">
        <f>IFERROR(VLOOKUP($C19,EQUIPOS[],UNIFICADO!P$9,0),"")</f>
        <v>16.600000000000001</v>
      </c>
      <c r="Q19" s="1">
        <f>IFERROR(VLOOKUP($C19,EQUIPOS[],UNIFICADO!Q$9,0),"")</f>
        <v>7.75</v>
      </c>
      <c r="R19" s="1">
        <f>IFERROR(VLOOKUP($C19,EQUIPOS[],UNIFICADO!R$9,0),"")</f>
        <v>0.94</v>
      </c>
      <c r="S19" s="1">
        <f>IFERROR(VLOOKUP($C19,EQUIPOS[],UNIFICADO!S$9,0),"")</f>
        <v>6000</v>
      </c>
      <c r="T19" s="1">
        <f>IFERROR(VLOOKUP($C19,EQUIPOS[],UNIFICADO!T$9,0),"")</f>
        <v>4</v>
      </c>
      <c r="U19" s="1">
        <f>VLOOKUP(UNIFICADA[[#This Row],[Equipo]],EQUIPOS[],19,0)</f>
        <v>9</v>
      </c>
      <c r="V19" s="1" t="str">
        <f t="shared" si="0"/>
        <v>ND</v>
      </c>
      <c r="W19" s="1" t="str">
        <f t="shared" si="1"/>
        <v>ND</v>
      </c>
      <c r="X19" s="1" t="str">
        <f t="shared" si="2"/>
        <v>ND</v>
      </c>
      <c r="Y19" s="1" t="str">
        <f t="shared" si="2"/>
        <v>ND</v>
      </c>
      <c r="Z19" s="1" t="str">
        <f t="shared" si="3"/>
        <v>ND</v>
      </c>
      <c r="AA19" s="1" t="str">
        <f t="shared" si="3"/>
        <v>ND</v>
      </c>
      <c r="AB19" s="1" t="str">
        <f t="shared" si="3"/>
        <v>ND</v>
      </c>
      <c r="AC19" s="1" t="str">
        <f t="shared" si="3"/>
        <v>ND</v>
      </c>
      <c r="AD19" s="1" t="str">
        <f t="shared" si="3"/>
        <v>ND</v>
      </c>
      <c r="AE19" s="1" t="str">
        <f t="shared" si="3"/>
        <v>ND</v>
      </c>
      <c r="AF19" s="1" t="str">
        <f t="shared" si="3"/>
        <v>ND</v>
      </c>
      <c r="AG19" s="1" t="str">
        <f t="shared" si="3"/>
        <v>ND</v>
      </c>
      <c r="AH19" s="1" t="str">
        <f t="shared" si="3"/>
        <v>ND</v>
      </c>
      <c r="AI19" s="1" t="str">
        <f t="shared" si="4"/>
        <v>ND</v>
      </c>
      <c r="AJ19" s="1" t="str">
        <f t="shared" si="5"/>
        <v>ND</v>
      </c>
      <c r="AK19" s="1" t="str">
        <f t="shared" si="6"/>
        <v>ND</v>
      </c>
      <c r="AL19" s="1" t="str">
        <f t="shared" si="7"/>
        <v>ND</v>
      </c>
      <c r="AM19" s="1" t="str">
        <f t="shared" si="8"/>
        <v>ND</v>
      </c>
      <c r="AN19" s="1" t="str">
        <f t="shared" si="9"/>
        <v>ND</v>
      </c>
      <c r="AO19" s="1" t="str">
        <f t="shared" si="10"/>
        <v>ND</v>
      </c>
      <c r="AP19" s="1" t="str">
        <f t="shared" si="11"/>
        <v>ND</v>
      </c>
      <c r="AQ19" s="1" t="str">
        <f t="shared" si="12"/>
        <v>ND</v>
      </c>
      <c r="AR19" s="1" t="str">
        <f t="shared" si="13"/>
        <v>ND</v>
      </c>
      <c r="AS19" s="1" t="str">
        <f t="shared" si="14"/>
        <v>ND</v>
      </c>
      <c r="AT19" s="1" t="str">
        <f t="shared" si="15"/>
        <v>ND</v>
      </c>
      <c r="AU19" s="1" t="str">
        <f t="shared" si="16"/>
        <v>ND</v>
      </c>
      <c r="AV19" s="1" t="str">
        <f t="shared" si="17"/>
        <v>ND</v>
      </c>
      <c r="AW19" s="1" t="str">
        <f t="shared" si="18"/>
        <v>ND</v>
      </c>
      <c r="AX19" s="1" t="str">
        <f t="shared" si="19"/>
        <v>ND</v>
      </c>
      <c r="AY19" s="1" t="str">
        <f t="shared" si="20"/>
        <v>ND</v>
      </c>
      <c r="AZ19" s="1" t="str">
        <f t="shared" si="21"/>
        <v>ND</v>
      </c>
      <c r="BA19" s="1" t="str">
        <f t="shared" si="22"/>
        <v>ND</v>
      </c>
      <c r="BB19" s="1" t="str">
        <f t="shared" si="23"/>
        <v>ND</v>
      </c>
      <c r="BC19" s="1" t="str">
        <f t="shared" si="24"/>
        <v>ND</v>
      </c>
      <c r="BD19" s="1" t="str">
        <f t="shared" si="25"/>
        <v>ND</v>
      </c>
      <c r="BE19" s="1" t="str">
        <f t="shared" si="26"/>
        <v>ND</v>
      </c>
      <c r="BF19" s="1" t="str">
        <f t="shared" si="27"/>
        <v>ND</v>
      </c>
      <c r="BG19" s="1" t="str">
        <f t="shared" si="28"/>
        <v>ND</v>
      </c>
      <c r="BH19" s="1" t="str">
        <f t="shared" si="29"/>
        <v>ND</v>
      </c>
      <c r="BI19" s="1" t="str">
        <f t="shared" si="30"/>
        <v>ND</v>
      </c>
      <c r="BJ19" s="1" t="str">
        <f t="shared" si="31"/>
        <v>ND</v>
      </c>
      <c r="BK19" s="1" t="str">
        <f t="shared" si="32"/>
        <v>ND</v>
      </c>
      <c r="BL19" s="1" t="str">
        <f t="shared" si="33"/>
        <v>ND</v>
      </c>
      <c r="BM19" s="1" t="str">
        <f t="shared" si="34"/>
        <v>ND</v>
      </c>
      <c r="BN19" s="1" t="str">
        <f t="shared" si="35"/>
        <v>ND</v>
      </c>
      <c r="BO19" s="1" t="str">
        <f t="shared" si="36"/>
        <v>ND</v>
      </c>
      <c r="BP19" s="1" t="str">
        <f t="shared" si="37"/>
        <v>ND</v>
      </c>
      <c r="BQ19" s="1" t="str">
        <f t="shared" si="38"/>
        <v>ND</v>
      </c>
      <c r="BR19" s="1" t="str">
        <f t="shared" si="39"/>
        <v>ND</v>
      </c>
      <c r="BS19" s="1" t="str">
        <f t="shared" si="40"/>
        <v>ND</v>
      </c>
      <c r="BT19" s="1" t="str">
        <f t="shared" si="41"/>
        <v>ND</v>
      </c>
      <c r="BU19" s="1" t="str">
        <f t="shared" si="42"/>
        <v>ND</v>
      </c>
      <c r="BV19" s="1" t="str">
        <f t="shared" si="43"/>
        <v>ND</v>
      </c>
      <c r="BW19" s="1" t="str">
        <f t="shared" si="44"/>
        <v>ND</v>
      </c>
      <c r="BX19" s="1" t="str">
        <f t="shared" si="45"/>
        <v>ND</v>
      </c>
      <c r="BY19" s="1" t="str">
        <f t="shared" si="46"/>
        <v>ND</v>
      </c>
      <c r="BZ19" s="1" t="str">
        <f t="shared" si="47"/>
        <v>ND</v>
      </c>
      <c r="CA19" s="1" t="str">
        <f t="shared" si="48"/>
        <v>ND</v>
      </c>
      <c r="CB19" s="1" t="str">
        <f t="shared" si="48"/>
        <v>ND</v>
      </c>
      <c r="CC19" s="1" t="str">
        <f t="shared" si="48"/>
        <v>ND</v>
      </c>
      <c r="CD19" s="1" t="str">
        <f t="shared" si="48"/>
        <v>ND</v>
      </c>
      <c r="CE19" s="1" t="str">
        <f t="shared" si="48"/>
        <v>ND</v>
      </c>
      <c r="CF19" s="1" t="str">
        <f t="shared" si="48"/>
        <v>ND</v>
      </c>
      <c r="CG19" s="1" t="str">
        <f t="shared" si="48"/>
        <v>ND</v>
      </c>
      <c r="CH19" s="1" t="str">
        <f t="shared" si="48"/>
        <v>ND</v>
      </c>
      <c r="CI19" s="1" t="str">
        <f t="shared" si="48"/>
        <v>ND</v>
      </c>
      <c r="CJ19" s="1" t="str">
        <f t="shared" si="48"/>
        <v>ND</v>
      </c>
      <c r="CK19" s="1" t="str">
        <f t="shared" si="48"/>
        <v>ND</v>
      </c>
      <c r="CL19" s="1" t="str">
        <f t="shared" si="49"/>
        <v>ND</v>
      </c>
      <c r="CM19" s="1" t="str">
        <f t="shared" si="49"/>
        <v>ND</v>
      </c>
      <c r="CN19" s="1" t="str">
        <f t="shared" si="49"/>
        <v>ND</v>
      </c>
      <c r="CO19" s="1" t="str">
        <f t="shared" si="49"/>
        <v>ND</v>
      </c>
      <c r="CP19" s="1" t="str">
        <f t="shared" si="49"/>
        <v>ND</v>
      </c>
      <c r="CQ19" s="1" t="str">
        <f t="shared" si="49"/>
        <v>ND</v>
      </c>
      <c r="CR19" s="1" t="str">
        <f t="shared" si="49"/>
        <v>ND</v>
      </c>
      <c r="CS19" s="1" t="str">
        <f t="shared" si="49"/>
        <v>ND</v>
      </c>
      <c r="CT19" s="1" t="str">
        <f t="shared" si="49"/>
        <v>ND</v>
      </c>
      <c r="CU19" s="1" t="str">
        <f t="shared" si="49"/>
        <v>ND</v>
      </c>
      <c r="CV19" s="1" t="str">
        <f t="shared" si="49"/>
        <v>ND</v>
      </c>
      <c r="CW19" s="1" t="str">
        <f t="shared" si="50"/>
        <v>ND</v>
      </c>
      <c r="CX19" s="1" t="str">
        <f t="shared" si="51"/>
        <v>ND</v>
      </c>
      <c r="CY19" s="1" t="str">
        <f t="shared" si="52"/>
        <v>ND</v>
      </c>
      <c r="CZ19" s="1" t="str">
        <f t="shared" si="53"/>
        <v>ND</v>
      </c>
      <c r="DA19" s="1" t="str">
        <f t="shared" si="54"/>
        <v>ND</v>
      </c>
      <c r="DB19" s="1" t="str">
        <f t="shared" si="55"/>
        <v>ND</v>
      </c>
      <c r="DC19" s="1" t="str">
        <f t="shared" si="56"/>
        <v>ND</v>
      </c>
      <c r="DD19" s="1" t="str">
        <f t="shared" si="57"/>
        <v>ND</v>
      </c>
      <c r="DE19" s="1" t="str">
        <f t="shared" si="58"/>
        <v>ND</v>
      </c>
      <c r="DF19" s="1" t="str">
        <f t="shared" si="59"/>
        <v>ND</v>
      </c>
      <c r="DG19" s="1" t="str">
        <f t="shared" si="60"/>
        <v>ND</v>
      </c>
      <c r="DH19" s="1" t="str">
        <f t="shared" si="61"/>
        <v>ND</v>
      </c>
      <c r="DI19" s="1" t="str">
        <f t="shared" si="62"/>
        <v>ND</v>
      </c>
      <c r="DJ19" s="1" t="str">
        <f t="shared" si="63"/>
        <v>ND</v>
      </c>
      <c r="DK19" s="1" t="str">
        <f t="shared" si="64"/>
        <v>ND</v>
      </c>
      <c r="DL19" s="1" t="str">
        <f t="shared" si="65"/>
        <v>ND</v>
      </c>
      <c r="DM19" s="1" t="str">
        <f t="shared" si="66"/>
        <v>ND</v>
      </c>
      <c r="DN19" s="1" t="str">
        <f t="shared" si="67"/>
        <v>ND</v>
      </c>
      <c r="DO19" s="1" t="str">
        <f t="shared" si="68"/>
        <v>ND</v>
      </c>
      <c r="DP19" s="1" t="str">
        <f t="shared" si="69"/>
        <v>ND</v>
      </c>
      <c r="DQ19" s="1" t="str">
        <f t="shared" si="70"/>
        <v>ND</v>
      </c>
      <c r="DR19" s="1" t="str">
        <f t="shared" si="71"/>
        <v>ND</v>
      </c>
      <c r="DS19" s="1" t="str">
        <f t="shared" si="72"/>
        <v>ND</v>
      </c>
      <c r="DT19" s="1" t="str">
        <f t="shared" si="73"/>
        <v>ND</v>
      </c>
      <c r="DU19" s="1" t="str">
        <f t="shared" si="74"/>
        <v>ND</v>
      </c>
      <c r="DV19" s="1" t="str">
        <f t="shared" si="75"/>
        <v>ND</v>
      </c>
      <c r="DW19" s="1" t="str">
        <f t="shared" si="76"/>
        <v>ND</v>
      </c>
      <c r="DX19" s="1" t="str">
        <f t="shared" si="77"/>
        <v>ND</v>
      </c>
      <c r="DY19" s="1" t="str">
        <f t="shared" si="78"/>
        <v>ND</v>
      </c>
      <c r="DZ19" s="1" t="str">
        <f t="shared" si="79"/>
        <v>ND</v>
      </c>
      <c r="EA19" s="1" t="str">
        <f t="shared" si="80"/>
        <v>ND</v>
      </c>
      <c r="EB19" s="1" t="str">
        <f t="shared" si="81"/>
        <v>ND</v>
      </c>
      <c r="EC19" s="1" t="str">
        <f t="shared" si="82"/>
        <v>ND</v>
      </c>
      <c r="ED19" s="1" t="str">
        <f t="shared" si="83"/>
        <v>ND</v>
      </c>
      <c r="EE19" s="1" t="str">
        <f t="shared" si="84"/>
        <v>ND</v>
      </c>
      <c r="EF19" s="1" t="str">
        <f t="shared" si="85"/>
        <v>ND</v>
      </c>
      <c r="EG19" s="1" t="str">
        <f t="shared" si="86"/>
        <v>ND</v>
      </c>
      <c r="EH19" s="1" t="str">
        <f t="shared" si="87"/>
        <v>ND</v>
      </c>
      <c r="EI19" s="1" t="str">
        <f t="shared" si="88"/>
        <v>ND</v>
      </c>
      <c r="EJ19" s="1" t="str">
        <f t="shared" si="89"/>
        <v>ND</v>
      </c>
      <c r="EK19" s="1" t="str">
        <f t="shared" si="90"/>
        <v>ND</v>
      </c>
      <c r="EL19" s="1" t="str">
        <f t="shared" si="91"/>
        <v>ND</v>
      </c>
      <c r="EM19" s="1" t="str">
        <f t="shared" si="92"/>
        <v>ND</v>
      </c>
      <c r="EN19" s="1" t="str">
        <f t="shared" si="93"/>
        <v>ND</v>
      </c>
      <c r="EO19" s="1" t="str">
        <f t="shared" si="94"/>
        <v>ND</v>
      </c>
      <c r="EP19" s="1" t="str">
        <f t="shared" si="94"/>
        <v>ND</v>
      </c>
      <c r="EQ19" s="1" t="str">
        <f t="shared" si="94"/>
        <v>ND</v>
      </c>
      <c r="ER19" s="1" t="str">
        <f t="shared" si="94"/>
        <v>ND</v>
      </c>
      <c r="ES19" s="1" t="str">
        <f t="shared" si="94"/>
        <v>ND</v>
      </c>
      <c r="ET19" s="1" t="str">
        <f t="shared" si="94"/>
        <v>ND</v>
      </c>
      <c r="EU19" s="1" t="str">
        <f t="shared" si="94"/>
        <v>ND</v>
      </c>
      <c r="EV19" s="1" t="str">
        <f t="shared" si="94"/>
        <v>ND</v>
      </c>
      <c r="EW19" s="1" t="str">
        <f t="shared" si="94"/>
        <v>ND</v>
      </c>
      <c r="EX19" s="1" t="str">
        <f t="shared" si="94"/>
        <v>ND</v>
      </c>
      <c r="EY19" s="1" t="str">
        <f t="shared" si="94"/>
        <v>ND</v>
      </c>
      <c r="EZ19" s="1" t="str">
        <f t="shared" si="95"/>
        <v>ND</v>
      </c>
      <c r="FA19" s="1" t="str">
        <f t="shared" si="95"/>
        <v>ND</v>
      </c>
      <c r="FB19" s="1" t="str">
        <f t="shared" si="95"/>
        <v>ND</v>
      </c>
      <c r="FC19" s="1" t="str">
        <f t="shared" si="95"/>
        <v>ND</v>
      </c>
      <c r="FD19" s="1" t="str">
        <f t="shared" si="95"/>
        <v>ND</v>
      </c>
      <c r="FE19" s="1" t="str">
        <f t="shared" si="95"/>
        <v>ND</v>
      </c>
      <c r="FF19" s="1" t="str">
        <f t="shared" si="95"/>
        <v>ND</v>
      </c>
      <c r="FG19" s="1" t="str">
        <f t="shared" si="95"/>
        <v>ND</v>
      </c>
      <c r="FH19" s="1" t="str">
        <f t="shared" si="95"/>
        <v>ND</v>
      </c>
      <c r="FI19" s="1" t="str">
        <f t="shared" si="95"/>
        <v>ND</v>
      </c>
      <c r="FJ19" s="1" t="str">
        <f t="shared" si="95"/>
        <v>ND</v>
      </c>
      <c r="FK19" s="1" t="str">
        <f t="shared" si="96"/>
        <v>ND</v>
      </c>
      <c r="FL19" s="1" t="str">
        <f t="shared" si="96"/>
        <v>ND</v>
      </c>
      <c r="FM19" s="1" t="str">
        <f t="shared" si="96"/>
        <v>ND</v>
      </c>
      <c r="FN19" s="1" t="str">
        <f t="shared" si="96"/>
        <v>ND</v>
      </c>
      <c r="FO19" s="1" t="str">
        <f t="shared" si="96"/>
        <v>ND</v>
      </c>
      <c r="FP19" s="1" t="str">
        <f t="shared" si="96"/>
        <v>ND</v>
      </c>
      <c r="FQ19" s="1" t="str">
        <f t="shared" si="96"/>
        <v>ND</v>
      </c>
      <c r="FR19" s="1" t="str">
        <f t="shared" si="96"/>
        <v>ND</v>
      </c>
      <c r="FS19" s="1" t="str">
        <f t="shared" si="96"/>
        <v>ND</v>
      </c>
      <c r="FT19" s="1" t="str">
        <f t="shared" si="96"/>
        <v>ND</v>
      </c>
      <c r="FU19" s="1" t="str">
        <f t="shared" si="96"/>
        <v>ND</v>
      </c>
      <c r="FV19" s="1" t="str">
        <f t="shared" si="97"/>
        <v>ND</v>
      </c>
      <c r="FW19" s="1" t="str">
        <f t="shared" si="98"/>
        <v>ND</v>
      </c>
      <c r="FX19" s="1" t="str">
        <f t="shared" si="99"/>
        <v>ND</v>
      </c>
      <c r="FY19" s="1" t="str">
        <f t="shared" si="100"/>
        <v>ND</v>
      </c>
      <c r="FZ19" s="1" t="str">
        <f t="shared" si="101"/>
        <v>ND</v>
      </c>
      <c r="GA19" s="1" t="str">
        <f t="shared" si="102"/>
        <v>ND</v>
      </c>
      <c r="GB19" s="1" t="str">
        <f t="shared" si="103"/>
        <v>ND</v>
      </c>
      <c r="GC19" s="1" t="str">
        <f t="shared" si="104"/>
        <v>ND</v>
      </c>
      <c r="GD19" s="1" t="str">
        <f t="shared" si="105"/>
        <v>ND</v>
      </c>
      <c r="GE19" s="1" t="str">
        <f t="shared" si="106"/>
        <v>ND</v>
      </c>
      <c r="GF19" s="1" t="str">
        <f t="shared" si="107"/>
        <v>ND</v>
      </c>
      <c r="GG19" s="1" t="str">
        <f t="shared" si="108"/>
        <v>ND</v>
      </c>
      <c r="GH19" s="1" t="str">
        <f t="shared" si="109"/>
        <v>ND</v>
      </c>
      <c r="GI19" s="1" t="str">
        <f t="shared" si="110"/>
        <v>ND</v>
      </c>
      <c r="GJ19" s="1" t="str">
        <f t="shared" si="111"/>
        <v>ND</v>
      </c>
      <c r="GK19" s="1" t="str">
        <f t="shared" si="112"/>
        <v>ND</v>
      </c>
      <c r="GL19" s="1" t="str">
        <f t="shared" si="113"/>
        <v>ND</v>
      </c>
      <c r="GM19" s="1" t="str">
        <f t="shared" si="114"/>
        <v>ND</v>
      </c>
      <c r="GN19" s="1" t="str">
        <f t="shared" si="115"/>
        <v>ND</v>
      </c>
      <c r="GO19" s="1" t="str">
        <f t="shared" si="116"/>
        <v>ND</v>
      </c>
      <c r="GP19" s="1" t="str">
        <f t="shared" si="117"/>
        <v>ND</v>
      </c>
      <c r="GQ19" s="1" t="str">
        <f t="shared" si="118"/>
        <v>ND</v>
      </c>
      <c r="GR19" s="1" t="str">
        <f t="shared" si="119"/>
        <v>ND</v>
      </c>
      <c r="GS19" s="1" t="str">
        <f t="shared" si="120"/>
        <v>ND</v>
      </c>
      <c r="GT19" s="1" t="str">
        <f t="shared" si="121"/>
        <v>ND</v>
      </c>
      <c r="GU19" s="1" t="str">
        <f t="shared" si="122"/>
        <v>ND</v>
      </c>
      <c r="GV19" s="1" t="str">
        <f t="shared" si="123"/>
        <v>ND</v>
      </c>
      <c r="GW19" s="1" t="str">
        <f t="shared" si="124"/>
        <v>ND</v>
      </c>
      <c r="GX19" s="1" t="str">
        <f t="shared" si="125"/>
        <v>ND</v>
      </c>
      <c r="GY19" s="1" t="str">
        <f t="shared" si="126"/>
        <v>ND</v>
      </c>
      <c r="GZ19" s="1" t="str">
        <f t="shared" si="127"/>
        <v>ND</v>
      </c>
      <c r="HA19" s="1" t="str">
        <f t="shared" si="128"/>
        <v>ND</v>
      </c>
      <c r="HB19" s="1" t="str">
        <f t="shared" si="129"/>
        <v>ND</v>
      </c>
      <c r="HC19" s="1" t="str">
        <f t="shared" si="130"/>
        <v>ND</v>
      </c>
      <c r="HD19" s="1" t="str">
        <f t="shared" si="131"/>
        <v>ND</v>
      </c>
      <c r="HE19" s="1" t="str">
        <f t="shared" si="132"/>
        <v>ND</v>
      </c>
      <c r="HF19" s="1" t="str">
        <f t="shared" si="133"/>
        <v>ND</v>
      </c>
      <c r="HG19" s="1" t="str">
        <f t="shared" si="134"/>
        <v>ND</v>
      </c>
      <c r="HH19" s="1" t="str">
        <f t="shared" si="135"/>
        <v>ND</v>
      </c>
      <c r="HI19" s="1" t="str">
        <f t="shared" si="136"/>
        <v>ND</v>
      </c>
      <c r="HJ19" s="1" t="str">
        <f t="shared" si="137"/>
        <v>ND</v>
      </c>
      <c r="HK19" s="1" t="str">
        <f t="shared" si="138"/>
        <v>ND</v>
      </c>
      <c r="HL19" s="1" t="str">
        <f t="shared" si="139"/>
        <v>ND</v>
      </c>
      <c r="HM19" s="1" t="str">
        <f t="shared" si="140"/>
        <v>ND</v>
      </c>
      <c r="HN19" s="1" t="str">
        <f t="shared" si="141"/>
        <v>ND</v>
      </c>
      <c r="HO19" s="1" t="str">
        <f t="shared" si="142"/>
        <v>ND</v>
      </c>
      <c r="HP19" s="1" t="str">
        <f t="shared" si="143"/>
        <v>ND</v>
      </c>
      <c r="HQ19" s="1" t="str">
        <f t="shared" si="144"/>
        <v>ND</v>
      </c>
      <c r="HR19" s="1" t="str">
        <f t="shared" si="145"/>
        <v>ND</v>
      </c>
      <c r="HS19" s="1" t="str">
        <f t="shared" si="146"/>
        <v>ND</v>
      </c>
      <c r="HT19" s="1" t="str">
        <f t="shared" si="147"/>
        <v>ND</v>
      </c>
      <c r="HU19" s="1" t="str">
        <f t="shared" si="148"/>
        <v>ND</v>
      </c>
      <c r="HV19" s="1" t="str">
        <f t="shared" si="149"/>
        <v>ND</v>
      </c>
      <c r="HW19" s="1" t="str">
        <f t="shared" si="150"/>
        <v>ND</v>
      </c>
      <c r="HX19" s="1" t="str">
        <f t="shared" si="151"/>
        <v>ND</v>
      </c>
      <c r="HY19" s="1" t="str">
        <f t="shared" si="152"/>
        <v>ND</v>
      </c>
      <c r="HZ19" s="1" t="str">
        <f t="shared" si="153"/>
        <v>ND</v>
      </c>
      <c r="IA19" s="1" t="str">
        <f t="shared" si="154"/>
        <v>ND</v>
      </c>
      <c r="IB19" s="1" t="str">
        <f t="shared" si="155"/>
        <v>ND</v>
      </c>
      <c r="IC19" s="1" t="str">
        <f t="shared" si="156"/>
        <v>ND</v>
      </c>
      <c r="ID19" s="1" t="str">
        <f t="shared" si="157"/>
        <v>ND</v>
      </c>
      <c r="IE19" s="1" t="str">
        <f t="shared" si="158"/>
        <v>ND</v>
      </c>
      <c r="IF19" s="1" t="str">
        <f t="shared" si="159"/>
        <v>ND</v>
      </c>
      <c r="IG19" s="1" t="str">
        <f t="shared" si="160"/>
        <v>ND</v>
      </c>
      <c r="IH19" s="1" t="str">
        <f t="shared" si="161"/>
        <v>ND</v>
      </c>
      <c r="II19" s="1" t="str">
        <f t="shared" si="162"/>
        <v>ND</v>
      </c>
    </row>
    <row r="20" spans="3:243" x14ac:dyDescent="0.25">
      <c r="C20" t="s">
        <v>471</v>
      </c>
      <c r="D20">
        <f>SUMIFS(DICCIONARIO[Cantidad],DICCIONARIO[Modelo],UNIFICADA[[#This Row],[Equipo]])</f>
        <v>10</v>
      </c>
      <c r="E20" s="1">
        <f>IFERROR(VLOOKUP($C20,EQUIPOS[],UNIFICADO!E$9,0),"")</f>
        <v>12</v>
      </c>
      <c r="F20" s="1" t="str">
        <f>IFERROR(VLOOKUP($C20,EQUIPOS[],UNIFICADO!F$9,0),"")</f>
        <v>6.56 HD+ 60 Hz</v>
      </c>
      <c r="G20" s="1">
        <f>IFERROR(VLOOKUP($C20,EQUIPOS[],UNIFICADO!G$9,0),"")</f>
        <v>50</v>
      </c>
      <c r="H20" s="1">
        <f>IFERROR(VLOOKUP($C20,EQUIPOS[],UNIFICADO!H$9,0),"")</f>
        <v>2</v>
      </c>
      <c r="I20" s="1">
        <f>IFERROR(VLOOKUP($C20,EQUIPOS[],UNIFICADO!I$9,0),"")</f>
        <v>5</v>
      </c>
      <c r="J20" s="1" t="str">
        <f>IFERROR(VLOOKUP($C20,EQUIPOS[],UNIFICADO!J$9,0),"")</f>
        <v>64GB</v>
      </c>
      <c r="K20" s="1">
        <f>IFERROR(VLOOKUP($C20,EQUIPOS[],UNIFICADO!K$9,0),"")</f>
        <v>256</v>
      </c>
      <c r="L20" s="1">
        <f>IFERROR(VLOOKUP($C20,EQUIPOS[],UNIFICADO!L$9,0),"")</f>
        <v>8</v>
      </c>
      <c r="M20" s="1" t="str">
        <f>IFERROR(VLOOKUP($C20,EQUIPOS[],UNIFICADO!M$9,0),"")</f>
        <v>Mdtk Helio G35</v>
      </c>
      <c r="N20" s="1">
        <f>IFERROR(VLOOKUP($C20,EQUIPOS[],UNIFICADO!N$9,0),"")</f>
        <v>4</v>
      </c>
      <c r="O20" s="1">
        <f>IFERROR(VLOOKUP($C20,EQUIPOS[],UNIFICADO!O$9,0),"")</f>
        <v>189</v>
      </c>
      <c r="P20" s="1">
        <f>IFERROR(VLOOKUP($C20,EQUIPOS[],UNIFICADO!P$9,0),"")</f>
        <v>16.399999999999999</v>
      </c>
      <c r="Q20" s="1">
        <f>IFERROR(VLOOKUP($C20,EQUIPOS[],UNIFICADO!Q$9,0),"")</f>
        <v>7.56</v>
      </c>
      <c r="R20" s="1">
        <f>IFERROR(VLOOKUP($C20,EQUIPOS[],UNIFICADO!R$9,0),"")</f>
        <v>0.83</v>
      </c>
      <c r="S20" s="1">
        <f>IFERROR(VLOOKUP($C20,EQUIPOS[],UNIFICADO!S$9,0),"")</f>
        <v>5000</v>
      </c>
      <c r="T20" s="1">
        <f>IFERROR(VLOOKUP($C20,EQUIPOS[],UNIFICADO!T$9,0),"")</f>
        <v>4</v>
      </c>
      <c r="U20" s="1">
        <f>VLOOKUP(UNIFICADA[[#This Row],[Equipo]],EQUIPOS[],19,0)</f>
        <v>10</v>
      </c>
      <c r="V20" s="1" t="str">
        <f t="shared" si="0"/>
        <v>ND</v>
      </c>
      <c r="W20" s="1" t="str">
        <f t="shared" si="1"/>
        <v>ND</v>
      </c>
      <c r="X20" s="1" t="str">
        <f t="shared" si="2"/>
        <v>ND</v>
      </c>
      <c r="Y20" s="1" t="str">
        <f t="shared" si="2"/>
        <v>ND</v>
      </c>
      <c r="Z20" s="1" t="str">
        <f t="shared" si="3"/>
        <v>ND</v>
      </c>
      <c r="AA20" s="1" t="str">
        <f t="shared" si="3"/>
        <v>ND</v>
      </c>
      <c r="AB20" s="1" t="str">
        <f t="shared" si="3"/>
        <v>ND</v>
      </c>
      <c r="AC20" s="1" t="str">
        <f t="shared" si="3"/>
        <v>ND</v>
      </c>
      <c r="AD20" s="1" t="str">
        <f t="shared" si="3"/>
        <v>ND</v>
      </c>
      <c r="AE20" s="1" t="str">
        <f t="shared" si="3"/>
        <v>ND</v>
      </c>
      <c r="AF20" s="1" t="str">
        <f t="shared" si="3"/>
        <v>ND</v>
      </c>
      <c r="AG20" s="1" t="str">
        <f t="shared" si="3"/>
        <v>ND</v>
      </c>
      <c r="AH20" s="1" t="str">
        <f t="shared" si="3"/>
        <v>ND</v>
      </c>
      <c r="AI20" s="1" t="str">
        <f t="shared" si="4"/>
        <v>ND</v>
      </c>
      <c r="AJ20" s="1" t="str">
        <f t="shared" si="5"/>
        <v>ND</v>
      </c>
      <c r="AK20" s="1" t="str">
        <f t="shared" si="6"/>
        <v>ND</v>
      </c>
      <c r="AL20" s="1" t="str">
        <f t="shared" si="7"/>
        <v>ND</v>
      </c>
      <c r="AM20" s="1" t="str">
        <f t="shared" si="8"/>
        <v>ND</v>
      </c>
      <c r="AN20" s="1" t="str">
        <f t="shared" si="9"/>
        <v>ND</v>
      </c>
      <c r="AO20" s="1" t="str">
        <f t="shared" si="10"/>
        <v>ND</v>
      </c>
      <c r="AP20" s="1" t="str">
        <f t="shared" si="11"/>
        <v>ND</v>
      </c>
      <c r="AQ20" s="1" t="str">
        <f t="shared" si="12"/>
        <v>ND</v>
      </c>
      <c r="AR20" s="1" t="str">
        <f t="shared" si="13"/>
        <v>ND</v>
      </c>
      <c r="AS20" s="1" t="str">
        <f t="shared" si="14"/>
        <v>ND</v>
      </c>
      <c r="AT20" s="1" t="str">
        <f t="shared" si="15"/>
        <v>ND</v>
      </c>
      <c r="AU20" s="1" t="str">
        <f t="shared" si="16"/>
        <v>ND</v>
      </c>
      <c r="AV20" s="1" t="str">
        <f t="shared" si="17"/>
        <v>ND</v>
      </c>
      <c r="AW20" s="1" t="str">
        <f t="shared" si="18"/>
        <v>ND</v>
      </c>
      <c r="AX20" s="1" t="str">
        <f t="shared" si="19"/>
        <v>ND</v>
      </c>
      <c r="AY20" s="1" t="str">
        <f t="shared" si="20"/>
        <v>ND</v>
      </c>
      <c r="AZ20" s="1" t="str">
        <f t="shared" si="21"/>
        <v>ND</v>
      </c>
      <c r="BA20" s="1" t="str">
        <f t="shared" si="22"/>
        <v>ND</v>
      </c>
      <c r="BB20" s="1" t="str">
        <f t="shared" si="23"/>
        <v>ND</v>
      </c>
      <c r="BC20" s="1" t="str">
        <f t="shared" si="24"/>
        <v>ND</v>
      </c>
      <c r="BD20" s="1" t="str">
        <f t="shared" si="25"/>
        <v>ND</v>
      </c>
      <c r="BE20" s="1" t="str">
        <f t="shared" si="26"/>
        <v>ND</v>
      </c>
      <c r="BF20" s="1" t="str">
        <f t="shared" si="27"/>
        <v>ND</v>
      </c>
      <c r="BG20" s="1" t="str">
        <f t="shared" si="28"/>
        <v>ND</v>
      </c>
      <c r="BH20" s="1" t="str">
        <f t="shared" si="29"/>
        <v>ND</v>
      </c>
      <c r="BI20" s="1" t="str">
        <f t="shared" si="30"/>
        <v>ND</v>
      </c>
      <c r="BJ20" s="1" t="str">
        <f t="shared" si="31"/>
        <v>ND</v>
      </c>
      <c r="BK20" s="1" t="str">
        <f t="shared" si="32"/>
        <v>ND</v>
      </c>
      <c r="BL20" s="1" t="str">
        <f t="shared" si="33"/>
        <v>ND</v>
      </c>
      <c r="BM20" s="1" t="str">
        <f t="shared" si="34"/>
        <v>ND</v>
      </c>
      <c r="BN20" s="1" t="str">
        <f t="shared" si="35"/>
        <v>ND</v>
      </c>
      <c r="BO20" s="1" t="str">
        <f t="shared" si="36"/>
        <v>ND</v>
      </c>
      <c r="BP20" s="1" t="str">
        <f t="shared" si="37"/>
        <v>ND</v>
      </c>
      <c r="BQ20" s="1" t="str">
        <f t="shared" si="38"/>
        <v>ND</v>
      </c>
      <c r="BR20" s="1" t="str">
        <f t="shared" si="39"/>
        <v>ND</v>
      </c>
      <c r="BS20" s="1" t="str">
        <f t="shared" si="40"/>
        <v>ND</v>
      </c>
      <c r="BT20" s="1" t="str">
        <f t="shared" si="41"/>
        <v>ND</v>
      </c>
      <c r="BU20" s="1" t="str">
        <f t="shared" si="42"/>
        <v>ND</v>
      </c>
      <c r="BV20" s="1" t="str">
        <f t="shared" si="43"/>
        <v>ND</v>
      </c>
      <c r="BW20" s="1" t="str">
        <f t="shared" si="44"/>
        <v>ND</v>
      </c>
      <c r="BX20" s="1" t="str">
        <f t="shared" si="45"/>
        <v>ND</v>
      </c>
      <c r="BY20" s="1" t="str">
        <f t="shared" si="46"/>
        <v>ND</v>
      </c>
      <c r="BZ20" s="1" t="str">
        <f t="shared" si="47"/>
        <v>ND</v>
      </c>
      <c r="CA20" s="1" t="str">
        <f t="shared" si="48"/>
        <v>ND</v>
      </c>
      <c r="CB20" s="1" t="str">
        <f t="shared" si="48"/>
        <v>ND</v>
      </c>
      <c r="CC20" s="1" t="str">
        <f t="shared" si="48"/>
        <v>ND</v>
      </c>
      <c r="CD20" s="1" t="str">
        <f t="shared" si="48"/>
        <v>ND</v>
      </c>
      <c r="CE20" s="1" t="str">
        <f t="shared" si="48"/>
        <v>ND</v>
      </c>
      <c r="CF20" s="1" t="str">
        <f t="shared" si="48"/>
        <v>ND</v>
      </c>
      <c r="CG20" s="1" t="str">
        <f t="shared" si="48"/>
        <v>ND</v>
      </c>
      <c r="CH20" s="1" t="str">
        <f t="shared" si="48"/>
        <v>ND</v>
      </c>
      <c r="CI20" s="1" t="str">
        <f t="shared" si="48"/>
        <v>ND</v>
      </c>
      <c r="CJ20" s="1" t="str">
        <f t="shared" si="48"/>
        <v>ND</v>
      </c>
      <c r="CK20" s="1" t="str">
        <f t="shared" si="48"/>
        <v>ND</v>
      </c>
      <c r="CL20" s="1" t="str">
        <f t="shared" si="49"/>
        <v>ND</v>
      </c>
      <c r="CM20" s="1" t="str">
        <f t="shared" si="49"/>
        <v>ND</v>
      </c>
      <c r="CN20" s="1" t="str">
        <f t="shared" si="49"/>
        <v>ND</v>
      </c>
      <c r="CO20" s="1" t="str">
        <f t="shared" si="49"/>
        <v>ND</v>
      </c>
      <c r="CP20" s="1" t="str">
        <f t="shared" si="49"/>
        <v>ND</v>
      </c>
      <c r="CQ20" s="1" t="str">
        <f t="shared" si="49"/>
        <v>ND</v>
      </c>
      <c r="CR20" s="1" t="str">
        <f t="shared" si="49"/>
        <v>ND</v>
      </c>
      <c r="CS20" s="1" t="str">
        <f t="shared" si="49"/>
        <v>ND</v>
      </c>
      <c r="CT20" s="1" t="str">
        <f t="shared" si="49"/>
        <v>ND</v>
      </c>
      <c r="CU20" s="1" t="str">
        <f t="shared" si="49"/>
        <v>ND</v>
      </c>
      <c r="CV20" s="1" t="str">
        <f t="shared" si="49"/>
        <v>ND</v>
      </c>
      <c r="CW20" s="1" t="str">
        <f t="shared" si="50"/>
        <v>ND</v>
      </c>
      <c r="CX20" s="1" t="str">
        <f t="shared" si="51"/>
        <v>ND</v>
      </c>
      <c r="CY20" s="1" t="str">
        <f t="shared" si="52"/>
        <v>ND</v>
      </c>
      <c r="CZ20" s="1" t="str">
        <f t="shared" si="53"/>
        <v>ND</v>
      </c>
      <c r="DA20" s="1" t="str">
        <f t="shared" si="54"/>
        <v>ND</v>
      </c>
      <c r="DB20" s="1" t="str">
        <f t="shared" si="55"/>
        <v>ND</v>
      </c>
      <c r="DC20" s="1" t="str">
        <f t="shared" si="56"/>
        <v>ND</v>
      </c>
      <c r="DD20" s="1" t="str">
        <f t="shared" si="57"/>
        <v>ND</v>
      </c>
      <c r="DE20" s="1" t="str">
        <f t="shared" si="58"/>
        <v>ND</v>
      </c>
      <c r="DF20" s="1" t="str">
        <f t="shared" si="59"/>
        <v>ND</v>
      </c>
      <c r="DG20" s="1" t="str">
        <f t="shared" si="60"/>
        <v>ND</v>
      </c>
      <c r="DH20" s="1" t="str">
        <f t="shared" si="61"/>
        <v>ND</v>
      </c>
      <c r="DI20" s="1" t="str">
        <f t="shared" si="62"/>
        <v>ND</v>
      </c>
      <c r="DJ20" s="1" t="str">
        <f t="shared" si="63"/>
        <v>ND</v>
      </c>
      <c r="DK20" s="1" t="str">
        <f t="shared" si="64"/>
        <v>ND</v>
      </c>
      <c r="DL20" s="1" t="str">
        <f t="shared" si="65"/>
        <v>ND</v>
      </c>
      <c r="DM20" s="1" t="str">
        <f t="shared" si="66"/>
        <v>ND</v>
      </c>
      <c r="DN20" s="1" t="str">
        <f t="shared" si="67"/>
        <v>ND</v>
      </c>
      <c r="DO20" s="1" t="str">
        <f t="shared" si="68"/>
        <v>ND</v>
      </c>
      <c r="DP20" s="1" t="str">
        <f t="shared" si="69"/>
        <v>ND</v>
      </c>
      <c r="DQ20" s="1" t="str">
        <f t="shared" si="70"/>
        <v>ND</v>
      </c>
      <c r="DR20" s="1" t="str">
        <f t="shared" si="71"/>
        <v>ND</v>
      </c>
      <c r="DS20" s="1" t="str">
        <f t="shared" si="72"/>
        <v>ND</v>
      </c>
      <c r="DT20" s="1" t="str">
        <f t="shared" si="73"/>
        <v>ND</v>
      </c>
      <c r="DU20" s="1" t="str">
        <f t="shared" si="74"/>
        <v>ND</v>
      </c>
      <c r="DV20" s="1" t="str">
        <f t="shared" si="75"/>
        <v>ND</v>
      </c>
      <c r="DW20" s="1" t="str">
        <f t="shared" si="76"/>
        <v>ND</v>
      </c>
      <c r="DX20" s="1" t="str">
        <f t="shared" si="77"/>
        <v>ND</v>
      </c>
      <c r="DY20" s="1" t="str">
        <f t="shared" si="78"/>
        <v>ND</v>
      </c>
      <c r="DZ20" s="1" t="str">
        <f t="shared" si="79"/>
        <v>ND</v>
      </c>
      <c r="EA20" s="1" t="str">
        <f t="shared" si="80"/>
        <v>ND</v>
      </c>
      <c r="EB20" s="1" t="str">
        <f t="shared" si="81"/>
        <v>ND</v>
      </c>
      <c r="EC20" s="1" t="str">
        <f t="shared" si="82"/>
        <v>ND</v>
      </c>
      <c r="ED20" s="1" t="str">
        <f t="shared" si="83"/>
        <v>ND</v>
      </c>
      <c r="EE20" s="1" t="str">
        <f t="shared" si="84"/>
        <v>ND</v>
      </c>
      <c r="EF20" s="1" t="str">
        <f t="shared" si="85"/>
        <v>ND</v>
      </c>
      <c r="EG20" s="1" t="str">
        <f t="shared" si="86"/>
        <v>ND</v>
      </c>
      <c r="EH20" s="1" t="str">
        <f t="shared" si="87"/>
        <v>ND</v>
      </c>
      <c r="EI20" s="1" t="str">
        <f t="shared" si="88"/>
        <v>ND</v>
      </c>
      <c r="EJ20" s="1" t="str">
        <f t="shared" si="89"/>
        <v>ND</v>
      </c>
      <c r="EK20" s="1" t="str">
        <f t="shared" si="90"/>
        <v>ND</v>
      </c>
      <c r="EL20" s="1" t="str">
        <f t="shared" si="91"/>
        <v>ND</v>
      </c>
      <c r="EM20" s="1" t="str">
        <f t="shared" si="92"/>
        <v>ND</v>
      </c>
      <c r="EN20" s="1" t="str">
        <f t="shared" si="93"/>
        <v>ND</v>
      </c>
      <c r="EO20" s="1" t="str">
        <f t="shared" si="94"/>
        <v>ND</v>
      </c>
      <c r="EP20" s="1" t="str">
        <f t="shared" si="94"/>
        <v>ND</v>
      </c>
      <c r="EQ20" s="1" t="str">
        <f t="shared" si="94"/>
        <v>ND</v>
      </c>
      <c r="ER20" s="1" t="str">
        <f t="shared" si="94"/>
        <v>ND</v>
      </c>
      <c r="ES20" s="1" t="str">
        <f t="shared" si="94"/>
        <v>ND</v>
      </c>
      <c r="ET20" s="1" t="str">
        <f t="shared" si="94"/>
        <v>ND</v>
      </c>
      <c r="EU20" s="1" t="str">
        <f t="shared" si="94"/>
        <v>ND</v>
      </c>
      <c r="EV20" s="1" t="str">
        <f t="shared" si="94"/>
        <v>ND</v>
      </c>
      <c r="EW20" s="1" t="str">
        <f t="shared" si="94"/>
        <v>ND</v>
      </c>
      <c r="EX20" s="1" t="str">
        <f t="shared" si="94"/>
        <v>ND</v>
      </c>
      <c r="EY20" s="1" t="str">
        <f t="shared" si="94"/>
        <v>ND</v>
      </c>
      <c r="EZ20" s="1" t="str">
        <f t="shared" si="95"/>
        <v>ND</v>
      </c>
      <c r="FA20" s="1" t="str">
        <f t="shared" si="95"/>
        <v>ND</v>
      </c>
      <c r="FB20" s="1" t="str">
        <f t="shared" si="95"/>
        <v>ND</v>
      </c>
      <c r="FC20" s="1" t="str">
        <f t="shared" si="95"/>
        <v>ND</v>
      </c>
      <c r="FD20" s="1" t="str">
        <f t="shared" si="95"/>
        <v>ND</v>
      </c>
      <c r="FE20" s="1" t="str">
        <f t="shared" si="95"/>
        <v>ND</v>
      </c>
      <c r="FF20" s="1" t="str">
        <f t="shared" si="95"/>
        <v>ND</v>
      </c>
      <c r="FG20" s="1" t="str">
        <f t="shared" si="95"/>
        <v>ND</v>
      </c>
      <c r="FH20" s="1" t="str">
        <f t="shared" si="95"/>
        <v>ND</v>
      </c>
      <c r="FI20" s="1" t="str">
        <f t="shared" si="95"/>
        <v>ND</v>
      </c>
      <c r="FJ20" s="1" t="str">
        <f t="shared" si="95"/>
        <v>ND</v>
      </c>
      <c r="FK20" s="1" t="str">
        <f t="shared" si="96"/>
        <v>ND</v>
      </c>
      <c r="FL20" s="1" t="str">
        <f t="shared" si="96"/>
        <v>ND</v>
      </c>
      <c r="FM20" s="1" t="str">
        <f t="shared" si="96"/>
        <v>ND</v>
      </c>
      <c r="FN20" s="1" t="str">
        <f t="shared" si="96"/>
        <v>ND</v>
      </c>
      <c r="FO20" s="1" t="str">
        <f t="shared" si="96"/>
        <v>ND</v>
      </c>
      <c r="FP20" s="1" t="str">
        <f t="shared" si="96"/>
        <v>ND</v>
      </c>
      <c r="FQ20" s="1" t="str">
        <f t="shared" si="96"/>
        <v>ND</v>
      </c>
      <c r="FR20" s="1" t="str">
        <f t="shared" si="96"/>
        <v>ND</v>
      </c>
      <c r="FS20" s="1" t="str">
        <f t="shared" si="96"/>
        <v>ND</v>
      </c>
      <c r="FT20" s="1" t="str">
        <f t="shared" si="96"/>
        <v>ND</v>
      </c>
      <c r="FU20" s="1" t="str">
        <f t="shared" si="96"/>
        <v>ND</v>
      </c>
      <c r="FV20" s="1" t="str">
        <f t="shared" si="97"/>
        <v>ND</v>
      </c>
      <c r="FW20" s="1" t="str">
        <f t="shared" si="98"/>
        <v>ND</v>
      </c>
      <c r="FX20" s="1" t="str">
        <f t="shared" si="99"/>
        <v>ND</v>
      </c>
      <c r="FY20" s="1" t="str">
        <f t="shared" si="100"/>
        <v>ND</v>
      </c>
      <c r="FZ20" s="1" t="str">
        <f t="shared" si="101"/>
        <v>ND</v>
      </c>
      <c r="GA20" s="1" t="str">
        <f t="shared" si="102"/>
        <v>ND</v>
      </c>
      <c r="GB20" s="1" t="str">
        <f t="shared" si="103"/>
        <v>ND</v>
      </c>
      <c r="GC20" s="1" t="str">
        <f t="shared" si="104"/>
        <v>ND</v>
      </c>
      <c r="GD20" s="1" t="str">
        <f t="shared" si="105"/>
        <v>ND</v>
      </c>
      <c r="GE20" s="1" t="str">
        <f t="shared" si="106"/>
        <v>ND</v>
      </c>
      <c r="GF20" s="1" t="str">
        <f t="shared" si="107"/>
        <v>ND</v>
      </c>
      <c r="GG20" s="1" t="str">
        <f t="shared" si="108"/>
        <v>ND</v>
      </c>
      <c r="GH20" s="1" t="str">
        <f t="shared" si="109"/>
        <v>ND</v>
      </c>
      <c r="GI20" s="1" t="str">
        <f t="shared" si="110"/>
        <v>ND</v>
      </c>
      <c r="GJ20" s="1" t="str">
        <f t="shared" si="111"/>
        <v>ND</v>
      </c>
      <c r="GK20" s="1" t="str">
        <f t="shared" si="112"/>
        <v>ND</v>
      </c>
      <c r="GL20" s="1" t="str">
        <f t="shared" si="113"/>
        <v>ND</v>
      </c>
      <c r="GM20" s="1" t="str">
        <f t="shared" si="114"/>
        <v>ND</v>
      </c>
      <c r="GN20" s="1" t="str">
        <f t="shared" si="115"/>
        <v>ND</v>
      </c>
      <c r="GO20" s="1" t="str">
        <f t="shared" si="116"/>
        <v>ND</v>
      </c>
      <c r="GP20" s="1" t="str">
        <f t="shared" si="117"/>
        <v>ND</v>
      </c>
      <c r="GQ20" s="1" t="str">
        <f t="shared" si="118"/>
        <v>ND</v>
      </c>
      <c r="GR20" s="1" t="str">
        <f t="shared" si="119"/>
        <v>ND</v>
      </c>
      <c r="GS20" s="1" t="str">
        <f t="shared" si="120"/>
        <v>ND</v>
      </c>
      <c r="GT20" s="1" t="str">
        <f t="shared" si="121"/>
        <v>ND</v>
      </c>
      <c r="GU20" s="1" t="str">
        <f t="shared" si="122"/>
        <v>ND</v>
      </c>
      <c r="GV20" s="1" t="str">
        <f t="shared" si="123"/>
        <v>ND</v>
      </c>
      <c r="GW20" s="1" t="str">
        <f t="shared" si="124"/>
        <v>ND</v>
      </c>
      <c r="GX20" s="1" t="str">
        <f t="shared" si="125"/>
        <v>ND</v>
      </c>
      <c r="GY20" s="1" t="str">
        <f t="shared" si="126"/>
        <v>ND</v>
      </c>
      <c r="GZ20" s="1" t="str">
        <f t="shared" si="127"/>
        <v>ND</v>
      </c>
      <c r="HA20" s="1" t="str">
        <f t="shared" si="128"/>
        <v>ND</v>
      </c>
      <c r="HB20" s="1" t="str">
        <f t="shared" si="129"/>
        <v>ND</v>
      </c>
      <c r="HC20" s="1" t="str">
        <f t="shared" si="130"/>
        <v>ND</v>
      </c>
      <c r="HD20" s="1" t="str">
        <f t="shared" si="131"/>
        <v>ND</v>
      </c>
      <c r="HE20" s="1" t="str">
        <f t="shared" si="132"/>
        <v>ND</v>
      </c>
      <c r="HF20" s="1" t="str">
        <f t="shared" si="133"/>
        <v>ND</v>
      </c>
      <c r="HG20" s="1" t="str">
        <f t="shared" si="134"/>
        <v>ND</v>
      </c>
      <c r="HH20" s="1" t="str">
        <f t="shared" si="135"/>
        <v>ND</v>
      </c>
      <c r="HI20" s="1" t="str">
        <f t="shared" si="136"/>
        <v>ND</v>
      </c>
      <c r="HJ20" s="1" t="str">
        <f t="shared" si="137"/>
        <v>ND</v>
      </c>
      <c r="HK20" s="1" t="str">
        <f t="shared" si="138"/>
        <v>ND</v>
      </c>
      <c r="HL20" s="1" t="str">
        <f t="shared" si="139"/>
        <v>ND</v>
      </c>
      <c r="HM20" s="1" t="str">
        <f t="shared" si="140"/>
        <v>ND</v>
      </c>
      <c r="HN20" s="1" t="str">
        <f t="shared" si="141"/>
        <v>ND</v>
      </c>
      <c r="HO20" s="1" t="str">
        <f t="shared" si="142"/>
        <v>ND</v>
      </c>
      <c r="HP20" s="1" t="str">
        <f t="shared" si="143"/>
        <v>ND</v>
      </c>
      <c r="HQ20" s="1" t="str">
        <f t="shared" si="144"/>
        <v>ND</v>
      </c>
      <c r="HR20" s="1" t="str">
        <f t="shared" si="145"/>
        <v>ND</v>
      </c>
      <c r="HS20" s="1" t="str">
        <f t="shared" si="146"/>
        <v>ND</v>
      </c>
      <c r="HT20" s="1" t="str">
        <f t="shared" si="147"/>
        <v>ND</v>
      </c>
      <c r="HU20" s="1" t="str">
        <f t="shared" si="148"/>
        <v>ND</v>
      </c>
      <c r="HV20" s="1" t="str">
        <f t="shared" si="149"/>
        <v>ND</v>
      </c>
      <c r="HW20" s="1" t="str">
        <f t="shared" si="150"/>
        <v>ND</v>
      </c>
      <c r="HX20" s="1" t="str">
        <f t="shared" si="151"/>
        <v>ND</v>
      </c>
      <c r="HY20" s="1" t="str">
        <f t="shared" si="152"/>
        <v>ND</v>
      </c>
      <c r="HZ20" s="1" t="str">
        <f t="shared" si="153"/>
        <v>ND</v>
      </c>
      <c r="IA20" s="1" t="str">
        <f t="shared" si="154"/>
        <v>ND</v>
      </c>
      <c r="IB20" s="1" t="str">
        <f t="shared" si="155"/>
        <v>ND</v>
      </c>
      <c r="IC20" s="1" t="str">
        <f t="shared" si="156"/>
        <v>ND</v>
      </c>
      <c r="ID20" s="1" t="str">
        <f t="shared" si="157"/>
        <v>ND</v>
      </c>
      <c r="IE20" s="1" t="str">
        <f t="shared" si="158"/>
        <v>ND</v>
      </c>
      <c r="IF20" s="1" t="str">
        <f t="shared" si="159"/>
        <v>ND</v>
      </c>
      <c r="IG20" s="1" t="str">
        <f t="shared" si="160"/>
        <v>ND</v>
      </c>
      <c r="IH20" s="1" t="str">
        <f t="shared" si="161"/>
        <v>ND</v>
      </c>
      <c r="II20" s="1" t="str">
        <f t="shared" si="162"/>
        <v>ND</v>
      </c>
    </row>
    <row r="21" spans="3:243" x14ac:dyDescent="0.25">
      <c r="C21" t="s">
        <v>603</v>
      </c>
      <c r="D21">
        <f>SUMIFS(DICCIONARIO[Cantidad],DICCIONARIO[Modelo],UNIFICADA[[#This Row],[Equipo]])</f>
        <v>16</v>
      </c>
      <c r="E21" s="1">
        <f>IFERROR(VLOOKUP($C21,EQUIPOS[],UNIFICADO!E$9,0),"")</f>
        <v>12</v>
      </c>
      <c r="F21" s="1">
        <f>IFERROR(VLOOKUP($C21,EQUIPOS[],UNIFICADO!F$9,0),"")</f>
        <v>6.43</v>
      </c>
      <c r="G21" s="1">
        <f>IFERROR(VLOOKUP($C21,EQUIPOS[],UNIFICADO!G$9,0),"")</f>
        <v>64</v>
      </c>
      <c r="H21" s="1">
        <f>IFERROR(VLOOKUP($C21,EQUIPOS[],UNIFICADO!H$9,0),"")</f>
        <v>3</v>
      </c>
      <c r="I21" s="1">
        <f>IFERROR(VLOOKUP($C21,EQUIPOS[],UNIFICADO!I$9,0),"")</f>
        <v>32</v>
      </c>
      <c r="J21" s="1" t="str">
        <f>IFERROR(VLOOKUP($C21,EQUIPOS[],UNIFICADO!J$9,0),"")</f>
        <v>256GB</v>
      </c>
      <c r="K21" s="1">
        <f>IFERROR(VLOOKUP($C21,EQUIPOS[],UNIFICADO!K$9,0),"")</f>
        <v>256</v>
      </c>
      <c r="L21" s="1">
        <f>IFERROR(VLOOKUP($C21,EQUIPOS[],UNIFICADO!L$9,0),"")</f>
        <v>8</v>
      </c>
      <c r="M21" s="1" t="str">
        <f>IFERROR(VLOOKUP($C21,EQUIPOS[],UNIFICADO!M$9,0),"")</f>
        <v>2.4/1.9</v>
      </c>
      <c r="N21" s="1">
        <f>IFERROR(VLOOKUP($C21,EQUIPOS[],UNIFICADO!N$9,0),"")</f>
        <v>8</v>
      </c>
      <c r="O21" s="1">
        <f>IFERROR(VLOOKUP($C21,EQUIPOS[],UNIFICADO!O$9,0),"")</f>
        <v>175</v>
      </c>
      <c r="P21" s="1">
        <f>IFERROR(VLOOKUP($C21,EQUIPOS[],UNIFICADO!P$9,0),"")</f>
        <v>15.9</v>
      </c>
      <c r="Q21" s="1">
        <f>IFERROR(VLOOKUP($C21,EQUIPOS[],UNIFICADO!Q$9,0),"")</f>
        <v>7.32</v>
      </c>
      <c r="R21" s="1">
        <f>IFERROR(VLOOKUP($C21,EQUIPOS[],UNIFICADO!R$9,0),"")</f>
        <v>0.75</v>
      </c>
      <c r="S21" s="1">
        <f>IFERROR(VLOOKUP($C21,EQUIPOS[],UNIFICADO!S$9,0),"")</f>
        <v>4500</v>
      </c>
      <c r="T21" s="1">
        <f>IFERROR(VLOOKUP($C21,EQUIPOS[],UNIFICADO!T$9,0),"")</f>
        <v>4</v>
      </c>
      <c r="U21" s="1">
        <f>VLOOKUP(UNIFICADA[[#This Row],[Equipo]],EQUIPOS[],19,0)</f>
        <v>11</v>
      </c>
      <c r="V21" s="1" t="str">
        <f t="shared" si="0"/>
        <v>ND</v>
      </c>
      <c r="W21" s="1" t="str">
        <f t="shared" si="1"/>
        <v>ND</v>
      </c>
      <c r="X21" s="1" t="str">
        <f t="shared" si="2"/>
        <v>ND</v>
      </c>
      <c r="Y21" s="1" t="str">
        <f t="shared" si="2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4"/>
        <v>ND</v>
      </c>
      <c r="AJ21" s="1" t="str">
        <f t="shared" si="5"/>
        <v>ND</v>
      </c>
      <c r="AK21" s="1" t="str">
        <f t="shared" si="6"/>
        <v>ND</v>
      </c>
      <c r="AL21" s="1" t="str">
        <f t="shared" si="7"/>
        <v>ND</v>
      </c>
      <c r="AM21" s="1" t="str">
        <f t="shared" si="8"/>
        <v>ND</v>
      </c>
      <c r="AN21" s="1" t="str">
        <f t="shared" si="9"/>
        <v>ND</v>
      </c>
      <c r="AO21" s="1" t="str">
        <f t="shared" si="10"/>
        <v>ND</v>
      </c>
      <c r="AP21" s="1" t="str">
        <f t="shared" si="11"/>
        <v>ND</v>
      </c>
      <c r="AQ21" s="1" t="str">
        <f t="shared" si="12"/>
        <v>ND</v>
      </c>
      <c r="AR21" s="1" t="str">
        <f t="shared" si="13"/>
        <v>ND</v>
      </c>
      <c r="AS21" s="1" t="str">
        <f t="shared" si="14"/>
        <v>ND</v>
      </c>
      <c r="AT21" s="1" t="str">
        <f t="shared" si="15"/>
        <v>ND</v>
      </c>
      <c r="AU21" s="1" t="str">
        <f t="shared" si="16"/>
        <v>ND</v>
      </c>
      <c r="AV21" s="1" t="str">
        <f t="shared" si="17"/>
        <v>ND</v>
      </c>
      <c r="AW21" s="1" t="str">
        <f t="shared" si="18"/>
        <v>ND</v>
      </c>
      <c r="AX21" s="1" t="str">
        <f t="shared" si="19"/>
        <v>ND</v>
      </c>
      <c r="AY21" s="1" t="str">
        <f t="shared" si="20"/>
        <v>ND</v>
      </c>
      <c r="AZ21" s="1" t="str">
        <f t="shared" si="21"/>
        <v>ND</v>
      </c>
      <c r="BA21" s="1" t="str">
        <f t="shared" si="22"/>
        <v>ND</v>
      </c>
      <c r="BB21" s="1" t="str">
        <f t="shared" si="23"/>
        <v>ND</v>
      </c>
      <c r="BC21" s="1" t="str">
        <f t="shared" si="24"/>
        <v>ND</v>
      </c>
      <c r="BD21" s="1" t="str">
        <f t="shared" si="25"/>
        <v>ND</v>
      </c>
      <c r="BE21" s="1" t="str">
        <f t="shared" si="26"/>
        <v>ND</v>
      </c>
      <c r="BF21" s="1" t="str">
        <f t="shared" si="27"/>
        <v>ND</v>
      </c>
      <c r="BG21" s="1" t="str">
        <f t="shared" si="28"/>
        <v>ND</v>
      </c>
      <c r="BH21" s="1" t="str">
        <f t="shared" si="29"/>
        <v>ND</v>
      </c>
      <c r="BI21" s="1" t="str">
        <f t="shared" si="30"/>
        <v>ND</v>
      </c>
      <c r="BJ21" s="1" t="str">
        <f t="shared" si="31"/>
        <v>ND</v>
      </c>
      <c r="BK21" s="1" t="str">
        <f t="shared" si="32"/>
        <v>ND</v>
      </c>
      <c r="BL21" s="1" t="str">
        <f t="shared" si="33"/>
        <v>ND</v>
      </c>
      <c r="BM21" s="1" t="str">
        <f t="shared" si="34"/>
        <v>ND</v>
      </c>
      <c r="BN21" s="1" t="str">
        <f t="shared" si="35"/>
        <v>ND</v>
      </c>
      <c r="BO21" s="1" t="str">
        <f t="shared" si="36"/>
        <v>ND</v>
      </c>
      <c r="BP21" s="1" t="str">
        <f t="shared" si="37"/>
        <v>ND</v>
      </c>
      <c r="BQ21" s="1" t="str">
        <f t="shared" si="38"/>
        <v>ND</v>
      </c>
      <c r="BR21" s="1" t="str">
        <f t="shared" si="39"/>
        <v>ND</v>
      </c>
      <c r="BS21" s="1" t="str">
        <f t="shared" si="40"/>
        <v>ND</v>
      </c>
      <c r="BT21" s="1" t="str">
        <f t="shared" si="41"/>
        <v>ND</v>
      </c>
      <c r="BU21" s="1" t="str">
        <f t="shared" si="42"/>
        <v>ND</v>
      </c>
      <c r="BV21" s="1" t="str">
        <f t="shared" si="43"/>
        <v>ND</v>
      </c>
      <c r="BW21" s="1" t="str">
        <f t="shared" si="44"/>
        <v>ND</v>
      </c>
      <c r="BX21" s="1" t="str">
        <f t="shared" si="45"/>
        <v>ND</v>
      </c>
      <c r="BY21" s="1" t="str">
        <f t="shared" si="46"/>
        <v>ND</v>
      </c>
      <c r="BZ21" s="1" t="str">
        <f t="shared" si="47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50"/>
        <v>ND</v>
      </c>
      <c r="CX21" s="1" t="str">
        <f t="shared" si="51"/>
        <v>ND</v>
      </c>
      <c r="CY21" s="1" t="str">
        <f t="shared" si="52"/>
        <v>ND</v>
      </c>
      <c r="CZ21" s="1" t="str">
        <f t="shared" si="53"/>
        <v>ND</v>
      </c>
      <c r="DA21" s="1" t="str">
        <f t="shared" si="54"/>
        <v>ND</v>
      </c>
      <c r="DB21" s="1" t="str">
        <f t="shared" si="55"/>
        <v>ND</v>
      </c>
      <c r="DC21" s="1" t="str">
        <f t="shared" si="56"/>
        <v>ND</v>
      </c>
      <c r="DD21" s="1" t="str">
        <f t="shared" si="57"/>
        <v>ND</v>
      </c>
      <c r="DE21" s="1" t="str">
        <f t="shared" si="58"/>
        <v>ND</v>
      </c>
      <c r="DF21" s="1" t="str">
        <f t="shared" si="59"/>
        <v>ND</v>
      </c>
      <c r="DG21" s="1" t="str">
        <f t="shared" si="60"/>
        <v>ND</v>
      </c>
      <c r="DH21" s="1" t="str">
        <f t="shared" si="61"/>
        <v>ND</v>
      </c>
      <c r="DI21" s="1" t="str">
        <f t="shared" si="62"/>
        <v>ND</v>
      </c>
      <c r="DJ21" s="1" t="str">
        <f t="shared" si="63"/>
        <v>ND</v>
      </c>
      <c r="DK21" s="1" t="str">
        <f t="shared" si="64"/>
        <v>ND</v>
      </c>
      <c r="DL21" s="1" t="str">
        <f t="shared" si="65"/>
        <v>ND</v>
      </c>
      <c r="DM21" s="1" t="str">
        <f t="shared" si="66"/>
        <v>ND</v>
      </c>
      <c r="DN21" s="1" t="str">
        <f t="shared" si="67"/>
        <v>ND</v>
      </c>
      <c r="DO21" s="1" t="str">
        <f t="shared" si="68"/>
        <v>ND</v>
      </c>
      <c r="DP21" s="1" t="str">
        <f t="shared" si="69"/>
        <v>ND</v>
      </c>
      <c r="DQ21" s="1" t="str">
        <f t="shared" si="70"/>
        <v>ND</v>
      </c>
      <c r="DR21" s="1" t="str">
        <f t="shared" si="71"/>
        <v>ND</v>
      </c>
      <c r="DS21" s="1" t="str">
        <f t="shared" si="72"/>
        <v>ND</v>
      </c>
      <c r="DT21" s="1" t="str">
        <f t="shared" si="73"/>
        <v>ND</v>
      </c>
      <c r="DU21" s="1" t="str">
        <f t="shared" si="74"/>
        <v>ND</v>
      </c>
      <c r="DV21" s="1" t="str">
        <f t="shared" si="75"/>
        <v>ND</v>
      </c>
      <c r="DW21" s="1" t="str">
        <f t="shared" si="76"/>
        <v>ND</v>
      </c>
      <c r="DX21" s="1" t="str">
        <f t="shared" si="77"/>
        <v>ND</v>
      </c>
      <c r="DY21" s="1" t="str">
        <f t="shared" si="78"/>
        <v>ND</v>
      </c>
      <c r="DZ21" s="1" t="str">
        <f t="shared" si="79"/>
        <v>ND</v>
      </c>
      <c r="EA21" s="1" t="str">
        <f t="shared" si="80"/>
        <v>ND</v>
      </c>
      <c r="EB21" s="1" t="str">
        <f t="shared" si="81"/>
        <v>ND</v>
      </c>
      <c r="EC21" s="1" t="str">
        <f t="shared" si="82"/>
        <v>ND</v>
      </c>
      <c r="ED21" s="1" t="str">
        <f t="shared" si="83"/>
        <v>ND</v>
      </c>
      <c r="EE21" s="1" t="str">
        <f t="shared" si="84"/>
        <v>ND</v>
      </c>
      <c r="EF21" s="1" t="str">
        <f t="shared" si="85"/>
        <v>ND</v>
      </c>
      <c r="EG21" s="1" t="str">
        <f t="shared" si="86"/>
        <v>ND</v>
      </c>
      <c r="EH21" s="1" t="str">
        <f t="shared" si="87"/>
        <v>ND</v>
      </c>
      <c r="EI21" s="1" t="str">
        <f t="shared" si="88"/>
        <v>ND</v>
      </c>
      <c r="EJ21" s="1" t="str">
        <f t="shared" si="89"/>
        <v>ND</v>
      </c>
      <c r="EK21" s="1" t="str">
        <f t="shared" si="90"/>
        <v>ND</v>
      </c>
      <c r="EL21" s="1" t="str">
        <f t="shared" si="91"/>
        <v>ND</v>
      </c>
      <c r="EM21" s="1" t="str">
        <f t="shared" si="92"/>
        <v>ND</v>
      </c>
      <c r="EN21" s="1" t="str">
        <f t="shared" si="93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7"/>
        <v>ND</v>
      </c>
      <c r="FW21" s="1" t="str">
        <f t="shared" si="98"/>
        <v>ND</v>
      </c>
      <c r="FX21" s="1" t="str">
        <f t="shared" si="99"/>
        <v>ND</v>
      </c>
      <c r="FY21" s="1" t="str">
        <f t="shared" si="100"/>
        <v>ND</v>
      </c>
      <c r="FZ21" s="1" t="str">
        <f t="shared" si="101"/>
        <v>ND</v>
      </c>
      <c r="GA21" s="1" t="str">
        <f t="shared" si="102"/>
        <v>ND</v>
      </c>
      <c r="GB21" s="1" t="str">
        <f t="shared" si="103"/>
        <v>ND</v>
      </c>
      <c r="GC21" s="1" t="str">
        <f t="shared" si="104"/>
        <v>ND</v>
      </c>
      <c r="GD21" s="1" t="str">
        <f t="shared" si="105"/>
        <v>ND</v>
      </c>
      <c r="GE21" s="1" t="str">
        <f t="shared" si="106"/>
        <v>ND</v>
      </c>
      <c r="GF21" s="1" t="str">
        <f t="shared" si="107"/>
        <v>ND</v>
      </c>
      <c r="GG21" s="1" t="str">
        <f t="shared" si="108"/>
        <v>ND</v>
      </c>
      <c r="GH21" s="1" t="str">
        <f t="shared" si="109"/>
        <v>ND</v>
      </c>
      <c r="GI21" s="1" t="str">
        <f t="shared" si="110"/>
        <v>ND</v>
      </c>
      <c r="GJ21" s="1" t="str">
        <f t="shared" si="111"/>
        <v>ND</v>
      </c>
      <c r="GK21" s="1" t="str">
        <f t="shared" si="112"/>
        <v>ND</v>
      </c>
      <c r="GL21" s="1" t="str">
        <f t="shared" si="113"/>
        <v>ND</v>
      </c>
      <c r="GM21" s="1" t="str">
        <f t="shared" si="114"/>
        <v>ND</v>
      </c>
      <c r="GN21" s="1" t="str">
        <f t="shared" si="115"/>
        <v>ND</v>
      </c>
      <c r="GO21" s="1" t="str">
        <f t="shared" si="116"/>
        <v>ND</v>
      </c>
      <c r="GP21" s="1" t="str">
        <f t="shared" si="117"/>
        <v>ND</v>
      </c>
      <c r="GQ21" s="1" t="str">
        <f t="shared" si="118"/>
        <v>ND</v>
      </c>
      <c r="GR21" s="1" t="str">
        <f t="shared" si="119"/>
        <v>ND</v>
      </c>
      <c r="GS21" s="1" t="str">
        <f t="shared" si="120"/>
        <v>ND</v>
      </c>
      <c r="GT21" s="1" t="str">
        <f t="shared" si="121"/>
        <v>ND</v>
      </c>
      <c r="GU21" s="1" t="str">
        <f t="shared" si="122"/>
        <v>ND</v>
      </c>
      <c r="GV21" s="1" t="str">
        <f t="shared" si="123"/>
        <v>ND</v>
      </c>
      <c r="GW21" s="1" t="str">
        <f t="shared" si="124"/>
        <v>ND</v>
      </c>
      <c r="GX21" s="1" t="str">
        <f t="shared" si="125"/>
        <v>ND</v>
      </c>
      <c r="GY21" s="1" t="str">
        <f t="shared" si="126"/>
        <v>ND</v>
      </c>
      <c r="GZ21" s="1" t="str">
        <f t="shared" si="127"/>
        <v>ND</v>
      </c>
      <c r="HA21" s="1" t="str">
        <f t="shared" si="128"/>
        <v>ND</v>
      </c>
      <c r="HB21" s="1" t="str">
        <f t="shared" si="129"/>
        <v>ND</v>
      </c>
      <c r="HC21" s="1" t="str">
        <f t="shared" si="130"/>
        <v>ND</v>
      </c>
      <c r="HD21" s="1" t="str">
        <f t="shared" si="131"/>
        <v>ND</v>
      </c>
      <c r="HE21" s="1" t="str">
        <f t="shared" si="132"/>
        <v>ND</v>
      </c>
      <c r="HF21" s="1" t="str">
        <f t="shared" si="133"/>
        <v>ND</v>
      </c>
      <c r="HG21" s="1" t="str">
        <f t="shared" si="134"/>
        <v>ND</v>
      </c>
      <c r="HH21" s="1" t="str">
        <f t="shared" si="135"/>
        <v>ND</v>
      </c>
      <c r="HI21" s="1" t="str">
        <f t="shared" si="136"/>
        <v>ND</v>
      </c>
      <c r="HJ21" s="1" t="str">
        <f t="shared" si="137"/>
        <v>ND</v>
      </c>
      <c r="HK21" s="1" t="str">
        <f t="shared" si="138"/>
        <v>ND</v>
      </c>
      <c r="HL21" s="1" t="str">
        <f t="shared" si="139"/>
        <v>ND</v>
      </c>
      <c r="HM21" s="1" t="str">
        <f t="shared" si="140"/>
        <v>ND</v>
      </c>
      <c r="HN21" s="1" t="str">
        <f t="shared" si="141"/>
        <v>ND</v>
      </c>
      <c r="HO21" s="1" t="str">
        <f t="shared" si="142"/>
        <v>ND</v>
      </c>
      <c r="HP21" s="1" t="str">
        <f t="shared" si="143"/>
        <v>ND</v>
      </c>
      <c r="HQ21" s="1" t="str">
        <f t="shared" si="144"/>
        <v>ND</v>
      </c>
      <c r="HR21" s="1" t="str">
        <f t="shared" si="145"/>
        <v>ND</v>
      </c>
      <c r="HS21" s="1" t="str">
        <f t="shared" si="146"/>
        <v>ND</v>
      </c>
      <c r="HT21" s="1" t="str">
        <f t="shared" si="147"/>
        <v>ND</v>
      </c>
      <c r="HU21" s="1" t="str">
        <f t="shared" si="148"/>
        <v>ND</v>
      </c>
      <c r="HV21" s="1" t="str">
        <f t="shared" si="149"/>
        <v>ND</v>
      </c>
      <c r="HW21" s="1" t="str">
        <f t="shared" si="150"/>
        <v>ND</v>
      </c>
      <c r="HX21" s="1" t="str">
        <f t="shared" si="151"/>
        <v>ND</v>
      </c>
      <c r="HY21" s="1" t="str">
        <f t="shared" si="152"/>
        <v>ND</v>
      </c>
      <c r="HZ21" s="1" t="str">
        <f t="shared" si="153"/>
        <v>ND</v>
      </c>
      <c r="IA21" s="1" t="str">
        <f t="shared" si="154"/>
        <v>ND</v>
      </c>
      <c r="IB21" s="1" t="str">
        <f t="shared" si="155"/>
        <v>ND</v>
      </c>
      <c r="IC21" s="1" t="str">
        <f t="shared" si="156"/>
        <v>ND</v>
      </c>
      <c r="ID21" s="1" t="str">
        <f t="shared" si="157"/>
        <v>ND</v>
      </c>
      <c r="IE21" s="1" t="str">
        <f t="shared" si="158"/>
        <v>ND</v>
      </c>
      <c r="IF21" s="1" t="str">
        <f t="shared" si="159"/>
        <v>ND</v>
      </c>
      <c r="IG21" s="1" t="str">
        <f t="shared" si="160"/>
        <v>ND</v>
      </c>
      <c r="IH21" s="1" t="str">
        <f t="shared" si="161"/>
        <v>ND</v>
      </c>
      <c r="II21" s="1" t="str">
        <f t="shared" si="162"/>
        <v>ND</v>
      </c>
    </row>
    <row r="22" spans="3:243" x14ac:dyDescent="0.25">
      <c r="C22" t="s">
        <v>23</v>
      </c>
      <c r="D22">
        <f>SUMIFS(DICCIONARIO[Cantidad],DICCIONARIO[Modelo],UNIFICADA[[#This Row],[Equipo]])</f>
        <v>0</v>
      </c>
      <c r="E22" s="1">
        <f>IFERROR(VLOOKUP($C22,EQUIPOS[],UNIFICADO!E$9,0),"")</f>
        <v>10</v>
      </c>
      <c r="F22" s="1">
        <f>IFERROR(VLOOKUP($C22,EQUIPOS[],UNIFICADO!F$9,0),"")</f>
        <v>6.51</v>
      </c>
      <c r="G22" s="1">
        <f>IFERROR(VLOOKUP($C22,EQUIPOS[],UNIFICADO!G$9,0),"")</f>
        <v>13</v>
      </c>
      <c r="H22" s="1">
        <f>IFERROR(VLOOKUP($C22,EQUIPOS[],UNIFICADO!H$9,0),"")</f>
        <v>3</v>
      </c>
      <c r="I22" s="1">
        <f>IFERROR(VLOOKUP($C22,EQUIPOS[],UNIFICADO!I$9,0),"")</f>
        <v>16</v>
      </c>
      <c r="J22" s="1" t="str">
        <f>IFERROR(VLOOKUP($C22,EQUIPOS[],UNIFICADO!J$9,0),"")</f>
        <v>128GB</v>
      </c>
      <c r="K22" s="1">
        <f>IFERROR(VLOOKUP($C22,EQUIPOS[],UNIFICADO!K$9,0),"")</f>
        <v>256</v>
      </c>
      <c r="L22" s="1">
        <f>IFERROR(VLOOKUP($C22,EQUIPOS[],UNIFICADO!L$9,0),"")</f>
        <v>8</v>
      </c>
      <c r="M22" s="1" t="str">
        <f>IFERROR(VLOOKUP($C22,EQUIPOS[],UNIFICADO!M$9,0),"")</f>
        <v>2.35/1.8</v>
      </c>
      <c r="N22" s="1">
        <f>IFERROR(VLOOKUP($C22,EQUIPOS[],UNIFICADO!N$9,0),"")</f>
        <v>4</v>
      </c>
      <c r="O22" s="1">
        <f>IFERROR(VLOOKUP($C22,EQUIPOS[],UNIFICADO!O$9,0),"")</f>
        <v>192</v>
      </c>
      <c r="P22" s="1">
        <f>IFERROR(VLOOKUP($C22,EQUIPOS[],UNIFICADO!P$9,0),"")</f>
        <v>16.3</v>
      </c>
      <c r="Q22" s="1">
        <f>IFERROR(VLOOKUP($C22,EQUIPOS[],UNIFICADO!Q$9,0),"")</f>
        <v>7.57</v>
      </c>
      <c r="R22" s="1">
        <f>IFERROR(VLOOKUP($C22,EQUIPOS[],UNIFICADO!R$9,0),"")</f>
        <v>0.84</v>
      </c>
      <c r="S22" s="1">
        <f>IFERROR(VLOOKUP($C22,EQUIPOS[],UNIFICADO!S$9,0),"")</f>
        <v>5000</v>
      </c>
      <c r="T22" s="1">
        <f>IFERROR(VLOOKUP($C22,EQUIPOS[],UNIFICADO!T$9,0),"")</f>
        <v>4</v>
      </c>
      <c r="U22" s="1">
        <f>VLOOKUP(UNIFICADA[[#This Row],[Equipo]],EQUIPOS[],19,0)</f>
        <v>12</v>
      </c>
      <c r="V22" s="1" t="str">
        <f t="shared" si="0"/>
        <v>ND</v>
      </c>
      <c r="W22" s="1" t="str">
        <f t="shared" si="1"/>
        <v>ND</v>
      </c>
      <c r="X22" s="1" t="str">
        <f t="shared" si="2"/>
        <v>ND</v>
      </c>
      <c r="Y22" s="1" t="str">
        <f t="shared" si="2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4"/>
        <v>ND</v>
      </c>
      <c r="AJ22" s="1" t="str">
        <f t="shared" si="5"/>
        <v>ND</v>
      </c>
      <c r="AK22" s="1" t="str">
        <f t="shared" si="6"/>
        <v>ND</v>
      </c>
      <c r="AL22" s="1" t="str">
        <f t="shared" si="7"/>
        <v>ND</v>
      </c>
      <c r="AM22" s="1" t="str">
        <f t="shared" si="8"/>
        <v>ND</v>
      </c>
      <c r="AN22" s="1" t="str">
        <f t="shared" si="9"/>
        <v>ND</v>
      </c>
      <c r="AO22" s="1" t="str">
        <f t="shared" si="10"/>
        <v>ND</v>
      </c>
      <c r="AP22" s="1" t="str">
        <f t="shared" si="11"/>
        <v>ND</v>
      </c>
      <c r="AQ22" s="1" t="str">
        <f t="shared" si="12"/>
        <v>ND</v>
      </c>
      <c r="AR22" s="1" t="str">
        <f t="shared" si="13"/>
        <v>ND</v>
      </c>
      <c r="AS22" s="1" t="str">
        <f t="shared" si="14"/>
        <v>ND</v>
      </c>
      <c r="AT22" s="1" t="str">
        <f t="shared" si="15"/>
        <v>ND</v>
      </c>
      <c r="AU22" s="1" t="str">
        <f t="shared" si="16"/>
        <v>ND</v>
      </c>
      <c r="AV22" s="1" t="str">
        <f t="shared" si="17"/>
        <v>ND</v>
      </c>
      <c r="AW22" s="1" t="str">
        <f t="shared" si="18"/>
        <v>ND</v>
      </c>
      <c r="AX22" s="1" t="str">
        <f t="shared" si="19"/>
        <v>ND</v>
      </c>
      <c r="AY22" s="1" t="str">
        <f t="shared" si="20"/>
        <v>ND</v>
      </c>
      <c r="AZ22" s="1" t="str">
        <f t="shared" si="21"/>
        <v>ND</v>
      </c>
      <c r="BA22" s="1" t="str">
        <f t="shared" si="22"/>
        <v>ND</v>
      </c>
      <c r="BB22" s="1" t="str">
        <f t="shared" si="23"/>
        <v>ND</v>
      </c>
      <c r="BC22" s="1" t="str">
        <f t="shared" si="24"/>
        <v>ND</v>
      </c>
      <c r="BD22" s="1" t="str">
        <f t="shared" si="25"/>
        <v>ND</v>
      </c>
      <c r="BE22" s="1" t="str">
        <f t="shared" si="26"/>
        <v>ND</v>
      </c>
      <c r="BF22" s="1" t="str">
        <f t="shared" si="27"/>
        <v>ND</v>
      </c>
      <c r="BG22" s="1" t="str">
        <f t="shared" si="28"/>
        <v>ND</v>
      </c>
      <c r="BH22" s="1" t="str">
        <f t="shared" si="29"/>
        <v>ND</v>
      </c>
      <c r="BI22" s="1" t="str">
        <f t="shared" si="30"/>
        <v>ND</v>
      </c>
      <c r="BJ22" s="1" t="str">
        <f t="shared" si="31"/>
        <v>ND</v>
      </c>
      <c r="BK22" s="1" t="str">
        <f t="shared" si="32"/>
        <v>ND</v>
      </c>
      <c r="BL22" s="1" t="str">
        <f t="shared" si="33"/>
        <v>ND</v>
      </c>
      <c r="BM22" s="1" t="str">
        <f t="shared" si="34"/>
        <v>ND</v>
      </c>
      <c r="BN22" s="1" t="str">
        <f t="shared" si="35"/>
        <v>ND</v>
      </c>
      <c r="BO22" s="1" t="str">
        <f t="shared" si="36"/>
        <v>ND</v>
      </c>
      <c r="BP22" s="1" t="str">
        <f t="shared" si="37"/>
        <v>ND</v>
      </c>
      <c r="BQ22" s="1" t="str">
        <f t="shared" si="38"/>
        <v>ND</v>
      </c>
      <c r="BR22" s="1" t="str">
        <f t="shared" si="39"/>
        <v>ND</v>
      </c>
      <c r="BS22" s="1" t="str">
        <f t="shared" si="40"/>
        <v>ND</v>
      </c>
      <c r="BT22" s="1" t="str">
        <f t="shared" si="41"/>
        <v>ND</v>
      </c>
      <c r="BU22" s="1" t="str">
        <f t="shared" si="42"/>
        <v>ND</v>
      </c>
      <c r="BV22" s="1" t="str">
        <f t="shared" si="43"/>
        <v>ND</v>
      </c>
      <c r="BW22" s="1" t="str">
        <f t="shared" si="44"/>
        <v>ND</v>
      </c>
      <c r="BX22" s="1" t="str">
        <f t="shared" si="45"/>
        <v>ND</v>
      </c>
      <c r="BY22" s="1" t="str">
        <f t="shared" si="46"/>
        <v>ND</v>
      </c>
      <c r="BZ22" s="1" t="str">
        <f t="shared" si="47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50"/>
        <v>ND</v>
      </c>
      <c r="CX22" s="1" t="str">
        <f t="shared" si="51"/>
        <v>ND</v>
      </c>
      <c r="CY22" s="1" t="str">
        <f t="shared" si="52"/>
        <v>ND</v>
      </c>
      <c r="CZ22" s="1" t="str">
        <f t="shared" si="53"/>
        <v>ND</v>
      </c>
      <c r="DA22" s="1" t="str">
        <f t="shared" si="54"/>
        <v>ND</v>
      </c>
      <c r="DB22" s="1" t="str">
        <f t="shared" si="55"/>
        <v>ND</v>
      </c>
      <c r="DC22" s="1" t="str">
        <f t="shared" si="56"/>
        <v>ND</v>
      </c>
      <c r="DD22" s="1" t="str">
        <f t="shared" si="57"/>
        <v>ND</v>
      </c>
      <c r="DE22" s="1" t="str">
        <f t="shared" si="58"/>
        <v>ND</v>
      </c>
      <c r="DF22" s="1" t="str">
        <f t="shared" si="59"/>
        <v>ND</v>
      </c>
      <c r="DG22" s="1" t="str">
        <f t="shared" si="60"/>
        <v>ND</v>
      </c>
      <c r="DH22" s="1" t="str">
        <f t="shared" si="61"/>
        <v>ND</v>
      </c>
      <c r="DI22" s="1" t="str">
        <f t="shared" si="62"/>
        <v>ND</v>
      </c>
      <c r="DJ22" s="1" t="str">
        <f t="shared" si="63"/>
        <v>ND</v>
      </c>
      <c r="DK22" s="1" t="str">
        <f t="shared" si="64"/>
        <v>ND</v>
      </c>
      <c r="DL22" s="1" t="str">
        <f t="shared" si="65"/>
        <v>ND</v>
      </c>
      <c r="DM22" s="1" t="str">
        <f t="shared" si="66"/>
        <v>ND</v>
      </c>
      <c r="DN22" s="1" t="str">
        <f t="shared" si="67"/>
        <v>ND</v>
      </c>
      <c r="DO22" s="1" t="str">
        <f t="shared" si="68"/>
        <v>ND</v>
      </c>
      <c r="DP22" s="1" t="str">
        <f t="shared" si="69"/>
        <v>ND</v>
      </c>
      <c r="DQ22" s="1" t="str">
        <f t="shared" si="70"/>
        <v>ND</v>
      </c>
      <c r="DR22" s="1" t="str">
        <f t="shared" si="71"/>
        <v>ND</v>
      </c>
      <c r="DS22" s="1" t="str">
        <f t="shared" si="72"/>
        <v>ND</v>
      </c>
      <c r="DT22" s="1" t="str">
        <f t="shared" si="73"/>
        <v>ND</v>
      </c>
      <c r="DU22" s="1" t="str">
        <f t="shared" si="74"/>
        <v>ND</v>
      </c>
      <c r="DV22" s="1" t="str">
        <f t="shared" si="75"/>
        <v>ND</v>
      </c>
      <c r="DW22" s="1" t="str">
        <f t="shared" si="76"/>
        <v>ND</v>
      </c>
      <c r="DX22" s="1" t="str">
        <f t="shared" si="77"/>
        <v>ND</v>
      </c>
      <c r="DY22" s="1" t="str">
        <f t="shared" si="78"/>
        <v>ND</v>
      </c>
      <c r="DZ22" s="1" t="str">
        <f t="shared" si="79"/>
        <v>ND</v>
      </c>
      <c r="EA22" s="1" t="str">
        <f t="shared" si="80"/>
        <v>ND</v>
      </c>
      <c r="EB22" s="1" t="str">
        <f t="shared" si="81"/>
        <v>ND</v>
      </c>
      <c r="EC22" s="1" t="str">
        <f t="shared" si="82"/>
        <v>ND</v>
      </c>
      <c r="ED22" s="1" t="str">
        <f t="shared" si="83"/>
        <v>ND</v>
      </c>
      <c r="EE22" s="1" t="str">
        <f t="shared" si="84"/>
        <v>ND</v>
      </c>
      <c r="EF22" s="1" t="str">
        <f t="shared" si="85"/>
        <v>ND</v>
      </c>
      <c r="EG22" s="1" t="str">
        <f t="shared" si="86"/>
        <v>ND</v>
      </c>
      <c r="EH22" s="1" t="str">
        <f t="shared" si="87"/>
        <v>ND</v>
      </c>
      <c r="EI22" s="1" t="str">
        <f t="shared" si="88"/>
        <v>ND</v>
      </c>
      <c r="EJ22" s="1" t="str">
        <f t="shared" si="89"/>
        <v>ND</v>
      </c>
      <c r="EK22" s="1" t="str">
        <f t="shared" si="90"/>
        <v>ND</v>
      </c>
      <c r="EL22" s="1" t="str">
        <f t="shared" si="91"/>
        <v>ND</v>
      </c>
      <c r="EM22" s="1" t="str">
        <f t="shared" si="92"/>
        <v>ND</v>
      </c>
      <c r="EN22" s="1" t="str">
        <f t="shared" si="93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7"/>
        <v>ND</v>
      </c>
      <c r="FW22" s="1" t="str">
        <f t="shared" si="98"/>
        <v>ND</v>
      </c>
      <c r="FX22" s="1" t="str">
        <f t="shared" si="99"/>
        <v>ND</v>
      </c>
      <c r="FY22" s="1" t="str">
        <f t="shared" si="100"/>
        <v>ND</v>
      </c>
      <c r="FZ22" s="1" t="str">
        <f t="shared" si="101"/>
        <v>ND</v>
      </c>
      <c r="GA22" s="1" t="str">
        <f t="shared" si="102"/>
        <v>ND</v>
      </c>
      <c r="GB22" s="1" t="str">
        <f t="shared" si="103"/>
        <v>ND</v>
      </c>
      <c r="GC22" s="1" t="str">
        <f t="shared" si="104"/>
        <v>ND</v>
      </c>
      <c r="GD22" s="1" t="str">
        <f t="shared" si="105"/>
        <v>ND</v>
      </c>
      <c r="GE22" s="1" t="str">
        <f t="shared" si="106"/>
        <v>ND</v>
      </c>
      <c r="GF22" s="1" t="str">
        <f t="shared" si="107"/>
        <v>ND</v>
      </c>
      <c r="GG22" s="1" t="str">
        <f t="shared" si="108"/>
        <v>ND</v>
      </c>
      <c r="GH22" s="1" t="str">
        <f t="shared" si="109"/>
        <v>ND</v>
      </c>
      <c r="GI22" s="1" t="str">
        <f t="shared" si="110"/>
        <v>ND</v>
      </c>
      <c r="GJ22" s="1" t="str">
        <f t="shared" si="111"/>
        <v>ND</v>
      </c>
      <c r="GK22" s="1" t="str">
        <f t="shared" si="112"/>
        <v>ND</v>
      </c>
      <c r="GL22" s="1" t="str">
        <f t="shared" si="113"/>
        <v>ND</v>
      </c>
      <c r="GM22" s="1" t="str">
        <f t="shared" si="114"/>
        <v>ND</v>
      </c>
      <c r="GN22" s="1" t="str">
        <f t="shared" si="115"/>
        <v>ND</v>
      </c>
      <c r="GO22" s="1" t="str">
        <f t="shared" si="116"/>
        <v>ND</v>
      </c>
      <c r="GP22" s="1" t="str">
        <f t="shared" si="117"/>
        <v>ND</v>
      </c>
      <c r="GQ22" s="1" t="str">
        <f t="shared" si="118"/>
        <v>ND</v>
      </c>
      <c r="GR22" s="1" t="str">
        <f t="shared" si="119"/>
        <v>ND</v>
      </c>
      <c r="GS22" s="1" t="str">
        <f t="shared" si="120"/>
        <v>ND</v>
      </c>
      <c r="GT22" s="1" t="str">
        <f t="shared" si="121"/>
        <v>ND</v>
      </c>
      <c r="GU22" s="1" t="str">
        <f t="shared" si="122"/>
        <v>ND</v>
      </c>
      <c r="GV22" s="1" t="str">
        <f t="shared" si="123"/>
        <v>ND</v>
      </c>
      <c r="GW22" s="1" t="str">
        <f t="shared" si="124"/>
        <v>ND</v>
      </c>
      <c r="GX22" s="1" t="str">
        <f t="shared" si="125"/>
        <v>ND</v>
      </c>
      <c r="GY22" s="1" t="str">
        <f t="shared" si="126"/>
        <v>ND</v>
      </c>
      <c r="GZ22" s="1" t="str">
        <f t="shared" si="127"/>
        <v>ND</v>
      </c>
      <c r="HA22" s="1" t="str">
        <f t="shared" si="128"/>
        <v>ND</v>
      </c>
      <c r="HB22" s="1" t="str">
        <f t="shared" si="129"/>
        <v>ND</v>
      </c>
      <c r="HC22" s="1" t="str">
        <f t="shared" si="130"/>
        <v>ND</v>
      </c>
      <c r="HD22" s="1" t="str">
        <f t="shared" si="131"/>
        <v>ND</v>
      </c>
      <c r="HE22" s="1" t="str">
        <f t="shared" si="132"/>
        <v>ND</v>
      </c>
      <c r="HF22" s="1" t="str">
        <f t="shared" si="133"/>
        <v>ND</v>
      </c>
      <c r="HG22" s="1" t="str">
        <f t="shared" si="134"/>
        <v>ND</v>
      </c>
      <c r="HH22" s="1" t="str">
        <f t="shared" si="135"/>
        <v>ND</v>
      </c>
      <c r="HI22" s="1" t="str">
        <f t="shared" si="136"/>
        <v>ND</v>
      </c>
      <c r="HJ22" s="1" t="str">
        <f t="shared" si="137"/>
        <v>ND</v>
      </c>
      <c r="HK22" s="1" t="str">
        <f t="shared" si="138"/>
        <v>ND</v>
      </c>
      <c r="HL22" s="1" t="str">
        <f t="shared" si="139"/>
        <v>ND</v>
      </c>
      <c r="HM22" s="1" t="str">
        <f t="shared" si="140"/>
        <v>ND</v>
      </c>
      <c r="HN22" s="1" t="str">
        <f t="shared" si="141"/>
        <v>ND</v>
      </c>
      <c r="HO22" s="1" t="str">
        <f t="shared" si="142"/>
        <v>ND</v>
      </c>
      <c r="HP22" s="1" t="str">
        <f t="shared" si="143"/>
        <v>ND</v>
      </c>
      <c r="HQ22" s="1" t="str">
        <f t="shared" si="144"/>
        <v>ND</v>
      </c>
      <c r="HR22" s="1" t="str">
        <f t="shared" si="145"/>
        <v>ND</v>
      </c>
      <c r="HS22" s="1" t="str">
        <f t="shared" si="146"/>
        <v>ND</v>
      </c>
      <c r="HT22" s="1" t="str">
        <f t="shared" si="147"/>
        <v>ND</v>
      </c>
      <c r="HU22" s="1" t="str">
        <f t="shared" si="148"/>
        <v>ND</v>
      </c>
      <c r="HV22" s="1" t="str">
        <f t="shared" si="149"/>
        <v>ND</v>
      </c>
      <c r="HW22" s="1" t="str">
        <f t="shared" si="150"/>
        <v>ND</v>
      </c>
      <c r="HX22" s="1" t="str">
        <f t="shared" si="151"/>
        <v>ND</v>
      </c>
      <c r="HY22" s="1" t="str">
        <f t="shared" si="152"/>
        <v>ND</v>
      </c>
      <c r="HZ22" s="1" t="str">
        <f t="shared" si="153"/>
        <v>ND</v>
      </c>
      <c r="IA22" s="1" t="str">
        <f t="shared" si="154"/>
        <v>ND</v>
      </c>
      <c r="IB22" s="1" t="str">
        <f t="shared" si="155"/>
        <v>ND</v>
      </c>
      <c r="IC22" s="1" t="str">
        <f t="shared" si="156"/>
        <v>ND</v>
      </c>
      <c r="ID22" s="1" t="str">
        <f t="shared" si="157"/>
        <v>ND</v>
      </c>
      <c r="IE22" s="1" t="str">
        <f t="shared" si="158"/>
        <v>ND</v>
      </c>
      <c r="IF22" s="1" t="str">
        <f t="shared" si="159"/>
        <v>ND</v>
      </c>
      <c r="IG22" s="1" t="str">
        <f t="shared" si="160"/>
        <v>ND</v>
      </c>
      <c r="IH22" s="1" t="str">
        <f t="shared" si="161"/>
        <v>ND</v>
      </c>
      <c r="II22" s="1" t="str">
        <f t="shared" si="162"/>
        <v>ND</v>
      </c>
    </row>
    <row r="23" spans="3:243" x14ac:dyDescent="0.25">
      <c r="C23" t="s">
        <v>14</v>
      </c>
      <c r="D23">
        <f>SUMIFS(DICCIONARIO[Cantidad],DICCIONARIO[Modelo],UNIFICADA[[#This Row],[Equipo]])</f>
        <v>0</v>
      </c>
      <c r="E23" s="1">
        <f>IFERROR(VLOOKUP($C23,EQUIPOS[],UNIFICADO!E$9,0),"")</f>
        <v>11</v>
      </c>
      <c r="F23" s="1">
        <f>IFERROR(VLOOKUP($C23,EQUIPOS[],UNIFICADO!F$9,0),"")</f>
        <v>6.57</v>
      </c>
      <c r="G23" s="1">
        <f>IFERROR(VLOOKUP($C23,EQUIPOS[],UNIFICADO!G$9,0),"")</f>
        <v>108</v>
      </c>
      <c r="H23" s="1">
        <f>IFERROR(VLOOKUP($C23,EQUIPOS[],UNIFICADO!H$9,0),"")</f>
        <v>4</v>
      </c>
      <c r="I23" s="1">
        <f>IFERROR(VLOOKUP($C23,EQUIPOS[],UNIFICADO!I$9,0),"")</f>
        <v>32</v>
      </c>
      <c r="J23" s="1" t="str">
        <f>IFERROR(VLOOKUP($C23,EQUIPOS[],UNIFICADO!J$9,0),"")</f>
        <v>128GB</v>
      </c>
      <c r="K23" s="1">
        <f>IFERROR(VLOOKUP($C23,EQUIPOS[],UNIFICADO!K$9,0),"")</f>
        <v>0</v>
      </c>
      <c r="L23" s="1">
        <f>IFERROR(VLOOKUP($C23,EQUIPOS[],UNIFICADO!L$9,0),"")</f>
        <v>8</v>
      </c>
      <c r="M23" s="1" t="str">
        <f>IFERROR(VLOOKUP($C23,EQUIPOS[],UNIFICADO!M$9,0),"")</f>
        <v>2.4/1.8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16</v>
      </c>
      <c r="Q23" s="1">
        <f>IFERROR(VLOOKUP($C23,EQUIPOS[],UNIFICADO!Q$9,0),"")</f>
        <v>7.38</v>
      </c>
      <c r="R23" s="1">
        <f>IFERROR(VLOOKUP($C23,EQUIPOS[],UNIFICADO!R$9,0),"")</f>
        <v>0.78</v>
      </c>
      <c r="S23" s="1">
        <f>IFERROR(VLOOKUP($C23,EQUIPOS[],UNIFICADO!S$9,0),"")</f>
        <v>4300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0"/>
        <v>ND</v>
      </c>
      <c r="W23" s="1" t="str">
        <f t="shared" si="1"/>
        <v>ND</v>
      </c>
      <c r="X23" s="1" t="str">
        <f t="shared" si="2"/>
        <v>ND</v>
      </c>
      <c r="Y23" s="1" t="str">
        <f t="shared" si="2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4"/>
        <v>ND</v>
      </c>
      <c r="AJ23" s="1" t="str">
        <f t="shared" si="5"/>
        <v>ND</v>
      </c>
      <c r="AK23" s="1" t="str">
        <f t="shared" si="6"/>
        <v>ND</v>
      </c>
      <c r="AL23" s="1" t="str">
        <f t="shared" si="7"/>
        <v>ND</v>
      </c>
      <c r="AM23" s="1" t="str">
        <f t="shared" si="8"/>
        <v>ND</v>
      </c>
      <c r="AN23" s="1" t="str">
        <f t="shared" si="9"/>
        <v>ND</v>
      </c>
      <c r="AO23" s="1" t="str">
        <f t="shared" si="10"/>
        <v>ND</v>
      </c>
      <c r="AP23" s="1" t="str">
        <f t="shared" si="11"/>
        <v>ND</v>
      </c>
      <c r="AQ23" s="1" t="str">
        <f t="shared" si="12"/>
        <v>ND</v>
      </c>
      <c r="AR23" s="1" t="str">
        <f t="shared" si="13"/>
        <v>ND</v>
      </c>
      <c r="AS23" s="1" t="str">
        <f t="shared" si="14"/>
        <v>ND</v>
      </c>
      <c r="AT23" s="1" t="str">
        <f t="shared" si="15"/>
        <v>ND</v>
      </c>
      <c r="AU23" s="1" t="str">
        <f t="shared" si="16"/>
        <v>ND</v>
      </c>
      <c r="AV23" s="1" t="str">
        <f t="shared" si="17"/>
        <v>ND</v>
      </c>
      <c r="AW23" s="1" t="str">
        <f t="shared" si="18"/>
        <v>ND</v>
      </c>
      <c r="AX23" s="1" t="str">
        <f t="shared" si="19"/>
        <v>ND</v>
      </c>
      <c r="AY23" s="1" t="str">
        <f t="shared" si="20"/>
        <v>ND</v>
      </c>
      <c r="AZ23" s="1" t="str">
        <f t="shared" si="21"/>
        <v>ND</v>
      </c>
      <c r="BA23" s="1" t="str">
        <f t="shared" si="22"/>
        <v>ND</v>
      </c>
      <c r="BB23" s="1" t="str">
        <f t="shared" si="23"/>
        <v>ND</v>
      </c>
      <c r="BC23" s="1" t="str">
        <f t="shared" si="24"/>
        <v>ND</v>
      </c>
      <c r="BD23" s="1" t="str">
        <f t="shared" si="25"/>
        <v>ND</v>
      </c>
      <c r="BE23" s="1" t="str">
        <f t="shared" si="26"/>
        <v>ND</v>
      </c>
      <c r="BF23" s="1" t="str">
        <f t="shared" si="27"/>
        <v>ND</v>
      </c>
      <c r="BG23" s="1" t="str">
        <f t="shared" si="28"/>
        <v>ND</v>
      </c>
      <c r="BH23" s="1" t="str">
        <f t="shared" si="29"/>
        <v>ND</v>
      </c>
      <c r="BI23" s="1" t="str">
        <f t="shared" si="30"/>
        <v>ND</v>
      </c>
      <c r="BJ23" s="1" t="str">
        <f t="shared" si="31"/>
        <v>ND</v>
      </c>
      <c r="BK23" s="1" t="str">
        <f t="shared" si="32"/>
        <v>ND</v>
      </c>
      <c r="BL23" s="1" t="str">
        <f t="shared" si="33"/>
        <v>ND</v>
      </c>
      <c r="BM23" s="1" t="str">
        <f t="shared" si="34"/>
        <v>ND</v>
      </c>
      <c r="BN23" s="1" t="str">
        <f t="shared" si="35"/>
        <v>ND</v>
      </c>
      <c r="BO23" s="1" t="str">
        <f t="shared" si="36"/>
        <v>ND</v>
      </c>
      <c r="BP23" s="1" t="str">
        <f t="shared" si="37"/>
        <v>ND</v>
      </c>
      <c r="BQ23" s="1" t="str">
        <f t="shared" si="38"/>
        <v>ND</v>
      </c>
      <c r="BR23" s="1" t="str">
        <f t="shared" si="39"/>
        <v>ND</v>
      </c>
      <c r="BS23" s="1" t="str">
        <f t="shared" si="40"/>
        <v>ND</v>
      </c>
      <c r="BT23" s="1" t="str">
        <f t="shared" si="41"/>
        <v>ND</v>
      </c>
      <c r="BU23" s="1" t="str">
        <f t="shared" si="42"/>
        <v>ND</v>
      </c>
      <c r="BV23" s="1" t="str">
        <f t="shared" si="43"/>
        <v>ND</v>
      </c>
      <c r="BW23" s="1" t="str">
        <f t="shared" si="44"/>
        <v>ND</v>
      </c>
      <c r="BX23" s="1" t="str">
        <f t="shared" si="45"/>
        <v>ND</v>
      </c>
      <c r="BY23" s="1" t="str">
        <f t="shared" si="46"/>
        <v>ND</v>
      </c>
      <c r="BZ23" s="1" t="str">
        <f t="shared" si="47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50"/>
        <v>ND</v>
      </c>
      <c r="CX23" s="1" t="str">
        <f t="shared" si="51"/>
        <v>ND</v>
      </c>
      <c r="CY23" s="1" t="str">
        <f t="shared" si="52"/>
        <v>ND</v>
      </c>
      <c r="CZ23" s="1" t="str">
        <f t="shared" si="53"/>
        <v>ND</v>
      </c>
      <c r="DA23" s="1" t="str">
        <f t="shared" si="54"/>
        <v>ND</v>
      </c>
      <c r="DB23" s="1" t="str">
        <f t="shared" si="55"/>
        <v>ND</v>
      </c>
      <c r="DC23" s="1" t="str">
        <f t="shared" si="56"/>
        <v>ND</v>
      </c>
      <c r="DD23" s="1" t="str">
        <f t="shared" si="57"/>
        <v>ND</v>
      </c>
      <c r="DE23" s="1" t="str">
        <f t="shared" si="58"/>
        <v>ND</v>
      </c>
      <c r="DF23" s="1" t="str">
        <f t="shared" si="59"/>
        <v>ND</v>
      </c>
      <c r="DG23" s="1" t="str">
        <f t="shared" si="60"/>
        <v>ND</v>
      </c>
      <c r="DH23" s="1" t="str">
        <f t="shared" si="61"/>
        <v>ND</v>
      </c>
      <c r="DI23" s="1" t="str">
        <f t="shared" si="62"/>
        <v>ND</v>
      </c>
      <c r="DJ23" s="1" t="str">
        <f t="shared" si="63"/>
        <v>ND</v>
      </c>
      <c r="DK23" s="1" t="str">
        <f t="shared" si="64"/>
        <v>ND</v>
      </c>
      <c r="DL23" s="1" t="str">
        <f t="shared" si="65"/>
        <v>ND</v>
      </c>
      <c r="DM23" s="1" t="str">
        <f t="shared" si="66"/>
        <v>ND</v>
      </c>
      <c r="DN23" s="1" t="str">
        <f t="shared" si="67"/>
        <v>ND</v>
      </c>
      <c r="DO23" s="1" t="str">
        <f t="shared" si="68"/>
        <v>ND</v>
      </c>
      <c r="DP23" s="1" t="str">
        <f t="shared" si="69"/>
        <v>ND</v>
      </c>
      <c r="DQ23" s="1" t="str">
        <f t="shared" si="70"/>
        <v>ND</v>
      </c>
      <c r="DR23" s="1" t="str">
        <f t="shared" si="71"/>
        <v>ND</v>
      </c>
      <c r="DS23" s="1" t="str">
        <f t="shared" si="72"/>
        <v>ND</v>
      </c>
      <c r="DT23" s="1" t="str">
        <f t="shared" si="73"/>
        <v>ND</v>
      </c>
      <c r="DU23" s="1" t="str">
        <f t="shared" si="74"/>
        <v>ND</v>
      </c>
      <c r="DV23" s="1" t="str">
        <f t="shared" si="75"/>
        <v>ND</v>
      </c>
      <c r="DW23" s="1" t="str">
        <f t="shared" si="76"/>
        <v>ND</v>
      </c>
      <c r="DX23" s="1" t="str">
        <f t="shared" si="77"/>
        <v>ND</v>
      </c>
      <c r="DY23" s="1" t="str">
        <f t="shared" si="78"/>
        <v>ND</v>
      </c>
      <c r="DZ23" s="1" t="str">
        <f t="shared" si="79"/>
        <v>ND</v>
      </c>
      <c r="EA23" s="1" t="str">
        <f t="shared" si="80"/>
        <v>ND</v>
      </c>
      <c r="EB23" s="1" t="str">
        <f t="shared" si="81"/>
        <v>ND</v>
      </c>
      <c r="EC23" s="1" t="str">
        <f t="shared" si="82"/>
        <v>ND</v>
      </c>
      <c r="ED23" s="1" t="str">
        <f t="shared" si="83"/>
        <v>ND</v>
      </c>
      <c r="EE23" s="1" t="str">
        <f t="shared" si="84"/>
        <v>ND</v>
      </c>
      <c r="EF23" s="1" t="str">
        <f t="shared" si="85"/>
        <v>ND</v>
      </c>
      <c r="EG23" s="1" t="str">
        <f t="shared" si="86"/>
        <v>ND</v>
      </c>
      <c r="EH23" s="1" t="str">
        <f t="shared" si="87"/>
        <v>ND</v>
      </c>
      <c r="EI23" s="1" t="str">
        <f t="shared" si="88"/>
        <v>ND</v>
      </c>
      <c r="EJ23" s="1" t="str">
        <f t="shared" si="89"/>
        <v>ND</v>
      </c>
      <c r="EK23" s="1" t="str">
        <f t="shared" si="90"/>
        <v>ND</v>
      </c>
      <c r="EL23" s="1" t="str">
        <f t="shared" si="91"/>
        <v>ND</v>
      </c>
      <c r="EM23" s="1" t="str">
        <f t="shared" si="92"/>
        <v>ND</v>
      </c>
      <c r="EN23" s="1" t="str">
        <f t="shared" si="93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7"/>
        <v>ND</v>
      </c>
      <c r="FW23" s="1" t="str">
        <f t="shared" si="98"/>
        <v>ND</v>
      </c>
      <c r="FX23" s="1" t="str">
        <f t="shared" si="99"/>
        <v>ND</v>
      </c>
      <c r="FY23" s="1" t="str">
        <f t="shared" si="100"/>
        <v>ND</v>
      </c>
      <c r="FZ23" s="1" t="str">
        <f t="shared" si="101"/>
        <v>ND</v>
      </c>
      <c r="GA23" s="1" t="str">
        <f t="shared" si="102"/>
        <v>ND</v>
      </c>
      <c r="GB23" s="1" t="str">
        <f t="shared" si="103"/>
        <v>ND</v>
      </c>
      <c r="GC23" s="1" t="str">
        <f t="shared" si="104"/>
        <v>ND</v>
      </c>
      <c r="GD23" s="1" t="str">
        <f t="shared" si="105"/>
        <v>ND</v>
      </c>
      <c r="GE23" s="1" t="str">
        <f t="shared" si="106"/>
        <v>ND</v>
      </c>
      <c r="GF23" s="1" t="str">
        <f t="shared" si="107"/>
        <v>ND</v>
      </c>
      <c r="GG23" s="1" t="str">
        <f t="shared" si="108"/>
        <v>ND</v>
      </c>
      <c r="GH23" s="1" t="str">
        <f t="shared" si="109"/>
        <v>ND</v>
      </c>
      <c r="GI23" s="1" t="str">
        <f t="shared" si="110"/>
        <v>ND</v>
      </c>
      <c r="GJ23" s="1" t="str">
        <f t="shared" si="111"/>
        <v>ND</v>
      </c>
      <c r="GK23" s="1" t="str">
        <f t="shared" si="112"/>
        <v>ND</v>
      </c>
      <c r="GL23" s="1" t="str">
        <f t="shared" si="113"/>
        <v>ND</v>
      </c>
      <c r="GM23" s="1" t="str">
        <f t="shared" si="114"/>
        <v>ND</v>
      </c>
      <c r="GN23" s="1" t="str">
        <f t="shared" si="115"/>
        <v>ND</v>
      </c>
      <c r="GO23" s="1" t="str">
        <f t="shared" si="116"/>
        <v>ND</v>
      </c>
      <c r="GP23" s="1" t="str">
        <f t="shared" si="117"/>
        <v>ND</v>
      </c>
      <c r="GQ23" s="1" t="str">
        <f t="shared" si="118"/>
        <v>ND</v>
      </c>
      <c r="GR23" s="1" t="str">
        <f t="shared" si="119"/>
        <v>ND</v>
      </c>
      <c r="GS23" s="1" t="str">
        <f t="shared" si="120"/>
        <v>ND</v>
      </c>
      <c r="GT23" s="1" t="str">
        <f t="shared" si="121"/>
        <v>ND</v>
      </c>
      <c r="GU23" s="1" t="str">
        <f t="shared" si="122"/>
        <v>ND</v>
      </c>
      <c r="GV23" s="1" t="str">
        <f t="shared" si="123"/>
        <v>ND</v>
      </c>
      <c r="GW23" s="1" t="str">
        <f t="shared" si="124"/>
        <v>ND</v>
      </c>
      <c r="GX23" s="1" t="str">
        <f t="shared" si="125"/>
        <v>ND</v>
      </c>
      <c r="GY23" s="1" t="str">
        <f t="shared" si="126"/>
        <v>ND</v>
      </c>
      <c r="GZ23" s="1" t="str">
        <f t="shared" si="127"/>
        <v>ND</v>
      </c>
      <c r="HA23" s="1" t="str">
        <f t="shared" si="128"/>
        <v>ND</v>
      </c>
      <c r="HB23" s="1" t="str">
        <f t="shared" si="129"/>
        <v>ND</v>
      </c>
      <c r="HC23" s="1" t="str">
        <f t="shared" si="130"/>
        <v>ND</v>
      </c>
      <c r="HD23" s="1" t="str">
        <f t="shared" si="131"/>
        <v>ND</v>
      </c>
      <c r="HE23" s="1" t="str">
        <f t="shared" si="132"/>
        <v>ND</v>
      </c>
      <c r="HF23" s="1" t="str">
        <f t="shared" si="133"/>
        <v>ND</v>
      </c>
      <c r="HG23" s="1" t="str">
        <f t="shared" si="134"/>
        <v>ND</v>
      </c>
      <c r="HH23" s="1" t="str">
        <f t="shared" si="135"/>
        <v>ND</v>
      </c>
      <c r="HI23" s="1" t="str">
        <f t="shared" si="136"/>
        <v>ND</v>
      </c>
      <c r="HJ23" s="1" t="str">
        <f t="shared" si="137"/>
        <v>ND</v>
      </c>
      <c r="HK23" s="1" t="str">
        <f t="shared" si="138"/>
        <v>ND</v>
      </c>
      <c r="HL23" s="1" t="str">
        <f t="shared" si="139"/>
        <v>ND</v>
      </c>
      <c r="HM23" s="1" t="str">
        <f t="shared" si="140"/>
        <v>ND</v>
      </c>
      <c r="HN23" s="1" t="str">
        <f t="shared" si="141"/>
        <v>ND</v>
      </c>
      <c r="HO23" s="1" t="str">
        <f t="shared" si="142"/>
        <v>ND</v>
      </c>
      <c r="HP23" s="1" t="str">
        <f t="shared" si="143"/>
        <v>ND</v>
      </c>
      <c r="HQ23" s="1" t="str">
        <f t="shared" si="144"/>
        <v>ND</v>
      </c>
      <c r="HR23" s="1" t="str">
        <f t="shared" si="145"/>
        <v>ND</v>
      </c>
      <c r="HS23" s="1" t="str">
        <f t="shared" si="146"/>
        <v>ND</v>
      </c>
      <c r="HT23" s="1" t="str">
        <f t="shared" si="147"/>
        <v>ND</v>
      </c>
      <c r="HU23" s="1" t="str">
        <f t="shared" si="148"/>
        <v>ND</v>
      </c>
      <c r="HV23" s="1" t="str">
        <f t="shared" si="149"/>
        <v>ND</v>
      </c>
      <c r="HW23" s="1" t="str">
        <f t="shared" si="150"/>
        <v>ND</v>
      </c>
      <c r="HX23" s="1" t="str">
        <f t="shared" si="151"/>
        <v>ND</v>
      </c>
      <c r="HY23" s="1" t="str">
        <f t="shared" si="152"/>
        <v>ND</v>
      </c>
      <c r="HZ23" s="1" t="str">
        <f t="shared" si="153"/>
        <v>ND</v>
      </c>
      <c r="IA23" s="1" t="str">
        <f t="shared" si="154"/>
        <v>ND</v>
      </c>
      <c r="IB23" s="1" t="str">
        <f t="shared" si="155"/>
        <v>ND</v>
      </c>
      <c r="IC23" s="1" t="str">
        <f t="shared" si="156"/>
        <v>ND</v>
      </c>
      <c r="ID23" s="1" t="str">
        <f t="shared" si="157"/>
        <v>ND</v>
      </c>
      <c r="IE23" s="1" t="str">
        <f t="shared" si="158"/>
        <v>ND</v>
      </c>
      <c r="IF23" s="1" t="str">
        <f t="shared" si="159"/>
        <v>ND</v>
      </c>
      <c r="IG23" s="1" t="str">
        <f t="shared" si="160"/>
        <v>ND</v>
      </c>
      <c r="IH23" s="1" t="str">
        <f t="shared" si="161"/>
        <v>ND</v>
      </c>
      <c r="II23" s="1" t="str">
        <f t="shared" si="162"/>
        <v>ND</v>
      </c>
    </row>
    <row r="24" spans="3:243" x14ac:dyDescent="0.25">
      <c r="C24" t="s">
        <v>123</v>
      </c>
      <c r="D24">
        <f>SUMIFS(DICCIONARIO[Cantidad],DICCIONARIO[Modelo],UNIFICADA[[#This Row],[Equipo]])</f>
        <v>18</v>
      </c>
      <c r="E24" s="1">
        <f>IFERROR(VLOOKUP($C24,EQUIPOS[],UNIFICADO!E$9,0),"")</f>
        <v>12</v>
      </c>
      <c r="F24" s="1">
        <f>IFERROR(VLOOKUP($C24,EQUIPOS[],UNIFICADO!F$9,0),"")</f>
        <v>6.56</v>
      </c>
      <c r="G24" s="1">
        <f>IFERROR(VLOOKUP($C24,EQUIPOS[],UNIFICADO!G$9,0),"")</f>
        <v>13</v>
      </c>
      <c r="H24" s="1">
        <f>IFERROR(VLOOKUP($C24,EQUIPOS[],UNIFICADO!H$9,0),"")</f>
        <v>2</v>
      </c>
      <c r="I24" s="1">
        <f>IFERROR(VLOOKUP($C24,EQUIPOS[],UNIFICADO!I$9,0),"")</f>
        <v>8</v>
      </c>
      <c r="J24" s="1" t="str">
        <f>IFERROR(VLOOKUP($C24,EQUIPOS[],UNIFICADO!J$9,0),"")</f>
        <v>128GB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2.35/1.8</v>
      </c>
      <c r="N24" s="1">
        <f>IFERROR(VLOOKUP($C24,EQUIPOS[],UNIFICADO!N$9,0),"")</f>
        <v>4</v>
      </c>
      <c r="O24" s="1">
        <f>IFERROR(VLOOKUP($C24,EQUIPOS[],UNIFICADO!O$9,0),"")</f>
        <v>186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14</v>
      </c>
      <c r="V24" s="1" t="str">
        <f t="shared" si="0"/>
        <v>ND</v>
      </c>
      <c r="W24" s="1" t="str">
        <f t="shared" si="1"/>
        <v>ND</v>
      </c>
      <c r="X24" s="1" t="str">
        <f t="shared" si="2"/>
        <v>ND</v>
      </c>
      <c r="Y24" s="1" t="str">
        <f t="shared" si="2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4"/>
        <v>ND</v>
      </c>
      <c r="AJ24" s="1" t="str">
        <f t="shared" si="5"/>
        <v>ND</v>
      </c>
      <c r="AK24" s="1" t="str">
        <f t="shared" si="6"/>
        <v>ND</v>
      </c>
      <c r="AL24" s="1" t="str">
        <f t="shared" si="7"/>
        <v>ND</v>
      </c>
      <c r="AM24" s="1" t="str">
        <f t="shared" si="8"/>
        <v>ND</v>
      </c>
      <c r="AN24" s="1" t="str">
        <f t="shared" si="9"/>
        <v>ND</v>
      </c>
      <c r="AO24" s="1" t="str">
        <f t="shared" si="10"/>
        <v>ND</v>
      </c>
      <c r="AP24" s="1" t="str">
        <f t="shared" si="11"/>
        <v>ND</v>
      </c>
      <c r="AQ24" s="1" t="str">
        <f t="shared" si="12"/>
        <v>ND</v>
      </c>
      <c r="AR24" s="1" t="str">
        <f t="shared" si="13"/>
        <v>ND</v>
      </c>
      <c r="AS24" s="1" t="str">
        <f t="shared" si="14"/>
        <v>ND</v>
      </c>
      <c r="AT24" s="1" t="str">
        <f t="shared" si="15"/>
        <v>ND</v>
      </c>
      <c r="AU24" s="1" t="str">
        <f t="shared" si="16"/>
        <v>ND</v>
      </c>
      <c r="AV24" s="1" t="str">
        <f t="shared" si="17"/>
        <v>ND</v>
      </c>
      <c r="AW24" s="1" t="str">
        <f t="shared" si="18"/>
        <v>ND</v>
      </c>
      <c r="AX24" s="1" t="str">
        <f t="shared" si="19"/>
        <v>ND</v>
      </c>
      <c r="AY24" s="1" t="str">
        <f t="shared" si="20"/>
        <v>ND</v>
      </c>
      <c r="AZ24" s="1" t="str">
        <f t="shared" si="21"/>
        <v>ND</v>
      </c>
      <c r="BA24" s="1" t="str">
        <f t="shared" si="22"/>
        <v>ND</v>
      </c>
      <c r="BB24" s="1" t="str">
        <f t="shared" si="23"/>
        <v>ND</v>
      </c>
      <c r="BC24" s="1" t="str">
        <f t="shared" si="24"/>
        <v>ND</v>
      </c>
      <c r="BD24" s="1" t="str">
        <f t="shared" si="25"/>
        <v>ND</v>
      </c>
      <c r="BE24" s="1" t="str">
        <f t="shared" si="26"/>
        <v>ND</v>
      </c>
      <c r="BF24" s="1" t="str">
        <f t="shared" si="27"/>
        <v>ND</v>
      </c>
      <c r="BG24" s="1" t="str">
        <f t="shared" si="28"/>
        <v>ND</v>
      </c>
      <c r="BH24" s="1" t="str">
        <f t="shared" si="29"/>
        <v>ND</v>
      </c>
      <c r="BI24" s="1" t="str">
        <f t="shared" si="30"/>
        <v>ND</v>
      </c>
      <c r="BJ24" s="1" t="str">
        <f t="shared" si="31"/>
        <v>ND</v>
      </c>
      <c r="BK24" s="1" t="str">
        <f t="shared" si="32"/>
        <v>ND</v>
      </c>
      <c r="BL24" s="1" t="str">
        <f t="shared" si="33"/>
        <v>ND</v>
      </c>
      <c r="BM24" s="1" t="str">
        <f t="shared" si="34"/>
        <v>ND</v>
      </c>
      <c r="BN24" s="1" t="str">
        <f t="shared" si="35"/>
        <v>ND</v>
      </c>
      <c r="BO24" s="1" t="str">
        <f t="shared" si="36"/>
        <v>ND</v>
      </c>
      <c r="BP24" s="1" t="str">
        <f t="shared" si="37"/>
        <v>ND</v>
      </c>
      <c r="BQ24" s="1" t="str">
        <f t="shared" si="38"/>
        <v>ND</v>
      </c>
      <c r="BR24" s="1" t="str">
        <f t="shared" si="39"/>
        <v>ND</v>
      </c>
      <c r="BS24" s="1" t="str">
        <f t="shared" si="40"/>
        <v>ND</v>
      </c>
      <c r="BT24" s="1" t="str">
        <f t="shared" si="41"/>
        <v>ND</v>
      </c>
      <c r="BU24" s="1" t="str">
        <f t="shared" si="42"/>
        <v>ND</v>
      </c>
      <c r="BV24" s="1" t="str">
        <f t="shared" si="43"/>
        <v>ND</v>
      </c>
      <c r="BW24" s="1" t="str">
        <f t="shared" si="44"/>
        <v>ND</v>
      </c>
      <c r="BX24" s="1" t="str">
        <f t="shared" si="45"/>
        <v>ND</v>
      </c>
      <c r="BY24" s="1" t="str">
        <f t="shared" si="46"/>
        <v>ND</v>
      </c>
      <c r="BZ24" s="1" t="str">
        <f t="shared" si="47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50"/>
        <v>ND</v>
      </c>
      <c r="CX24" s="1" t="str">
        <f t="shared" si="51"/>
        <v>ND</v>
      </c>
      <c r="CY24" s="1" t="str">
        <f t="shared" si="52"/>
        <v>ND</v>
      </c>
      <c r="CZ24" s="1" t="str">
        <f t="shared" si="53"/>
        <v>ND</v>
      </c>
      <c r="DA24" s="1" t="str">
        <f t="shared" si="54"/>
        <v>ND</v>
      </c>
      <c r="DB24" s="1" t="str">
        <f t="shared" si="55"/>
        <v>ND</v>
      </c>
      <c r="DC24" s="1" t="str">
        <f t="shared" si="56"/>
        <v>ND</v>
      </c>
      <c r="DD24" s="1" t="str">
        <f t="shared" si="57"/>
        <v>ND</v>
      </c>
      <c r="DE24" s="1" t="str">
        <f t="shared" si="58"/>
        <v>ND</v>
      </c>
      <c r="DF24" s="1" t="str">
        <f t="shared" si="59"/>
        <v>ND</v>
      </c>
      <c r="DG24" s="1" t="str">
        <f t="shared" si="60"/>
        <v>ND</v>
      </c>
      <c r="DH24" s="1" t="str">
        <f t="shared" si="61"/>
        <v>ND</v>
      </c>
      <c r="DI24" s="1" t="str">
        <f t="shared" si="62"/>
        <v>ND</v>
      </c>
      <c r="DJ24" s="1" t="str">
        <f t="shared" si="63"/>
        <v>ND</v>
      </c>
      <c r="DK24" s="1" t="str">
        <f t="shared" si="64"/>
        <v>ND</v>
      </c>
      <c r="DL24" s="1" t="str">
        <f t="shared" si="65"/>
        <v>ND</v>
      </c>
      <c r="DM24" s="1" t="str">
        <f t="shared" si="66"/>
        <v>ND</v>
      </c>
      <c r="DN24" s="1" t="str">
        <f t="shared" si="67"/>
        <v>ND</v>
      </c>
      <c r="DO24" s="1" t="str">
        <f t="shared" si="68"/>
        <v>ND</v>
      </c>
      <c r="DP24" s="1" t="str">
        <f t="shared" si="69"/>
        <v>ND</v>
      </c>
      <c r="DQ24" s="1" t="str">
        <f t="shared" si="70"/>
        <v>ND</v>
      </c>
      <c r="DR24" s="1" t="str">
        <f t="shared" si="71"/>
        <v>ND</v>
      </c>
      <c r="DS24" s="1" t="str">
        <f t="shared" si="72"/>
        <v>ND</v>
      </c>
      <c r="DT24" s="1" t="str">
        <f t="shared" si="73"/>
        <v>ND</v>
      </c>
      <c r="DU24" s="1" t="str">
        <f t="shared" si="74"/>
        <v>ND</v>
      </c>
      <c r="DV24" s="1" t="str">
        <f t="shared" si="75"/>
        <v>ND</v>
      </c>
      <c r="DW24" s="1" t="str">
        <f t="shared" si="76"/>
        <v>ND</v>
      </c>
      <c r="DX24" s="1" t="str">
        <f t="shared" si="77"/>
        <v>ND</v>
      </c>
      <c r="DY24" s="1" t="str">
        <f t="shared" si="78"/>
        <v>ND</v>
      </c>
      <c r="DZ24" s="1" t="str">
        <f t="shared" si="79"/>
        <v>ND</v>
      </c>
      <c r="EA24" s="1" t="str">
        <f t="shared" si="80"/>
        <v>ND</v>
      </c>
      <c r="EB24" s="1" t="str">
        <f t="shared" si="81"/>
        <v>ND</v>
      </c>
      <c r="EC24" s="1" t="str">
        <f t="shared" si="82"/>
        <v>ND</v>
      </c>
      <c r="ED24" s="1" t="str">
        <f t="shared" si="83"/>
        <v>ND</v>
      </c>
      <c r="EE24" s="1" t="str">
        <f t="shared" si="84"/>
        <v>ND</v>
      </c>
      <c r="EF24" s="1" t="str">
        <f t="shared" si="85"/>
        <v>ND</v>
      </c>
      <c r="EG24" s="1" t="str">
        <f t="shared" si="86"/>
        <v>ND</v>
      </c>
      <c r="EH24" s="1" t="str">
        <f t="shared" si="87"/>
        <v>ND</v>
      </c>
      <c r="EI24" s="1" t="str">
        <f t="shared" si="88"/>
        <v>ND</v>
      </c>
      <c r="EJ24" s="1" t="str">
        <f t="shared" si="89"/>
        <v>ND</v>
      </c>
      <c r="EK24" s="1" t="str">
        <f t="shared" si="90"/>
        <v>ND</v>
      </c>
      <c r="EL24" s="1" t="str">
        <f t="shared" si="91"/>
        <v>ND</v>
      </c>
      <c r="EM24" s="1" t="str">
        <f t="shared" si="92"/>
        <v>ND</v>
      </c>
      <c r="EN24" s="1" t="str">
        <f t="shared" si="93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7"/>
        <v>ND</v>
      </c>
      <c r="FW24" s="1" t="str">
        <f t="shared" si="98"/>
        <v>ND</v>
      </c>
      <c r="FX24" s="1" t="str">
        <f t="shared" si="99"/>
        <v>ND</v>
      </c>
      <c r="FY24" s="1" t="str">
        <f t="shared" si="100"/>
        <v>ND</v>
      </c>
      <c r="FZ24" s="1" t="str">
        <f t="shared" si="101"/>
        <v>ND</v>
      </c>
      <c r="GA24" s="1" t="str">
        <f t="shared" si="102"/>
        <v>ND</v>
      </c>
      <c r="GB24" s="1" t="str">
        <f t="shared" si="103"/>
        <v>ND</v>
      </c>
      <c r="GC24" s="1" t="str">
        <f t="shared" si="104"/>
        <v>ND</v>
      </c>
      <c r="GD24" s="1" t="str">
        <f t="shared" si="105"/>
        <v>ND</v>
      </c>
      <c r="GE24" s="1" t="str">
        <f t="shared" si="106"/>
        <v>ND</v>
      </c>
      <c r="GF24" s="1" t="str">
        <f t="shared" si="107"/>
        <v>ND</v>
      </c>
      <c r="GG24" s="1" t="str">
        <f t="shared" si="108"/>
        <v>ND</v>
      </c>
      <c r="GH24" s="1" t="str">
        <f t="shared" si="109"/>
        <v>ND</v>
      </c>
      <c r="GI24" s="1" t="str">
        <f t="shared" si="110"/>
        <v>ND</v>
      </c>
      <c r="GJ24" s="1" t="str">
        <f t="shared" si="111"/>
        <v>ND</v>
      </c>
      <c r="GK24" s="1" t="str">
        <f t="shared" si="112"/>
        <v>ND</v>
      </c>
      <c r="GL24" s="1" t="str">
        <f t="shared" si="113"/>
        <v>ND</v>
      </c>
      <c r="GM24" s="1" t="str">
        <f t="shared" si="114"/>
        <v>ND</v>
      </c>
      <c r="GN24" s="1" t="str">
        <f t="shared" si="115"/>
        <v>ND</v>
      </c>
      <c r="GO24" s="1" t="str">
        <f t="shared" si="116"/>
        <v>ND</v>
      </c>
      <c r="GP24" s="1" t="str">
        <f t="shared" si="117"/>
        <v>ND</v>
      </c>
      <c r="GQ24" s="1" t="str">
        <f t="shared" si="118"/>
        <v>ND</v>
      </c>
      <c r="GR24" s="1" t="str">
        <f t="shared" si="119"/>
        <v>ND</v>
      </c>
      <c r="GS24" s="1" t="str">
        <f t="shared" si="120"/>
        <v>ND</v>
      </c>
      <c r="GT24" s="1" t="str">
        <f t="shared" si="121"/>
        <v>ND</v>
      </c>
      <c r="GU24" s="1" t="str">
        <f t="shared" si="122"/>
        <v>ND</v>
      </c>
      <c r="GV24" s="1" t="str">
        <f t="shared" si="123"/>
        <v>ND</v>
      </c>
      <c r="GW24" s="1" t="str">
        <f t="shared" si="124"/>
        <v>ND</v>
      </c>
      <c r="GX24" s="1" t="str">
        <f t="shared" si="125"/>
        <v>ND</v>
      </c>
      <c r="GY24" s="1" t="str">
        <f t="shared" si="126"/>
        <v>ND</v>
      </c>
      <c r="GZ24" s="1" t="str">
        <f t="shared" si="127"/>
        <v>ND</v>
      </c>
      <c r="HA24" s="1" t="str">
        <f t="shared" si="128"/>
        <v>ND</v>
      </c>
      <c r="HB24" s="1" t="str">
        <f t="shared" si="129"/>
        <v>ND</v>
      </c>
      <c r="HC24" s="1" t="str">
        <f t="shared" si="130"/>
        <v>ND</v>
      </c>
      <c r="HD24" s="1" t="str">
        <f t="shared" si="131"/>
        <v>ND</v>
      </c>
      <c r="HE24" s="1" t="str">
        <f t="shared" si="132"/>
        <v>ND</v>
      </c>
      <c r="HF24" s="1" t="str">
        <f t="shared" si="133"/>
        <v>ND</v>
      </c>
      <c r="HG24" s="1" t="str">
        <f t="shared" si="134"/>
        <v>ND</v>
      </c>
      <c r="HH24" s="1" t="str">
        <f t="shared" si="135"/>
        <v>ND</v>
      </c>
      <c r="HI24" s="1" t="str">
        <f t="shared" si="136"/>
        <v>ND</v>
      </c>
      <c r="HJ24" s="1" t="str">
        <f t="shared" si="137"/>
        <v>ND</v>
      </c>
      <c r="HK24" s="1" t="str">
        <f t="shared" si="138"/>
        <v>ND</v>
      </c>
      <c r="HL24" s="1" t="str">
        <f t="shared" si="139"/>
        <v>ND</v>
      </c>
      <c r="HM24" s="1" t="str">
        <f t="shared" si="140"/>
        <v>ND</v>
      </c>
      <c r="HN24" s="1" t="str">
        <f t="shared" si="141"/>
        <v>ND</v>
      </c>
      <c r="HO24" s="1" t="str">
        <f t="shared" si="142"/>
        <v>ND</v>
      </c>
      <c r="HP24" s="1" t="str">
        <f t="shared" si="143"/>
        <v>ND</v>
      </c>
      <c r="HQ24" s="1" t="str">
        <f t="shared" si="144"/>
        <v>ND</v>
      </c>
      <c r="HR24" s="1" t="str">
        <f t="shared" si="145"/>
        <v>ND</v>
      </c>
      <c r="HS24" s="1" t="str">
        <f t="shared" si="146"/>
        <v>ND</v>
      </c>
      <c r="HT24" s="1" t="str">
        <f t="shared" si="147"/>
        <v>ND</v>
      </c>
      <c r="HU24" s="1" t="str">
        <f t="shared" si="148"/>
        <v>ND</v>
      </c>
      <c r="HV24" s="1" t="str">
        <f t="shared" si="149"/>
        <v>ND</v>
      </c>
      <c r="HW24" s="1" t="str">
        <f t="shared" si="150"/>
        <v>ND</v>
      </c>
      <c r="HX24" s="1" t="str">
        <f t="shared" si="151"/>
        <v>ND</v>
      </c>
      <c r="HY24" s="1" t="str">
        <f t="shared" si="152"/>
        <v>ND</v>
      </c>
      <c r="HZ24" s="1" t="str">
        <f t="shared" si="153"/>
        <v>ND</v>
      </c>
      <c r="IA24" s="1" t="str">
        <f t="shared" si="154"/>
        <v>ND</v>
      </c>
      <c r="IB24" s="1" t="str">
        <f t="shared" si="155"/>
        <v>ND</v>
      </c>
      <c r="IC24" s="1" t="str">
        <f t="shared" si="156"/>
        <v>ND</v>
      </c>
      <c r="ID24" s="1" t="str">
        <f t="shared" si="157"/>
        <v>ND</v>
      </c>
      <c r="IE24" s="1" t="str">
        <f t="shared" si="158"/>
        <v>ND</v>
      </c>
      <c r="IF24" s="1" t="str">
        <f t="shared" si="159"/>
        <v>ND</v>
      </c>
      <c r="IG24" s="1" t="str">
        <f t="shared" si="160"/>
        <v>ND</v>
      </c>
      <c r="IH24" s="1" t="str">
        <f t="shared" si="161"/>
        <v>ND</v>
      </c>
      <c r="II24" s="1" t="str">
        <f t="shared" si="162"/>
        <v>ND</v>
      </c>
    </row>
    <row r="25" spans="3:243" x14ac:dyDescent="0.25">
      <c r="C25" t="s">
        <v>15</v>
      </c>
      <c r="D25">
        <f>SUMIFS(DICCIONARIO[Cantidad],DICCIONARIO[Modelo],UNIFICADA[[#This Row],[Equipo]])</f>
        <v>0</v>
      </c>
      <c r="E25" s="1">
        <f>IFERROR(VLOOKUP($C25,EQUIPOS[],UNIFICADO!E$9,0),"")</f>
        <v>11</v>
      </c>
      <c r="F25" s="1">
        <f>IFERROR(VLOOKUP($C25,EQUIPOS[],UNIFICADO!F$9,0),"")</f>
        <v>6.57</v>
      </c>
      <c r="G25" s="1">
        <f>IFERROR(VLOOKUP($C25,EQUIPOS[],UNIFICADO!G$9,0),"")</f>
        <v>108</v>
      </c>
      <c r="H25" s="1">
        <f>IFERROR(VLOOKUP($C25,EQUIPOS[],UNIFICADO!H$9,0),"")</f>
        <v>4</v>
      </c>
      <c r="I25" s="1">
        <f>IFERROR(VLOOKUP($C25,EQUIPOS[],UNIFICADO!I$9,0),"")</f>
        <v>32</v>
      </c>
      <c r="J25" s="1" t="str">
        <f>IFERROR(VLOOKUP($C25,EQUIPOS[],UNIFICADO!J$9,0),"")</f>
        <v>256GB</v>
      </c>
      <c r="K25" s="1">
        <f>IFERROR(VLOOKUP($C25,EQUIPOS[],UNIFICADO!K$9,0),"")</f>
        <v>0</v>
      </c>
      <c r="L25" s="1">
        <f>IFERROR(VLOOKUP($C25,EQUIPOS[],UNIFICADO!L$9,0),"")</f>
        <v>8</v>
      </c>
      <c r="M25" s="1" t="str">
        <f>IFERROR(VLOOKUP($C25,EQUIPOS[],UNIFICADO!M$9,0),"")</f>
        <v>2.4/1.8</v>
      </c>
      <c r="N25" s="1">
        <f>IFERROR(VLOOKUP($C25,EQUIPOS[],UNIFICADO!N$9,0),"")</f>
        <v>8</v>
      </c>
      <c r="O25" s="1">
        <f>IFERROR(VLOOKUP($C25,EQUIPOS[],UNIFICADO!O$9,0),"")</f>
        <v>175</v>
      </c>
      <c r="P25" s="1">
        <f>IFERROR(VLOOKUP($C25,EQUIPOS[],UNIFICADO!P$9,0),"")</f>
        <v>16</v>
      </c>
      <c r="Q25" s="1">
        <f>IFERROR(VLOOKUP($C25,EQUIPOS[],UNIFICADO!Q$9,0),"")</f>
        <v>7.38</v>
      </c>
      <c r="R25" s="1">
        <f>IFERROR(VLOOKUP($C25,EQUIPOS[],UNIFICADO!R$9,0),"")</f>
        <v>0.78</v>
      </c>
      <c r="S25" s="1">
        <f>IFERROR(VLOOKUP($C25,EQUIPOS[],UNIFICADO!S$9,0),"")</f>
        <v>4300</v>
      </c>
      <c r="T25" s="1">
        <f>IFERROR(VLOOKUP($C25,EQUIPOS[],UNIFICADO!T$9,0),"")</f>
        <v>5</v>
      </c>
      <c r="U25" s="1">
        <f>VLOOKUP(UNIFICADA[[#This Row],[Equipo]],EQUIPOS[],19,0)</f>
        <v>15</v>
      </c>
      <c r="V25" s="1" t="str">
        <f t="shared" si="0"/>
        <v>ND</v>
      </c>
      <c r="W25" s="1" t="str">
        <f t="shared" si="1"/>
        <v>ND</v>
      </c>
      <c r="X25" s="1" t="str">
        <f t="shared" si="2"/>
        <v>ND</v>
      </c>
      <c r="Y25" s="1" t="str">
        <f t="shared" si="2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4"/>
        <v>ND</v>
      </c>
      <c r="AJ25" s="1" t="str">
        <f t="shared" si="5"/>
        <v>ND</v>
      </c>
      <c r="AK25" s="1" t="str">
        <f t="shared" si="6"/>
        <v>ND</v>
      </c>
      <c r="AL25" s="1" t="str">
        <f t="shared" si="7"/>
        <v>ND</v>
      </c>
      <c r="AM25" s="1" t="str">
        <f t="shared" si="8"/>
        <v>ND</v>
      </c>
      <c r="AN25" s="1" t="str">
        <f t="shared" si="9"/>
        <v>ND</v>
      </c>
      <c r="AO25" s="1" t="str">
        <f t="shared" si="10"/>
        <v>ND</v>
      </c>
      <c r="AP25" s="1" t="str">
        <f t="shared" si="11"/>
        <v>ND</v>
      </c>
      <c r="AQ25" s="1" t="str">
        <f t="shared" si="12"/>
        <v>ND</v>
      </c>
      <c r="AR25" s="1" t="str">
        <f t="shared" si="13"/>
        <v>ND</v>
      </c>
      <c r="AS25" s="1" t="str">
        <f t="shared" si="14"/>
        <v>ND</v>
      </c>
      <c r="AT25" s="1" t="str">
        <f t="shared" si="15"/>
        <v>ND</v>
      </c>
      <c r="AU25" s="1" t="str">
        <f t="shared" si="16"/>
        <v>ND</v>
      </c>
      <c r="AV25" s="1" t="str">
        <f t="shared" si="17"/>
        <v>ND</v>
      </c>
      <c r="AW25" s="1" t="str">
        <f t="shared" si="18"/>
        <v>ND</v>
      </c>
      <c r="AX25" s="1" t="str">
        <f t="shared" si="19"/>
        <v>ND</v>
      </c>
      <c r="AY25" s="1" t="str">
        <f t="shared" si="20"/>
        <v>ND</v>
      </c>
      <c r="AZ25" s="1" t="str">
        <f t="shared" si="21"/>
        <v>ND</v>
      </c>
      <c r="BA25" s="1" t="str">
        <f t="shared" si="22"/>
        <v>ND</v>
      </c>
      <c r="BB25" s="1" t="str">
        <f t="shared" si="23"/>
        <v>ND</v>
      </c>
      <c r="BC25" s="1" t="str">
        <f t="shared" si="24"/>
        <v>ND</v>
      </c>
      <c r="BD25" s="1" t="str">
        <f t="shared" si="25"/>
        <v>ND</v>
      </c>
      <c r="BE25" s="1" t="str">
        <f t="shared" si="26"/>
        <v>ND</v>
      </c>
      <c r="BF25" s="1" t="str">
        <f t="shared" si="27"/>
        <v>ND</v>
      </c>
      <c r="BG25" s="1" t="str">
        <f t="shared" si="28"/>
        <v>ND</v>
      </c>
      <c r="BH25" s="1" t="str">
        <f t="shared" si="29"/>
        <v>ND</v>
      </c>
      <c r="BI25" s="1" t="str">
        <f t="shared" si="30"/>
        <v>ND</v>
      </c>
      <c r="BJ25" s="1" t="str">
        <f t="shared" si="31"/>
        <v>ND</v>
      </c>
      <c r="BK25" s="1" t="str">
        <f t="shared" si="32"/>
        <v>ND</v>
      </c>
      <c r="BL25" s="1" t="str">
        <f t="shared" si="33"/>
        <v>ND</v>
      </c>
      <c r="BM25" s="1" t="str">
        <f t="shared" si="34"/>
        <v>ND</v>
      </c>
      <c r="BN25" s="1" t="str">
        <f t="shared" si="35"/>
        <v>ND</v>
      </c>
      <c r="BO25" s="1" t="str">
        <f t="shared" si="36"/>
        <v>ND</v>
      </c>
      <c r="BP25" s="1" t="str">
        <f t="shared" si="37"/>
        <v>ND</v>
      </c>
      <c r="BQ25" s="1" t="str">
        <f t="shared" si="38"/>
        <v>ND</v>
      </c>
      <c r="BR25" s="1" t="str">
        <f t="shared" si="39"/>
        <v>ND</v>
      </c>
      <c r="BS25" s="1" t="str">
        <f t="shared" si="40"/>
        <v>ND</v>
      </c>
      <c r="BT25" s="1" t="str">
        <f t="shared" si="41"/>
        <v>ND</v>
      </c>
      <c r="BU25" s="1" t="str">
        <f t="shared" si="42"/>
        <v>ND</v>
      </c>
      <c r="BV25" s="1" t="str">
        <f t="shared" si="43"/>
        <v>ND</v>
      </c>
      <c r="BW25" s="1" t="str">
        <f t="shared" si="44"/>
        <v>ND</v>
      </c>
      <c r="BX25" s="1" t="str">
        <f t="shared" si="45"/>
        <v>ND</v>
      </c>
      <c r="BY25" s="1" t="str">
        <f t="shared" si="46"/>
        <v>ND</v>
      </c>
      <c r="BZ25" s="1" t="str">
        <f t="shared" si="47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50"/>
        <v>ND</v>
      </c>
      <c r="CX25" s="1" t="str">
        <f t="shared" si="51"/>
        <v>ND</v>
      </c>
      <c r="CY25" s="1" t="str">
        <f t="shared" si="52"/>
        <v>ND</v>
      </c>
      <c r="CZ25" s="1" t="str">
        <f t="shared" si="53"/>
        <v>ND</v>
      </c>
      <c r="DA25" s="1" t="str">
        <f t="shared" si="54"/>
        <v>ND</v>
      </c>
      <c r="DB25" s="1" t="str">
        <f t="shared" si="55"/>
        <v>ND</v>
      </c>
      <c r="DC25" s="1" t="str">
        <f t="shared" si="56"/>
        <v>ND</v>
      </c>
      <c r="DD25" s="1" t="str">
        <f t="shared" si="57"/>
        <v>ND</v>
      </c>
      <c r="DE25" s="1" t="str">
        <f t="shared" si="58"/>
        <v>ND</v>
      </c>
      <c r="DF25" s="1" t="str">
        <f t="shared" si="59"/>
        <v>ND</v>
      </c>
      <c r="DG25" s="1" t="str">
        <f t="shared" si="60"/>
        <v>ND</v>
      </c>
      <c r="DH25" s="1" t="str">
        <f t="shared" si="61"/>
        <v>ND</v>
      </c>
      <c r="DI25" s="1" t="str">
        <f t="shared" si="62"/>
        <v>ND</v>
      </c>
      <c r="DJ25" s="1" t="str">
        <f t="shared" si="63"/>
        <v>ND</v>
      </c>
      <c r="DK25" s="1" t="str">
        <f t="shared" si="64"/>
        <v>ND</v>
      </c>
      <c r="DL25" s="1" t="str">
        <f t="shared" si="65"/>
        <v>ND</v>
      </c>
      <c r="DM25" s="1" t="str">
        <f t="shared" si="66"/>
        <v>ND</v>
      </c>
      <c r="DN25" s="1" t="str">
        <f t="shared" si="67"/>
        <v>ND</v>
      </c>
      <c r="DO25" s="1" t="str">
        <f t="shared" si="68"/>
        <v>ND</v>
      </c>
      <c r="DP25" s="1" t="str">
        <f t="shared" si="69"/>
        <v>ND</v>
      </c>
      <c r="DQ25" s="1" t="str">
        <f t="shared" si="70"/>
        <v>ND</v>
      </c>
      <c r="DR25" s="1" t="str">
        <f t="shared" si="71"/>
        <v>ND</v>
      </c>
      <c r="DS25" s="1" t="str">
        <f t="shared" si="72"/>
        <v>ND</v>
      </c>
      <c r="DT25" s="1" t="str">
        <f t="shared" si="73"/>
        <v>ND</v>
      </c>
      <c r="DU25" s="1" t="str">
        <f t="shared" si="74"/>
        <v>ND</v>
      </c>
      <c r="DV25" s="1" t="str">
        <f t="shared" si="75"/>
        <v>ND</v>
      </c>
      <c r="DW25" s="1" t="str">
        <f t="shared" si="76"/>
        <v>ND</v>
      </c>
      <c r="DX25" s="1" t="str">
        <f t="shared" si="77"/>
        <v>ND</v>
      </c>
      <c r="DY25" s="1" t="str">
        <f t="shared" si="78"/>
        <v>ND</v>
      </c>
      <c r="DZ25" s="1" t="str">
        <f t="shared" si="79"/>
        <v>ND</v>
      </c>
      <c r="EA25" s="1" t="str">
        <f t="shared" si="80"/>
        <v>ND</v>
      </c>
      <c r="EB25" s="1" t="str">
        <f t="shared" si="81"/>
        <v>ND</v>
      </c>
      <c r="EC25" s="1" t="str">
        <f t="shared" si="82"/>
        <v>ND</v>
      </c>
      <c r="ED25" s="1" t="str">
        <f t="shared" si="83"/>
        <v>ND</v>
      </c>
      <c r="EE25" s="1" t="str">
        <f t="shared" si="84"/>
        <v>ND</v>
      </c>
      <c r="EF25" s="1" t="str">
        <f t="shared" si="85"/>
        <v>ND</v>
      </c>
      <c r="EG25" s="1" t="str">
        <f t="shared" si="86"/>
        <v>ND</v>
      </c>
      <c r="EH25" s="1" t="str">
        <f t="shared" si="87"/>
        <v>ND</v>
      </c>
      <c r="EI25" s="1" t="str">
        <f t="shared" si="88"/>
        <v>ND</v>
      </c>
      <c r="EJ25" s="1" t="str">
        <f t="shared" si="89"/>
        <v>ND</v>
      </c>
      <c r="EK25" s="1" t="str">
        <f t="shared" si="90"/>
        <v>ND</v>
      </c>
      <c r="EL25" s="1" t="str">
        <f t="shared" si="91"/>
        <v>ND</v>
      </c>
      <c r="EM25" s="1" t="str">
        <f t="shared" si="92"/>
        <v>ND</v>
      </c>
      <c r="EN25" s="1" t="str">
        <f t="shared" si="93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7"/>
        <v>ND</v>
      </c>
      <c r="FW25" s="1" t="str">
        <f t="shared" si="98"/>
        <v>ND</v>
      </c>
      <c r="FX25" s="1" t="str">
        <f t="shared" si="99"/>
        <v>ND</v>
      </c>
      <c r="FY25" s="1" t="str">
        <f t="shared" si="100"/>
        <v>ND</v>
      </c>
      <c r="FZ25" s="1" t="str">
        <f t="shared" si="101"/>
        <v>ND</v>
      </c>
      <c r="GA25" s="1" t="str">
        <f t="shared" si="102"/>
        <v>ND</v>
      </c>
      <c r="GB25" s="1" t="str">
        <f t="shared" si="103"/>
        <v>ND</v>
      </c>
      <c r="GC25" s="1" t="str">
        <f t="shared" si="104"/>
        <v>ND</v>
      </c>
      <c r="GD25" s="1" t="str">
        <f t="shared" si="105"/>
        <v>ND</v>
      </c>
      <c r="GE25" s="1" t="str">
        <f t="shared" si="106"/>
        <v>ND</v>
      </c>
      <c r="GF25" s="1" t="str">
        <f t="shared" si="107"/>
        <v>ND</v>
      </c>
      <c r="GG25" s="1" t="str">
        <f t="shared" si="108"/>
        <v>ND</v>
      </c>
      <c r="GH25" s="1" t="str">
        <f t="shared" si="109"/>
        <v>ND</v>
      </c>
      <c r="GI25" s="1" t="str">
        <f t="shared" si="110"/>
        <v>ND</v>
      </c>
      <c r="GJ25" s="1" t="str">
        <f t="shared" si="111"/>
        <v>ND</v>
      </c>
      <c r="GK25" s="1" t="str">
        <f t="shared" si="112"/>
        <v>ND</v>
      </c>
      <c r="GL25" s="1" t="str">
        <f t="shared" si="113"/>
        <v>ND</v>
      </c>
      <c r="GM25" s="1" t="str">
        <f t="shared" si="114"/>
        <v>ND</v>
      </c>
      <c r="GN25" s="1" t="str">
        <f t="shared" si="115"/>
        <v>ND</v>
      </c>
      <c r="GO25" s="1" t="str">
        <f t="shared" si="116"/>
        <v>ND</v>
      </c>
      <c r="GP25" s="1" t="str">
        <f t="shared" si="117"/>
        <v>ND</v>
      </c>
      <c r="GQ25" s="1" t="str">
        <f t="shared" si="118"/>
        <v>ND</v>
      </c>
      <c r="GR25" s="1" t="str">
        <f t="shared" si="119"/>
        <v>ND</v>
      </c>
      <c r="GS25" s="1" t="str">
        <f t="shared" si="120"/>
        <v>ND</v>
      </c>
      <c r="GT25" s="1" t="str">
        <f t="shared" si="121"/>
        <v>ND</v>
      </c>
      <c r="GU25" s="1" t="str">
        <f t="shared" si="122"/>
        <v>ND</v>
      </c>
      <c r="GV25" s="1" t="str">
        <f t="shared" si="123"/>
        <v>ND</v>
      </c>
      <c r="GW25" s="1" t="str">
        <f t="shared" si="124"/>
        <v>ND</v>
      </c>
      <c r="GX25" s="1" t="str">
        <f t="shared" si="125"/>
        <v>ND</v>
      </c>
      <c r="GY25" s="1" t="str">
        <f t="shared" si="126"/>
        <v>ND</v>
      </c>
      <c r="GZ25" s="1" t="str">
        <f t="shared" si="127"/>
        <v>ND</v>
      </c>
      <c r="HA25" s="1" t="str">
        <f t="shared" si="128"/>
        <v>ND</v>
      </c>
      <c r="HB25" s="1" t="str">
        <f t="shared" si="129"/>
        <v>ND</v>
      </c>
      <c r="HC25" s="1" t="str">
        <f t="shared" si="130"/>
        <v>ND</v>
      </c>
      <c r="HD25" s="1" t="str">
        <f t="shared" si="131"/>
        <v>ND</v>
      </c>
      <c r="HE25" s="1" t="str">
        <f t="shared" si="132"/>
        <v>ND</v>
      </c>
      <c r="HF25" s="1" t="str">
        <f t="shared" si="133"/>
        <v>ND</v>
      </c>
      <c r="HG25" s="1" t="str">
        <f t="shared" si="134"/>
        <v>ND</v>
      </c>
      <c r="HH25" s="1" t="str">
        <f t="shared" si="135"/>
        <v>ND</v>
      </c>
      <c r="HI25" s="1" t="str">
        <f t="shared" si="136"/>
        <v>ND</v>
      </c>
      <c r="HJ25" s="1" t="str">
        <f t="shared" si="137"/>
        <v>ND</v>
      </c>
      <c r="HK25" s="1" t="str">
        <f t="shared" si="138"/>
        <v>ND</v>
      </c>
      <c r="HL25" s="1" t="str">
        <f t="shared" si="139"/>
        <v>ND</v>
      </c>
      <c r="HM25" s="1" t="str">
        <f t="shared" si="140"/>
        <v>ND</v>
      </c>
      <c r="HN25" s="1" t="str">
        <f t="shared" si="141"/>
        <v>ND</v>
      </c>
      <c r="HO25" s="1" t="str">
        <f t="shared" si="142"/>
        <v>ND</v>
      </c>
      <c r="HP25" s="1" t="str">
        <f t="shared" si="143"/>
        <v>ND</v>
      </c>
      <c r="HQ25" s="1" t="str">
        <f t="shared" si="144"/>
        <v>ND</v>
      </c>
      <c r="HR25" s="1" t="str">
        <f t="shared" si="145"/>
        <v>ND</v>
      </c>
      <c r="HS25" s="1" t="str">
        <f t="shared" si="146"/>
        <v>ND</v>
      </c>
      <c r="HT25" s="1" t="str">
        <f t="shared" si="147"/>
        <v>ND</v>
      </c>
      <c r="HU25" s="1" t="str">
        <f t="shared" si="148"/>
        <v>ND</v>
      </c>
      <c r="HV25" s="1" t="str">
        <f t="shared" si="149"/>
        <v>ND</v>
      </c>
      <c r="HW25" s="1" t="str">
        <f t="shared" si="150"/>
        <v>ND</v>
      </c>
      <c r="HX25" s="1" t="str">
        <f t="shared" si="151"/>
        <v>ND</v>
      </c>
      <c r="HY25" s="1" t="str">
        <f t="shared" si="152"/>
        <v>ND</v>
      </c>
      <c r="HZ25" s="1" t="str">
        <f t="shared" si="153"/>
        <v>ND</v>
      </c>
      <c r="IA25" s="1" t="str">
        <f t="shared" si="154"/>
        <v>ND</v>
      </c>
      <c r="IB25" s="1" t="str">
        <f t="shared" si="155"/>
        <v>ND</v>
      </c>
      <c r="IC25" s="1" t="str">
        <f t="shared" si="156"/>
        <v>ND</v>
      </c>
      <c r="ID25" s="1" t="str">
        <f t="shared" si="157"/>
        <v>ND</v>
      </c>
      <c r="IE25" s="1" t="str">
        <f t="shared" si="158"/>
        <v>ND</v>
      </c>
      <c r="IF25" s="1" t="str">
        <f t="shared" si="159"/>
        <v>ND</v>
      </c>
      <c r="IG25" s="1" t="str">
        <f t="shared" si="160"/>
        <v>ND</v>
      </c>
      <c r="IH25" s="1" t="str">
        <f t="shared" si="161"/>
        <v>ND</v>
      </c>
      <c r="II25" s="1" t="str">
        <f t="shared" si="162"/>
        <v>ND</v>
      </c>
    </row>
    <row r="26" spans="3:243" x14ac:dyDescent="0.25">
      <c r="C26" t="s">
        <v>124</v>
      </c>
      <c r="D26">
        <f>SUMIFS(DICCIONARIO[Cantidad],DICCIONARIO[Modelo],UNIFICADA[[#This Row],[Equipo]])</f>
        <v>0</v>
      </c>
      <c r="E26" s="1">
        <f>IFERROR(VLOOKUP($C26,EQUIPOS[],UNIFICADO!E$9,0),"")</f>
        <v>12</v>
      </c>
      <c r="F26" s="1">
        <f>IFERROR(VLOOKUP($C26,EQUIPOS[],UNIFICADO!F$9,0),"")</f>
        <v>6.56</v>
      </c>
      <c r="G26" s="1">
        <f>IFERROR(VLOOKUP($C26,EQUIPOS[],UNIFICADO!G$9,0),"")</f>
        <v>50</v>
      </c>
      <c r="H26" s="1">
        <f>IFERROR(VLOOKUP($C26,EQUIPOS[],UNIFICADO!H$9,0),"")</f>
        <v>2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1.9/2.3</v>
      </c>
      <c r="N26" s="1">
        <f>IFERROR(VLOOKUP($C26,EQUIPOS[],UNIFICADO!N$9,0),"")</f>
        <v>4</v>
      </c>
      <c r="O26" s="1">
        <f>IFERROR(VLOOKUP($C26,EQUIPOS[],UNIFICADO!O$9,0),"")</f>
        <v>187</v>
      </c>
      <c r="P26" s="1">
        <f>IFERROR(VLOOKUP($C26,EQUIPOS[],UNIFICADO!P$9,0),"")</f>
        <v>16.399999999999999</v>
      </c>
      <c r="Q26" s="1">
        <f>IFERROR(VLOOKUP($C26,EQUIPOS[],UNIFICADO!Q$9,0),"")</f>
        <v>7.5</v>
      </c>
      <c r="R26" s="1">
        <f>IFERROR(VLOOKUP($C26,EQUIPOS[],UNIFICADO!R$9,0),"")</f>
        <v>0.8</v>
      </c>
      <c r="S26" s="1">
        <f>IFERROR(VLOOKUP($C26,EQUIPOS[],UNIFICADO!S$9,0),"")</f>
        <v>4880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0"/>
        <v>ND</v>
      </c>
      <c r="W26" s="1" t="str">
        <f t="shared" si="1"/>
        <v>ND</v>
      </c>
      <c r="X26" s="1" t="str">
        <f t="shared" si="2"/>
        <v>ND</v>
      </c>
      <c r="Y26" s="1" t="str">
        <f t="shared" si="2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4"/>
        <v>ND</v>
      </c>
      <c r="AJ26" s="1" t="str">
        <f t="shared" si="5"/>
        <v>ND</v>
      </c>
      <c r="AK26" s="1" t="str">
        <f t="shared" si="6"/>
        <v>ND</v>
      </c>
      <c r="AL26" s="1" t="str">
        <f t="shared" si="7"/>
        <v>ND</v>
      </c>
      <c r="AM26" s="1" t="str">
        <f t="shared" si="8"/>
        <v>ND</v>
      </c>
      <c r="AN26" s="1" t="str">
        <f t="shared" si="9"/>
        <v>ND</v>
      </c>
      <c r="AO26" s="1" t="str">
        <f t="shared" si="10"/>
        <v>ND</v>
      </c>
      <c r="AP26" s="1" t="str">
        <f t="shared" si="11"/>
        <v>ND</v>
      </c>
      <c r="AQ26" s="1" t="str">
        <f t="shared" si="12"/>
        <v>ND</v>
      </c>
      <c r="AR26" s="1" t="str">
        <f t="shared" si="13"/>
        <v>ND</v>
      </c>
      <c r="AS26" s="1" t="str">
        <f t="shared" si="14"/>
        <v>ND</v>
      </c>
      <c r="AT26" s="1" t="str">
        <f t="shared" si="15"/>
        <v>ND</v>
      </c>
      <c r="AU26" s="1" t="str">
        <f t="shared" si="16"/>
        <v>ND</v>
      </c>
      <c r="AV26" s="1" t="str">
        <f t="shared" si="17"/>
        <v>ND</v>
      </c>
      <c r="AW26" s="1" t="str">
        <f t="shared" si="18"/>
        <v>ND</v>
      </c>
      <c r="AX26" s="1" t="str">
        <f t="shared" si="19"/>
        <v>ND</v>
      </c>
      <c r="AY26" s="1" t="str">
        <f t="shared" si="20"/>
        <v>ND</v>
      </c>
      <c r="AZ26" s="1" t="str">
        <f t="shared" si="21"/>
        <v>ND</v>
      </c>
      <c r="BA26" s="1" t="str">
        <f t="shared" si="22"/>
        <v>ND</v>
      </c>
      <c r="BB26" s="1" t="str">
        <f t="shared" si="23"/>
        <v>ND</v>
      </c>
      <c r="BC26" s="1" t="str">
        <f t="shared" si="24"/>
        <v>ND</v>
      </c>
      <c r="BD26" s="1" t="str">
        <f t="shared" si="25"/>
        <v>ND</v>
      </c>
      <c r="BE26" s="1" t="str">
        <f t="shared" si="26"/>
        <v>ND</v>
      </c>
      <c r="BF26" s="1" t="str">
        <f t="shared" si="27"/>
        <v>ND</v>
      </c>
      <c r="BG26" s="1" t="str">
        <f t="shared" si="28"/>
        <v>ND</v>
      </c>
      <c r="BH26" s="1" t="str">
        <f t="shared" si="29"/>
        <v>ND</v>
      </c>
      <c r="BI26" s="1" t="str">
        <f t="shared" si="30"/>
        <v>ND</v>
      </c>
      <c r="BJ26" s="1" t="str">
        <f t="shared" si="31"/>
        <v>ND</v>
      </c>
      <c r="BK26" s="1" t="str">
        <f t="shared" si="32"/>
        <v>ND</v>
      </c>
      <c r="BL26" s="1" t="str">
        <f t="shared" si="33"/>
        <v>ND</v>
      </c>
      <c r="BM26" s="1" t="str">
        <f t="shared" si="34"/>
        <v>ND</v>
      </c>
      <c r="BN26" s="1" t="str">
        <f t="shared" si="35"/>
        <v>ND</v>
      </c>
      <c r="BO26" s="1" t="str">
        <f t="shared" si="36"/>
        <v>ND</v>
      </c>
      <c r="BP26" s="1" t="str">
        <f t="shared" si="37"/>
        <v>ND</v>
      </c>
      <c r="BQ26" s="1" t="str">
        <f t="shared" si="38"/>
        <v>ND</v>
      </c>
      <c r="BR26" s="1" t="str">
        <f t="shared" si="39"/>
        <v>ND</v>
      </c>
      <c r="BS26" s="1" t="str">
        <f t="shared" si="40"/>
        <v>ND</v>
      </c>
      <c r="BT26" s="1" t="str">
        <f t="shared" si="41"/>
        <v>ND</v>
      </c>
      <c r="BU26" s="1" t="str">
        <f t="shared" si="42"/>
        <v>ND</v>
      </c>
      <c r="BV26" s="1" t="str">
        <f t="shared" si="43"/>
        <v>ND</v>
      </c>
      <c r="BW26" s="1" t="str">
        <f t="shared" si="44"/>
        <v>ND</v>
      </c>
      <c r="BX26" s="1" t="str">
        <f t="shared" si="45"/>
        <v>ND</v>
      </c>
      <c r="BY26" s="1" t="str">
        <f t="shared" si="46"/>
        <v>ND</v>
      </c>
      <c r="BZ26" s="1" t="str">
        <f t="shared" si="47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50"/>
        <v>ND</v>
      </c>
      <c r="CX26" s="1" t="str">
        <f t="shared" si="51"/>
        <v>ND</v>
      </c>
      <c r="CY26" s="1" t="str">
        <f t="shared" si="52"/>
        <v>ND</v>
      </c>
      <c r="CZ26" s="1" t="str">
        <f t="shared" si="53"/>
        <v>ND</v>
      </c>
      <c r="DA26" s="1" t="str">
        <f t="shared" si="54"/>
        <v>ND</v>
      </c>
      <c r="DB26" s="1" t="str">
        <f t="shared" si="55"/>
        <v>ND</v>
      </c>
      <c r="DC26" s="1" t="str">
        <f t="shared" si="56"/>
        <v>ND</v>
      </c>
      <c r="DD26" s="1" t="str">
        <f t="shared" si="57"/>
        <v>ND</v>
      </c>
      <c r="DE26" s="1" t="str">
        <f t="shared" si="58"/>
        <v>ND</v>
      </c>
      <c r="DF26" s="1" t="str">
        <f t="shared" si="59"/>
        <v>ND</v>
      </c>
      <c r="DG26" s="1" t="str">
        <f t="shared" si="60"/>
        <v>ND</v>
      </c>
      <c r="DH26" s="1" t="str">
        <f t="shared" si="61"/>
        <v>ND</v>
      </c>
      <c r="DI26" s="1" t="str">
        <f t="shared" si="62"/>
        <v>ND</v>
      </c>
      <c r="DJ26" s="1" t="str">
        <f t="shared" si="63"/>
        <v>ND</v>
      </c>
      <c r="DK26" s="1" t="str">
        <f t="shared" si="64"/>
        <v>ND</v>
      </c>
      <c r="DL26" s="1" t="str">
        <f t="shared" si="65"/>
        <v>ND</v>
      </c>
      <c r="DM26" s="1" t="str">
        <f t="shared" si="66"/>
        <v>ND</v>
      </c>
      <c r="DN26" s="1" t="str">
        <f t="shared" si="67"/>
        <v>ND</v>
      </c>
      <c r="DO26" s="1" t="str">
        <f t="shared" si="68"/>
        <v>ND</v>
      </c>
      <c r="DP26" s="1" t="str">
        <f t="shared" si="69"/>
        <v>ND</v>
      </c>
      <c r="DQ26" s="1" t="str">
        <f t="shared" si="70"/>
        <v>ND</v>
      </c>
      <c r="DR26" s="1" t="str">
        <f t="shared" si="71"/>
        <v>ND</v>
      </c>
      <c r="DS26" s="1" t="str">
        <f t="shared" si="72"/>
        <v>ND</v>
      </c>
      <c r="DT26" s="1" t="str">
        <f t="shared" si="73"/>
        <v>ND</v>
      </c>
      <c r="DU26" s="1" t="str">
        <f t="shared" si="74"/>
        <v>ND</v>
      </c>
      <c r="DV26" s="1" t="str">
        <f t="shared" si="75"/>
        <v>ND</v>
      </c>
      <c r="DW26" s="1" t="str">
        <f t="shared" si="76"/>
        <v>ND</v>
      </c>
      <c r="DX26" s="1" t="str">
        <f t="shared" si="77"/>
        <v>ND</v>
      </c>
      <c r="DY26" s="1" t="str">
        <f t="shared" si="78"/>
        <v>ND</v>
      </c>
      <c r="DZ26" s="1" t="str">
        <f t="shared" si="79"/>
        <v>ND</v>
      </c>
      <c r="EA26" s="1" t="str">
        <f t="shared" si="80"/>
        <v>ND</v>
      </c>
      <c r="EB26" s="1" t="str">
        <f t="shared" si="81"/>
        <v>ND</v>
      </c>
      <c r="EC26" s="1" t="str">
        <f t="shared" si="82"/>
        <v>ND</v>
      </c>
      <c r="ED26" s="1" t="str">
        <f t="shared" si="83"/>
        <v>ND</v>
      </c>
      <c r="EE26" s="1" t="str">
        <f t="shared" si="84"/>
        <v>ND</v>
      </c>
      <c r="EF26" s="1" t="str">
        <f t="shared" si="85"/>
        <v>ND</v>
      </c>
      <c r="EG26" s="1" t="str">
        <f t="shared" si="86"/>
        <v>ND</v>
      </c>
      <c r="EH26" s="1" t="str">
        <f t="shared" si="87"/>
        <v>ND</v>
      </c>
      <c r="EI26" s="1" t="str">
        <f t="shared" si="88"/>
        <v>ND</v>
      </c>
      <c r="EJ26" s="1" t="str">
        <f t="shared" si="89"/>
        <v>ND</v>
      </c>
      <c r="EK26" s="1" t="str">
        <f t="shared" si="90"/>
        <v>ND</v>
      </c>
      <c r="EL26" s="1" t="str">
        <f t="shared" si="91"/>
        <v>ND</v>
      </c>
      <c r="EM26" s="1" t="str">
        <f t="shared" si="92"/>
        <v>ND</v>
      </c>
      <c r="EN26" s="1" t="str">
        <f t="shared" si="93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7"/>
        <v>ND</v>
      </c>
      <c r="FW26" s="1" t="str">
        <f t="shared" si="98"/>
        <v>ND</v>
      </c>
      <c r="FX26" s="1" t="str">
        <f t="shared" si="99"/>
        <v>ND</v>
      </c>
      <c r="FY26" s="1" t="str">
        <f t="shared" si="100"/>
        <v>ND</v>
      </c>
      <c r="FZ26" s="1" t="str">
        <f t="shared" si="101"/>
        <v>ND</v>
      </c>
      <c r="GA26" s="1" t="str">
        <f t="shared" si="102"/>
        <v>ND</v>
      </c>
      <c r="GB26" s="1" t="str">
        <f t="shared" si="103"/>
        <v>ND</v>
      </c>
      <c r="GC26" s="1" t="str">
        <f t="shared" si="104"/>
        <v>ND</v>
      </c>
      <c r="GD26" s="1" t="str">
        <f t="shared" si="105"/>
        <v>ND</v>
      </c>
      <c r="GE26" s="1" t="str">
        <f t="shared" si="106"/>
        <v>ND</v>
      </c>
      <c r="GF26" s="1" t="str">
        <f t="shared" si="107"/>
        <v>ND</v>
      </c>
      <c r="GG26" s="1" t="str">
        <f t="shared" si="108"/>
        <v>ND</v>
      </c>
      <c r="GH26" s="1" t="str">
        <f t="shared" si="109"/>
        <v>ND</v>
      </c>
      <c r="GI26" s="1" t="str">
        <f t="shared" si="110"/>
        <v>ND</v>
      </c>
      <c r="GJ26" s="1" t="str">
        <f t="shared" si="111"/>
        <v>ND</v>
      </c>
      <c r="GK26" s="1" t="str">
        <f t="shared" si="112"/>
        <v>ND</v>
      </c>
      <c r="GL26" s="1" t="str">
        <f t="shared" si="113"/>
        <v>ND</v>
      </c>
      <c r="GM26" s="1" t="str">
        <f t="shared" si="114"/>
        <v>ND</v>
      </c>
      <c r="GN26" s="1" t="str">
        <f t="shared" si="115"/>
        <v>ND</v>
      </c>
      <c r="GO26" s="1" t="str">
        <f t="shared" si="116"/>
        <v>ND</v>
      </c>
      <c r="GP26" s="1" t="str">
        <f t="shared" si="117"/>
        <v>ND</v>
      </c>
      <c r="GQ26" s="1" t="str">
        <f t="shared" si="118"/>
        <v>ND</v>
      </c>
      <c r="GR26" s="1" t="str">
        <f t="shared" si="119"/>
        <v>ND</v>
      </c>
      <c r="GS26" s="1" t="str">
        <f t="shared" si="120"/>
        <v>ND</v>
      </c>
      <c r="GT26" s="1" t="str">
        <f t="shared" si="121"/>
        <v>ND</v>
      </c>
      <c r="GU26" s="1" t="str">
        <f t="shared" si="122"/>
        <v>ND</v>
      </c>
      <c r="GV26" s="1" t="str">
        <f t="shared" si="123"/>
        <v>ND</v>
      </c>
      <c r="GW26" s="1" t="str">
        <f t="shared" si="124"/>
        <v>ND</v>
      </c>
      <c r="GX26" s="1" t="str">
        <f t="shared" si="125"/>
        <v>ND</v>
      </c>
      <c r="GY26" s="1" t="str">
        <f t="shared" si="126"/>
        <v>ND</v>
      </c>
      <c r="GZ26" s="1" t="str">
        <f t="shared" si="127"/>
        <v>ND</v>
      </c>
      <c r="HA26" s="1" t="str">
        <f t="shared" si="128"/>
        <v>ND</v>
      </c>
      <c r="HB26" s="1" t="str">
        <f t="shared" si="129"/>
        <v>ND</v>
      </c>
      <c r="HC26" s="1" t="str">
        <f t="shared" si="130"/>
        <v>ND</v>
      </c>
      <c r="HD26" s="1" t="str">
        <f t="shared" si="131"/>
        <v>ND</v>
      </c>
      <c r="HE26" s="1" t="str">
        <f t="shared" si="132"/>
        <v>ND</v>
      </c>
      <c r="HF26" s="1" t="str">
        <f t="shared" si="133"/>
        <v>ND</v>
      </c>
      <c r="HG26" s="1" t="str">
        <f t="shared" si="134"/>
        <v>ND</v>
      </c>
      <c r="HH26" s="1" t="str">
        <f t="shared" si="135"/>
        <v>ND</v>
      </c>
      <c r="HI26" s="1" t="str">
        <f t="shared" si="136"/>
        <v>ND</v>
      </c>
      <c r="HJ26" s="1" t="str">
        <f t="shared" si="137"/>
        <v>ND</v>
      </c>
      <c r="HK26" s="1" t="str">
        <f t="shared" si="138"/>
        <v>ND</v>
      </c>
      <c r="HL26" s="1" t="str">
        <f t="shared" si="139"/>
        <v>ND</v>
      </c>
      <c r="HM26" s="1" t="str">
        <f t="shared" si="140"/>
        <v>ND</v>
      </c>
      <c r="HN26" s="1" t="str">
        <f t="shared" si="141"/>
        <v>ND</v>
      </c>
      <c r="HO26" s="1" t="str">
        <f t="shared" si="142"/>
        <v>ND</v>
      </c>
      <c r="HP26" s="1" t="str">
        <f t="shared" si="143"/>
        <v>ND</v>
      </c>
      <c r="HQ26" s="1" t="str">
        <f t="shared" si="144"/>
        <v>ND</v>
      </c>
      <c r="HR26" s="1" t="str">
        <f t="shared" si="145"/>
        <v>ND</v>
      </c>
      <c r="HS26" s="1" t="str">
        <f t="shared" si="146"/>
        <v>ND</v>
      </c>
      <c r="HT26" s="1" t="str">
        <f t="shared" si="147"/>
        <v>ND</v>
      </c>
      <c r="HU26" s="1" t="str">
        <f t="shared" si="148"/>
        <v>ND</v>
      </c>
      <c r="HV26" s="1" t="str">
        <f t="shared" si="149"/>
        <v>ND</v>
      </c>
      <c r="HW26" s="1" t="str">
        <f t="shared" si="150"/>
        <v>ND</v>
      </c>
      <c r="HX26" s="1" t="str">
        <f t="shared" si="151"/>
        <v>ND</v>
      </c>
      <c r="HY26" s="1" t="str">
        <f t="shared" si="152"/>
        <v>ND</v>
      </c>
      <c r="HZ26" s="1" t="str">
        <f t="shared" si="153"/>
        <v>ND</v>
      </c>
      <c r="IA26" s="1" t="str">
        <f t="shared" si="154"/>
        <v>ND</v>
      </c>
      <c r="IB26" s="1" t="str">
        <f t="shared" si="155"/>
        <v>ND</v>
      </c>
      <c r="IC26" s="1" t="str">
        <f t="shared" si="156"/>
        <v>ND</v>
      </c>
      <c r="ID26" s="1" t="str">
        <f t="shared" si="157"/>
        <v>ND</v>
      </c>
      <c r="IE26" s="1" t="str">
        <f t="shared" si="158"/>
        <v>ND</v>
      </c>
      <c r="IF26" s="1" t="str">
        <f t="shared" si="159"/>
        <v>ND</v>
      </c>
      <c r="IG26" s="1" t="str">
        <f t="shared" si="160"/>
        <v>ND</v>
      </c>
      <c r="IH26" s="1" t="str">
        <f t="shared" si="161"/>
        <v>ND</v>
      </c>
      <c r="II26" s="1" t="str">
        <f t="shared" si="162"/>
        <v>ND</v>
      </c>
    </row>
    <row r="27" spans="3:243" x14ac:dyDescent="0.25">
      <c r="C27" t="s">
        <v>120</v>
      </c>
      <c r="D27">
        <f>SUMIFS(DICCIONARIO[Cantidad],DICCIONARIO[Modelo],UNIFICADA[[#This Row],[Equipo]])</f>
        <v>0</v>
      </c>
      <c r="E27" s="1">
        <f>IFERROR(VLOOKUP($C27,EQUIPOS[],UNIFICADO!E$9,0),"")</f>
        <v>12</v>
      </c>
      <c r="F27" s="1">
        <f>IFERROR(VLOOKUP($C27,EQUIPOS[],UNIFICADO!F$9,0),"")</f>
        <v>6.67</v>
      </c>
      <c r="G27" s="1">
        <f>IFERROR(VLOOKUP($C27,EQUIPOS[],UNIFICADO!G$9,0),"")</f>
        <v>54</v>
      </c>
      <c r="H27" s="1">
        <f>IFERROR(VLOOKUP($C27,EQUIPOS[],UNIFICADO!H$9,0),"")</f>
        <v>4</v>
      </c>
      <c r="I27" s="1">
        <f>IFERROR(VLOOKUP($C27,EQUIPOS[],UNIFICADO!I$9,0),"")</f>
        <v>32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2.4/2.2/1.9</v>
      </c>
      <c r="N27" s="1">
        <f>IFERROR(VLOOKUP($C27,EQUIPOS[],UNIFICADO!N$9,0),"")</f>
        <v>8</v>
      </c>
      <c r="O27" s="1">
        <f>IFERROR(VLOOKUP($C27,EQUIPOS[],UNIFICADO!O$9,0),"")</f>
        <v>178</v>
      </c>
      <c r="P27" s="1">
        <f>IFERROR(VLOOKUP($C27,EQUIPOS[],UNIFICADO!P$9,0),"")</f>
        <v>16.100000000000001</v>
      </c>
      <c r="Q27" s="1">
        <f>IFERROR(VLOOKUP($C27,EQUIPOS[],UNIFICADO!Q$9,0),"")</f>
        <v>7.33</v>
      </c>
      <c r="R27" s="1">
        <f>IFERROR(VLOOKUP($C27,EQUIPOS[],UNIFICADO!R$9,0),"")</f>
        <v>0.79</v>
      </c>
      <c r="S27" s="1">
        <f>IFERROR(VLOOKUP($C27,EQUIPOS[],UNIFICADO!S$9,0),"")</f>
        <v>4800</v>
      </c>
      <c r="T27" s="1">
        <f>IFERROR(VLOOKUP($C27,EQUIPOS[],UNIFICADO!T$9,0),"")</f>
        <v>5</v>
      </c>
      <c r="U27" s="1">
        <f>VLOOKUP(UNIFICADA[[#This Row],[Equipo]],EQUIPOS[],19,0)</f>
        <v>17</v>
      </c>
      <c r="V27" s="1" t="str">
        <f t="shared" si="0"/>
        <v>ND</v>
      </c>
      <c r="W27" s="1" t="str">
        <f t="shared" si="1"/>
        <v>ND</v>
      </c>
      <c r="X27" s="1" t="str">
        <f t="shared" si="2"/>
        <v>ND</v>
      </c>
      <c r="Y27" s="1" t="str">
        <f t="shared" si="2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4"/>
        <v>ND</v>
      </c>
      <c r="AJ27" s="1" t="str">
        <f t="shared" si="5"/>
        <v>ND</v>
      </c>
      <c r="AK27" s="1" t="str">
        <f t="shared" si="6"/>
        <v>ND</v>
      </c>
      <c r="AL27" s="1" t="str">
        <f t="shared" si="7"/>
        <v>ND</v>
      </c>
      <c r="AM27" s="1" t="str">
        <f t="shared" si="8"/>
        <v>ND</v>
      </c>
      <c r="AN27" s="1" t="str">
        <f t="shared" si="9"/>
        <v>ND</v>
      </c>
      <c r="AO27" s="1" t="str">
        <f t="shared" si="10"/>
        <v>ND</v>
      </c>
      <c r="AP27" s="1" t="str">
        <f t="shared" si="11"/>
        <v>ND</v>
      </c>
      <c r="AQ27" s="1" t="str">
        <f t="shared" si="12"/>
        <v>ND</v>
      </c>
      <c r="AR27" s="1" t="str">
        <f t="shared" si="13"/>
        <v>ND</v>
      </c>
      <c r="AS27" s="1" t="str">
        <f t="shared" si="14"/>
        <v>ND</v>
      </c>
      <c r="AT27" s="1" t="str">
        <f t="shared" si="15"/>
        <v>ND</v>
      </c>
      <c r="AU27" s="1" t="str">
        <f t="shared" si="16"/>
        <v>ND</v>
      </c>
      <c r="AV27" s="1" t="str">
        <f t="shared" si="17"/>
        <v>ND</v>
      </c>
      <c r="AW27" s="1" t="str">
        <f t="shared" si="18"/>
        <v>ND</v>
      </c>
      <c r="AX27" s="1" t="str">
        <f t="shared" si="19"/>
        <v>ND</v>
      </c>
      <c r="AY27" s="1" t="str">
        <f t="shared" si="20"/>
        <v>ND</v>
      </c>
      <c r="AZ27" s="1" t="str">
        <f t="shared" si="21"/>
        <v>ND</v>
      </c>
      <c r="BA27" s="1" t="str">
        <f t="shared" si="22"/>
        <v>ND</v>
      </c>
      <c r="BB27" s="1" t="str">
        <f t="shared" si="23"/>
        <v>ND</v>
      </c>
      <c r="BC27" s="1" t="str">
        <f t="shared" si="24"/>
        <v>ND</v>
      </c>
      <c r="BD27" s="1" t="str">
        <f t="shared" si="25"/>
        <v>ND</v>
      </c>
      <c r="BE27" s="1" t="str">
        <f t="shared" si="26"/>
        <v>ND</v>
      </c>
      <c r="BF27" s="1" t="str">
        <f t="shared" si="27"/>
        <v>ND</v>
      </c>
      <c r="BG27" s="1" t="str">
        <f t="shared" si="28"/>
        <v>ND</v>
      </c>
      <c r="BH27" s="1" t="str">
        <f t="shared" si="29"/>
        <v>ND</v>
      </c>
      <c r="BI27" s="1" t="str">
        <f t="shared" si="30"/>
        <v>ND</v>
      </c>
      <c r="BJ27" s="1" t="str">
        <f t="shared" si="31"/>
        <v>ND</v>
      </c>
      <c r="BK27" s="1" t="str">
        <f t="shared" si="32"/>
        <v>ND</v>
      </c>
      <c r="BL27" s="1" t="str">
        <f t="shared" si="33"/>
        <v>ND</v>
      </c>
      <c r="BM27" s="1" t="str">
        <f t="shared" si="34"/>
        <v>ND</v>
      </c>
      <c r="BN27" s="1" t="str">
        <f t="shared" si="35"/>
        <v>ND</v>
      </c>
      <c r="BO27" s="1" t="str">
        <f t="shared" si="36"/>
        <v>ND</v>
      </c>
      <c r="BP27" s="1" t="str">
        <f t="shared" si="37"/>
        <v>ND</v>
      </c>
      <c r="BQ27" s="1" t="str">
        <f t="shared" si="38"/>
        <v>ND</v>
      </c>
      <c r="BR27" s="1" t="str">
        <f t="shared" si="39"/>
        <v>ND</v>
      </c>
      <c r="BS27" s="1" t="str">
        <f t="shared" si="40"/>
        <v>ND</v>
      </c>
      <c r="BT27" s="1" t="str">
        <f t="shared" si="41"/>
        <v>ND</v>
      </c>
      <c r="BU27" s="1" t="str">
        <f t="shared" si="42"/>
        <v>ND</v>
      </c>
      <c r="BV27" s="1" t="str">
        <f t="shared" si="43"/>
        <v>ND</v>
      </c>
      <c r="BW27" s="1" t="str">
        <f t="shared" si="44"/>
        <v>ND</v>
      </c>
      <c r="BX27" s="1" t="str">
        <f t="shared" si="45"/>
        <v>ND</v>
      </c>
      <c r="BY27" s="1" t="str">
        <f t="shared" si="46"/>
        <v>ND</v>
      </c>
      <c r="BZ27" s="1" t="str">
        <f t="shared" si="47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50"/>
        <v>ND</v>
      </c>
      <c r="CX27" s="1" t="str">
        <f t="shared" si="51"/>
        <v>ND</v>
      </c>
      <c r="CY27" s="1" t="str">
        <f t="shared" si="52"/>
        <v>ND</v>
      </c>
      <c r="CZ27" s="1" t="str">
        <f t="shared" si="53"/>
        <v>ND</v>
      </c>
      <c r="DA27" s="1" t="str">
        <f t="shared" si="54"/>
        <v>ND</v>
      </c>
      <c r="DB27" s="1" t="str">
        <f t="shared" si="55"/>
        <v>ND</v>
      </c>
      <c r="DC27" s="1" t="str">
        <f t="shared" si="56"/>
        <v>ND</v>
      </c>
      <c r="DD27" s="1" t="str">
        <f t="shared" si="57"/>
        <v>ND</v>
      </c>
      <c r="DE27" s="1" t="str">
        <f t="shared" si="58"/>
        <v>ND</v>
      </c>
      <c r="DF27" s="1" t="str">
        <f t="shared" si="59"/>
        <v>ND</v>
      </c>
      <c r="DG27" s="1" t="str">
        <f t="shared" si="60"/>
        <v>ND</v>
      </c>
      <c r="DH27" s="1" t="str">
        <f t="shared" si="61"/>
        <v>ND</v>
      </c>
      <c r="DI27" s="1" t="str">
        <f t="shared" si="62"/>
        <v>ND</v>
      </c>
      <c r="DJ27" s="1" t="str">
        <f t="shared" si="63"/>
        <v>ND</v>
      </c>
      <c r="DK27" s="1" t="str">
        <f t="shared" si="64"/>
        <v>ND</v>
      </c>
      <c r="DL27" s="1" t="str">
        <f t="shared" si="65"/>
        <v>ND</v>
      </c>
      <c r="DM27" s="1" t="str">
        <f t="shared" si="66"/>
        <v>ND</v>
      </c>
      <c r="DN27" s="1" t="str">
        <f t="shared" si="67"/>
        <v>ND</v>
      </c>
      <c r="DO27" s="1" t="str">
        <f t="shared" si="68"/>
        <v>ND</v>
      </c>
      <c r="DP27" s="1" t="str">
        <f t="shared" si="69"/>
        <v>ND</v>
      </c>
      <c r="DQ27" s="1" t="str">
        <f t="shared" si="70"/>
        <v>ND</v>
      </c>
      <c r="DR27" s="1" t="str">
        <f t="shared" si="71"/>
        <v>ND</v>
      </c>
      <c r="DS27" s="1" t="str">
        <f t="shared" si="72"/>
        <v>ND</v>
      </c>
      <c r="DT27" s="1" t="str">
        <f t="shared" si="73"/>
        <v>ND</v>
      </c>
      <c r="DU27" s="1" t="str">
        <f t="shared" si="74"/>
        <v>ND</v>
      </c>
      <c r="DV27" s="1" t="str">
        <f t="shared" si="75"/>
        <v>ND</v>
      </c>
      <c r="DW27" s="1" t="str">
        <f t="shared" si="76"/>
        <v>ND</v>
      </c>
      <c r="DX27" s="1" t="str">
        <f t="shared" si="77"/>
        <v>ND</v>
      </c>
      <c r="DY27" s="1" t="str">
        <f t="shared" si="78"/>
        <v>ND</v>
      </c>
      <c r="DZ27" s="1" t="str">
        <f t="shared" si="79"/>
        <v>ND</v>
      </c>
      <c r="EA27" s="1" t="str">
        <f t="shared" si="80"/>
        <v>ND</v>
      </c>
      <c r="EB27" s="1" t="str">
        <f t="shared" si="81"/>
        <v>ND</v>
      </c>
      <c r="EC27" s="1" t="str">
        <f t="shared" si="82"/>
        <v>ND</v>
      </c>
      <c r="ED27" s="1" t="str">
        <f t="shared" si="83"/>
        <v>ND</v>
      </c>
      <c r="EE27" s="1" t="str">
        <f t="shared" si="84"/>
        <v>ND</v>
      </c>
      <c r="EF27" s="1" t="str">
        <f t="shared" si="85"/>
        <v>ND</v>
      </c>
      <c r="EG27" s="1" t="str">
        <f t="shared" si="86"/>
        <v>ND</v>
      </c>
      <c r="EH27" s="1" t="str">
        <f t="shared" si="87"/>
        <v>ND</v>
      </c>
      <c r="EI27" s="1" t="str">
        <f t="shared" si="88"/>
        <v>ND</v>
      </c>
      <c r="EJ27" s="1" t="str">
        <f t="shared" si="89"/>
        <v>ND</v>
      </c>
      <c r="EK27" s="1" t="str">
        <f t="shared" si="90"/>
        <v>ND</v>
      </c>
      <c r="EL27" s="1" t="str">
        <f t="shared" si="91"/>
        <v>ND</v>
      </c>
      <c r="EM27" s="1" t="str">
        <f t="shared" si="92"/>
        <v>ND</v>
      </c>
      <c r="EN27" s="1" t="str">
        <f t="shared" si="93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7"/>
        <v>ND</v>
      </c>
      <c r="FW27" s="1" t="str">
        <f t="shared" si="98"/>
        <v>ND</v>
      </c>
      <c r="FX27" s="1" t="str">
        <f t="shared" si="99"/>
        <v>ND</v>
      </c>
      <c r="FY27" s="1" t="str">
        <f t="shared" si="100"/>
        <v>ND</v>
      </c>
      <c r="FZ27" s="1" t="str">
        <f t="shared" si="101"/>
        <v>ND</v>
      </c>
      <c r="GA27" s="1" t="str">
        <f t="shared" si="102"/>
        <v>ND</v>
      </c>
      <c r="GB27" s="1" t="str">
        <f t="shared" si="103"/>
        <v>ND</v>
      </c>
      <c r="GC27" s="1" t="str">
        <f t="shared" si="104"/>
        <v>ND</v>
      </c>
      <c r="GD27" s="1" t="str">
        <f t="shared" si="105"/>
        <v>ND</v>
      </c>
      <c r="GE27" s="1" t="str">
        <f t="shared" si="106"/>
        <v>ND</v>
      </c>
      <c r="GF27" s="1" t="str">
        <f t="shared" si="107"/>
        <v>ND</v>
      </c>
      <c r="GG27" s="1" t="str">
        <f t="shared" si="108"/>
        <v>ND</v>
      </c>
      <c r="GH27" s="1" t="str">
        <f t="shared" si="109"/>
        <v>ND</v>
      </c>
      <c r="GI27" s="1" t="str">
        <f t="shared" si="110"/>
        <v>ND</v>
      </c>
      <c r="GJ27" s="1" t="str">
        <f t="shared" si="111"/>
        <v>ND</v>
      </c>
      <c r="GK27" s="1" t="str">
        <f t="shared" si="112"/>
        <v>ND</v>
      </c>
      <c r="GL27" s="1" t="str">
        <f t="shared" si="113"/>
        <v>ND</v>
      </c>
      <c r="GM27" s="1" t="str">
        <f t="shared" si="114"/>
        <v>ND</v>
      </c>
      <c r="GN27" s="1" t="str">
        <f t="shared" si="115"/>
        <v>ND</v>
      </c>
      <c r="GO27" s="1" t="str">
        <f t="shared" si="116"/>
        <v>ND</v>
      </c>
      <c r="GP27" s="1" t="str">
        <f t="shared" si="117"/>
        <v>ND</v>
      </c>
      <c r="GQ27" s="1" t="str">
        <f t="shared" si="118"/>
        <v>ND</v>
      </c>
      <c r="GR27" s="1" t="str">
        <f t="shared" si="119"/>
        <v>ND</v>
      </c>
      <c r="GS27" s="1" t="str">
        <f t="shared" si="120"/>
        <v>ND</v>
      </c>
      <c r="GT27" s="1" t="str">
        <f t="shared" si="121"/>
        <v>ND</v>
      </c>
      <c r="GU27" s="1" t="str">
        <f t="shared" si="122"/>
        <v>ND</v>
      </c>
      <c r="GV27" s="1" t="str">
        <f t="shared" si="123"/>
        <v>ND</v>
      </c>
      <c r="GW27" s="1" t="str">
        <f t="shared" si="124"/>
        <v>ND</v>
      </c>
      <c r="GX27" s="1" t="str">
        <f t="shared" si="125"/>
        <v>ND</v>
      </c>
      <c r="GY27" s="1" t="str">
        <f t="shared" si="126"/>
        <v>ND</v>
      </c>
      <c r="GZ27" s="1" t="str">
        <f t="shared" si="127"/>
        <v>ND</v>
      </c>
      <c r="HA27" s="1" t="str">
        <f t="shared" si="128"/>
        <v>ND</v>
      </c>
      <c r="HB27" s="1" t="str">
        <f t="shared" si="129"/>
        <v>ND</v>
      </c>
      <c r="HC27" s="1" t="str">
        <f t="shared" si="130"/>
        <v>ND</v>
      </c>
      <c r="HD27" s="1" t="str">
        <f t="shared" si="131"/>
        <v>ND</v>
      </c>
      <c r="HE27" s="1" t="str">
        <f t="shared" si="132"/>
        <v>ND</v>
      </c>
      <c r="HF27" s="1" t="str">
        <f t="shared" si="133"/>
        <v>ND</v>
      </c>
      <c r="HG27" s="1" t="str">
        <f t="shared" si="134"/>
        <v>ND</v>
      </c>
      <c r="HH27" s="1" t="str">
        <f t="shared" si="135"/>
        <v>ND</v>
      </c>
      <c r="HI27" s="1" t="str">
        <f t="shared" si="136"/>
        <v>ND</v>
      </c>
      <c r="HJ27" s="1" t="str">
        <f t="shared" si="137"/>
        <v>ND</v>
      </c>
      <c r="HK27" s="1" t="str">
        <f t="shared" si="138"/>
        <v>ND</v>
      </c>
      <c r="HL27" s="1" t="str">
        <f t="shared" si="139"/>
        <v>ND</v>
      </c>
      <c r="HM27" s="1" t="str">
        <f t="shared" si="140"/>
        <v>ND</v>
      </c>
      <c r="HN27" s="1" t="str">
        <f t="shared" si="141"/>
        <v>ND</v>
      </c>
      <c r="HO27" s="1" t="str">
        <f t="shared" si="142"/>
        <v>ND</v>
      </c>
      <c r="HP27" s="1" t="str">
        <f t="shared" si="143"/>
        <v>ND</v>
      </c>
      <c r="HQ27" s="1" t="str">
        <f t="shared" si="144"/>
        <v>ND</v>
      </c>
      <c r="HR27" s="1" t="str">
        <f t="shared" si="145"/>
        <v>ND</v>
      </c>
      <c r="HS27" s="1" t="str">
        <f t="shared" si="146"/>
        <v>ND</v>
      </c>
      <c r="HT27" s="1" t="str">
        <f t="shared" si="147"/>
        <v>ND</v>
      </c>
      <c r="HU27" s="1" t="str">
        <f t="shared" si="148"/>
        <v>ND</v>
      </c>
      <c r="HV27" s="1" t="str">
        <f t="shared" si="149"/>
        <v>ND</v>
      </c>
      <c r="HW27" s="1" t="str">
        <f t="shared" si="150"/>
        <v>ND</v>
      </c>
      <c r="HX27" s="1" t="str">
        <f t="shared" si="151"/>
        <v>ND</v>
      </c>
      <c r="HY27" s="1" t="str">
        <f t="shared" si="152"/>
        <v>ND</v>
      </c>
      <c r="HZ27" s="1" t="str">
        <f t="shared" si="153"/>
        <v>ND</v>
      </c>
      <c r="IA27" s="1" t="str">
        <f t="shared" si="154"/>
        <v>ND</v>
      </c>
      <c r="IB27" s="1" t="str">
        <f t="shared" si="155"/>
        <v>ND</v>
      </c>
      <c r="IC27" s="1" t="str">
        <f t="shared" si="156"/>
        <v>ND</v>
      </c>
      <c r="ID27" s="1" t="str">
        <f t="shared" si="157"/>
        <v>ND</v>
      </c>
      <c r="IE27" s="1" t="str">
        <f t="shared" si="158"/>
        <v>ND</v>
      </c>
      <c r="IF27" s="1" t="str">
        <f t="shared" si="159"/>
        <v>ND</v>
      </c>
      <c r="IG27" s="1" t="str">
        <f t="shared" si="160"/>
        <v>ND</v>
      </c>
      <c r="IH27" s="1" t="str">
        <f t="shared" si="161"/>
        <v>ND</v>
      </c>
      <c r="II27" s="1" t="str">
        <f t="shared" si="162"/>
        <v>ND</v>
      </c>
    </row>
    <row r="28" spans="3:243" x14ac:dyDescent="0.25">
      <c r="C28" t="s">
        <v>947</v>
      </c>
      <c r="D28">
        <f>SUMIFS(DICCIONARIO[Cantidad],DICCIONARIO[Modelo],UNIFICADA[[#This Row],[Equipo]])</f>
        <v>32</v>
      </c>
      <c r="E28" s="1">
        <f>IFERROR(VLOOKUP($C28,EQUIPOS[],UNIFICADO!E$9,0),"")</f>
        <v>12</v>
      </c>
      <c r="F28" s="1" t="str">
        <f>IFERROR(VLOOKUP($C28,EQUIPOS[],UNIFICADO!F$9,0),"")</f>
        <v>6.56 LCD HD+ 90Hz</v>
      </c>
      <c r="G28" s="1" t="str">
        <f>IFERROR(VLOOKUP($C28,EQUIPOS[],UNIFICADO!G$9,0),"")</f>
        <v>50 MP f/1.8</v>
      </c>
      <c r="H28" s="1">
        <f>IFERROR(VLOOKUP($C28,EQUIPOS[],UNIFICADO!H$9,0),"")</f>
        <v>2</v>
      </c>
      <c r="I28" s="1" t="str">
        <f>IFERROR(VLOOKUP($C28,EQUIPOS[],UNIFICADO!I$9,0),"")</f>
        <v>8 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>
        <f>IFERROR(VLOOKUP($C28,EQUIPOS[],UNIFICADO!L$9,0),"")</f>
        <v>8</v>
      </c>
      <c r="M28" s="1" t="str">
        <f>IFERROR(VLOOKUP($C28,EQUIPOS[],UNIFICADO!M$9,0),"")</f>
        <v>Dimensity 700</v>
      </c>
      <c r="N28" s="1">
        <f>IFERROR(VLOOKUP($C28,EQUIPOS[],UNIFICADO!N$9,0),"")</f>
        <v>4</v>
      </c>
      <c r="O28" s="1">
        <f>IFERROR(VLOOKUP($C28,EQUIPOS[],UNIFICADO!O$9,0),"")</f>
        <v>188</v>
      </c>
      <c r="P28" s="1">
        <f>IFERROR(VLOOKUP($C28,EQUIPOS[],UNIFICADO!P$9,0),"")</f>
        <v>16.399999999999999</v>
      </c>
      <c r="Q28" s="1">
        <f>IFERROR(VLOOKUP($C28,EQUIPOS[],UNIFICADO!Q$9,0),"")</f>
        <v>7.51</v>
      </c>
      <c r="R28" s="1">
        <f>IFERROR(VLOOKUP($C28,EQUIPOS[],UNIFICADO!R$9,0),"")</f>
        <v>0.8</v>
      </c>
      <c r="S28" s="1" t="str">
        <f>IFERROR(VLOOKUP($C28,EQUIPOS[],UNIFICADO!S$9,0),"")</f>
        <v>5.000 33W</v>
      </c>
      <c r="T28" s="1">
        <f>IFERROR(VLOOKUP($C28,EQUIPOS[],UNIFICADO!T$9,0),"")</f>
        <v>5</v>
      </c>
      <c r="U28" s="1">
        <f>VLOOKUP(UNIFICADA[[#This Row],[Equipo]],EQUIPOS[],19,0)</f>
        <v>18</v>
      </c>
      <c r="V28" s="1" t="str">
        <f t="shared" si="0"/>
        <v>ND</v>
      </c>
      <c r="W28" s="1" t="str">
        <f t="shared" si="1"/>
        <v>ND</v>
      </c>
      <c r="X28" s="1" t="str">
        <f t="shared" si="2"/>
        <v>ND</v>
      </c>
      <c r="Y28" s="1" t="str">
        <f t="shared" si="2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4"/>
        <v>ND</v>
      </c>
      <c r="AJ28" s="1" t="str">
        <f t="shared" si="5"/>
        <v>ND</v>
      </c>
      <c r="AK28" s="1" t="str">
        <f t="shared" si="6"/>
        <v>ND</v>
      </c>
      <c r="AL28" s="1" t="str">
        <f t="shared" si="7"/>
        <v>ND</v>
      </c>
      <c r="AM28" s="1" t="str">
        <f t="shared" si="8"/>
        <v>ND</v>
      </c>
      <c r="AN28" s="1" t="str">
        <f t="shared" si="9"/>
        <v>ND</v>
      </c>
      <c r="AO28" s="1" t="str">
        <f t="shared" si="10"/>
        <v>ND</v>
      </c>
      <c r="AP28" s="1" t="str">
        <f t="shared" si="11"/>
        <v>ND</v>
      </c>
      <c r="AQ28" s="1" t="str">
        <f t="shared" si="12"/>
        <v>ND</v>
      </c>
      <c r="AR28" s="1" t="str">
        <f t="shared" si="13"/>
        <v>ND</v>
      </c>
      <c r="AS28" s="1" t="str">
        <f t="shared" si="14"/>
        <v>ND</v>
      </c>
      <c r="AT28" s="1" t="str">
        <f t="shared" si="15"/>
        <v>ND</v>
      </c>
      <c r="AU28" s="1" t="str">
        <f t="shared" si="16"/>
        <v>ND</v>
      </c>
      <c r="AV28" s="1" t="str">
        <f t="shared" si="17"/>
        <v>ND</v>
      </c>
      <c r="AW28" s="1" t="str">
        <f t="shared" si="18"/>
        <v>ND</v>
      </c>
      <c r="AX28" s="1" t="str">
        <f t="shared" si="19"/>
        <v>ND</v>
      </c>
      <c r="AY28" s="1" t="str">
        <f t="shared" si="20"/>
        <v>ND</v>
      </c>
      <c r="AZ28" s="1" t="str">
        <f t="shared" si="21"/>
        <v>ND</v>
      </c>
      <c r="BA28" s="1" t="str">
        <f t="shared" si="22"/>
        <v>ND</v>
      </c>
      <c r="BB28" s="1" t="str">
        <f t="shared" si="23"/>
        <v>ND</v>
      </c>
      <c r="BC28" s="1" t="str">
        <f t="shared" si="24"/>
        <v>ND</v>
      </c>
      <c r="BD28" s="1" t="str">
        <f t="shared" si="25"/>
        <v>ND</v>
      </c>
      <c r="BE28" s="1" t="str">
        <f t="shared" si="26"/>
        <v>ND</v>
      </c>
      <c r="BF28" s="1" t="str">
        <f t="shared" si="27"/>
        <v>ND</v>
      </c>
      <c r="BG28" s="1" t="str">
        <f t="shared" si="28"/>
        <v>ND</v>
      </c>
      <c r="BH28" s="1" t="str">
        <f t="shared" si="29"/>
        <v>ND</v>
      </c>
      <c r="BI28" s="1" t="str">
        <f t="shared" si="30"/>
        <v>ND</v>
      </c>
      <c r="BJ28" s="1" t="str">
        <f t="shared" si="31"/>
        <v>ND</v>
      </c>
      <c r="BK28" s="1" t="str">
        <f t="shared" si="32"/>
        <v>ND</v>
      </c>
      <c r="BL28" s="1" t="str">
        <f t="shared" si="33"/>
        <v>ND</v>
      </c>
      <c r="BM28" s="1" t="str">
        <f t="shared" si="34"/>
        <v>ND</v>
      </c>
      <c r="BN28" s="1" t="str">
        <f t="shared" si="35"/>
        <v>ND</v>
      </c>
      <c r="BO28" s="1" t="str">
        <f t="shared" si="36"/>
        <v>ND</v>
      </c>
      <c r="BP28" s="1" t="str">
        <f t="shared" si="37"/>
        <v>ND</v>
      </c>
      <c r="BQ28" s="1" t="str">
        <f t="shared" si="38"/>
        <v>ND</v>
      </c>
      <c r="BR28" s="1" t="str">
        <f t="shared" si="39"/>
        <v>ND</v>
      </c>
      <c r="BS28" s="1" t="str">
        <f t="shared" si="40"/>
        <v>ND</v>
      </c>
      <c r="BT28" s="1" t="str">
        <f t="shared" si="41"/>
        <v>ND</v>
      </c>
      <c r="BU28" s="1" t="str">
        <f t="shared" si="42"/>
        <v>ND</v>
      </c>
      <c r="BV28" s="1" t="str">
        <f t="shared" si="43"/>
        <v>ND</v>
      </c>
      <c r="BW28" s="1" t="str">
        <f t="shared" si="44"/>
        <v>ND</v>
      </c>
      <c r="BX28" s="1" t="str">
        <f t="shared" si="45"/>
        <v>ND</v>
      </c>
      <c r="BY28" s="1" t="str">
        <f t="shared" si="46"/>
        <v>ND</v>
      </c>
      <c r="BZ28" s="1" t="str">
        <f t="shared" si="47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50"/>
        <v>ND</v>
      </c>
      <c r="CX28" s="1" t="str">
        <f t="shared" si="51"/>
        <v>ND</v>
      </c>
      <c r="CY28" s="1" t="str">
        <f t="shared" si="52"/>
        <v>ND</v>
      </c>
      <c r="CZ28" s="1" t="str">
        <f t="shared" si="53"/>
        <v>ND</v>
      </c>
      <c r="DA28" s="1" t="str">
        <f t="shared" si="54"/>
        <v>ND</v>
      </c>
      <c r="DB28" s="1" t="str">
        <f t="shared" si="55"/>
        <v>ND</v>
      </c>
      <c r="DC28" s="1" t="str">
        <f t="shared" si="56"/>
        <v>ND</v>
      </c>
      <c r="DD28" s="1" t="str">
        <f t="shared" si="57"/>
        <v>ND</v>
      </c>
      <c r="DE28" s="1" t="str">
        <f t="shared" si="58"/>
        <v>ND</v>
      </c>
      <c r="DF28" s="1" t="str">
        <f t="shared" si="59"/>
        <v>ND</v>
      </c>
      <c r="DG28" s="1" t="str">
        <f t="shared" si="60"/>
        <v>ND</v>
      </c>
      <c r="DH28" s="1" t="str">
        <f t="shared" si="61"/>
        <v>ND</v>
      </c>
      <c r="DI28" s="1" t="str">
        <f t="shared" si="62"/>
        <v>ND</v>
      </c>
      <c r="DJ28" s="1" t="str">
        <f t="shared" si="63"/>
        <v>ND</v>
      </c>
      <c r="DK28" s="1" t="str">
        <f t="shared" si="64"/>
        <v>ND</v>
      </c>
      <c r="DL28" s="1" t="str">
        <f t="shared" si="65"/>
        <v>ND</v>
      </c>
      <c r="DM28" s="1" t="str">
        <f t="shared" si="66"/>
        <v>ND</v>
      </c>
      <c r="DN28" s="1" t="str">
        <f t="shared" si="67"/>
        <v>ND</v>
      </c>
      <c r="DO28" s="1" t="str">
        <f t="shared" si="68"/>
        <v>ND</v>
      </c>
      <c r="DP28" s="1" t="str">
        <f t="shared" si="69"/>
        <v>ND</v>
      </c>
      <c r="DQ28" s="1" t="str">
        <f t="shared" si="70"/>
        <v>ND</v>
      </c>
      <c r="DR28" s="1" t="str">
        <f t="shared" si="71"/>
        <v>ND</v>
      </c>
      <c r="DS28" s="1" t="str">
        <f t="shared" si="72"/>
        <v>ND</v>
      </c>
      <c r="DT28" s="1" t="str">
        <f t="shared" si="73"/>
        <v>ND</v>
      </c>
      <c r="DU28" s="1" t="str">
        <f t="shared" si="74"/>
        <v>ND</v>
      </c>
      <c r="DV28" s="1" t="str">
        <f t="shared" si="75"/>
        <v>ND</v>
      </c>
      <c r="DW28" s="1" t="str">
        <f t="shared" si="76"/>
        <v>ND</v>
      </c>
      <c r="DX28" s="1" t="str">
        <f t="shared" si="77"/>
        <v>ND</v>
      </c>
      <c r="DY28" s="1" t="str">
        <f t="shared" si="78"/>
        <v>ND</v>
      </c>
      <c r="DZ28" s="1" t="str">
        <f t="shared" si="79"/>
        <v>ND</v>
      </c>
      <c r="EA28" s="1" t="str">
        <f t="shared" si="80"/>
        <v>ND</v>
      </c>
      <c r="EB28" s="1" t="str">
        <f t="shared" si="81"/>
        <v>ND</v>
      </c>
      <c r="EC28" s="1" t="str">
        <f t="shared" si="82"/>
        <v>ND</v>
      </c>
      <c r="ED28" s="1" t="str">
        <f t="shared" si="83"/>
        <v>ND</v>
      </c>
      <c r="EE28" s="1" t="str">
        <f t="shared" si="84"/>
        <v>ND</v>
      </c>
      <c r="EF28" s="1" t="str">
        <f t="shared" si="85"/>
        <v>ND</v>
      </c>
      <c r="EG28" s="1" t="str">
        <f t="shared" si="86"/>
        <v>ND</v>
      </c>
      <c r="EH28" s="1" t="str">
        <f t="shared" si="87"/>
        <v>ND</v>
      </c>
      <c r="EI28" s="1" t="str">
        <f t="shared" si="88"/>
        <v>ND</v>
      </c>
      <c r="EJ28" s="1" t="str">
        <f t="shared" si="89"/>
        <v>ND</v>
      </c>
      <c r="EK28" s="1" t="str">
        <f t="shared" si="90"/>
        <v>ND</v>
      </c>
      <c r="EL28" s="1" t="str">
        <f t="shared" si="91"/>
        <v>ND</v>
      </c>
      <c r="EM28" s="1" t="str">
        <f t="shared" si="92"/>
        <v>ND</v>
      </c>
      <c r="EN28" s="1" t="str">
        <f t="shared" si="93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7"/>
        <v>ND</v>
      </c>
      <c r="FW28" s="1" t="str">
        <f t="shared" si="98"/>
        <v>ND</v>
      </c>
      <c r="FX28" s="1" t="str">
        <f t="shared" si="99"/>
        <v>ND</v>
      </c>
      <c r="FY28" s="1" t="str">
        <f t="shared" si="100"/>
        <v>ND</v>
      </c>
      <c r="FZ28" s="1" t="str">
        <f t="shared" si="101"/>
        <v>ND</v>
      </c>
      <c r="GA28" s="1" t="str">
        <f t="shared" si="102"/>
        <v>ND</v>
      </c>
      <c r="GB28" s="1" t="str">
        <f t="shared" si="103"/>
        <v>ND</v>
      </c>
      <c r="GC28" s="1" t="str">
        <f t="shared" si="104"/>
        <v>ND</v>
      </c>
      <c r="GD28" s="1" t="str">
        <f t="shared" si="105"/>
        <v>ND</v>
      </c>
      <c r="GE28" s="1" t="str">
        <f t="shared" si="106"/>
        <v>ND</v>
      </c>
      <c r="GF28" s="1" t="str">
        <f t="shared" si="107"/>
        <v>ND</v>
      </c>
      <c r="GG28" s="1" t="str">
        <f t="shared" si="108"/>
        <v>ND</v>
      </c>
      <c r="GH28" s="1" t="str">
        <f t="shared" si="109"/>
        <v>ND</v>
      </c>
      <c r="GI28" s="1" t="str">
        <f t="shared" si="110"/>
        <v>ND</v>
      </c>
      <c r="GJ28" s="1" t="str">
        <f t="shared" si="111"/>
        <v>ND</v>
      </c>
      <c r="GK28" s="1" t="str">
        <f t="shared" si="112"/>
        <v>ND</v>
      </c>
      <c r="GL28" s="1" t="str">
        <f t="shared" si="113"/>
        <v>ND</v>
      </c>
      <c r="GM28" s="1" t="str">
        <f t="shared" si="114"/>
        <v>ND</v>
      </c>
      <c r="GN28" s="1" t="str">
        <f t="shared" si="115"/>
        <v>ND</v>
      </c>
      <c r="GO28" s="1" t="str">
        <f t="shared" si="116"/>
        <v>ND</v>
      </c>
      <c r="GP28" s="1" t="str">
        <f t="shared" si="117"/>
        <v>ND</v>
      </c>
      <c r="GQ28" s="1" t="str">
        <f t="shared" si="118"/>
        <v>ND</v>
      </c>
      <c r="GR28" s="1" t="str">
        <f t="shared" si="119"/>
        <v>ND</v>
      </c>
      <c r="GS28" s="1" t="str">
        <f t="shared" si="120"/>
        <v>ND</v>
      </c>
      <c r="GT28" s="1" t="str">
        <f t="shared" si="121"/>
        <v>ND</v>
      </c>
      <c r="GU28" s="1" t="str">
        <f t="shared" si="122"/>
        <v>ND</v>
      </c>
      <c r="GV28" s="1" t="str">
        <f t="shared" si="123"/>
        <v>ND</v>
      </c>
      <c r="GW28" s="1" t="str">
        <f t="shared" si="124"/>
        <v>ND</v>
      </c>
      <c r="GX28" s="1" t="str">
        <f t="shared" si="125"/>
        <v>ND</v>
      </c>
      <c r="GY28" s="1" t="str">
        <f t="shared" si="126"/>
        <v>ND</v>
      </c>
      <c r="GZ28" s="1" t="str">
        <f t="shared" si="127"/>
        <v>ND</v>
      </c>
      <c r="HA28" s="1" t="str">
        <f t="shared" si="128"/>
        <v>ND</v>
      </c>
      <c r="HB28" s="1" t="str">
        <f t="shared" si="129"/>
        <v>ND</v>
      </c>
      <c r="HC28" s="1" t="str">
        <f t="shared" si="130"/>
        <v>ND</v>
      </c>
      <c r="HD28" s="1" t="str">
        <f t="shared" si="131"/>
        <v>ND</v>
      </c>
      <c r="HE28" s="1" t="str">
        <f t="shared" si="132"/>
        <v>ND</v>
      </c>
      <c r="HF28" s="1" t="str">
        <f t="shared" si="133"/>
        <v>ND</v>
      </c>
      <c r="HG28" s="1" t="str">
        <f t="shared" si="134"/>
        <v>ND</v>
      </c>
      <c r="HH28" s="1" t="str">
        <f t="shared" si="135"/>
        <v>ND</v>
      </c>
      <c r="HI28" s="1" t="str">
        <f t="shared" si="136"/>
        <v>ND</v>
      </c>
      <c r="HJ28" s="1" t="str">
        <f t="shared" si="137"/>
        <v>ND</v>
      </c>
      <c r="HK28" s="1" t="str">
        <f t="shared" si="138"/>
        <v>ND</v>
      </c>
      <c r="HL28" s="1" t="str">
        <f t="shared" si="139"/>
        <v>ND</v>
      </c>
      <c r="HM28" s="1" t="str">
        <f t="shared" si="140"/>
        <v>ND</v>
      </c>
      <c r="HN28" s="1" t="str">
        <f t="shared" si="141"/>
        <v>ND</v>
      </c>
      <c r="HO28" s="1" t="str">
        <f t="shared" si="142"/>
        <v>ND</v>
      </c>
      <c r="HP28" s="1" t="str">
        <f t="shared" si="143"/>
        <v>ND</v>
      </c>
      <c r="HQ28" s="1" t="str">
        <f t="shared" si="144"/>
        <v>ND</v>
      </c>
      <c r="HR28" s="1" t="str">
        <f t="shared" si="145"/>
        <v>ND</v>
      </c>
      <c r="HS28" s="1" t="str">
        <f t="shared" si="146"/>
        <v>ND</v>
      </c>
      <c r="HT28" s="1" t="str">
        <f t="shared" si="147"/>
        <v>ND</v>
      </c>
      <c r="HU28" s="1" t="str">
        <f t="shared" si="148"/>
        <v>ND</v>
      </c>
      <c r="HV28" s="1" t="str">
        <f t="shared" si="149"/>
        <v>ND</v>
      </c>
      <c r="HW28" s="1" t="str">
        <f t="shared" si="150"/>
        <v>ND</v>
      </c>
      <c r="HX28" s="1" t="str">
        <f t="shared" si="151"/>
        <v>ND</v>
      </c>
      <c r="HY28" s="1" t="str">
        <f t="shared" si="152"/>
        <v>ND</v>
      </c>
      <c r="HZ28" s="1" t="str">
        <f t="shared" si="153"/>
        <v>ND</v>
      </c>
      <c r="IA28" s="1" t="str">
        <f t="shared" si="154"/>
        <v>ND</v>
      </c>
      <c r="IB28" s="1" t="str">
        <f t="shared" si="155"/>
        <v>ND</v>
      </c>
      <c r="IC28" s="1" t="str">
        <f t="shared" si="156"/>
        <v>ND</v>
      </c>
      <c r="ID28" s="1" t="str">
        <f t="shared" si="157"/>
        <v>ND</v>
      </c>
      <c r="IE28" s="1" t="str">
        <f t="shared" si="158"/>
        <v>ND</v>
      </c>
      <c r="IF28" s="1" t="str">
        <f t="shared" si="159"/>
        <v>ND</v>
      </c>
      <c r="IG28" s="1" t="str">
        <f t="shared" si="160"/>
        <v>ND</v>
      </c>
      <c r="IH28" s="1" t="str">
        <f t="shared" si="161"/>
        <v>ND</v>
      </c>
      <c r="II28" s="1" t="str">
        <f t="shared" si="162"/>
        <v>ND</v>
      </c>
    </row>
    <row r="29" spans="3:243" x14ac:dyDescent="0.25">
      <c r="C29" t="s">
        <v>121</v>
      </c>
      <c r="D29">
        <f>SUMIFS(DICCIONARIO[Cantidad],DICCIONARIO[Modelo],UNIFICADA[[#This Row],[Equipo]])</f>
        <v>7</v>
      </c>
      <c r="E29" s="1">
        <f>IFERROR(VLOOKUP($C29,EQUIPOS[],UNIFICADO!E$9,0),"")</f>
        <v>12</v>
      </c>
      <c r="F29" s="1">
        <f>IFERROR(VLOOKUP($C29,EQUIPOS[],UNIFICADO!F$9,0),"")</f>
        <v>6.67</v>
      </c>
      <c r="G29" s="1">
        <f>IFERROR(VLOOKUP($C29,EQUIPOS[],UNIFICADO!G$9,0),"")</f>
        <v>54</v>
      </c>
      <c r="H29" s="1">
        <f>IFERROR(VLOOKUP($C29,EQUIPOS[],UNIFICADO!H$9,0),"")</f>
        <v>4</v>
      </c>
      <c r="I29" s="1">
        <f>IFERROR(VLOOKUP($C29,EQUIPOS[],UNIFICADO!I$9,0),"")</f>
        <v>32</v>
      </c>
      <c r="J29" s="1" t="str">
        <f>IFERROR(VLOOKUP($C29,EQUIPOS[],UNIFICADO!J$9,0),"")</f>
        <v>256GB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2.4/2.2/1.9</v>
      </c>
      <c r="N29" s="1">
        <f>IFERROR(VLOOKUP($C29,EQUIPOS[],UNIFICADO!N$9,0),"")</f>
        <v>8</v>
      </c>
      <c r="O29" s="1">
        <f>IFERROR(VLOOKUP($C29,EQUIPOS[],UNIFICADO!O$9,0),"")</f>
        <v>178</v>
      </c>
      <c r="P29" s="1">
        <f>IFERROR(VLOOKUP($C29,EQUIPOS[],UNIFICADO!P$9,0),"")</f>
        <v>16.100000000000001</v>
      </c>
      <c r="Q29" s="1">
        <f>IFERROR(VLOOKUP($C29,EQUIPOS[],UNIFICADO!Q$9,0),"")</f>
        <v>7.33</v>
      </c>
      <c r="R29" s="1">
        <f>IFERROR(VLOOKUP($C29,EQUIPOS[],UNIFICADO!R$9,0),"")</f>
        <v>0.79</v>
      </c>
      <c r="S29" s="1">
        <f>IFERROR(VLOOKUP($C29,EQUIPOS[],UNIFICADO!S$9,0),"")</f>
        <v>4800</v>
      </c>
      <c r="T29" s="1">
        <f>IFERROR(VLOOKUP($C29,EQUIPOS[],UNIFICADO!T$9,0),"")</f>
        <v>5</v>
      </c>
      <c r="U29" s="1">
        <f>VLOOKUP(UNIFICADA[[#This Row],[Equipo]],EQUIPOS[],19,0)</f>
        <v>19</v>
      </c>
      <c r="V29" s="1" t="str">
        <f t="shared" si="0"/>
        <v>ND</v>
      </c>
      <c r="W29" s="1" t="str">
        <f t="shared" si="1"/>
        <v>ND</v>
      </c>
      <c r="X29" s="1" t="str">
        <f t="shared" si="2"/>
        <v>ND</v>
      </c>
      <c r="Y29" s="1" t="str">
        <f t="shared" si="2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4"/>
        <v>ND</v>
      </c>
      <c r="AJ29" s="1" t="str">
        <f t="shared" si="5"/>
        <v>ND</v>
      </c>
      <c r="AK29" s="1" t="str">
        <f t="shared" si="6"/>
        <v>ND</v>
      </c>
      <c r="AL29" s="1" t="str">
        <f t="shared" si="7"/>
        <v>ND</v>
      </c>
      <c r="AM29" s="1" t="str">
        <f t="shared" si="8"/>
        <v>ND</v>
      </c>
      <c r="AN29" s="1" t="str">
        <f t="shared" si="9"/>
        <v>ND</v>
      </c>
      <c r="AO29" s="1" t="str">
        <f t="shared" si="10"/>
        <v>ND</v>
      </c>
      <c r="AP29" s="1" t="str">
        <f t="shared" si="11"/>
        <v>ND</v>
      </c>
      <c r="AQ29" s="1" t="str">
        <f t="shared" si="12"/>
        <v>ND</v>
      </c>
      <c r="AR29" s="1" t="str">
        <f t="shared" si="13"/>
        <v>ND</v>
      </c>
      <c r="AS29" s="1" t="str">
        <f t="shared" si="14"/>
        <v>ND</v>
      </c>
      <c r="AT29" s="1" t="str">
        <f t="shared" si="15"/>
        <v>ND</v>
      </c>
      <c r="AU29" s="1" t="str">
        <f t="shared" si="16"/>
        <v>ND</v>
      </c>
      <c r="AV29" s="1" t="str">
        <f t="shared" si="17"/>
        <v>ND</v>
      </c>
      <c r="AW29" s="1" t="str">
        <f t="shared" si="18"/>
        <v>ND</v>
      </c>
      <c r="AX29" s="1" t="str">
        <f t="shared" si="19"/>
        <v>ND</v>
      </c>
      <c r="AY29" s="1" t="str">
        <f t="shared" si="20"/>
        <v>ND</v>
      </c>
      <c r="AZ29" s="1" t="str">
        <f t="shared" si="21"/>
        <v>ND</v>
      </c>
      <c r="BA29" s="1" t="str">
        <f t="shared" si="22"/>
        <v>ND</v>
      </c>
      <c r="BB29" s="1" t="str">
        <f t="shared" si="23"/>
        <v>ND</v>
      </c>
      <c r="BC29" s="1" t="str">
        <f t="shared" si="24"/>
        <v>ND</v>
      </c>
      <c r="BD29" s="1" t="str">
        <f t="shared" si="25"/>
        <v>ND</v>
      </c>
      <c r="BE29" s="1" t="str">
        <f t="shared" si="26"/>
        <v>ND</v>
      </c>
      <c r="BF29" s="1" t="str">
        <f t="shared" si="27"/>
        <v>ND</v>
      </c>
      <c r="BG29" s="1" t="str">
        <f t="shared" si="28"/>
        <v>ND</v>
      </c>
      <c r="BH29" s="1" t="str">
        <f t="shared" si="29"/>
        <v>ND</v>
      </c>
      <c r="BI29" s="1" t="str">
        <f t="shared" si="30"/>
        <v>ND</v>
      </c>
      <c r="BJ29" s="1" t="str">
        <f t="shared" si="31"/>
        <v>ND</v>
      </c>
      <c r="BK29" s="1" t="str">
        <f t="shared" si="32"/>
        <v>ND</v>
      </c>
      <c r="BL29" s="1" t="str">
        <f t="shared" si="33"/>
        <v>ND</v>
      </c>
      <c r="BM29" s="1" t="str">
        <f t="shared" si="34"/>
        <v>ND</v>
      </c>
      <c r="BN29" s="1" t="str">
        <f t="shared" si="35"/>
        <v>ND</v>
      </c>
      <c r="BO29" s="1" t="str">
        <f t="shared" si="36"/>
        <v>ND</v>
      </c>
      <c r="BP29" s="1" t="str">
        <f t="shared" si="37"/>
        <v>ND</v>
      </c>
      <c r="BQ29" s="1" t="str">
        <f t="shared" si="38"/>
        <v>ND</v>
      </c>
      <c r="BR29" s="1" t="str">
        <f t="shared" si="39"/>
        <v>ND</v>
      </c>
      <c r="BS29" s="1" t="str">
        <f t="shared" si="40"/>
        <v>ND</v>
      </c>
      <c r="BT29" s="1" t="str">
        <f t="shared" si="41"/>
        <v>ND</v>
      </c>
      <c r="BU29" s="1" t="str">
        <f t="shared" si="42"/>
        <v>ND</v>
      </c>
      <c r="BV29" s="1" t="str">
        <f t="shared" si="43"/>
        <v>ND</v>
      </c>
      <c r="BW29" s="1" t="str">
        <f t="shared" si="44"/>
        <v>ND</v>
      </c>
      <c r="BX29" s="1" t="str">
        <f t="shared" si="45"/>
        <v>ND</v>
      </c>
      <c r="BY29" s="1" t="str">
        <f t="shared" si="46"/>
        <v>ND</v>
      </c>
      <c r="BZ29" s="1" t="str">
        <f t="shared" si="47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50"/>
        <v>ND</v>
      </c>
      <c r="CX29" s="1" t="str">
        <f t="shared" si="51"/>
        <v>ND</v>
      </c>
      <c r="CY29" s="1" t="str">
        <f t="shared" si="52"/>
        <v>ND</v>
      </c>
      <c r="CZ29" s="1" t="str">
        <f t="shared" si="53"/>
        <v>ND</v>
      </c>
      <c r="DA29" s="1" t="str">
        <f t="shared" si="54"/>
        <v>ND</v>
      </c>
      <c r="DB29" s="1" t="str">
        <f t="shared" si="55"/>
        <v>ND</v>
      </c>
      <c r="DC29" s="1" t="str">
        <f t="shared" si="56"/>
        <v>ND</v>
      </c>
      <c r="DD29" s="1" t="str">
        <f t="shared" si="57"/>
        <v>ND</v>
      </c>
      <c r="DE29" s="1" t="str">
        <f t="shared" si="58"/>
        <v>ND</v>
      </c>
      <c r="DF29" s="1" t="str">
        <f t="shared" si="59"/>
        <v>ND</v>
      </c>
      <c r="DG29" s="1" t="str">
        <f t="shared" si="60"/>
        <v>ND</v>
      </c>
      <c r="DH29" s="1" t="str">
        <f t="shared" si="61"/>
        <v>ND</v>
      </c>
      <c r="DI29" s="1" t="str">
        <f t="shared" si="62"/>
        <v>ND</v>
      </c>
      <c r="DJ29" s="1" t="str">
        <f t="shared" si="63"/>
        <v>ND</v>
      </c>
      <c r="DK29" s="1" t="str">
        <f t="shared" si="64"/>
        <v>ND</v>
      </c>
      <c r="DL29" s="1" t="str">
        <f t="shared" si="65"/>
        <v>ND</v>
      </c>
      <c r="DM29" s="1" t="str">
        <f t="shared" si="66"/>
        <v>ND</v>
      </c>
      <c r="DN29" s="1" t="str">
        <f t="shared" si="67"/>
        <v>ND</v>
      </c>
      <c r="DO29" s="1" t="str">
        <f t="shared" si="68"/>
        <v>ND</v>
      </c>
      <c r="DP29" s="1" t="str">
        <f t="shared" si="69"/>
        <v>ND</v>
      </c>
      <c r="DQ29" s="1" t="str">
        <f t="shared" si="70"/>
        <v>ND</v>
      </c>
      <c r="DR29" s="1" t="str">
        <f t="shared" si="71"/>
        <v>ND</v>
      </c>
      <c r="DS29" s="1" t="str">
        <f t="shared" si="72"/>
        <v>ND</v>
      </c>
      <c r="DT29" s="1" t="str">
        <f t="shared" si="73"/>
        <v>ND</v>
      </c>
      <c r="DU29" s="1" t="str">
        <f t="shared" si="74"/>
        <v>ND</v>
      </c>
      <c r="DV29" s="1" t="str">
        <f t="shared" si="75"/>
        <v>ND</v>
      </c>
      <c r="DW29" s="1" t="str">
        <f t="shared" si="76"/>
        <v>ND</v>
      </c>
      <c r="DX29" s="1" t="str">
        <f t="shared" si="77"/>
        <v>ND</v>
      </c>
      <c r="DY29" s="1" t="str">
        <f t="shared" si="78"/>
        <v>ND</v>
      </c>
      <c r="DZ29" s="1" t="str">
        <f t="shared" si="79"/>
        <v>ND</v>
      </c>
      <c r="EA29" s="1" t="str">
        <f t="shared" si="80"/>
        <v>ND</v>
      </c>
      <c r="EB29" s="1" t="str">
        <f t="shared" si="81"/>
        <v>ND</v>
      </c>
      <c r="EC29" s="1" t="str">
        <f t="shared" si="82"/>
        <v>ND</v>
      </c>
      <c r="ED29" s="1" t="str">
        <f t="shared" si="83"/>
        <v>ND</v>
      </c>
      <c r="EE29" s="1" t="str">
        <f t="shared" si="84"/>
        <v>ND</v>
      </c>
      <c r="EF29" s="1" t="str">
        <f t="shared" si="85"/>
        <v>ND</v>
      </c>
      <c r="EG29" s="1" t="str">
        <f t="shared" si="86"/>
        <v>ND</v>
      </c>
      <c r="EH29" s="1" t="str">
        <f t="shared" si="87"/>
        <v>ND</v>
      </c>
      <c r="EI29" s="1" t="str">
        <f t="shared" si="88"/>
        <v>ND</v>
      </c>
      <c r="EJ29" s="1" t="str">
        <f t="shared" si="89"/>
        <v>ND</v>
      </c>
      <c r="EK29" s="1" t="str">
        <f t="shared" si="90"/>
        <v>ND</v>
      </c>
      <c r="EL29" s="1" t="str">
        <f t="shared" si="91"/>
        <v>ND</v>
      </c>
      <c r="EM29" s="1" t="str">
        <f t="shared" si="92"/>
        <v>ND</v>
      </c>
      <c r="EN29" s="1" t="str">
        <f t="shared" si="93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7"/>
        <v>ND</v>
      </c>
      <c r="FW29" s="1" t="str">
        <f t="shared" si="98"/>
        <v>ND</v>
      </c>
      <c r="FX29" s="1" t="str">
        <f t="shared" si="99"/>
        <v>ND</v>
      </c>
      <c r="FY29" s="1" t="str">
        <f t="shared" si="100"/>
        <v>ND</v>
      </c>
      <c r="FZ29" s="1" t="str">
        <f t="shared" si="101"/>
        <v>ND</v>
      </c>
      <c r="GA29" s="1" t="str">
        <f t="shared" si="102"/>
        <v>ND</v>
      </c>
      <c r="GB29" s="1" t="str">
        <f t="shared" si="103"/>
        <v>ND</v>
      </c>
      <c r="GC29" s="1" t="str">
        <f t="shared" si="104"/>
        <v>ND</v>
      </c>
      <c r="GD29" s="1" t="str">
        <f t="shared" si="105"/>
        <v>ND</v>
      </c>
      <c r="GE29" s="1" t="str">
        <f t="shared" si="106"/>
        <v>ND</v>
      </c>
      <c r="GF29" s="1" t="str">
        <f t="shared" si="107"/>
        <v>ND</v>
      </c>
      <c r="GG29" s="1" t="str">
        <f t="shared" si="108"/>
        <v>ND</v>
      </c>
      <c r="GH29" s="1" t="str">
        <f t="shared" si="109"/>
        <v>ND</v>
      </c>
      <c r="GI29" s="1" t="str">
        <f t="shared" si="110"/>
        <v>ND</v>
      </c>
      <c r="GJ29" s="1" t="str">
        <f t="shared" si="111"/>
        <v>ND</v>
      </c>
      <c r="GK29" s="1" t="str">
        <f t="shared" si="112"/>
        <v>ND</v>
      </c>
      <c r="GL29" s="1" t="str">
        <f t="shared" si="113"/>
        <v>ND</v>
      </c>
      <c r="GM29" s="1" t="str">
        <f t="shared" si="114"/>
        <v>ND</v>
      </c>
      <c r="GN29" s="1" t="str">
        <f t="shared" si="115"/>
        <v>ND</v>
      </c>
      <c r="GO29" s="1" t="str">
        <f t="shared" si="116"/>
        <v>ND</v>
      </c>
      <c r="GP29" s="1" t="str">
        <f t="shared" si="117"/>
        <v>ND</v>
      </c>
      <c r="GQ29" s="1" t="str">
        <f t="shared" si="118"/>
        <v>ND</v>
      </c>
      <c r="GR29" s="1" t="str">
        <f t="shared" si="119"/>
        <v>ND</v>
      </c>
      <c r="GS29" s="1" t="str">
        <f t="shared" si="120"/>
        <v>ND</v>
      </c>
      <c r="GT29" s="1" t="str">
        <f t="shared" si="121"/>
        <v>ND</v>
      </c>
      <c r="GU29" s="1" t="str">
        <f t="shared" si="122"/>
        <v>ND</v>
      </c>
      <c r="GV29" s="1" t="str">
        <f t="shared" si="123"/>
        <v>ND</v>
      </c>
      <c r="GW29" s="1" t="str">
        <f t="shared" si="124"/>
        <v>ND</v>
      </c>
      <c r="GX29" s="1" t="str">
        <f t="shared" si="125"/>
        <v>ND</v>
      </c>
      <c r="GY29" s="1" t="str">
        <f t="shared" si="126"/>
        <v>ND</v>
      </c>
      <c r="GZ29" s="1" t="str">
        <f t="shared" si="127"/>
        <v>ND</v>
      </c>
      <c r="HA29" s="1" t="str">
        <f t="shared" si="128"/>
        <v>ND</v>
      </c>
      <c r="HB29" s="1" t="str">
        <f t="shared" si="129"/>
        <v>ND</v>
      </c>
      <c r="HC29" s="1" t="str">
        <f t="shared" si="130"/>
        <v>ND</v>
      </c>
      <c r="HD29" s="1" t="str">
        <f t="shared" si="131"/>
        <v>ND</v>
      </c>
      <c r="HE29" s="1" t="str">
        <f t="shared" si="132"/>
        <v>ND</v>
      </c>
      <c r="HF29" s="1" t="str">
        <f t="shared" si="133"/>
        <v>ND</v>
      </c>
      <c r="HG29" s="1" t="str">
        <f t="shared" si="134"/>
        <v>ND</v>
      </c>
      <c r="HH29" s="1" t="str">
        <f t="shared" si="135"/>
        <v>ND</v>
      </c>
      <c r="HI29" s="1" t="str">
        <f t="shared" si="136"/>
        <v>ND</v>
      </c>
      <c r="HJ29" s="1" t="str">
        <f t="shared" si="137"/>
        <v>ND</v>
      </c>
      <c r="HK29" s="1" t="str">
        <f t="shared" si="138"/>
        <v>ND</v>
      </c>
      <c r="HL29" s="1" t="str">
        <f t="shared" si="139"/>
        <v>ND</v>
      </c>
      <c r="HM29" s="1" t="str">
        <f t="shared" si="140"/>
        <v>ND</v>
      </c>
      <c r="HN29" s="1" t="str">
        <f t="shared" si="141"/>
        <v>ND</v>
      </c>
      <c r="HO29" s="1" t="str">
        <f t="shared" si="142"/>
        <v>ND</v>
      </c>
      <c r="HP29" s="1" t="str">
        <f t="shared" si="143"/>
        <v>ND</v>
      </c>
      <c r="HQ29" s="1" t="str">
        <f t="shared" si="144"/>
        <v>ND</v>
      </c>
      <c r="HR29" s="1" t="str">
        <f t="shared" si="145"/>
        <v>ND</v>
      </c>
      <c r="HS29" s="1" t="str">
        <f t="shared" si="146"/>
        <v>ND</v>
      </c>
      <c r="HT29" s="1" t="str">
        <f t="shared" si="147"/>
        <v>ND</v>
      </c>
      <c r="HU29" s="1" t="str">
        <f t="shared" si="148"/>
        <v>ND</v>
      </c>
      <c r="HV29" s="1" t="str">
        <f t="shared" si="149"/>
        <v>ND</v>
      </c>
      <c r="HW29" s="1" t="str">
        <f t="shared" si="150"/>
        <v>ND</v>
      </c>
      <c r="HX29" s="1" t="str">
        <f t="shared" si="151"/>
        <v>ND</v>
      </c>
      <c r="HY29" s="1" t="str">
        <f t="shared" si="152"/>
        <v>ND</v>
      </c>
      <c r="HZ29" s="1" t="str">
        <f t="shared" si="153"/>
        <v>ND</v>
      </c>
      <c r="IA29" s="1" t="str">
        <f t="shared" si="154"/>
        <v>ND</v>
      </c>
      <c r="IB29" s="1" t="str">
        <f t="shared" si="155"/>
        <v>ND</v>
      </c>
      <c r="IC29" s="1" t="str">
        <f t="shared" si="156"/>
        <v>ND</v>
      </c>
      <c r="ID29" s="1" t="str">
        <f t="shared" si="157"/>
        <v>ND</v>
      </c>
      <c r="IE29" s="1" t="str">
        <f t="shared" si="158"/>
        <v>ND</v>
      </c>
      <c r="IF29" s="1" t="str">
        <f t="shared" si="159"/>
        <v>ND</v>
      </c>
      <c r="IG29" s="1" t="str">
        <f t="shared" si="160"/>
        <v>ND</v>
      </c>
      <c r="IH29" s="1" t="str">
        <f t="shared" si="161"/>
        <v>ND</v>
      </c>
      <c r="II29" s="1" t="str">
        <f t="shared" si="162"/>
        <v>ND</v>
      </c>
    </row>
    <row r="30" spans="3:243" x14ac:dyDescent="0.25">
      <c r="C30" t="s">
        <v>52</v>
      </c>
      <c r="D30">
        <f>SUMIFS(DICCIONARIO[Cantidad],DICCIONARIO[Modelo],UNIFICADA[[#This Row],[Equipo]])</f>
        <v>0</v>
      </c>
      <c r="E30" s="1">
        <f>IFERROR(VLOOKUP($C30,EQUIPOS[],UNIFICADO!E$9,0),"")</f>
        <v>11</v>
      </c>
      <c r="F30" s="1">
        <f>IFERROR(VLOOKUP($C30,EQUIPOS[],UNIFICADO!F$9,0),"")</f>
        <v>6.43</v>
      </c>
      <c r="G30" s="1">
        <f>IFERROR(VLOOKUP($C30,EQUIPOS[],UNIFICADO!G$9,0),"")</f>
        <v>48</v>
      </c>
      <c r="H30" s="1">
        <f>IFERROR(VLOOKUP($C30,EQUIPOS[],UNIFICADO!H$9,0),"")</f>
        <v>4</v>
      </c>
      <c r="I30" s="1">
        <f>IFERROR(VLOOKUP($C30,EQUIPOS[],UNIFICADO!I$9,0),"")</f>
        <v>32</v>
      </c>
      <c r="J30" s="1" t="str">
        <f>IFERROR(VLOOKUP($C30,EQUIPOS[],UNIFICADO!J$9,0),"")</f>
        <v>128GB</v>
      </c>
      <c r="K30" s="1">
        <f>IFERROR(VLOOKUP($C30,EQUIPOS[],UNIFICADO!K$9,0),"")</f>
        <v>256</v>
      </c>
      <c r="L30" s="1">
        <f>IFERROR(VLOOKUP($C30,EQUIPOS[],UNIFICADO!L$9,0),"")</f>
        <v>8</v>
      </c>
      <c r="M30" s="1" t="str">
        <f>IFERROR(VLOOKUP($C30,EQUIPOS[],UNIFICADO!M$9,0),"")</f>
        <v>2.2/2</v>
      </c>
      <c r="N30" s="1">
        <f>IFERROR(VLOOKUP($C30,EQUIPOS[],UNIFICADO!N$9,0),"")</f>
        <v>8</v>
      </c>
      <c r="O30" s="1">
        <f>IFERROR(VLOOKUP($C30,EQUIPOS[],UNIFICADO!O$9,0),"")</f>
        <v>172</v>
      </c>
      <c r="P30" s="1">
        <f>IFERROR(VLOOKUP($C30,EQUIPOS[],UNIFICADO!P$9,0),"")</f>
        <v>16</v>
      </c>
      <c r="Q30" s="1">
        <f>IFERROR(VLOOKUP($C30,EQUIPOS[],UNIFICADO!Q$9,0),"")</f>
        <v>7.32</v>
      </c>
      <c r="R30" s="1">
        <f>IFERROR(VLOOKUP($C30,EQUIPOS[],UNIFICADO!R$9,0),"")</f>
        <v>0.78</v>
      </c>
      <c r="S30" s="1">
        <f>IFERROR(VLOOKUP($C30,EQUIPOS[],UNIFICADO!S$9,0),"")</f>
        <v>4310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0"/>
        <v>ND</v>
      </c>
      <c r="W30" s="1" t="str">
        <f t="shared" si="1"/>
        <v>ND</v>
      </c>
      <c r="X30" s="1" t="str">
        <f t="shared" si="2"/>
        <v>ND</v>
      </c>
      <c r="Y30" s="1" t="str">
        <f t="shared" si="2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4"/>
        <v>ND</v>
      </c>
      <c r="AJ30" s="1" t="str">
        <f t="shared" si="5"/>
        <v>ND</v>
      </c>
      <c r="AK30" s="1" t="str">
        <f t="shared" si="6"/>
        <v>ND</v>
      </c>
      <c r="AL30" s="1" t="str">
        <f t="shared" si="7"/>
        <v>ND</v>
      </c>
      <c r="AM30" s="1" t="str">
        <f t="shared" si="8"/>
        <v>ND</v>
      </c>
      <c r="AN30" s="1" t="str">
        <f t="shared" si="9"/>
        <v>ND</v>
      </c>
      <c r="AO30" s="1" t="str">
        <f t="shared" si="10"/>
        <v>ND</v>
      </c>
      <c r="AP30" s="1" t="str">
        <f t="shared" si="11"/>
        <v>ND</v>
      </c>
      <c r="AQ30" s="1" t="str">
        <f t="shared" si="12"/>
        <v>ND</v>
      </c>
      <c r="AR30" s="1" t="str">
        <f t="shared" si="13"/>
        <v>ND</v>
      </c>
      <c r="AS30" s="1" t="str">
        <f t="shared" si="14"/>
        <v>ND</v>
      </c>
      <c r="AT30" s="1" t="str">
        <f t="shared" si="15"/>
        <v>ND</v>
      </c>
      <c r="AU30" s="1" t="str">
        <f t="shared" si="16"/>
        <v>ND</v>
      </c>
      <c r="AV30" s="1" t="str">
        <f t="shared" si="17"/>
        <v>ND</v>
      </c>
      <c r="AW30" s="1" t="str">
        <f t="shared" si="18"/>
        <v>ND</v>
      </c>
      <c r="AX30" s="1" t="str">
        <f t="shared" si="19"/>
        <v>ND</v>
      </c>
      <c r="AY30" s="1" t="str">
        <f t="shared" si="20"/>
        <v>ND</v>
      </c>
      <c r="AZ30" s="1" t="str">
        <f t="shared" si="21"/>
        <v>ND</v>
      </c>
      <c r="BA30" s="1" t="str">
        <f t="shared" si="22"/>
        <v>ND</v>
      </c>
      <c r="BB30" s="1" t="str">
        <f t="shared" si="23"/>
        <v>ND</v>
      </c>
      <c r="BC30" s="1" t="str">
        <f t="shared" si="24"/>
        <v>ND</v>
      </c>
      <c r="BD30" s="1" t="str">
        <f t="shared" si="25"/>
        <v>ND</v>
      </c>
      <c r="BE30" s="1" t="str">
        <f t="shared" si="26"/>
        <v>ND</v>
      </c>
      <c r="BF30" s="1" t="str">
        <f t="shared" si="27"/>
        <v>ND</v>
      </c>
      <c r="BG30" s="1" t="str">
        <f t="shared" si="28"/>
        <v>ND</v>
      </c>
      <c r="BH30" s="1" t="str">
        <f t="shared" si="29"/>
        <v>ND</v>
      </c>
      <c r="BI30" s="1" t="str">
        <f t="shared" si="30"/>
        <v>ND</v>
      </c>
      <c r="BJ30" s="1" t="str">
        <f t="shared" si="31"/>
        <v>ND</v>
      </c>
      <c r="BK30" s="1" t="str">
        <f t="shared" si="32"/>
        <v>ND</v>
      </c>
      <c r="BL30" s="1" t="str">
        <f t="shared" si="33"/>
        <v>ND</v>
      </c>
      <c r="BM30" s="1" t="str">
        <f t="shared" si="34"/>
        <v>ND</v>
      </c>
      <c r="BN30" s="1" t="str">
        <f t="shared" si="35"/>
        <v>ND</v>
      </c>
      <c r="BO30" s="1" t="str">
        <f t="shared" si="36"/>
        <v>ND</v>
      </c>
      <c r="BP30" s="1" t="str">
        <f t="shared" si="37"/>
        <v>ND</v>
      </c>
      <c r="BQ30" s="1" t="str">
        <f t="shared" si="38"/>
        <v>ND</v>
      </c>
      <c r="BR30" s="1" t="str">
        <f t="shared" si="39"/>
        <v>ND</v>
      </c>
      <c r="BS30" s="1" t="str">
        <f t="shared" si="40"/>
        <v>ND</v>
      </c>
      <c r="BT30" s="1" t="str">
        <f t="shared" si="41"/>
        <v>ND</v>
      </c>
      <c r="BU30" s="1" t="str">
        <f t="shared" si="42"/>
        <v>ND</v>
      </c>
      <c r="BV30" s="1" t="str">
        <f t="shared" si="43"/>
        <v>ND</v>
      </c>
      <c r="BW30" s="1" t="str">
        <f t="shared" si="44"/>
        <v>ND</v>
      </c>
      <c r="BX30" s="1" t="str">
        <f t="shared" si="45"/>
        <v>ND</v>
      </c>
      <c r="BY30" s="1" t="str">
        <f t="shared" si="46"/>
        <v>ND</v>
      </c>
      <c r="BZ30" s="1" t="str">
        <f t="shared" si="47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50"/>
        <v>ND</v>
      </c>
      <c r="CX30" s="1" t="str">
        <f t="shared" si="51"/>
        <v>ND</v>
      </c>
      <c r="CY30" s="1" t="str">
        <f t="shared" si="52"/>
        <v>ND</v>
      </c>
      <c r="CZ30" s="1" t="str">
        <f t="shared" si="53"/>
        <v>ND</v>
      </c>
      <c r="DA30" s="1" t="str">
        <f t="shared" si="54"/>
        <v>ND</v>
      </c>
      <c r="DB30" s="1" t="str">
        <f t="shared" si="55"/>
        <v>ND</v>
      </c>
      <c r="DC30" s="1" t="str">
        <f t="shared" si="56"/>
        <v>ND</v>
      </c>
      <c r="DD30" s="1" t="str">
        <f t="shared" si="57"/>
        <v>ND</v>
      </c>
      <c r="DE30" s="1" t="str">
        <f t="shared" si="58"/>
        <v>ND</v>
      </c>
      <c r="DF30" s="1" t="str">
        <f t="shared" si="59"/>
        <v>ND</v>
      </c>
      <c r="DG30" s="1" t="str">
        <f t="shared" si="60"/>
        <v>ND</v>
      </c>
      <c r="DH30" s="1" t="str">
        <f t="shared" si="61"/>
        <v>ND</v>
      </c>
      <c r="DI30" s="1" t="str">
        <f t="shared" si="62"/>
        <v>ND</v>
      </c>
      <c r="DJ30" s="1" t="str">
        <f t="shared" si="63"/>
        <v>ND</v>
      </c>
      <c r="DK30" s="1" t="str">
        <f t="shared" si="64"/>
        <v>ND</v>
      </c>
      <c r="DL30" s="1" t="str">
        <f t="shared" si="65"/>
        <v>ND</v>
      </c>
      <c r="DM30" s="1" t="str">
        <f t="shared" si="66"/>
        <v>ND</v>
      </c>
      <c r="DN30" s="1" t="str">
        <f t="shared" si="67"/>
        <v>ND</v>
      </c>
      <c r="DO30" s="1" t="str">
        <f t="shared" si="68"/>
        <v>ND</v>
      </c>
      <c r="DP30" s="1" t="str">
        <f t="shared" si="69"/>
        <v>ND</v>
      </c>
      <c r="DQ30" s="1" t="str">
        <f t="shared" si="70"/>
        <v>ND</v>
      </c>
      <c r="DR30" s="1" t="str">
        <f t="shared" si="71"/>
        <v>ND</v>
      </c>
      <c r="DS30" s="1" t="str">
        <f t="shared" si="72"/>
        <v>ND</v>
      </c>
      <c r="DT30" s="1" t="str">
        <f t="shared" si="73"/>
        <v>ND</v>
      </c>
      <c r="DU30" s="1" t="str">
        <f t="shared" si="74"/>
        <v>ND</v>
      </c>
      <c r="DV30" s="1" t="str">
        <f t="shared" si="75"/>
        <v>ND</v>
      </c>
      <c r="DW30" s="1" t="str">
        <f t="shared" si="76"/>
        <v>ND</v>
      </c>
      <c r="DX30" s="1" t="str">
        <f t="shared" si="77"/>
        <v>ND</v>
      </c>
      <c r="DY30" s="1" t="str">
        <f t="shared" si="78"/>
        <v>ND</v>
      </c>
      <c r="DZ30" s="1" t="str">
        <f t="shared" si="79"/>
        <v>ND</v>
      </c>
      <c r="EA30" s="1" t="str">
        <f t="shared" si="80"/>
        <v>ND</v>
      </c>
      <c r="EB30" s="1" t="str">
        <f t="shared" si="81"/>
        <v>ND</v>
      </c>
      <c r="EC30" s="1" t="str">
        <f t="shared" si="82"/>
        <v>ND</v>
      </c>
      <c r="ED30" s="1" t="str">
        <f t="shared" si="83"/>
        <v>ND</v>
      </c>
      <c r="EE30" s="1" t="str">
        <f t="shared" si="84"/>
        <v>ND</v>
      </c>
      <c r="EF30" s="1" t="str">
        <f t="shared" si="85"/>
        <v>ND</v>
      </c>
      <c r="EG30" s="1" t="str">
        <f t="shared" si="86"/>
        <v>ND</v>
      </c>
      <c r="EH30" s="1" t="str">
        <f t="shared" si="87"/>
        <v>ND</v>
      </c>
      <c r="EI30" s="1" t="str">
        <f t="shared" si="88"/>
        <v>ND</v>
      </c>
      <c r="EJ30" s="1" t="str">
        <f t="shared" si="89"/>
        <v>ND</v>
      </c>
      <c r="EK30" s="1" t="str">
        <f t="shared" si="90"/>
        <v>ND</v>
      </c>
      <c r="EL30" s="1" t="str">
        <f t="shared" si="91"/>
        <v>ND</v>
      </c>
      <c r="EM30" s="1" t="str">
        <f t="shared" si="92"/>
        <v>ND</v>
      </c>
      <c r="EN30" s="1" t="str">
        <f t="shared" si="93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7"/>
        <v>ND</v>
      </c>
      <c r="FW30" s="1" t="str">
        <f t="shared" si="98"/>
        <v>ND</v>
      </c>
      <c r="FX30" s="1" t="str">
        <f t="shared" si="99"/>
        <v>ND</v>
      </c>
      <c r="FY30" s="1" t="str">
        <f t="shared" si="100"/>
        <v>ND</v>
      </c>
      <c r="FZ30" s="1" t="str">
        <f t="shared" si="101"/>
        <v>ND</v>
      </c>
      <c r="GA30" s="1" t="str">
        <f t="shared" si="102"/>
        <v>ND</v>
      </c>
      <c r="GB30" s="1" t="str">
        <f t="shared" si="103"/>
        <v>ND</v>
      </c>
      <c r="GC30" s="1" t="str">
        <f t="shared" si="104"/>
        <v>ND</v>
      </c>
      <c r="GD30" s="1" t="str">
        <f t="shared" si="105"/>
        <v>ND</v>
      </c>
      <c r="GE30" s="1" t="str">
        <f t="shared" si="106"/>
        <v>ND</v>
      </c>
      <c r="GF30" s="1" t="str">
        <f t="shared" si="107"/>
        <v>ND</v>
      </c>
      <c r="GG30" s="1" t="str">
        <f t="shared" si="108"/>
        <v>ND</v>
      </c>
      <c r="GH30" s="1" t="str">
        <f t="shared" si="109"/>
        <v>ND</v>
      </c>
      <c r="GI30" s="1" t="str">
        <f t="shared" si="110"/>
        <v>ND</v>
      </c>
      <c r="GJ30" s="1" t="str">
        <f t="shared" si="111"/>
        <v>ND</v>
      </c>
      <c r="GK30" s="1" t="str">
        <f t="shared" si="112"/>
        <v>ND</v>
      </c>
      <c r="GL30" s="1" t="str">
        <f t="shared" si="113"/>
        <v>ND</v>
      </c>
      <c r="GM30" s="1" t="str">
        <f t="shared" si="114"/>
        <v>ND</v>
      </c>
      <c r="GN30" s="1" t="str">
        <f t="shared" si="115"/>
        <v>ND</v>
      </c>
      <c r="GO30" s="1" t="str">
        <f t="shared" si="116"/>
        <v>ND</v>
      </c>
      <c r="GP30" s="1" t="str">
        <f t="shared" si="117"/>
        <v>ND</v>
      </c>
      <c r="GQ30" s="1" t="str">
        <f t="shared" si="118"/>
        <v>ND</v>
      </c>
      <c r="GR30" s="1" t="str">
        <f t="shared" si="119"/>
        <v>ND</v>
      </c>
      <c r="GS30" s="1" t="str">
        <f t="shared" si="120"/>
        <v>ND</v>
      </c>
      <c r="GT30" s="1" t="str">
        <f t="shared" si="121"/>
        <v>ND</v>
      </c>
      <c r="GU30" s="1" t="str">
        <f t="shared" si="122"/>
        <v>ND</v>
      </c>
      <c r="GV30" s="1" t="str">
        <f t="shared" si="123"/>
        <v>ND</v>
      </c>
      <c r="GW30" s="1" t="str">
        <f t="shared" si="124"/>
        <v>ND</v>
      </c>
      <c r="GX30" s="1" t="str">
        <f t="shared" si="125"/>
        <v>ND</v>
      </c>
      <c r="GY30" s="1" t="str">
        <f t="shared" si="126"/>
        <v>ND</v>
      </c>
      <c r="GZ30" s="1" t="str">
        <f t="shared" si="127"/>
        <v>ND</v>
      </c>
      <c r="HA30" s="1" t="str">
        <f t="shared" si="128"/>
        <v>ND</v>
      </c>
      <c r="HB30" s="1" t="str">
        <f t="shared" si="129"/>
        <v>ND</v>
      </c>
      <c r="HC30" s="1" t="str">
        <f t="shared" si="130"/>
        <v>ND</v>
      </c>
      <c r="HD30" s="1" t="str">
        <f t="shared" si="131"/>
        <v>ND</v>
      </c>
      <c r="HE30" s="1" t="str">
        <f t="shared" si="132"/>
        <v>ND</v>
      </c>
      <c r="HF30" s="1" t="str">
        <f t="shared" si="133"/>
        <v>ND</v>
      </c>
      <c r="HG30" s="1" t="str">
        <f t="shared" si="134"/>
        <v>ND</v>
      </c>
      <c r="HH30" s="1" t="str">
        <f t="shared" si="135"/>
        <v>ND</v>
      </c>
      <c r="HI30" s="1" t="str">
        <f t="shared" si="136"/>
        <v>ND</v>
      </c>
      <c r="HJ30" s="1" t="str">
        <f t="shared" si="137"/>
        <v>ND</v>
      </c>
      <c r="HK30" s="1" t="str">
        <f t="shared" si="138"/>
        <v>ND</v>
      </c>
      <c r="HL30" s="1" t="str">
        <f t="shared" si="139"/>
        <v>ND</v>
      </c>
      <c r="HM30" s="1" t="str">
        <f t="shared" si="140"/>
        <v>ND</v>
      </c>
      <c r="HN30" s="1" t="str">
        <f t="shared" si="141"/>
        <v>ND</v>
      </c>
      <c r="HO30" s="1" t="str">
        <f t="shared" si="142"/>
        <v>ND</v>
      </c>
      <c r="HP30" s="1" t="str">
        <f t="shared" si="143"/>
        <v>ND</v>
      </c>
      <c r="HQ30" s="1" t="str">
        <f t="shared" si="144"/>
        <v>ND</v>
      </c>
      <c r="HR30" s="1" t="str">
        <f t="shared" si="145"/>
        <v>ND</v>
      </c>
      <c r="HS30" s="1" t="str">
        <f t="shared" si="146"/>
        <v>ND</v>
      </c>
      <c r="HT30" s="1" t="str">
        <f t="shared" si="147"/>
        <v>ND</v>
      </c>
      <c r="HU30" s="1" t="str">
        <f t="shared" si="148"/>
        <v>ND</v>
      </c>
      <c r="HV30" s="1" t="str">
        <f t="shared" si="149"/>
        <v>ND</v>
      </c>
      <c r="HW30" s="1" t="str">
        <f t="shared" si="150"/>
        <v>ND</v>
      </c>
      <c r="HX30" s="1" t="str">
        <f t="shared" si="151"/>
        <v>ND</v>
      </c>
      <c r="HY30" s="1" t="str">
        <f t="shared" si="152"/>
        <v>ND</v>
      </c>
      <c r="HZ30" s="1" t="str">
        <f t="shared" si="153"/>
        <v>ND</v>
      </c>
      <c r="IA30" s="1" t="str">
        <f t="shared" si="154"/>
        <v>ND</v>
      </c>
      <c r="IB30" s="1" t="str">
        <f t="shared" si="155"/>
        <v>ND</v>
      </c>
      <c r="IC30" s="1" t="str">
        <f t="shared" si="156"/>
        <v>ND</v>
      </c>
      <c r="ID30" s="1" t="str">
        <f t="shared" si="157"/>
        <v>ND</v>
      </c>
      <c r="IE30" s="1" t="str">
        <f t="shared" si="158"/>
        <v>ND</v>
      </c>
      <c r="IF30" s="1" t="str">
        <f t="shared" si="159"/>
        <v>ND</v>
      </c>
      <c r="IG30" s="1" t="str">
        <f t="shared" si="160"/>
        <v>ND</v>
      </c>
      <c r="IH30" s="1" t="str">
        <f t="shared" si="161"/>
        <v>ND</v>
      </c>
      <c r="II30" s="1" t="str">
        <f t="shared" si="162"/>
        <v>ND</v>
      </c>
    </row>
    <row r="31" spans="3:243" x14ac:dyDescent="0.25">
      <c r="C31" t="s">
        <v>946</v>
      </c>
      <c r="D31">
        <f>SUMIFS(DICCIONARIO[Cantidad],DICCIONARIO[Modelo],UNIFICADA[[#This Row],[Equipo]])</f>
        <v>0</v>
      </c>
      <c r="E31" s="1">
        <f>IFERROR(VLOOKUP($C31,EQUIPOS[],UNIFICADO!E$9,0),"")</f>
        <v>12</v>
      </c>
      <c r="F31" s="1" t="str">
        <f>IFERROR(VLOOKUP($C31,EQUIPOS[],UNIFICADO!F$9,0),"")</f>
        <v>6.67 OLED FullHD+ 120Hz</v>
      </c>
      <c r="G31" s="1">
        <f>IFERROR(VLOOKUP($C31,EQUIPOS[],UNIFICADO!G$9,0),"")</f>
        <v>64</v>
      </c>
      <c r="H31" s="1">
        <f>IFERROR(VLOOKUP($C31,EQUIPOS[],UNIFICADO!H$9,0),"")</f>
        <v>3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 t="str">
        <f>IFERROR(VLOOKUP($C31,EQUIPOS[],UNIFICADO!K$9,0),"")</f>
        <v>-</v>
      </c>
      <c r="L31" s="1">
        <f>IFERROR(VLOOKUP($C31,EQUIPOS[],UNIFICADO!L$9,0),"")</f>
        <v>8</v>
      </c>
      <c r="M31" s="1">
        <f>IFERROR(VLOOKUP($C31,EQUIPOS[],UNIFICADO!M$9,0),"")</f>
        <v>2.4</v>
      </c>
      <c r="N31" s="1">
        <f>IFERROR(VLOOKUP($C31,EQUIPOS[],UNIFICADO!N$9,0),"")</f>
        <v>6</v>
      </c>
      <c r="O31" s="1">
        <f>IFERROR(VLOOKUP($C31,EQUIPOS[],UNIFICADO!O$9,0),"")</f>
        <v>175</v>
      </c>
      <c r="P31" s="1">
        <f>IFERROR(VLOOKUP($C31,EQUIPOS[],UNIFICADO!P$9,0),"")</f>
        <v>15.2</v>
      </c>
      <c r="Q31" s="1">
        <f>IFERROR(VLOOKUP($C31,EQUIPOS[],UNIFICADO!Q$9,0),"")</f>
        <v>7.75</v>
      </c>
      <c r="R31" s="1">
        <f>IFERROR(VLOOKUP($C31,EQUIPOS[],UNIFICADO!R$9,0),"")</f>
        <v>0.79</v>
      </c>
      <c r="S31" s="1">
        <f>IFERROR(VLOOKUP($C31,EQUIPOS[],UNIFICADO!S$9,0),"")</f>
        <v>5100</v>
      </c>
      <c r="T31" s="1">
        <f>IFERROR(VLOOKUP($C31,EQUIPOS[],UNIFICADO!T$9,0),"")</f>
        <v>5</v>
      </c>
      <c r="U31" s="1">
        <f>VLOOKUP(UNIFICADA[[#This Row],[Equipo]],EQUIPOS[],19,0)</f>
        <v>21</v>
      </c>
      <c r="V31" s="1" t="str">
        <f t="shared" si="0"/>
        <v>ND</v>
      </c>
      <c r="W31" s="1" t="str">
        <f t="shared" si="1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4"/>
        <v>ND</v>
      </c>
      <c r="AJ31" s="1" t="str">
        <f t="shared" si="5"/>
        <v>ND</v>
      </c>
      <c r="AK31" s="1" t="str">
        <f t="shared" si="6"/>
        <v>ND</v>
      </c>
      <c r="AL31" s="1" t="str">
        <f t="shared" si="7"/>
        <v>ND</v>
      </c>
      <c r="AM31" s="1" t="str">
        <f t="shared" si="8"/>
        <v>ND</v>
      </c>
      <c r="AN31" s="1" t="str">
        <f t="shared" si="9"/>
        <v>ND</v>
      </c>
      <c r="AO31" s="1" t="str">
        <f t="shared" si="10"/>
        <v>ND</v>
      </c>
      <c r="AP31" s="1" t="str">
        <f t="shared" si="11"/>
        <v>ND</v>
      </c>
      <c r="AQ31" s="1" t="str">
        <f t="shared" si="12"/>
        <v>ND</v>
      </c>
      <c r="AR31" s="1" t="str">
        <f t="shared" si="13"/>
        <v>ND</v>
      </c>
      <c r="AS31" s="1" t="str">
        <f t="shared" si="14"/>
        <v>ND</v>
      </c>
      <c r="AT31" s="1" t="str">
        <f t="shared" si="15"/>
        <v>ND</v>
      </c>
      <c r="AU31" s="1" t="str">
        <f t="shared" si="16"/>
        <v>ND</v>
      </c>
      <c r="AV31" s="1" t="str">
        <f t="shared" si="17"/>
        <v>ND</v>
      </c>
      <c r="AW31" s="1" t="str">
        <f t="shared" si="18"/>
        <v>ND</v>
      </c>
      <c r="AX31" s="1" t="str">
        <f t="shared" si="19"/>
        <v>ND</v>
      </c>
      <c r="AY31" s="1" t="str">
        <f t="shared" si="20"/>
        <v>ND</v>
      </c>
      <c r="AZ31" s="1" t="str">
        <f t="shared" si="21"/>
        <v>ND</v>
      </c>
      <c r="BA31" s="1" t="str">
        <f t="shared" si="22"/>
        <v>ND</v>
      </c>
      <c r="BB31" s="1" t="str">
        <f t="shared" si="23"/>
        <v>ND</v>
      </c>
      <c r="BC31" s="1" t="str">
        <f t="shared" si="24"/>
        <v>ND</v>
      </c>
      <c r="BD31" s="1" t="str">
        <f t="shared" si="25"/>
        <v>ND</v>
      </c>
      <c r="BE31" s="1" t="str">
        <f t="shared" si="26"/>
        <v>ND</v>
      </c>
      <c r="BF31" s="1" t="str">
        <f t="shared" si="27"/>
        <v>ND</v>
      </c>
      <c r="BG31" s="1" t="str">
        <f t="shared" si="28"/>
        <v>ND</v>
      </c>
      <c r="BH31" s="1" t="str">
        <f t="shared" si="29"/>
        <v>ND</v>
      </c>
      <c r="BI31" s="1" t="str">
        <f t="shared" si="30"/>
        <v>ND</v>
      </c>
      <c r="BJ31" s="1" t="str">
        <f t="shared" si="31"/>
        <v>ND</v>
      </c>
      <c r="BK31" s="1" t="str">
        <f t="shared" si="32"/>
        <v>ND</v>
      </c>
      <c r="BL31" s="1" t="str">
        <f t="shared" si="33"/>
        <v>ND</v>
      </c>
      <c r="BM31" s="1" t="str">
        <f t="shared" si="34"/>
        <v>ND</v>
      </c>
      <c r="BN31" s="1" t="str">
        <f t="shared" si="35"/>
        <v>ND</v>
      </c>
      <c r="BO31" s="1" t="str">
        <f t="shared" si="36"/>
        <v>ND</v>
      </c>
      <c r="BP31" s="1" t="str">
        <f t="shared" si="37"/>
        <v>ND</v>
      </c>
      <c r="BQ31" s="1" t="str">
        <f t="shared" si="38"/>
        <v>ND</v>
      </c>
      <c r="BR31" s="1" t="str">
        <f t="shared" si="39"/>
        <v>ND</v>
      </c>
      <c r="BS31" s="1" t="str">
        <f t="shared" si="40"/>
        <v>ND</v>
      </c>
      <c r="BT31" s="1" t="str">
        <f t="shared" si="41"/>
        <v>ND</v>
      </c>
      <c r="BU31" s="1" t="str">
        <f t="shared" si="42"/>
        <v>ND</v>
      </c>
      <c r="BV31" s="1" t="str">
        <f t="shared" si="43"/>
        <v>ND</v>
      </c>
      <c r="BW31" s="1" t="str">
        <f t="shared" si="44"/>
        <v>ND</v>
      </c>
      <c r="BX31" s="1" t="str">
        <f t="shared" si="45"/>
        <v>ND</v>
      </c>
      <c r="BY31" s="1" t="str">
        <f t="shared" si="46"/>
        <v>ND</v>
      </c>
      <c r="BZ31" s="1" t="str">
        <f t="shared" si="47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50"/>
        <v>ND</v>
      </c>
      <c r="CX31" s="1" t="str">
        <f t="shared" si="51"/>
        <v>ND</v>
      </c>
      <c r="CY31" s="1" t="str">
        <f t="shared" si="52"/>
        <v>ND</v>
      </c>
      <c r="CZ31" s="1" t="str">
        <f t="shared" si="53"/>
        <v>ND</v>
      </c>
      <c r="DA31" s="1" t="str">
        <f t="shared" si="54"/>
        <v>ND</v>
      </c>
      <c r="DB31" s="1" t="str">
        <f t="shared" si="55"/>
        <v>ND</v>
      </c>
      <c r="DC31" s="1" t="str">
        <f t="shared" si="56"/>
        <v>ND</v>
      </c>
      <c r="DD31" s="1" t="str">
        <f t="shared" si="57"/>
        <v>ND</v>
      </c>
      <c r="DE31" s="1" t="str">
        <f t="shared" si="58"/>
        <v>ND</v>
      </c>
      <c r="DF31" s="1" t="str">
        <f t="shared" si="59"/>
        <v>ND</v>
      </c>
      <c r="DG31" s="1" t="str">
        <f t="shared" si="60"/>
        <v>ND</v>
      </c>
      <c r="DH31" s="1" t="str">
        <f t="shared" si="61"/>
        <v>ND</v>
      </c>
      <c r="DI31" s="1" t="str">
        <f t="shared" si="62"/>
        <v>ND</v>
      </c>
      <c r="DJ31" s="1" t="str">
        <f t="shared" si="63"/>
        <v>ND</v>
      </c>
      <c r="DK31" s="1" t="str">
        <f t="shared" si="64"/>
        <v>ND</v>
      </c>
      <c r="DL31" s="1" t="str">
        <f t="shared" si="65"/>
        <v>ND</v>
      </c>
      <c r="DM31" s="1" t="str">
        <f t="shared" si="66"/>
        <v>ND</v>
      </c>
      <c r="DN31" s="1" t="str">
        <f t="shared" si="67"/>
        <v>ND</v>
      </c>
      <c r="DO31" s="1" t="str">
        <f t="shared" si="68"/>
        <v>ND</v>
      </c>
      <c r="DP31" s="1" t="str">
        <f t="shared" si="69"/>
        <v>ND</v>
      </c>
      <c r="DQ31" s="1" t="str">
        <f t="shared" si="70"/>
        <v>ND</v>
      </c>
      <c r="DR31" s="1" t="str">
        <f t="shared" si="71"/>
        <v>ND</v>
      </c>
      <c r="DS31" s="1" t="str">
        <f t="shared" si="72"/>
        <v>ND</v>
      </c>
      <c r="DT31" s="1" t="str">
        <f t="shared" si="73"/>
        <v>ND</v>
      </c>
      <c r="DU31" s="1" t="str">
        <f t="shared" si="74"/>
        <v>ND</v>
      </c>
      <c r="DV31" s="1" t="str">
        <f t="shared" si="75"/>
        <v>ND</v>
      </c>
      <c r="DW31" s="1" t="str">
        <f t="shared" si="76"/>
        <v>ND</v>
      </c>
      <c r="DX31" s="1" t="str">
        <f t="shared" si="77"/>
        <v>ND</v>
      </c>
      <c r="DY31" s="1" t="str">
        <f t="shared" si="78"/>
        <v>ND</v>
      </c>
      <c r="DZ31" s="1" t="str">
        <f t="shared" si="79"/>
        <v>ND</v>
      </c>
      <c r="EA31" s="1" t="str">
        <f t="shared" si="80"/>
        <v>ND</v>
      </c>
      <c r="EB31" s="1" t="str">
        <f t="shared" si="81"/>
        <v>ND</v>
      </c>
      <c r="EC31" s="1" t="str">
        <f t="shared" si="82"/>
        <v>ND</v>
      </c>
      <c r="ED31" s="1" t="str">
        <f t="shared" si="83"/>
        <v>ND</v>
      </c>
      <c r="EE31" s="1" t="str">
        <f t="shared" si="84"/>
        <v>ND</v>
      </c>
      <c r="EF31" s="1" t="str">
        <f t="shared" si="85"/>
        <v>ND</v>
      </c>
      <c r="EG31" s="1" t="str">
        <f t="shared" si="86"/>
        <v>ND</v>
      </c>
      <c r="EH31" s="1" t="str">
        <f t="shared" si="87"/>
        <v>ND</v>
      </c>
      <c r="EI31" s="1" t="str">
        <f t="shared" si="88"/>
        <v>ND</v>
      </c>
      <c r="EJ31" s="1" t="str">
        <f t="shared" si="89"/>
        <v>ND</v>
      </c>
      <c r="EK31" s="1" t="str">
        <f t="shared" si="90"/>
        <v>ND</v>
      </c>
      <c r="EL31" s="1" t="str">
        <f t="shared" si="91"/>
        <v>ND</v>
      </c>
      <c r="EM31" s="1" t="str">
        <f t="shared" si="92"/>
        <v>ND</v>
      </c>
      <c r="EN31" s="1" t="str">
        <f t="shared" si="93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7"/>
        <v>ND</v>
      </c>
      <c r="FW31" s="1" t="str">
        <f t="shared" si="98"/>
        <v>ND</v>
      </c>
      <c r="FX31" s="1" t="str">
        <f t="shared" si="99"/>
        <v>ND</v>
      </c>
      <c r="FY31" s="1" t="str">
        <f t="shared" si="100"/>
        <v>ND</v>
      </c>
      <c r="FZ31" s="1" t="str">
        <f t="shared" si="101"/>
        <v>ND</v>
      </c>
      <c r="GA31" s="1" t="str">
        <f t="shared" si="102"/>
        <v>ND</v>
      </c>
      <c r="GB31" s="1" t="str">
        <f t="shared" si="103"/>
        <v>ND</v>
      </c>
      <c r="GC31" s="1" t="str">
        <f t="shared" si="104"/>
        <v>ND</v>
      </c>
      <c r="GD31" s="1" t="str">
        <f t="shared" si="105"/>
        <v>ND</v>
      </c>
      <c r="GE31" s="1" t="str">
        <f t="shared" si="106"/>
        <v>ND</v>
      </c>
      <c r="GF31" s="1" t="str">
        <f t="shared" si="107"/>
        <v>ND</v>
      </c>
      <c r="GG31" s="1" t="str">
        <f t="shared" si="108"/>
        <v>ND</v>
      </c>
      <c r="GH31" s="1" t="str">
        <f t="shared" si="109"/>
        <v>ND</v>
      </c>
      <c r="GI31" s="1" t="str">
        <f t="shared" si="110"/>
        <v>ND</v>
      </c>
      <c r="GJ31" s="1" t="str">
        <f t="shared" si="111"/>
        <v>ND</v>
      </c>
      <c r="GK31" s="1" t="str">
        <f t="shared" si="112"/>
        <v>ND</v>
      </c>
      <c r="GL31" s="1" t="str">
        <f t="shared" si="113"/>
        <v>ND</v>
      </c>
      <c r="GM31" s="1" t="str">
        <f t="shared" si="114"/>
        <v>ND</v>
      </c>
      <c r="GN31" s="1" t="str">
        <f t="shared" si="115"/>
        <v>ND</v>
      </c>
      <c r="GO31" s="1" t="str">
        <f t="shared" si="116"/>
        <v>ND</v>
      </c>
      <c r="GP31" s="1" t="str">
        <f t="shared" si="117"/>
        <v>ND</v>
      </c>
      <c r="GQ31" s="1" t="str">
        <f t="shared" si="118"/>
        <v>ND</v>
      </c>
      <c r="GR31" s="1" t="str">
        <f t="shared" si="119"/>
        <v>ND</v>
      </c>
      <c r="GS31" s="1" t="str">
        <f t="shared" si="120"/>
        <v>ND</v>
      </c>
      <c r="GT31" s="1" t="str">
        <f t="shared" si="121"/>
        <v>ND</v>
      </c>
      <c r="GU31" s="1" t="str">
        <f t="shared" si="122"/>
        <v>ND</v>
      </c>
      <c r="GV31" s="1" t="str">
        <f t="shared" si="123"/>
        <v>ND</v>
      </c>
      <c r="GW31" s="1" t="str">
        <f t="shared" si="124"/>
        <v>ND</v>
      </c>
      <c r="GX31" s="1" t="str">
        <f t="shared" si="125"/>
        <v>ND</v>
      </c>
      <c r="GY31" s="1" t="str">
        <f t="shared" si="126"/>
        <v>ND</v>
      </c>
      <c r="GZ31" s="1" t="str">
        <f t="shared" si="127"/>
        <v>ND</v>
      </c>
      <c r="HA31" s="1" t="str">
        <f t="shared" si="128"/>
        <v>ND</v>
      </c>
      <c r="HB31" s="1" t="str">
        <f t="shared" si="129"/>
        <v>ND</v>
      </c>
      <c r="HC31" s="1" t="str">
        <f t="shared" si="130"/>
        <v>ND</v>
      </c>
      <c r="HD31" s="1" t="str">
        <f t="shared" si="131"/>
        <v>ND</v>
      </c>
      <c r="HE31" s="1" t="str">
        <f t="shared" si="132"/>
        <v>ND</v>
      </c>
      <c r="HF31" s="1" t="str">
        <f t="shared" si="133"/>
        <v>ND</v>
      </c>
      <c r="HG31" s="1" t="str">
        <f t="shared" si="134"/>
        <v>ND</v>
      </c>
      <c r="HH31" s="1" t="str">
        <f t="shared" si="135"/>
        <v>ND</v>
      </c>
      <c r="HI31" s="1" t="str">
        <f t="shared" si="136"/>
        <v>ND</v>
      </c>
      <c r="HJ31" s="1" t="str">
        <f t="shared" si="137"/>
        <v>ND</v>
      </c>
      <c r="HK31" s="1" t="str">
        <f t="shared" si="138"/>
        <v>ND</v>
      </c>
      <c r="HL31" s="1" t="str">
        <f t="shared" si="139"/>
        <v>ND</v>
      </c>
      <c r="HM31" s="1" t="str">
        <f t="shared" si="140"/>
        <v>ND</v>
      </c>
      <c r="HN31" s="1" t="str">
        <f t="shared" si="141"/>
        <v>ND</v>
      </c>
      <c r="HO31" s="1" t="str">
        <f t="shared" si="142"/>
        <v>ND</v>
      </c>
      <c r="HP31" s="1" t="str">
        <f t="shared" si="143"/>
        <v>ND</v>
      </c>
      <c r="HQ31" s="1" t="str">
        <f t="shared" si="144"/>
        <v>ND</v>
      </c>
      <c r="HR31" s="1" t="str">
        <f t="shared" si="145"/>
        <v>ND</v>
      </c>
      <c r="HS31" s="1" t="str">
        <f t="shared" si="146"/>
        <v>ND</v>
      </c>
      <c r="HT31" s="1" t="str">
        <f t="shared" si="147"/>
        <v>ND</v>
      </c>
      <c r="HU31" s="1" t="str">
        <f t="shared" si="148"/>
        <v>ND</v>
      </c>
      <c r="HV31" s="1" t="str">
        <f t="shared" si="149"/>
        <v>ND</v>
      </c>
      <c r="HW31" s="1" t="str">
        <f t="shared" si="150"/>
        <v>ND</v>
      </c>
      <c r="HX31" s="1" t="str">
        <f t="shared" si="151"/>
        <v>ND</v>
      </c>
      <c r="HY31" s="1" t="str">
        <f t="shared" si="152"/>
        <v>ND</v>
      </c>
      <c r="HZ31" s="1" t="str">
        <f t="shared" si="153"/>
        <v>ND</v>
      </c>
      <c r="IA31" s="1" t="str">
        <f t="shared" si="154"/>
        <v>ND</v>
      </c>
      <c r="IB31" s="1" t="str">
        <f t="shared" si="155"/>
        <v>ND</v>
      </c>
      <c r="IC31" s="1" t="str">
        <f t="shared" si="156"/>
        <v>ND</v>
      </c>
      <c r="ID31" s="1" t="str">
        <f t="shared" si="157"/>
        <v>ND</v>
      </c>
      <c r="IE31" s="1" t="str">
        <f t="shared" si="158"/>
        <v>ND</v>
      </c>
      <c r="IF31" s="1" t="str">
        <f t="shared" si="159"/>
        <v>ND</v>
      </c>
      <c r="IG31" s="1" t="str">
        <f t="shared" si="160"/>
        <v>ND</v>
      </c>
      <c r="IH31" s="1" t="str">
        <f t="shared" si="161"/>
        <v>ND</v>
      </c>
      <c r="II31" s="1" t="str">
        <f t="shared" si="162"/>
        <v>ND</v>
      </c>
    </row>
    <row r="32" spans="3:243" x14ac:dyDescent="0.25">
      <c r="C32" t="s">
        <v>102</v>
      </c>
      <c r="D32">
        <f>SUMIFS(DICCIONARIO[Cantidad],DICCIONARIO[Modelo],UNIFICADA[[#This Row],[Equipo]])</f>
        <v>0</v>
      </c>
      <c r="E32" s="1">
        <f>IFERROR(VLOOKUP($C32,EQUIPOS[],UNIFICADO!E$9,0),"")</f>
        <v>12</v>
      </c>
      <c r="F32" s="1">
        <f>IFERROR(VLOOKUP($C32,EQUIPOS[],UNIFICADO!F$9,0),"")</f>
        <v>6.43</v>
      </c>
      <c r="G32" s="1">
        <f>IFERROR(VLOOKUP($C32,EQUIPOS[],UNIFICADO!G$9,0),"")</f>
        <v>64</v>
      </c>
      <c r="H32" s="1">
        <f>IFERROR(VLOOKUP($C32,EQUIPOS[],UNIFICADO!H$9,0),"")</f>
        <v>3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256</v>
      </c>
      <c r="L32" s="1">
        <f>IFERROR(VLOOKUP($C32,EQUIPOS[],UNIFICADO!L$9,0),"")</f>
        <v>8</v>
      </c>
      <c r="M32" s="1" t="str">
        <f>IFERROR(VLOOKUP($C32,EQUIPOS[],UNIFICADO!M$9,0),"")</f>
        <v>2.4/1.9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15.9</v>
      </c>
      <c r="Q32" s="1">
        <f>IFERROR(VLOOKUP($C32,EQUIPOS[],UNIFICADO!Q$9,0),"")</f>
        <v>7.32</v>
      </c>
      <c r="R32" s="1">
        <f>IFERROR(VLOOKUP($C32,EQUIPOS[],UNIFICADO!R$9,0),"")</f>
        <v>0.75</v>
      </c>
      <c r="S32" s="1">
        <f>IFERROR(VLOOKUP($C32,EQUIPOS[],UNIFICADO!S$9,0),"")</f>
        <v>4500</v>
      </c>
      <c r="T32" s="1">
        <f>IFERROR(VLOOKUP($C32,EQUIPOS[],UNIFICADO!T$9,0),"")</f>
        <v>4</v>
      </c>
      <c r="U32" s="1">
        <f>VLOOKUP(UNIFICADA[[#This Row],[Equipo]],EQUIPOS[],19,0)</f>
        <v>22</v>
      </c>
      <c r="V32" s="1" t="str">
        <f t="shared" si="0"/>
        <v>ND</v>
      </c>
      <c r="W32" s="1" t="str">
        <f t="shared" si="1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4"/>
        <v>ND</v>
      </c>
      <c r="AJ32" s="1" t="str">
        <f t="shared" si="5"/>
        <v>ND</v>
      </c>
      <c r="AK32" s="1" t="str">
        <f t="shared" si="6"/>
        <v>ND</v>
      </c>
      <c r="AL32" s="1" t="str">
        <f t="shared" si="7"/>
        <v>ND</v>
      </c>
      <c r="AM32" s="1" t="str">
        <f t="shared" si="8"/>
        <v>ND</v>
      </c>
      <c r="AN32" s="1" t="str">
        <f t="shared" si="9"/>
        <v>ND</v>
      </c>
      <c r="AO32" s="1" t="str">
        <f t="shared" si="10"/>
        <v>ND</v>
      </c>
      <c r="AP32" s="1" t="str">
        <f t="shared" si="11"/>
        <v>ND</v>
      </c>
      <c r="AQ32" s="1" t="str">
        <f t="shared" si="12"/>
        <v>ND</v>
      </c>
      <c r="AR32" s="1" t="str">
        <f t="shared" si="13"/>
        <v>ND</v>
      </c>
      <c r="AS32" s="1" t="str">
        <f t="shared" si="14"/>
        <v>ND</v>
      </c>
      <c r="AT32" s="1" t="str">
        <f t="shared" si="15"/>
        <v>ND</v>
      </c>
      <c r="AU32" s="1" t="str">
        <f t="shared" si="16"/>
        <v>ND</v>
      </c>
      <c r="AV32" s="1" t="str">
        <f t="shared" si="17"/>
        <v>ND</v>
      </c>
      <c r="AW32" s="1" t="str">
        <f t="shared" si="18"/>
        <v>ND</v>
      </c>
      <c r="AX32" s="1" t="str">
        <f t="shared" si="19"/>
        <v>ND</v>
      </c>
      <c r="AY32" s="1" t="str">
        <f t="shared" si="20"/>
        <v>ND</v>
      </c>
      <c r="AZ32" s="1" t="str">
        <f t="shared" si="21"/>
        <v>ND</v>
      </c>
      <c r="BA32" s="1" t="str">
        <f t="shared" si="22"/>
        <v>ND</v>
      </c>
      <c r="BB32" s="1" t="str">
        <f t="shared" si="23"/>
        <v>ND</v>
      </c>
      <c r="BC32" s="1" t="str">
        <f t="shared" si="24"/>
        <v>ND</v>
      </c>
      <c r="BD32" s="1" t="str">
        <f t="shared" si="25"/>
        <v>ND</v>
      </c>
      <c r="BE32" s="1" t="str">
        <f t="shared" si="26"/>
        <v>ND</v>
      </c>
      <c r="BF32" s="1" t="str">
        <f t="shared" si="27"/>
        <v>ND</v>
      </c>
      <c r="BG32" s="1" t="str">
        <f t="shared" si="28"/>
        <v>ND</v>
      </c>
      <c r="BH32" s="1" t="str">
        <f t="shared" si="29"/>
        <v>ND</v>
      </c>
      <c r="BI32" s="1" t="str">
        <f t="shared" si="30"/>
        <v>ND</v>
      </c>
      <c r="BJ32" s="1" t="str">
        <f t="shared" si="31"/>
        <v>ND</v>
      </c>
      <c r="BK32" s="1" t="str">
        <f t="shared" si="32"/>
        <v>ND</v>
      </c>
      <c r="BL32" s="1" t="str">
        <f t="shared" si="33"/>
        <v>ND</v>
      </c>
      <c r="BM32" s="1" t="str">
        <f t="shared" si="34"/>
        <v>ND</v>
      </c>
      <c r="BN32" s="1" t="str">
        <f t="shared" si="35"/>
        <v>ND</v>
      </c>
      <c r="BO32" s="1" t="str">
        <f t="shared" si="36"/>
        <v>ND</v>
      </c>
      <c r="BP32" s="1" t="str">
        <f t="shared" si="37"/>
        <v>ND</v>
      </c>
      <c r="BQ32" s="1" t="str">
        <f t="shared" si="38"/>
        <v>ND</v>
      </c>
      <c r="BR32" s="1" t="str">
        <f t="shared" si="39"/>
        <v>ND</v>
      </c>
      <c r="BS32" s="1" t="str">
        <f t="shared" si="40"/>
        <v>ND</v>
      </c>
      <c r="BT32" s="1" t="str">
        <f t="shared" si="41"/>
        <v>ND</v>
      </c>
      <c r="BU32" s="1" t="str">
        <f t="shared" si="42"/>
        <v>ND</v>
      </c>
      <c r="BV32" s="1" t="str">
        <f t="shared" si="43"/>
        <v>ND</v>
      </c>
      <c r="BW32" s="1" t="str">
        <f t="shared" si="44"/>
        <v>ND</v>
      </c>
      <c r="BX32" s="1" t="str">
        <f t="shared" si="45"/>
        <v>ND</v>
      </c>
      <c r="BY32" s="1" t="str">
        <f t="shared" si="46"/>
        <v>ND</v>
      </c>
      <c r="BZ32" s="1" t="str">
        <f t="shared" si="47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50"/>
        <v>ND</v>
      </c>
      <c r="CX32" s="1" t="str">
        <f t="shared" si="51"/>
        <v>ND</v>
      </c>
      <c r="CY32" s="1" t="str">
        <f t="shared" si="52"/>
        <v>ND</v>
      </c>
      <c r="CZ32" s="1" t="str">
        <f t="shared" si="53"/>
        <v>ND</v>
      </c>
      <c r="DA32" s="1" t="str">
        <f t="shared" si="54"/>
        <v>ND</v>
      </c>
      <c r="DB32" s="1" t="str">
        <f t="shared" si="55"/>
        <v>ND</v>
      </c>
      <c r="DC32" s="1" t="str">
        <f t="shared" si="56"/>
        <v>ND</v>
      </c>
      <c r="DD32" s="1" t="str">
        <f t="shared" si="57"/>
        <v>ND</v>
      </c>
      <c r="DE32" s="1" t="str">
        <f t="shared" si="58"/>
        <v>ND</v>
      </c>
      <c r="DF32" s="1" t="str">
        <f t="shared" si="59"/>
        <v>ND</v>
      </c>
      <c r="DG32" s="1" t="str">
        <f t="shared" si="60"/>
        <v>ND</v>
      </c>
      <c r="DH32" s="1" t="str">
        <f t="shared" si="61"/>
        <v>ND</v>
      </c>
      <c r="DI32" s="1" t="str">
        <f t="shared" si="62"/>
        <v>ND</v>
      </c>
      <c r="DJ32" s="1" t="str">
        <f t="shared" si="63"/>
        <v>ND</v>
      </c>
      <c r="DK32" s="1" t="str">
        <f t="shared" si="64"/>
        <v>ND</v>
      </c>
      <c r="DL32" s="1" t="str">
        <f t="shared" si="65"/>
        <v>ND</v>
      </c>
      <c r="DM32" s="1" t="str">
        <f t="shared" si="66"/>
        <v>ND</v>
      </c>
      <c r="DN32" s="1" t="str">
        <f t="shared" si="67"/>
        <v>ND</v>
      </c>
      <c r="DO32" s="1" t="str">
        <f t="shared" si="68"/>
        <v>ND</v>
      </c>
      <c r="DP32" s="1" t="str">
        <f t="shared" si="69"/>
        <v>ND</v>
      </c>
      <c r="DQ32" s="1" t="str">
        <f t="shared" si="70"/>
        <v>ND</v>
      </c>
      <c r="DR32" s="1" t="str">
        <f t="shared" si="71"/>
        <v>ND</v>
      </c>
      <c r="DS32" s="1" t="str">
        <f t="shared" si="72"/>
        <v>ND</v>
      </c>
      <c r="DT32" s="1" t="str">
        <f t="shared" si="73"/>
        <v>ND</v>
      </c>
      <c r="DU32" s="1" t="str">
        <f t="shared" si="74"/>
        <v>ND</v>
      </c>
      <c r="DV32" s="1" t="str">
        <f t="shared" si="75"/>
        <v>ND</v>
      </c>
      <c r="DW32" s="1" t="str">
        <f t="shared" si="76"/>
        <v>ND</v>
      </c>
      <c r="DX32" s="1" t="str">
        <f t="shared" si="77"/>
        <v>ND</v>
      </c>
      <c r="DY32" s="1" t="str">
        <f t="shared" si="78"/>
        <v>ND</v>
      </c>
      <c r="DZ32" s="1" t="str">
        <f t="shared" si="79"/>
        <v>ND</v>
      </c>
      <c r="EA32" s="1" t="str">
        <f t="shared" si="80"/>
        <v>ND</v>
      </c>
      <c r="EB32" s="1" t="str">
        <f t="shared" si="81"/>
        <v>ND</v>
      </c>
      <c r="EC32" s="1" t="str">
        <f t="shared" si="82"/>
        <v>ND</v>
      </c>
      <c r="ED32" s="1" t="str">
        <f t="shared" si="83"/>
        <v>ND</v>
      </c>
      <c r="EE32" s="1" t="str">
        <f t="shared" si="84"/>
        <v>ND</v>
      </c>
      <c r="EF32" s="1" t="str">
        <f t="shared" si="85"/>
        <v>ND</v>
      </c>
      <c r="EG32" s="1" t="str">
        <f t="shared" si="86"/>
        <v>ND</v>
      </c>
      <c r="EH32" s="1" t="str">
        <f t="shared" si="87"/>
        <v>ND</v>
      </c>
      <c r="EI32" s="1" t="str">
        <f t="shared" si="88"/>
        <v>ND</v>
      </c>
      <c r="EJ32" s="1" t="str">
        <f t="shared" si="89"/>
        <v>ND</v>
      </c>
      <c r="EK32" s="1" t="str">
        <f t="shared" si="90"/>
        <v>ND</v>
      </c>
      <c r="EL32" s="1" t="str">
        <f t="shared" si="91"/>
        <v>ND</v>
      </c>
      <c r="EM32" s="1" t="str">
        <f t="shared" si="92"/>
        <v>ND</v>
      </c>
      <c r="EN32" s="1" t="str">
        <f t="shared" si="93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7"/>
        <v>ND</v>
      </c>
      <c r="FW32" s="1" t="str">
        <f t="shared" si="98"/>
        <v>ND</v>
      </c>
      <c r="FX32" s="1" t="str">
        <f t="shared" si="99"/>
        <v>ND</v>
      </c>
      <c r="FY32" s="1" t="str">
        <f t="shared" si="100"/>
        <v>ND</v>
      </c>
      <c r="FZ32" s="1" t="str">
        <f t="shared" si="101"/>
        <v>ND</v>
      </c>
      <c r="GA32" s="1" t="str">
        <f t="shared" si="102"/>
        <v>ND</v>
      </c>
      <c r="GB32" s="1" t="str">
        <f t="shared" si="103"/>
        <v>ND</v>
      </c>
      <c r="GC32" s="1" t="str">
        <f t="shared" si="104"/>
        <v>ND</v>
      </c>
      <c r="GD32" s="1" t="str">
        <f t="shared" si="105"/>
        <v>ND</v>
      </c>
      <c r="GE32" s="1" t="str">
        <f t="shared" si="106"/>
        <v>ND</v>
      </c>
      <c r="GF32" s="1" t="str">
        <f t="shared" si="107"/>
        <v>ND</v>
      </c>
      <c r="GG32" s="1" t="str">
        <f t="shared" si="108"/>
        <v>ND</v>
      </c>
      <c r="GH32" s="1" t="str">
        <f t="shared" si="109"/>
        <v>ND</v>
      </c>
      <c r="GI32" s="1" t="str">
        <f t="shared" si="110"/>
        <v>ND</v>
      </c>
      <c r="GJ32" s="1" t="str">
        <f t="shared" si="111"/>
        <v>ND</v>
      </c>
      <c r="GK32" s="1" t="str">
        <f t="shared" si="112"/>
        <v>ND</v>
      </c>
      <c r="GL32" s="1" t="str">
        <f t="shared" si="113"/>
        <v>ND</v>
      </c>
      <c r="GM32" s="1" t="str">
        <f t="shared" si="114"/>
        <v>ND</v>
      </c>
      <c r="GN32" s="1" t="str">
        <f t="shared" si="115"/>
        <v>ND</v>
      </c>
      <c r="GO32" s="1" t="str">
        <f t="shared" si="116"/>
        <v>ND</v>
      </c>
      <c r="GP32" s="1" t="str">
        <f t="shared" si="117"/>
        <v>ND</v>
      </c>
      <c r="GQ32" s="1" t="str">
        <f t="shared" si="118"/>
        <v>ND</v>
      </c>
      <c r="GR32" s="1" t="str">
        <f t="shared" si="119"/>
        <v>ND</v>
      </c>
      <c r="GS32" s="1" t="str">
        <f t="shared" si="120"/>
        <v>ND</v>
      </c>
      <c r="GT32" s="1" t="str">
        <f t="shared" si="121"/>
        <v>ND</v>
      </c>
      <c r="GU32" s="1" t="str">
        <f t="shared" si="122"/>
        <v>ND</v>
      </c>
      <c r="GV32" s="1" t="str">
        <f t="shared" si="123"/>
        <v>ND</v>
      </c>
      <c r="GW32" s="1" t="str">
        <f t="shared" si="124"/>
        <v>ND</v>
      </c>
      <c r="GX32" s="1" t="str">
        <f t="shared" si="125"/>
        <v>ND</v>
      </c>
      <c r="GY32" s="1" t="str">
        <f t="shared" si="126"/>
        <v>ND</v>
      </c>
      <c r="GZ32" s="1" t="str">
        <f t="shared" si="127"/>
        <v>ND</v>
      </c>
      <c r="HA32" s="1" t="str">
        <f t="shared" si="128"/>
        <v>ND</v>
      </c>
      <c r="HB32" s="1" t="str">
        <f t="shared" si="129"/>
        <v>ND</v>
      </c>
      <c r="HC32" s="1" t="str">
        <f t="shared" si="130"/>
        <v>ND</v>
      </c>
      <c r="HD32" s="1" t="str">
        <f t="shared" si="131"/>
        <v>ND</v>
      </c>
      <c r="HE32" s="1" t="str">
        <f t="shared" si="132"/>
        <v>ND</v>
      </c>
      <c r="HF32" s="1" t="str">
        <f t="shared" si="133"/>
        <v>ND</v>
      </c>
      <c r="HG32" s="1" t="str">
        <f t="shared" si="134"/>
        <v>ND</v>
      </c>
      <c r="HH32" s="1" t="str">
        <f t="shared" si="135"/>
        <v>ND</v>
      </c>
      <c r="HI32" s="1" t="str">
        <f t="shared" si="136"/>
        <v>ND</v>
      </c>
      <c r="HJ32" s="1" t="str">
        <f t="shared" si="137"/>
        <v>ND</v>
      </c>
      <c r="HK32" s="1" t="str">
        <f t="shared" si="138"/>
        <v>ND</v>
      </c>
      <c r="HL32" s="1" t="str">
        <f t="shared" si="139"/>
        <v>ND</v>
      </c>
      <c r="HM32" s="1" t="str">
        <f t="shared" si="140"/>
        <v>ND</v>
      </c>
      <c r="HN32" s="1" t="str">
        <f t="shared" si="141"/>
        <v>ND</v>
      </c>
      <c r="HO32" s="1" t="str">
        <f t="shared" si="142"/>
        <v>ND</v>
      </c>
      <c r="HP32" s="1" t="str">
        <f t="shared" si="143"/>
        <v>ND</v>
      </c>
      <c r="HQ32" s="1" t="str">
        <f t="shared" si="144"/>
        <v>ND</v>
      </c>
      <c r="HR32" s="1" t="str">
        <f t="shared" si="145"/>
        <v>ND</v>
      </c>
      <c r="HS32" s="1" t="str">
        <f t="shared" si="146"/>
        <v>ND</v>
      </c>
      <c r="HT32" s="1" t="str">
        <f t="shared" si="147"/>
        <v>ND</v>
      </c>
      <c r="HU32" s="1" t="str">
        <f t="shared" si="148"/>
        <v>ND</v>
      </c>
      <c r="HV32" s="1" t="str">
        <f t="shared" si="149"/>
        <v>ND</v>
      </c>
      <c r="HW32" s="1" t="str">
        <f t="shared" si="150"/>
        <v>ND</v>
      </c>
      <c r="HX32" s="1" t="str">
        <f t="shared" si="151"/>
        <v>ND</v>
      </c>
      <c r="HY32" s="1" t="str">
        <f t="shared" si="152"/>
        <v>ND</v>
      </c>
      <c r="HZ32" s="1" t="str">
        <f t="shared" si="153"/>
        <v>ND</v>
      </c>
      <c r="IA32" s="1" t="str">
        <f t="shared" si="154"/>
        <v>ND</v>
      </c>
      <c r="IB32" s="1" t="str">
        <f t="shared" si="155"/>
        <v>ND</v>
      </c>
      <c r="IC32" s="1" t="str">
        <f t="shared" si="156"/>
        <v>ND</v>
      </c>
      <c r="ID32" s="1" t="str">
        <f t="shared" si="157"/>
        <v>ND</v>
      </c>
      <c r="IE32" s="1" t="str">
        <f t="shared" si="158"/>
        <v>ND</v>
      </c>
      <c r="IF32" s="1" t="str">
        <f t="shared" si="159"/>
        <v>ND</v>
      </c>
      <c r="IG32" s="1" t="str">
        <f t="shared" si="160"/>
        <v>ND</v>
      </c>
      <c r="IH32" s="1" t="str">
        <f t="shared" si="161"/>
        <v>ND</v>
      </c>
      <c r="II32" s="1" t="str">
        <f t="shared" si="162"/>
        <v>ND</v>
      </c>
    </row>
    <row r="33" spans="3:243" x14ac:dyDescent="0.25">
      <c r="C33" t="s">
        <v>1217</v>
      </c>
      <c r="D33">
        <f>SUMIFS(DICCIONARIO[Cantidad],DICCIONARIO[Modelo],UNIFICADA[[#This Row],[Equipo]])</f>
        <v>12</v>
      </c>
      <c r="E33" s="1">
        <f>IFERROR(VLOOKUP($C33,EQUIPOS[],UNIFICADO!E$9,0),"")</f>
        <v>12</v>
      </c>
      <c r="F33" s="1" t="str">
        <f>IFERROR(VLOOKUP($C33,EQUIPOS[],UNIFICADO!F$9,0),"")</f>
        <v>6.67 OLED FullHD+ 120Hz</v>
      </c>
      <c r="G33" s="1">
        <f>IFERROR(VLOOKUP($C33,EQUIPOS[],UNIFICADO!G$9,0),"")</f>
        <v>64</v>
      </c>
      <c r="H33" s="1">
        <f>IFERROR(VLOOKUP($C33,EQUIPOS[],UNIFICADO!H$9,0),"")</f>
        <v>3</v>
      </c>
      <c r="I33" s="1">
        <f>IFERROR(VLOOKUP($C33,EQUIPOS[],UNIFICADO!I$9,0),"")</f>
        <v>16</v>
      </c>
      <c r="J33" s="1" t="str">
        <f>IFERROR(VLOOKUP($C33,EQUIPOS[],UNIFICADO!J$9,0),"")</f>
        <v>256GB</v>
      </c>
      <c r="K33" s="1" t="str">
        <f>IFERROR(VLOOKUP($C33,EQUIPOS[],UNIFICADO!K$9,0),"")</f>
        <v>-</v>
      </c>
      <c r="L33" s="1">
        <f>IFERROR(VLOOKUP($C33,EQUIPOS[],UNIFICADO!L$9,0),"")</f>
        <v>8</v>
      </c>
      <c r="M33" s="1">
        <f>IFERROR(VLOOKUP($C33,EQUIPOS[],UNIFICADO!M$9,0),"")</f>
        <v>2.4</v>
      </c>
      <c r="N33" s="1">
        <f>IFERROR(VLOOKUP($C33,EQUIPOS[],UNIFICADO!N$9,0),"")</f>
        <v>8</v>
      </c>
      <c r="O33" s="1">
        <f>IFERROR(VLOOKUP($C33,EQUIPOS[],UNIFICADO!O$9,0),"")</f>
        <v>175</v>
      </c>
      <c r="P33" s="1">
        <f>IFERROR(VLOOKUP($C33,EQUIPOS[],UNIFICADO!P$9,0),"")</f>
        <v>15.2</v>
      </c>
      <c r="Q33" s="1">
        <f>IFERROR(VLOOKUP($C33,EQUIPOS[],UNIFICADO!Q$9,0),"")</f>
        <v>7.75</v>
      </c>
      <c r="R33" s="1">
        <f>IFERROR(VLOOKUP($C33,EQUIPOS[],UNIFICADO!R$9,0),"")</f>
        <v>0.79</v>
      </c>
      <c r="S33" s="1">
        <f>IFERROR(VLOOKUP($C33,EQUIPOS[],UNIFICADO!S$9,0),"")</f>
        <v>5100</v>
      </c>
      <c r="T33" s="1">
        <f>IFERROR(VLOOKUP($C33,EQUIPOS[],UNIFICADO!T$9,0),"")</f>
        <v>5</v>
      </c>
      <c r="U33" s="1">
        <f>VLOOKUP(UNIFICADA[[#This Row],[Equipo]],EQUIPOS[],19,0)</f>
        <v>23</v>
      </c>
      <c r="V33" s="1" t="str">
        <f t="shared" si="0"/>
        <v>ND</v>
      </c>
      <c r="W33" s="1" t="str">
        <f t="shared" si="1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4"/>
        <v>ND</v>
      </c>
      <c r="AJ33" s="1" t="str">
        <f t="shared" si="5"/>
        <v>ND</v>
      </c>
      <c r="AK33" s="1" t="str">
        <f t="shared" si="6"/>
        <v>ND</v>
      </c>
      <c r="AL33" s="1" t="str">
        <f t="shared" si="7"/>
        <v>ND</v>
      </c>
      <c r="AM33" s="1" t="str">
        <f t="shared" si="8"/>
        <v>ND</v>
      </c>
      <c r="AN33" s="1" t="str">
        <f t="shared" si="9"/>
        <v>ND</v>
      </c>
      <c r="AO33" s="1" t="str">
        <f t="shared" si="10"/>
        <v>ND</v>
      </c>
      <c r="AP33" s="1" t="str">
        <f t="shared" si="11"/>
        <v>ND</v>
      </c>
      <c r="AQ33" s="1" t="str">
        <f t="shared" si="12"/>
        <v>ND</v>
      </c>
      <c r="AR33" s="1" t="str">
        <f t="shared" si="13"/>
        <v>ND</v>
      </c>
      <c r="AS33" s="1" t="str">
        <f t="shared" si="14"/>
        <v>ND</v>
      </c>
      <c r="AT33" s="1" t="str">
        <f t="shared" si="15"/>
        <v>ND</v>
      </c>
      <c r="AU33" s="1" t="str">
        <f t="shared" si="16"/>
        <v>ND</v>
      </c>
      <c r="AV33" s="1" t="str">
        <f t="shared" si="17"/>
        <v>ND</v>
      </c>
      <c r="AW33" s="1" t="str">
        <f t="shared" si="18"/>
        <v>ND</v>
      </c>
      <c r="AX33" s="1" t="str">
        <f t="shared" si="19"/>
        <v>ND</v>
      </c>
      <c r="AY33" s="1" t="str">
        <f t="shared" si="20"/>
        <v>ND</v>
      </c>
      <c r="AZ33" s="1" t="str">
        <f t="shared" si="21"/>
        <v>ND</v>
      </c>
      <c r="BA33" s="1" t="str">
        <f t="shared" si="22"/>
        <v>ND</v>
      </c>
      <c r="BB33" s="1" t="str">
        <f t="shared" si="23"/>
        <v>ND</v>
      </c>
      <c r="BC33" s="1" t="str">
        <f t="shared" si="24"/>
        <v>ND</v>
      </c>
      <c r="BD33" s="1" t="str">
        <f t="shared" si="25"/>
        <v>ND</v>
      </c>
      <c r="BE33" s="1" t="str">
        <f t="shared" si="26"/>
        <v>ND</v>
      </c>
      <c r="BF33" s="1" t="str">
        <f t="shared" si="27"/>
        <v>ND</v>
      </c>
      <c r="BG33" s="1" t="str">
        <f t="shared" si="28"/>
        <v>ND</v>
      </c>
      <c r="BH33" s="1" t="str">
        <f t="shared" si="29"/>
        <v>ND</v>
      </c>
      <c r="BI33" s="1" t="str">
        <f t="shared" si="30"/>
        <v>ND</v>
      </c>
      <c r="BJ33" s="1" t="str">
        <f t="shared" si="31"/>
        <v>ND</v>
      </c>
      <c r="BK33" s="1" t="str">
        <f t="shared" si="32"/>
        <v>ND</v>
      </c>
      <c r="BL33" s="1" t="str">
        <f t="shared" si="33"/>
        <v>ND</v>
      </c>
      <c r="BM33" s="1" t="str">
        <f t="shared" si="34"/>
        <v>ND</v>
      </c>
      <c r="BN33" s="1" t="str">
        <f t="shared" si="35"/>
        <v>ND</v>
      </c>
      <c r="BO33" s="1" t="str">
        <f t="shared" si="36"/>
        <v>ND</v>
      </c>
      <c r="BP33" s="1" t="str">
        <f t="shared" si="37"/>
        <v>ND</v>
      </c>
      <c r="BQ33" s="1" t="str">
        <f t="shared" si="38"/>
        <v>ND</v>
      </c>
      <c r="BR33" s="1" t="str">
        <f t="shared" si="39"/>
        <v>ND</v>
      </c>
      <c r="BS33" s="1" t="str">
        <f t="shared" si="40"/>
        <v>ND</v>
      </c>
      <c r="BT33" s="1" t="str">
        <f t="shared" si="41"/>
        <v>ND</v>
      </c>
      <c r="BU33" s="1" t="str">
        <f t="shared" si="42"/>
        <v>ND</v>
      </c>
      <c r="BV33" s="1" t="str">
        <f t="shared" si="43"/>
        <v>ND</v>
      </c>
      <c r="BW33" s="1" t="str">
        <f t="shared" si="44"/>
        <v>ND</v>
      </c>
      <c r="BX33" s="1" t="str">
        <f t="shared" si="45"/>
        <v>ND</v>
      </c>
      <c r="BY33" s="1" t="str">
        <f t="shared" si="46"/>
        <v>ND</v>
      </c>
      <c r="BZ33" s="1" t="str">
        <f t="shared" si="47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50"/>
        <v>ND</v>
      </c>
      <c r="CX33" s="1" t="str">
        <f t="shared" si="51"/>
        <v>ND</v>
      </c>
      <c r="CY33" s="1" t="str">
        <f t="shared" si="52"/>
        <v>ND</v>
      </c>
      <c r="CZ33" s="1" t="str">
        <f t="shared" si="53"/>
        <v>ND</v>
      </c>
      <c r="DA33" s="1" t="str">
        <f t="shared" si="54"/>
        <v>ND</v>
      </c>
      <c r="DB33" s="1" t="str">
        <f t="shared" si="55"/>
        <v>ND</v>
      </c>
      <c r="DC33" s="1" t="str">
        <f t="shared" si="56"/>
        <v>ND</v>
      </c>
      <c r="DD33" s="1" t="str">
        <f t="shared" si="57"/>
        <v>ND</v>
      </c>
      <c r="DE33" s="1" t="str">
        <f t="shared" si="58"/>
        <v>ND</v>
      </c>
      <c r="DF33" s="1" t="str">
        <f t="shared" si="59"/>
        <v>ND</v>
      </c>
      <c r="DG33" s="1" t="str">
        <f t="shared" si="60"/>
        <v>ND</v>
      </c>
      <c r="DH33" s="1" t="str">
        <f t="shared" si="61"/>
        <v>ND</v>
      </c>
      <c r="DI33" s="1" t="str">
        <f t="shared" si="62"/>
        <v>ND</v>
      </c>
      <c r="DJ33" s="1" t="str">
        <f t="shared" si="63"/>
        <v>ND</v>
      </c>
      <c r="DK33" s="1" t="str">
        <f t="shared" si="64"/>
        <v>ND</v>
      </c>
      <c r="DL33" s="1" t="str">
        <f t="shared" si="65"/>
        <v>ND</v>
      </c>
      <c r="DM33" s="1" t="str">
        <f t="shared" si="66"/>
        <v>ND</v>
      </c>
      <c r="DN33" s="1" t="str">
        <f t="shared" si="67"/>
        <v>ND</v>
      </c>
      <c r="DO33" s="1" t="str">
        <f t="shared" si="68"/>
        <v>ND</v>
      </c>
      <c r="DP33" s="1" t="str">
        <f t="shared" si="69"/>
        <v>ND</v>
      </c>
      <c r="DQ33" s="1" t="str">
        <f t="shared" si="70"/>
        <v>ND</v>
      </c>
      <c r="DR33" s="1" t="str">
        <f t="shared" si="71"/>
        <v>ND</v>
      </c>
      <c r="DS33" s="1" t="str">
        <f t="shared" si="72"/>
        <v>ND</v>
      </c>
      <c r="DT33" s="1" t="str">
        <f t="shared" si="73"/>
        <v>ND</v>
      </c>
      <c r="DU33" s="1" t="str">
        <f t="shared" si="74"/>
        <v>ND</v>
      </c>
      <c r="DV33" s="1" t="str">
        <f t="shared" si="75"/>
        <v>ND</v>
      </c>
      <c r="DW33" s="1" t="str">
        <f t="shared" si="76"/>
        <v>ND</v>
      </c>
      <c r="DX33" s="1" t="str">
        <f t="shared" si="77"/>
        <v>ND</v>
      </c>
      <c r="DY33" s="1" t="str">
        <f t="shared" si="78"/>
        <v>ND</v>
      </c>
      <c r="DZ33" s="1" t="str">
        <f t="shared" si="79"/>
        <v>ND</v>
      </c>
      <c r="EA33" s="1" t="str">
        <f t="shared" si="80"/>
        <v>ND</v>
      </c>
      <c r="EB33" s="1" t="str">
        <f t="shared" si="81"/>
        <v>ND</v>
      </c>
      <c r="EC33" s="1" t="str">
        <f t="shared" si="82"/>
        <v>ND</v>
      </c>
      <c r="ED33" s="1" t="str">
        <f t="shared" si="83"/>
        <v>ND</v>
      </c>
      <c r="EE33" s="1" t="str">
        <f t="shared" si="84"/>
        <v>ND</v>
      </c>
      <c r="EF33" s="1" t="str">
        <f t="shared" si="85"/>
        <v>ND</v>
      </c>
      <c r="EG33" s="1" t="str">
        <f t="shared" si="86"/>
        <v>ND</v>
      </c>
      <c r="EH33" s="1" t="str">
        <f t="shared" si="87"/>
        <v>ND</v>
      </c>
      <c r="EI33" s="1" t="str">
        <f t="shared" si="88"/>
        <v>ND</v>
      </c>
      <c r="EJ33" s="1" t="str">
        <f t="shared" si="89"/>
        <v>ND</v>
      </c>
      <c r="EK33" s="1" t="str">
        <f t="shared" si="90"/>
        <v>ND</v>
      </c>
      <c r="EL33" s="1" t="str">
        <f t="shared" si="91"/>
        <v>ND</v>
      </c>
      <c r="EM33" s="1" t="str">
        <f t="shared" si="92"/>
        <v>ND</v>
      </c>
      <c r="EN33" s="1" t="str">
        <f t="shared" si="93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7"/>
        <v>ND</v>
      </c>
      <c r="FW33" s="1" t="str">
        <f t="shared" si="98"/>
        <v>ND</v>
      </c>
      <c r="FX33" s="1" t="str">
        <f t="shared" si="99"/>
        <v>ND</v>
      </c>
      <c r="FY33" s="1" t="str">
        <f t="shared" si="100"/>
        <v>ND</v>
      </c>
      <c r="FZ33" s="1" t="str">
        <f t="shared" si="101"/>
        <v>ND</v>
      </c>
      <c r="GA33" s="1" t="str">
        <f t="shared" si="102"/>
        <v>ND</v>
      </c>
      <c r="GB33" s="1" t="str">
        <f t="shared" si="103"/>
        <v>ND</v>
      </c>
      <c r="GC33" s="1" t="str">
        <f t="shared" si="104"/>
        <v>ND</v>
      </c>
      <c r="GD33" s="1" t="str">
        <f t="shared" si="105"/>
        <v>ND</v>
      </c>
      <c r="GE33" s="1" t="str">
        <f t="shared" si="106"/>
        <v>ND</v>
      </c>
      <c r="GF33" s="1" t="str">
        <f t="shared" si="107"/>
        <v>ND</v>
      </c>
      <c r="GG33" s="1" t="str">
        <f t="shared" si="108"/>
        <v>ND</v>
      </c>
      <c r="GH33" s="1" t="str">
        <f t="shared" si="109"/>
        <v>ND</v>
      </c>
      <c r="GI33" s="1" t="str">
        <f t="shared" si="110"/>
        <v>ND</v>
      </c>
      <c r="GJ33" s="1" t="str">
        <f t="shared" si="111"/>
        <v>ND</v>
      </c>
      <c r="GK33" s="1" t="str">
        <f t="shared" si="112"/>
        <v>ND</v>
      </c>
      <c r="GL33" s="1" t="str">
        <f t="shared" si="113"/>
        <v>ND</v>
      </c>
      <c r="GM33" s="1" t="str">
        <f t="shared" si="114"/>
        <v>ND</v>
      </c>
      <c r="GN33" s="1" t="str">
        <f t="shared" si="115"/>
        <v>ND</v>
      </c>
      <c r="GO33" s="1" t="str">
        <f t="shared" si="116"/>
        <v>ND</v>
      </c>
      <c r="GP33" s="1" t="str">
        <f t="shared" si="117"/>
        <v>ND</v>
      </c>
      <c r="GQ33" s="1" t="str">
        <f t="shared" si="118"/>
        <v>ND</v>
      </c>
      <c r="GR33" s="1" t="str">
        <f t="shared" si="119"/>
        <v>ND</v>
      </c>
      <c r="GS33" s="1" t="str">
        <f t="shared" si="120"/>
        <v>ND</v>
      </c>
      <c r="GT33" s="1" t="str">
        <f t="shared" si="121"/>
        <v>ND</v>
      </c>
      <c r="GU33" s="1" t="str">
        <f t="shared" si="122"/>
        <v>ND</v>
      </c>
      <c r="GV33" s="1" t="str">
        <f t="shared" si="123"/>
        <v>ND</v>
      </c>
      <c r="GW33" s="1" t="str">
        <f t="shared" si="124"/>
        <v>ND</v>
      </c>
      <c r="GX33" s="1" t="str">
        <f t="shared" si="125"/>
        <v>ND</v>
      </c>
      <c r="GY33" s="1" t="str">
        <f t="shared" si="126"/>
        <v>ND</v>
      </c>
      <c r="GZ33" s="1" t="str">
        <f t="shared" si="127"/>
        <v>ND</v>
      </c>
      <c r="HA33" s="1" t="str">
        <f t="shared" si="128"/>
        <v>ND</v>
      </c>
      <c r="HB33" s="1" t="str">
        <f t="shared" si="129"/>
        <v>ND</v>
      </c>
      <c r="HC33" s="1" t="str">
        <f t="shared" si="130"/>
        <v>ND</v>
      </c>
      <c r="HD33" s="1" t="str">
        <f t="shared" si="131"/>
        <v>ND</v>
      </c>
      <c r="HE33" s="1" t="str">
        <f t="shared" si="132"/>
        <v>ND</v>
      </c>
      <c r="HF33" s="1" t="str">
        <f t="shared" si="133"/>
        <v>ND</v>
      </c>
      <c r="HG33" s="1" t="str">
        <f t="shared" si="134"/>
        <v>ND</v>
      </c>
      <c r="HH33" s="1" t="str">
        <f t="shared" si="135"/>
        <v>ND</v>
      </c>
      <c r="HI33" s="1" t="str">
        <f t="shared" si="136"/>
        <v>ND</v>
      </c>
      <c r="HJ33" s="1" t="str">
        <f t="shared" si="137"/>
        <v>ND</v>
      </c>
      <c r="HK33" s="1" t="str">
        <f t="shared" si="138"/>
        <v>ND</v>
      </c>
      <c r="HL33" s="1" t="str">
        <f t="shared" si="139"/>
        <v>ND</v>
      </c>
      <c r="HM33" s="1" t="str">
        <f t="shared" si="140"/>
        <v>ND</v>
      </c>
      <c r="HN33" s="1" t="str">
        <f t="shared" si="141"/>
        <v>ND</v>
      </c>
      <c r="HO33" s="1" t="str">
        <f t="shared" si="142"/>
        <v>ND</v>
      </c>
      <c r="HP33" s="1" t="str">
        <f t="shared" si="143"/>
        <v>ND</v>
      </c>
      <c r="HQ33" s="1" t="str">
        <f t="shared" si="144"/>
        <v>ND</v>
      </c>
      <c r="HR33" s="1" t="str">
        <f t="shared" si="145"/>
        <v>ND</v>
      </c>
      <c r="HS33" s="1" t="str">
        <f t="shared" si="146"/>
        <v>ND</v>
      </c>
      <c r="HT33" s="1" t="str">
        <f t="shared" si="147"/>
        <v>ND</v>
      </c>
      <c r="HU33" s="1" t="str">
        <f t="shared" si="148"/>
        <v>ND</v>
      </c>
      <c r="HV33" s="1" t="str">
        <f t="shared" si="149"/>
        <v>ND</v>
      </c>
      <c r="HW33" s="1" t="str">
        <f t="shared" si="150"/>
        <v>ND</v>
      </c>
      <c r="HX33" s="1" t="str">
        <f t="shared" si="151"/>
        <v>ND</v>
      </c>
      <c r="HY33" s="1" t="str">
        <f t="shared" si="152"/>
        <v>ND</v>
      </c>
      <c r="HZ33" s="1" t="str">
        <f t="shared" si="153"/>
        <v>ND</v>
      </c>
      <c r="IA33" s="1" t="str">
        <f t="shared" si="154"/>
        <v>ND</v>
      </c>
      <c r="IB33" s="1" t="str">
        <f t="shared" si="155"/>
        <v>ND</v>
      </c>
      <c r="IC33" s="1" t="str">
        <f t="shared" si="156"/>
        <v>ND</v>
      </c>
      <c r="ID33" s="1" t="str">
        <f t="shared" si="157"/>
        <v>ND</v>
      </c>
      <c r="IE33" s="1" t="str">
        <f t="shared" si="158"/>
        <v>ND</v>
      </c>
      <c r="IF33" s="1" t="str">
        <f t="shared" si="159"/>
        <v>ND</v>
      </c>
      <c r="IG33" s="1" t="str">
        <f t="shared" si="160"/>
        <v>ND</v>
      </c>
      <c r="IH33" s="1" t="str">
        <f t="shared" si="161"/>
        <v>ND</v>
      </c>
      <c r="II33" s="1" t="str">
        <f t="shared" si="162"/>
        <v>ND</v>
      </c>
    </row>
    <row r="34" spans="3:243" x14ac:dyDescent="0.25">
      <c r="C34" t="s">
        <v>122</v>
      </c>
      <c r="D34">
        <f>SUMIFS(DICCIONARIO[Cantidad],DICCIONARIO[Modelo],UNIFICADA[[#This Row],[Equipo]])</f>
        <v>53</v>
      </c>
      <c r="E34" s="1">
        <f>IFERROR(VLOOKUP($C34,EQUIPOS[],UNIFICADO!E$9,0),"")</f>
        <v>12</v>
      </c>
      <c r="F34" s="1">
        <f>IFERROR(VLOOKUP($C34,EQUIPOS[],UNIFICADO!F$9,0),"")</f>
        <v>6.5</v>
      </c>
      <c r="G34" s="1">
        <f>IFERROR(VLOOKUP($C34,EQUIPOS[],UNIFICADO!G$9,0),"")</f>
        <v>50</v>
      </c>
      <c r="H34" s="1">
        <f>IFERROR(VLOOKUP($C34,EQUIPOS[],UNIFICADO!H$9,0),"")</f>
        <v>3</v>
      </c>
      <c r="I34" s="1">
        <f>IFERROR(VLOOKUP($C34,EQUIPOS[],UNIFICADO!I$9,0),"")</f>
        <v>5</v>
      </c>
      <c r="J34" s="1" t="str">
        <f>IFERROR(VLOOKUP($C34,EQUIPOS[],UNIFICADO!J$9,0),"")</f>
        <v>64GB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2.0/1.5</v>
      </c>
      <c r="N34" s="1">
        <f>IFERROR(VLOOKUP($C34,EQUIPOS[],UNIFICADO!N$9,0),"")</f>
        <v>4</v>
      </c>
      <c r="O34" s="1">
        <f>IFERROR(VLOOKUP($C34,EQUIPOS[],UNIFICADO!O$9,0),"")</f>
        <v>194</v>
      </c>
      <c r="P34" s="1">
        <f>IFERROR(VLOOKUP($C34,EQUIPOS[],UNIFICADO!P$9,0),"")</f>
        <v>16.3</v>
      </c>
      <c r="Q34" s="1">
        <f>IFERROR(VLOOKUP($C34,EQUIPOS[],UNIFICADO!Q$9,0),"")</f>
        <v>7.51</v>
      </c>
      <c r="R34" s="1">
        <f>IFERROR(VLOOKUP($C34,EQUIPOS[],UNIFICADO!R$9,0),"")</f>
        <v>0.87</v>
      </c>
      <c r="S34" s="1">
        <f>IFERROR(VLOOKUP($C34,EQUIPOS[],UNIFICADO!S$9,0),"")</f>
        <v>5000</v>
      </c>
      <c r="T34" s="1">
        <f>IFERROR(VLOOKUP($C34,EQUIPOS[],UNIFICADO!T$9,0),"")</f>
        <v>4</v>
      </c>
      <c r="U34" s="1">
        <f>VLOOKUP(UNIFICADA[[#This Row],[Equipo]],EQUIPOS[],19,0)</f>
        <v>24</v>
      </c>
      <c r="V34" s="1" t="str">
        <f t="shared" si="0"/>
        <v>ND</v>
      </c>
      <c r="W34" s="1" t="str">
        <f t="shared" si="1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4"/>
        <v>ND</v>
      </c>
      <c r="AJ34" s="1" t="str">
        <f t="shared" si="5"/>
        <v>ND</v>
      </c>
      <c r="AK34" s="1" t="str">
        <f t="shared" si="6"/>
        <v>ND</v>
      </c>
      <c r="AL34" s="1" t="str">
        <f t="shared" si="7"/>
        <v>ND</v>
      </c>
      <c r="AM34" s="1" t="str">
        <f t="shared" si="8"/>
        <v>ND</v>
      </c>
      <c r="AN34" s="1" t="str">
        <f t="shared" si="9"/>
        <v>ND</v>
      </c>
      <c r="AO34" s="1" t="str">
        <f t="shared" si="10"/>
        <v>ND</v>
      </c>
      <c r="AP34" s="1" t="str">
        <f t="shared" si="11"/>
        <v>ND</v>
      </c>
      <c r="AQ34" s="1" t="str">
        <f t="shared" si="12"/>
        <v>ND</v>
      </c>
      <c r="AR34" s="1" t="str">
        <f t="shared" si="13"/>
        <v>ND</v>
      </c>
      <c r="AS34" s="1" t="str">
        <f t="shared" si="14"/>
        <v>ND</v>
      </c>
      <c r="AT34" s="1" t="str">
        <f t="shared" si="15"/>
        <v>ND</v>
      </c>
      <c r="AU34" s="1" t="str">
        <f t="shared" si="16"/>
        <v>ND</v>
      </c>
      <c r="AV34" s="1" t="str">
        <f t="shared" si="17"/>
        <v>ND</v>
      </c>
      <c r="AW34" s="1" t="str">
        <f t="shared" si="18"/>
        <v>ND</v>
      </c>
      <c r="AX34" s="1" t="str">
        <f t="shared" si="19"/>
        <v>ND</v>
      </c>
      <c r="AY34" s="1" t="str">
        <f t="shared" si="20"/>
        <v>ND</v>
      </c>
      <c r="AZ34" s="1" t="str">
        <f t="shared" si="21"/>
        <v>ND</v>
      </c>
      <c r="BA34" s="1" t="str">
        <f t="shared" si="22"/>
        <v>ND</v>
      </c>
      <c r="BB34" s="1" t="str">
        <f t="shared" si="23"/>
        <v>ND</v>
      </c>
      <c r="BC34" s="1" t="str">
        <f t="shared" si="24"/>
        <v>ND</v>
      </c>
      <c r="BD34" s="1" t="str">
        <f t="shared" si="25"/>
        <v>ND</v>
      </c>
      <c r="BE34" s="1" t="str">
        <f t="shared" si="26"/>
        <v>ND</v>
      </c>
      <c r="BF34" s="1" t="str">
        <f t="shared" si="27"/>
        <v>ND</v>
      </c>
      <c r="BG34" s="1" t="str">
        <f t="shared" si="28"/>
        <v>ND</v>
      </c>
      <c r="BH34" s="1" t="str">
        <f t="shared" si="29"/>
        <v>ND</v>
      </c>
      <c r="BI34" s="1" t="str">
        <f t="shared" si="30"/>
        <v>ND</v>
      </c>
      <c r="BJ34" s="1" t="str">
        <f t="shared" si="31"/>
        <v>ND</v>
      </c>
      <c r="BK34" s="1" t="str">
        <f t="shared" si="32"/>
        <v>ND</v>
      </c>
      <c r="BL34" s="1" t="str">
        <f t="shared" si="33"/>
        <v>ND</v>
      </c>
      <c r="BM34" s="1" t="str">
        <f t="shared" si="34"/>
        <v>ND</v>
      </c>
      <c r="BN34" s="1" t="str">
        <f t="shared" si="35"/>
        <v>ND</v>
      </c>
      <c r="BO34" s="1" t="str">
        <f t="shared" si="36"/>
        <v>ND</v>
      </c>
      <c r="BP34" s="1" t="str">
        <f t="shared" si="37"/>
        <v>ND</v>
      </c>
      <c r="BQ34" s="1" t="str">
        <f t="shared" si="38"/>
        <v>ND</v>
      </c>
      <c r="BR34" s="1" t="str">
        <f t="shared" si="39"/>
        <v>ND</v>
      </c>
      <c r="BS34" s="1" t="str">
        <f t="shared" si="40"/>
        <v>ND</v>
      </c>
      <c r="BT34" s="1" t="str">
        <f t="shared" si="41"/>
        <v>ND</v>
      </c>
      <c r="BU34" s="1" t="str">
        <f t="shared" si="42"/>
        <v>ND</v>
      </c>
      <c r="BV34" s="1" t="str">
        <f t="shared" si="43"/>
        <v>ND</v>
      </c>
      <c r="BW34" s="1" t="str">
        <f t="shared" si="44"/>
        <v>ND</v>
      </c>
      <c r="BX34" s="1" t="str">
        <f t="shared" si="45"/>
        <v>ND</v>
      </c>
      <c r="BY34" s="1" t="str">
        <f t="shared" si="46"/>
        <v>ND</v>
      </c>
      <c r="BZ34" s="1" t="str">
        <f t="shared" si="47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50"/>
        <v>ND</v>
      </c>
      <c r="CX34" s="1" t="str">
        <f t="shared" si="51"/>
        <v>ND</v>
      </c>
      <c r="CY34" s="1" t="str">
        <f t="shared" si="52"/>
        <v>ND</v>
      </c>
      <c r="CZ34" s="1" t="str">
        <f t="shared" si="53"/>
        <v>ND</v>
      </c>
      <c r="DA34" s="1" t="str">
        <f t="shared" si="54"/>
        <v>ND</v>
      </c>
      <c r="DB34" s="1" t="str">
        <f t="shared" si="55"/>
        <v>ND</v>
      </c>
      <c r="DC34" s="1" t="str">
        <f t="shared" si="56"/>
        <v>ND</v>
      </c>
      <c r="DD34" s="1" t="str">
        <f t="shared" si="57"/>
        <v>ND</v>
      </c>
      <c r="DE34" s="1" t="str">
        <f t="shared" si="58"/>
        <v>ND</v>
      </c>
      <c r="DF34" s="1" t="str">
        <f t="shared" si="59"/>
        <v>ND</v>
      </c>
      <c r="DG34" s="1" t="str">
        <f t="shared" si="60"/>
        <v>ND</v>
      </c>
      <c r="DH34" s="1" t="str">
        <f t="shared" si="61"/>
        <v>ND</v>
      </c>
      <c r="DI34" s="1" t="str">
        <f t="shared" si="62"/>
        <v>ND</v>
      </c>
      <c r="DJ34" s="1" t="str">
        <f t="shared" si="63"/>
        <v>ND</v>
      </c>
      <c r="DK34" s="1" t="str">
        <f t="shared" si="64"/>
        <v>ND</v>
      </c>
      <c r="DL34" s="1" t="str">
        <f t="shared" si="65"/>
        <v>ND</v>
      </c>
      <c r="DM34" s="1" t="str">
        <f t="shared" si="66"/>
        <v>ND</v>
      </c>
      <c r="DN34" s="1" t="str">
        <f t="shared" si="67"/>
        <v>ND</v>
      </c>
      <c r="DO34" s="1" t="str">
        <f t="shared" si="68"/>
        <v>ND</v>
      </c>
      <c r="DP34" s="1" t="str">
        <f t="shared" si="69"/>
        <v>ND</v>
      </c>
      <c r="DQ34" s="1" t="str">
        <f t="shared" si="70"/>
        <v>ND</v>
      </c>
      <c r="DR34" s="1" t="str">
        <f t="shared" si="71"/>
        <v>ND</v>
      </c>
      <c r="DS34" s="1" t="str">
        <f t="shared" si="72"/>
        <v>ND</v>
      </c>
      <c r="DT34" s="1" t="str">
        <f t="shared" si="73"/>
        <v>ND</v>
      </c>
      <c r="DU34" s="1" t="str">
        <f t="shared" si="74"/>
        <v>ND</v>
      </c>
      <c r="DV34" s="1" t="str">
        <f t="shared" si="75"/>
        <v>ND</v>
      </c>
      <c r="DW34" s="1" t="str">
        <f t="shared" si="76"/>
        <v>ND</v>
      </c>
      <c r="DX34" s="1" t="str">
        <f t="shared" si="77"/>
        <v>ND</v>
      </c>
      <c r="DY34" s="1" t="str">
        <f t="shared" si="78"/>
        <v>ND</v>
      </c>
      <c r="DZ34" s="1" t="str">
        <f t="shared" si="79"/>
        <v>ND</v>
      </c>
      <c r="EA34" s="1" t="str">
        <f t="shared" si="80"/>
        <v>ND</v>
      </c>
      <c r="EB34" s="1" t="str">
        <f t="shared" si="81"/>
        <v>ND</v>
      </c>
      <c r="EC34" s="1" t="str">
        <f t="shared" si="82"/>
        <v>ND</v>
      </c>
      <c r="ED34" s="1" t="str">
        <f t="shared" si="83"/>
        <v>ND</v>
      </c>
      <c r="EE34" s="1" t="str">
        <f t="shared" si="84"/>
        <v>ND</v>
      </c>
      <c r="EF34" s="1" t="str">
        <f t="shared" si="85"/>
        <v>ND</v>
      </c>
      <c r="EG34" s="1" t="str">
        <f t="shared" si="86"/>
        <v>ND</v>
      </c>
      <c r="EH34" s="1" t="str">
        <f t="shared" si="87"/>
        <v>ND</v>
      </c>
      <c r="EI34" s="1" t="str">
        <f t="shared" si="88"/>
        <v>ND</v>
      </c>
      <c r="EJ34" s="1" t="str">
        <f t="shared" si="89"/>
        <v>ND</v>
      </c>
      <c r="EK34" s="1" t="str">
        <f t="shared" si="90"/>
        <v>ND</v>
      </c>
      <c r="EL34" s="1" t="str">
        <f t="shared" si="91"/>
        <v>ND</v>
      </c>
      <c r="EM34" s="1" t="str">
        <f t="shared" si="92"/>
        <v>ND</v>
      </c>
      <c r="EN34" s="1" t="str">
        <f t="shared" si="93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7"/>
        <v>ND</v>
      </c>
      <c r="FW34" s="1" t="str">
        <f t="shared" si="98"/>
        <v>ND</v>
      </c>
      <c r="FX34" s="1" t="str">
        <f t="shared" si="99"/>
        <v>ND</v>
      </c>
      <c r="FY34" s="1" t="str">
        <f t="shared" si="100"/>
        <v>ND</v>
      </c>
      <c r="FZ34" s="1" t="str">
        <f t="shared" si="101"/>
        <v>ND</v>
      </c>
      <c r="GA34" s="1" t="str">
        <f t="shared" si="102"/>
        <v>ND</v>
      </c>
      <c r="GB34" s="1" t="str">
        <f t="shared" si="103"/>
        <v>ND</v>
      </c>
      <c r="GC34" s="1" t="str">
        <f t="shared" si="104"/>
        <v>ND</v>
      </c>
      <c r="GD34" s="1" t="str">
        <f t="shared" si="105"/>
        <v>ND</v>
      </c>
      <c r="GE34" s="1" t="str">
        <f t="shared" si="106"/>
        <v>ND</v>
      </c>
      <c r="GF34" s="1" t="str">
        <f t="shared" si="107"/>
        <v>ND</v>
      </c>
      <c r="GG34" s="1" t="str">
        <f t="shared" si="108"/>
        <v>ND</v>
      </c>
      <c r="GH34" s="1" t="str">
        <f t="shared" si="109"/>
        <v>ND</v>
      </c>
      <c r="GI34" s="1" t="str">
        <f t="shared" si="110"/>
        <v>ND</v>
      </c>
      <c r="GJ34" s="1" t="str">
        <f t="shared" si="111"/>
        <v>ND</v>
      </c>
      <c r="GK34" s="1" t="str">
        <f t="shared" si="112"/>
        <v>ND</v>
      </c>
      <c r="GL34" s="1" t="str">
        <f t="shared" si="113"/>
        <v>ND</v>
      </c>
      <c r="GM34" s="1" t="str">
        <f t="shared" si="114"/>
        <v>ND</v>
      </c>
      <c r="GN34" s="1" t="str">
        <f t="shared" si="115"/>
        <v>ND</v>
      </c>
      <c r="GO34" s="1" t="str">
        <f t="shared" si="116"/>
        <v>ND</v>
      </c>
      <c r="GP34" s="1" t="str">
        <f t="shared" si="117"/>
        <v>ND</v>
      </c>
      <c r="GQ34" s="1" t="str">
        <f t="shared" si="118"/>
        <v>ND</v>
      </c>
      <c r="GR34" s="1" t="str">
        <f t="shared" si="119"/>
        <v>ND</v>
      </c>
      <c r="GS34" s="1" t="str">
        <f t="shared" si="120"/>
        <v>ND</v>
      </c>
      <c r="GT34" s="1" t="str">
        <f t="shared" si="121"/>
        <v>ND</v>
      </c>
      <c r="GU34" s="1" t="str">
        <f t="shared" si="122"/>
        <v>ND</v>
      </c>
      <c r="GV34" s="1" t="str">
        <f t="shared" si="123"/>
        <v>ND</v>
      </c>
      <c r="GW34" s="1" t="str">
        <f t="shared" si="124"/>
        <v>ND</v>
      </c>
      <c r="GX34" s="1" t="str">
        <f t="shared" si="125"/>
        <v>ND</v>
      </c>
      <c r="GY34" s="1" t="str">
        <f t="shared" si="126"/>
        <v>ND</v>
      </c>
      <c r="GZ34" s="1" t="str">
        <f t="shared" si="127"/>
        <v>ND</v>
      </c>
      <c r="HA34" s="1" t="str">
        <f t="shared" si="128"/>
        <v>ND</v>
      </c>
      <c r="HB34" s="1" t="str">
        <f t="shared" si="129"/>
        <v>ND</v>
      </c>
      <c r="HC34" s="1" t="str">
        <f t="shared" si="130"/>
        <v>ND</v>
      </c>
      <c r="HD34" s="1" t="str">
        <f t="shared" si="131"/>
        <v>ND</v>
      </c>
      <c r="HE34" s="1" t="str">
        <f t="shared" si="132"/>
        <v>ND</v>
      </c>
      <c r="HF34" s="1" t="str">
        <f t="shared" si="133"/>
        <v>ND</v>
      </c>
      <c r="HG34" s="1" t="str">
        <f t="shared" si="134"/>
        <v>ND</v>
      </c>
      <c r="HH34" s="1" t="str">
        <f t="shared" si="135"/>
        <v>ND</v>
      </c>
      <c r="HI34" s="1" t="str">
        <f t="shared" si="136"/>
        <v>ND</v>
      </c>
      <c r="HJ34" s="1" t="str">
        <f t="shared" si="137"/>
        <v>ND</v>
      </c>
      <c r="HK34" s="1" t="str">
        <f t="shared" si="138"/>
        <v>ND</v>
      </c>
      <c r="HL34" s="1" t="str">
        <f t="shared" si="139"/>
        <v>ND</v>
      </c>
      <c r="HM34" s="1" t="str">
        <f t="shared" si="140"/>
        <v>ND</v>
      </c>
      <c r="HN34" s="1" t="str">
        <f t="shared" si="141"/>
        <v>ND</v>
      </c>
      <c r="HO34" s="1" t="str">
        <f t="shared" si="142"/>
        <v>ND</v>
      </c>
      <c r="HP34" s="1" t="str">
        <f t="shared" si="143"/>
        <v>ND</v>
      </c>
      <c r="HQ34" s="1" t="str">
        <f t="shared" si="144"/>
        <v>ND</v>
      </c>
      <c r="HR34" s="1" t="str">
        <f t="shared" si="145"/>
        <v>ND</v>
      </c>
      <c r="HS34" s="1" t="str">
        <f t="shared" si="146"/>
        <v>ND</v>
      </c>
      <c r="HT34" s="1" t="str">
        <f t="shared" si="147"/>
        <v>ND</v>
      </c>
      <c r="HU34" s="1" t="str">
        <f t="shared" si="148"/>
        <v>ND</v>
      </c>
      <c r="HV34" s="1" t="str">
        <f t="shared" si="149"/>
        <v>ND</v>
      </c>
      <c r="HW34" s="1" t="str">
        <f t="shared" si="150"/>
        <v>ND</v>
      </c>
      <c r="HX34" s="1" t="str">
        <f t="shared" si="151"/>
        <v>ND</v>
      </c>
      <c r="HY34" s="1" t="str">
        <f t="shared" si="152"/>
        <v>ND</v>
      </c>
      <c r="HZ34" s="1" t="str">
        <f t="shared" si="153"/>
        <v>ND</v>
      </c>
      <c r="IA34" s="1" t="str">
        <f t="shared" si="154"/>
        <v>ND</v>
      </c>
      <c r="IB34" s="1" t="str">
        <f t="shared" si="155"/>
        <v>ND</v>
      </c>
      <c r="IC34" s="1" t="str">
        <f t="shared" si="156"/>
        <v>ND</v>
      </c>
      <c r="ID34" s="1" t="str">
        <f t="shared" si="157"/>
        <v>ND</v>
      </c>
      <c r="IE34" s="1" t="str">
        <f t="shared" si="158"/>
        <v>ND</v>
      </c>
      <c r="IF34" s="1" t="str">
        <f t="shared" si="159"/>
        <v>ND</v>
      </c>
      <c r="IG34" s="1" t="str">
        <f t="shared" si="160"/>
        <v>ND</v>
      </c>
      <c r="IH34" s="1" t="str">
        <f t="shared" si="161"/>
        <v>ND</v>
      </c>
      <c r="II34" s="1" t="str">
        <f t="shared" si="162"/>
        <v>ND</v>
      </c>
    </row>
    <row r="35" spans="3:243" x14ac:dyDescent="0.25">
      <c r="C35" t="s">
        <v>589</v>
      </c>
      <c r="D35">
        <f>SUMIFS(DICCIONARIO[Cantidad],DICCIONARIO[Modelo],UNIFICADA[[#This Row],[Equipo]])</f>
        <v>15</v>
      </c>
      <c r="E35" s="1">
        <f>IFERROR(VLOOKUP($C35,EQUIPOS[],UNIFICADO!E$9,0),"")</f>
        <v>12</v>
      </c>
      <c r="F35" s="1" t="str">
        <f>IFERROR(VLOOKUP($C35,EQUIPOS[],UNIFICADO!F$9,0),"")</f>
        <v>6,5 LCD HD+</v>
      </c>
      <c r="G35" s="1" t="str">
        <f>IFERROR(VLOOKUP($C35,EQUIPOS[],UNIFICADO!G$9,0),"")</f>
        <v>50 MP f/1.8</v>
      </c>
      <c r="H35" s="1">
        <f>IFERROR(VLOOKUP($C35,EQUIPOS[],UNIFICADO!H$9,0),"")</f>
        <v>3</v>
      </c>
      <c r="I35" s="1" t="str">
        <f>IFERROR(VLOOKUP($C35,EQUIPOS[],UNIFICADO!I$9,0),"")</f>
        <v>5MP f/2.2</v>
      </c>
      <c r="J35" s="1" t="str">
        <f>IFERROR(VLOOKUP($C35,EQUIPOS[],UNIFICADO!J$9,0),"")</f>
        <v>128GB</v>
      </c>
      <c r="K35" s="1">
        <f>IFERROR(VLOOKUP($C35,EQUIPOS[],UNIFICADO!K$9,0),"")</f>
        <v>1024</v>
      </c>
      <c r="L35" s="1">
        <f>IFERROR(VLOOKUP($C35,EQUIPOS[],UNIFICADO!L$9,0),"")</f>
        <v>8</v>
      </c>
      <c r="M35" s="1" t="str">
        <f>IFERROR(VLOOKUP($C35,EQUIPOS[],UNIFICADO!M$9,0),"")</f>
        <v>Mdtk Helio G25</v>
      </c>
      <c r="N35" s="1">
        <f>IFERROR(VLOOKUP($C35,EQUIPOS[],UNIFICADO!N$9,0),"")</f>
        <v>4</v>
      </c>
      <c r="O35" s="1">
        <f>IFERROR(VLOOKUP($C35,EQUIPOS[],UNIFICADO!O$9,0),"")</f>
        <v>194</v>
      </c>
      <c r="P35" s="1">
        <f>IFERROR(VLOOKUP($C35,EQUIPOS[],UNIFICADO!P$9,0),"")</f>
        <v>16.399999999999999</v>
      </c>
      <c r="Q35" s="1">
        <f>IFERROR(VLOOKUP($C35,EQUIPOS[],UNIFICADO!Q$9,0),"")</f>
        <v>7.51</v>
      </c>
      <c r="R35" s="1">
        <f>IFERROR(VLOOKUP($C35,EQUIPOS[],UNIFICADO!R$9,0),"")</f>
        <v>0.86</v>
      </c>
      <c r="S35" s="1">
        <f>IFERROR(VLOOKUP($C35,EQUIPOS[],UNIFICADO!S$9,0),"")</f>
        <v>5000</v>
      </c>
      <c r="T35" s="1">
        <f>IFERROR(VLOOKUP($C35,EQUIPOS[],UNIFICADO!T$9,0),"")</f>
        <v>4</v>
      </c>
      <c r="U35" s="1">
        <f>VLOOKUP(UNIFICADA[[#This Row],[Equipo]],EQUIPOS[],19,0)</f>
        <v>25</v>
      </c>
      <c r="V35" s="1" t="str">
        <f t="shared" si="0"/>
        <v>ND</v>
      </c>
      <c r="W35" s="1" t="str">
        <f t="shared" si="1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4"/>
        <v>ND</v>
      </c>
      <c r="AJ35" s="1" t="str">
        <f t="shared" si="5"/>
        <v>ND</v>
      </c>
      <c r="AK35" s="1" t="str">
        <f t="shared" si="6"/>
        <v>ND</v>
      </c>
      <c r="AL35" s="1" t="str">
        <f t="shared" si="7"/>
        <v>ND</v>
      </c>
      <c r="AM35" s="1" t="str">
        <f t="shared" si="8"/>
        <v>ND</v>
      </c>
      <c r="AN35" s="1" t="str">
        <f t="shared" si="9"/>
        <v>ND</v>
      </c>
      <c r="AO35" s="1" t="str">
        <f t="shared" si="10"/>
        <v>ND</v>
      </c>
      <c r="AP35" s="1" t="str">
        <f t="shared" si="11"/>
        <v>ND</v>
      </c>
      <c r="AQ35" s="1" t="str">
        <f t="shared" si="12"/>
        <v>ND</v>
      </c>
      <c r="AR35" s="1" t="str">
        <f t="shared" si="13"/>
        <v>ND</v>
      </c>
      <c r="AS35" s="1" t="str">
        <f t="shared" si="14"/>
        <v>ND</v>
      </c>
      <c r="AT35" s="1" t="str">
        <f t="shared" si="15"/>
        <v>ND</v>
      </c>
      <c r="AU35" s="1" t="str">
        <f t="shared" si="16"/>
        <v>ND</v>
      </c>
      <c r="AV35" s="1" t="str">
        <f t="shared" si="17"/>
        <v>ND</v>
      </c>
      <c r="AW35" s="1" t="str">
        <f t="shared" si="18"/>
        <v>ND</v>
      </c>
      <c r="AX35" s="1" t="str">
        <f t="shared" si="19"/>
        <v>ND</v>
      </c>
      <c r="AY35" s="1" t="str">
        <f t="shared" si="20"/>
        <v>ND</v>
      </c>
      <c r="AZ35" s="1" t="str">
        <f t="shared" si="21"/>
        <v>ND</v>
      </c>
      <c r="BA35" s="1" t="str">
        <f t="shared" si="22"/>
        <v>ND</v>
      </c>
      <c r="BB35" s="1" t="str">
        <f t="shared" si="23"/>
        <v>ND</v>
      </c>
      <c r="BC35" s="1" t="str">
        <f t="shared" si="24"/>
        <v>ND</v>
      </c>
      <c r="BD35" s="1" t="str">
        <f t="shared" si="25"/>
        <v>ND</v>
      </c>
      <c r="BE35" s="1" t="str">
        <f t="shared" si="26"/>
        <v>ND</v>
      </c>
      <c r="BF35" s="1" t="str">
        <f t="shared" si="27"/>
        <v>ND</v>
      </c>
      <c r="BG35" s="1" t="str">
        <f t="shared" si="28"/>
        <v>ND</v>
      </c>
      <c r="BH35" s="1" t="str">
        <f t="shared" si="29"/>
        <v>ND</v>
      </c>
      <c r="BI35" s="1" t="str">
        <f t="shared" si="30"/>
        <v>ND</v>
      </c>
      <c r="BJ35" s="1" t="str">
        <f t="shared" si="31"/>
        <v>ND</v>
      </c>
      <c r="BK35" s="1" t="str">
        <f t="shared" si="32"/>
        <v>ND</v>
      </c>
      <c r="BL35" s="1" t="str">
        <f t="shared" si="33"/>
        <v>ND</v>
      </c>
      <c r="BM35" s="1" t="str">
        <f t="shared" si="34"/>
        <v>ND</v>
      </c>
      <c r="BN35" s="1" t="str">
        <f t="shared" si="35"/>
        <v>ND</v>
      </c>
      <c r="BO35" s="1" t="str">
        <f t="shared" si="36"/>
        <v>ND</v>
      </c>
      <c r="BP35" s="1" t="str">
        <f t="shared" si="37"/>
        <v>ND</v>
      </c>
      <c r="BQ35" s="1" t="str">
        <f t="shared" si="38"/>
        <v>ND</v>
      </c>
      <c r="BR35" s="1" t="str">
        <f t="shared" si="39"/>
        <v>ND</v>
      </c>
      <c r="BS35" s="1" t="str">
        <f t="shared" si="40"/>
        <v>ND</v>
      </c>
      <c r="BT35" s="1" t="str">
        <f t="shared" si="41"/>
        <v>ND</v>
      </c>
      <c r="BU35" s="1" t="str">
        <f t="shared" si="42"/>
        <v>ND</v>
      </c>
      <c r="BV35" s="1" t="str">
        <f t="shared" si="43"/>
        <v>ND</v>
      </c>
      <c r="BW35" s="1" t="str">
        <f t="shared" si="44"/>
        <v>ND</v>
      </c>
      <c r="BX35" s="1" t="str">
        <f t="shared" si="45"/>
        <v>ND</v>
      </c>
      <c r="BY35" s="1" t="str">
        <f t="shared" si="46"/>
        <v>ND</v>
      </c>
      <c r="BZ35" s="1" t="str">
        <f t="shared" si="47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50"/>
        <v>ND</v>
      </c>
      <c r="CX35" s="1" t="str">
        <f t="shared" si="51"/>
        <v>ND</v>
      </c>
      <c r="CY35" s="1" t="str">
        <f t="shared" si="52"/>
        <v>ND</v>
      </c>
      <c r="CZ35" s="1" t="str">
        <f t="shared" si="53"/>
        <v>ND</v>
      </c>
      <c r="DA35" s="1" t="str">
        <f t="shared" si="54"/>
        <v>ND</v>
      </c>
      <c r="DB35" s="1" t="str">
        <f t="shared" si="55"/>
        <v>ND</v>
      </c>
      <c r="DC35" s="1" t="str">
        <f t="shared" si="56"/>
        <v>ND</v>
      </c>
      <c r="DD35" s="1" t="str">
        <f t="shared" si="57"/>
        <v>ND</v>
      </c>
      <c r="DE35" s="1" t="str">
        <f t="shared" si="58"/>
        <v>ND</v>
      </c>
      <c r="DF35" s="1" t="str">
        <f t="shared" si="59"/>
        <v>ND</v>
      </c>
      <c r="DG35" s="1" t="str">
        <f t="shared" si="60"/>
        <v>ND</v>
      </c>
      <c r="DH35" s="1" t="str">
        <f t="shared" si="61"/>
        <v>ND</v>
      </c>
      <c r="DI35" s="1" t="str">
        <f t="shared" si="62"/>
        <v>ND</v>
      </c>
      <c r="DJ35" s="1" t="str">
        <f t="shared" si="63"/>
        <v>ND</v>
      </c>
      <c r="DK35" s="1" t="str">
        <f t="shared" si="64"/>
        <v>ND</v>
      </c>
      <c r="DL35" s="1" t="str">
        <f t="shared" si="65"/>
        <v>ND</v>
      </c>
      <c r="DM35" s="1" t="str">
        <f t="shared" si="66"/>
        <v>ND</v>
      </c>
      <c r="DN35" s="1" t="str">
        <f t="shared" si="67"/>
        <v>ND</v>
      </c>
      <c r="DO35" s="1" t="str">
        <f t="shared" si="68"/>
        <v>ND</v>
      </c>
      <c r="DP35" s="1" t="str">
        <f t="shared" si="69"/>
        <v>ND</v>
      </c>
      <c r="DQ35" s="1" t="str">
        <f t="shared" si="70"/>
        <v>ND</v>
      </c>
      <c r="DR35" s="1" t="str">
        <f t="shared" si="71"/>
        <v>ND</v>
      </c>
      <c r="DS35" s="1" t="str">
        <f t="shared" si="72"/>
        <v>ND</v>
      </c>
      <c r="DT35" s="1" t="str">
        <f t="shared" si="73"/>
        <v>ND</v>
      </c>
      <c r="DU35" s="1" t="str">
        <f t="shared" si="74"/>
        <v>ND</v>
      </c>
      <c r="DV35" s="1" t="str">
        <f t="shared" si="75"/>
        <v>ND</v>
      </c>
      <c r="DW35" s="1" t="str">
        <f t="shared" si="76"/>
        <v>ND</v>
      </c>
      <c r="DX35" s="1" t="str">
        <f t="shared" si="77"/>
        <v>ND</v>
      </c>
      <c r="DY35" s="1" t="str">
        <f t="shared" si="78"/>
        <v>ND</v>
      </c>
      <c r="DZ35" s="1" t="str">
        <f t="shared" si="79"/>
        <v>ND</v>
      </c>
      <c r="EA35" s="1" t="str">
        <f t="shared" si="80"/>
        <v>ND</v>
      </c>
      <c r="EB35" s="1" t="str">
        <f t="shared" si="81"/>
        <v>ND</v>
      </c>
      <c r="EC35" s="1" t="str">
        <f t="shared" si="82"/>
        <v>ND</v>
      </c>
      <c r="ED35" s="1" t="str">
        <f t="shared" si="83"/>
        <v>ND</v>
      </c>
      <c r="EE35" s="1" t="str">
        <f t="shared" si="84"/>
        <v>ND</v>
      </c>
      <c r="EF35" s="1" t="str">
        <f t="shared" si="85"/>
        <v>ND</v>
      </c>
      <c r="EG35" s="1" t="str">
        <f t="shared" si="86"/>
        <v>ND</v>
      </c>
      <c r="EH35" s="1" t="str">
        <f t="shared" si="87"/>
        <v>ND</v>
      </c>
      <c r="EI35" s="1" t="str">
        <f t="shared" si="88"/>
        <v>ND</v>
      </c>
      <c r="EJ35" s="1" t="str">
        <f t="shared" si="89"/>
        <v>ND</v>
      </c>
      <c r="EK35" s="1" t="str">
        <f t="shared" si="90"/>
        <v>ND</v>
      </c>
      <c r="EL35" s="1" t="str">
        <f t="shared" si="91"/>
        <v>ND</v>
      </c>
      <c r="EM35" s="1" t="str">
        <f t="shared" si="92"/>
        <v>ND</v>
      </c>
      <c r="EN35" s="1" t="str">
        <f t="shared" si="93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7"/>
        <v>ND</v>
      </c>
      <c r="FW35" s="1" t="str">
        <f t="shared" si="98"/>
        <v>ND</v>
      </c>
      <c r="FX35" s="1" t="str">
        <f t="shared" si="99"/>
        <v>ND</v>
      </c>
      <c r="FY35" s="1" t="str">
        <f t="shared" si="100"/>
        <v>ND</v>
      </c>
      <c r="FZ35" s="1" t="str">
        <f t="shared" si="101"/>
        <v>ND</v>
      </c>
      <c r="GA35" s="1" t="str">
        <f t="shared" si="102"/>
        <v>ND</v>
      </c>
      <c r="GB35" s="1" t="str">
        <f t="shared" si="103"/>
        <v>ND</v>
      </c>
      <c r="GC35" s="1" t="str">
        <f t="shared" si="104"/>
        <v>ND</v>
      </c>
      <c r="GD35" s="1" t="str">
        <f t="shared" si="105"/>
        <v>ND</v>
      </c>
      <c r="GE35" s="1" t="str">
        <f t="shared" si="106"/>
        <v>ND</v>
      </c>
      <c r="GF35" s="1" t="str">
        <f t="shared" si="107"/>
        <v>ND</v>
      </c>
      <c r="GG35" s="1" t="str">
        <f t="shared" si="108"/>
        <v>ND</v>
      </c>
      <c r="GH35" s="1" t="str">
        <f t="shared" si="109"/>
        <v>ND</v>
      </c>
      <c r="GI35" s="1" t="str">
        <f t="shared" si="110"/>
        <v>ND</v>
      </c>
      <c r="GJ35" s="1" t="str">
        <f t="shared" si="111"/>
        <v>ND</v>
      </c>
      <c r="GK35" s="1" t="str">
        <f t="shared" si="112"/>
        <v>ND</v>
      </c>
      <c r="GL35" s="1" t="str">
        <f t="shared" si="113"/>
        <v>ND</v>
      </c>
      <c r="GM35" s="1" t="str">
        <f t="shared" si="114"/>
        <v>ND</v>
      </c>
      <c r="GN35" s="1" t="str">
        <f t="shared" si="115"/>
        <v>ND</v>
      </c>
      <c r="GO35" s="1" t="str">
        <f t="shared" si="116"/>
        <v>ND</v>
      </c>
      <c r="GP35" s="1" t="str">
        <f t="shared" si="117"/>
        <v>ND</v>
      </c>
      <c r="GQ35" s="1" t="str">
        <f t="shared" si="118"/>
        <v>ND</v>
      </c>
      <c r="GR35" s="1" t="str">
        <f t="shared" si="119"/>
        <v>ND</v>
      </c>
      <c r="GS35" s="1" t="str">
        <f t="shared" si="120"/>
        <v>ND</v>
      </c>
      <c r="GT35" s="1" t="str">
        <f t="shared" si="121"/>
        <v>ND</v>
      </c>
      <c r="GU35" s="1" t="str">
        <f t="shared" si="122"/>
        <v>ND</v>
      </c>
      <c r="GV35" s="1" t="str">
        <f t="shared" si="123"/>
        <v>ND</v>
      </c>
      <c r="GW35" s="1" t="str">
        <f t="shared" si="124"/>
        <v>ND</v>
      </c>
      <c r="GX35" s="1" t="str">
        <f t="shared" si="125"/>
        <v>ND</v>
      </c>
      <c r="GY35" s="1" t="str">
        <f t="shared" si="126"/>
        <v>ND</v>
      </c>
      <c r="GZ35" s="1" t="str">
        <f t="shared" si="127"/>
        <v>ND</v>
      </c>
      <c r="HA35" s="1" t="str">
        <f t="shared" si="128"/>
        <v>ND</v>
      </c>
      <c r="HB35" s="1" t="str">
        <f t="shared" si="129"/>
        <v>ND</v>
      </c>
      <c r="HC35" s="1" t="str">
        <f t="shared" si="130"/>
        <v>ND</v>
      </c>
      <c r="HD35" s="1" t="str">
        <f t="shared" si="131"/>
        <v>ND</v>
      </c>
      <c r="HE35" s="1" t="str">
        <f t="shared" si="132"/>
        <v>ND</v>
      </c>
      <c r="HF35" s="1" t="str">
        <f t="shared" si="133"/>
        <v>ND</v>
      </c>
      <c r="HG35" s="1" t="str">
        <f t="shared" si="134"/>
        <v>ND</v>
      </c>
      <c r="HH35" s="1" t="str">
        <f t="shared" si="135"/>
        <v>ND</v>
      </c>
      <c r="HI35" s="1" t="str">
        <f t="shared" si="136"/>
        <v>ND</v>
      </c>
      <c r="HJ35" s="1" t="str">
        <f t="shared" si="137"/>
        <v>ND</v>
      </c>
      <c r="HK35" s="1" t="str">
        <f t="shared" si="138"/>
        <v>ND</v>
      </c>
      <c r="HL35" s="1" t="str">
        <f t="shared" si="139"/>
        <v>ND</v>
      </c>
      <c r="HM35" s="1" t="str">
        <f t="shared" si="140"/>
        <v>ND</v>
      </c>
      <c r="HN35" s="1" t="str">
        <f t="shared" si="141"/>
        <v>ND</v>
      </c>
      <c r="HO35" s="1" t="str">
        <f t="shared" si="142"/>
        <v>ND</v>
      </c>
      <c r="HP35" s="1" t="str">
        <f t="shared" si="143"/>
        <v>ND</v>
      </c>
      <c r="HQ35" s="1" t="str">
        <f t="shared" si="144"/>
        <v>ND</v>
      </c>
      <c r="HR35" s="1" t="str">
        <f t="shared" si="145"/>
        <v>ND</v>
      </c>
      <c r="HS35" s="1" t="str">
        <f t="shared" si="146"/>
        <v>ND</v>
      </c>
      <c r="HT35" s="1" t="str">
        <f t="shared" si="147"/>
        <v>ND</v>
      </c>
      <c r="HU35" s="1" t="str">
        <f t="shared" si="148"/>
        <v>ND</v>
      </c>
      <c r="HV35" s="1" t="str">
        <f t="shared" si="149"/>
        <v>ND</v>
      </c>
      <c r="HW35" s="1" t="str">
        <f t="shared" si="150"/>
        <v>ND</v>
      </c>
      <c r="HX35" s="1" t="str">
        <f t="shared" si="151"/>
        <v>ND</v>
      </c>
      <c r="HY35" s="1" t="str">
        <f t="shared" si="152"/>
        <v>ND</v>
      </c>
      <c r="HZ35" s="1" t="str">
        <f t="shared" si="153"/>
        <v>ND</v>
      </c>
      <c r="IA35" s="1" t="str">
        <f t="shared" si="154"/>
        <v>ND</v>
      </c>
      <c r="IB35" s="1" t="str">
        <f t="shared" si="155"/>
        <v>ND</v>
      </c>
      <c r="IC35" s="1" t="str">
        <f t="shared" si="156"/>
        <v>ND</v>
      </c>
      <c r="ID35" s="1" t="str">
        <f t="shared" si="157"/>
        <v>ND</v>
      </c>
      <c r="IE35" s="1" t="str">
        <f t="shared" si="158"/>
        <v>ND</v>
      </c>
      <c r="IF35" s="1" t="str">
        <f t="shared" si="159"/>
        <v>ND</v>
      </c>
      <c r="IG35" s="1" t="str">
        <f t="shared" si="160"/>
        <v>ND</v>
      </c>
      <c r="IH35" s="1" t="str">
        <f t="shared" si="161"/>
        <v>ND</v>
      </c>
      <c r="II35" s="1" t="str">
        <f t="shared" si="162"/>
        <v>ND</v>
      </c>
    </row>
    <row r="36" spans="3:243" x14ac:dyDescent="0.25">
      <c r="C36" t="s">
        <v>83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6.74</v>
      </c>
      <c r="G36" s="1">
        <f>IFERROR(VLOOKUP($C36,EQUIPOS[],UNIFICADO!G$9,0),"")</f>
        <v>48</v>
      </c>
      <c r="H36" s="1">
        <f>IFERROR(VLOOKUP($C36,EQUIPOS[],UNIFICADO!H$9,0),"")</f>
        <v>4</v>
      </c>
      <c r="I36" s="1">
        <f>IFERROR(VLOOKUP($C36,EQUIPOS[],UNIFICADO!I$9,0),"")</f>
        <v>8</v>
      </c>
      <c r="J36" s="1" t="str">
        <f>IFERROR(VLOOKUP($C36,EQUIPOS[],UNIFICADO!J$9,0),"")</f>
        <v>128GB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2.4/1.9</v>
      </c>
      <c r="N36" s="1">
        <f>IFERROR(VLOOKUP($C36,EQUIPOS[],UNIFICADO!N$9,0),"")</f>
        <v>4</v>
      </c>
      <c r="O36" s="1">
        <f>IFERROR(VLOOKUP($C36,EQUIPOS[],UNIFICADO!O$9,0),"")</f>
        <v>198</v>
      </c>
      <c r="P36" s="1">
        <f>IFERROR(VLOOKUP($C36,EQUIPOS[],UNIFICADO!P$9,0),"")</f>
        <v>16.7</v>
      </c>
      <c r="Q36" s="1">
        <f>IFERROR(VLOOKUP($C36,EQUIPOS[],UNIFICADO!Q$9,0),"")</f>
        <v>7.72</v>
      </c>
      <c r="R36" s="1">
        <f>IFERROR(VLOOKUP($C36,EQUIPOS[],UNIFICADO!R$9,0),"")</f>
        <v>0.86</v>
      </c>
      <c r="S36" s="1">
        <f>IFERROR(VLOOKUP($C36,EQUIPOS[],UNIFICADO!S$9,0),"")</f>
        <v>5000</v>
      </c>
      <c r="T36" s="1">
        <f>IFERROR(VLOOKUP($C36,EQUIPOS[],UNIFICADO!T$9,0),"")</f>
        <v>4</v>
      </c>
      <c r="U36" s="1">
        <f>VLOOKUP(UNIFICADA[[#This Row],[Equipo]],EQUIPOS[],19,0)</f>
        <v>26</v>
      </c>
      <c r="V36" s="1" t="str">
        <f t="shared" si="0"/>
        <v>ND</v>
      </c>
      <c r="W36" s="1" t="str">
        <f t="shared" si="1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4"/>
        <v>ND</v>
      </c>
      <c r="AJ36" s="1" t="str">
        <f t="shared" si="5"/>
        <v>ND</v>
      </c>
      <c r="AK36" s="1" t="str">
        <f t="shared" si="6"/>
        <v>ND</v>
      </c>
      <c r="AL36" s="1" t="str">
        <f t="shared" si="7"/>
        <v>ND</v>
      </c>
      <c r="AM36" s="1" t="str">
        <f t="shared" si="8"/>
        <v>ND</v>
      </c>
      <c r="AN36" s="1" t="str">
        <f t="shared" si="9"/>
        <v>ND</v>
      </c>
      <c r="AO36" s="1" t="str">
        <f t="shared" si="10"/>
        <v>ND</v>
      </c>
      <c r="AP36" s="1" t="str">
        <f t="shared" si="11"/>
        <v>ND</v>
      </c>
      <c r="AQ36" s="1" t="str">
        <f t="shared" si="12"/>
        <v>ND</v>
      </c>
      <c r="AR36" s="1" t="str">
        <f t="shared" si="13"/>
        <v>ND</v>
      </c>
      <c r="AS36" s="1" t="str">
        <f t="shared" si="14"/>
        <v>ND</v>
      </c>
      <c r="AT36" s="1" t="str">
        <f t="shared" si="15"/>
        <v>ND</v>
      </c>
      <c r="AU36" s="1" t="str">
        <f t="shared" si="16"/>
        <v>ND</v>
      </c>
      <c r="AV36" s="1" t="str">
        <f t="shared" si="17"/>
        <v>ND</v>
      </c>
      <c r="AW36" s="1" t="str">
        <f t="shared" si="18"/>
        <v>ND</v>
      </c>
      <c r="AX36" s="1" t="str">
        <f t="shared" si="19"/>
        <v>ND</v>
      </c>
      <c r="AY36" s="1" t="str">
        <f t="shared" si="20"/>
        <v>ND</v>
      </c>
      <c r="AZ36" s="1" t="str">
        <f t="shared" si="21"/>
        <v>ND</v>
      </c>
      <c r="BA36" s="1" t="str">
        <f t="shared" si="22"/>
        <v>ND</v>
      </c>
      <c r="BB36" s="1" t="str">
        <f t="shared" si="23"/>
        <v>ND</v>
      </c>
      <c r="BC36" s="1" t="str">
        <f t="shared" si="24"/>
        <v>ND</v>
      </c>
      <c r="BD36" s="1" t="str">
        <f t="shared" si="25"/>
        <v>ND</v>
      </c>
      <c r="BE36" s="1" t="str">
        <f t="shared" si="26"/>
        <v>ND</v>
      </c>
      <c r="BF36" s="1" t="str">
        <f t="shared" si="27"/>
        <v>ND</v>
      </c>
      <c r="BG36" s="1" t="str">
        <f t="shared" si="28"/>
        <v>ND</v>
      </c>
      <c r="BH36" s="1" t="str">
        <f t="shared" si="29"/>
        <v>ND</v>
      </c>
      <c r="BI36" s="1" t="str">
        <f t="shared" si="30"/>
        <v>ND</v>
      </c>
      <c r="BJ36" s="1" t="str">
        <f t="shared" si="31"/>
        <v>ND</v>
      </c>
      <c r="BK36" s="1" t="str">
        <f t="shared" si="32"/>
        <v>ND</v>
      </c>
      <c r="BL36" s="1" t="str">
        <f t="shared" si="33"/>
        <v>ND</v>
      </c>
      <c r="BM36" s="1" t="str">
        <f t="shared" si="34"/>
        <v>ND</v>
      </c>
      <c r="BN36" s="1" t="str">
        <f t="shared" si="35"/>
        <v>ND</v>
      </c>
      <c r="BO36" s="1" t="str">
        <f t="shared" si="36"/>
        <v>ND</v>
      </c>
      <c r="BP36" s="1" t="str">
        <f t="shared" si="37"/>
        <v>ND</v>
      </c>
      <c r="BQ36" s="1" t="str">
        <f t="shared" si="38"/>
        <v>ND</v>
      </c>
      <c r="BR36" s="1" t="str">
        <f t="shared" si="39"/>
        <v>ND</v>
      </c>
      <c r="BS36" s="1" t="str">
        <f t="shared" si="40"/>
        <v>ND</v>
      </c>
      <c r="BT36" s="1" t="str">
        <f t="shared" si="41"/>
        <v>ND</v>
      </c>
      <c r="BU36" s="1" t="str">
        <f t="shared" si="42"/>
        <v>ND</v>
      </c>
      <c r="BV36" s="1" t="str">
        <f t="shared" si="43"/>
        <v>ND</v>
      </c>
      <c r="BW36" s="1" t="str">
        <f t="shared" si="44"/>
        <v>ND</v>
      </c>
      <c r="BX36" s="1" t="str">
        <f t="shared" si="45"/>
        <v>ND</v>
      </c>
      <c r="BY36" s="1" t="str">
        <f t="shared" si="46"/>
        <v>ND</v>
      </c>
      <c r="BZ36" s="1" t="str">
        <f t="shared" si="47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50"/>
        <v>ND</v>
      </c>
      <c r="CX36" s="1" t="str">
        <f t="shared" si="51"/>
        <v>ND</v>
      </c>
      <c r="CY36" s="1" t="str">
        <f t="shared" si="52"/>
        <v>ND</v>
      </c>
      <c r="CZ36" s="1" t="str">
        <f t="shared" si="53"/>
        <v>ND</v>
      </c>
      <c r="DA36" s="1" t="str">
        <f t="shared" si="54"/>
        <v>ND</v>
      </c>
      <c r="DB36" s="1" t="str">
        <f t="shared" si="55"/>
        <v>ND</v>
      </c>
      <c r="DC36" s="1" t="str">
        <f t="shared" si="56"/>
        <v>ND</v>
      </c>
      <c r="DD36" s="1" t="str">
        <f t="shared" si="57"/>
        <v>ND</v>
      </c>
      <c r="DE36" s="1" t="str">
        <f t="shared" si="58"/>
        <v>ND</v>
      </c>
      <c r="DF36" s="1" t="str">
        <f t="shared" si="59"/>
        <v>ND</v>
      </c>
      <c r="DG36" s="1" t="str">
        <f t="shared" si="60"/>
        <v>ND</v>
      </c>
      <c r="DH36" s="1" t="str">
        <f t="shared" si="61"/>
        <v>ND</v>
      </c>
      <c r="DI36" s="1" t="str">
        <f t="shared" si="62"/>
        <v>ND</v>
      </c>
      <c r="DJ36" s="1" t="str">
        <f t="shared" si="63"/>
        <v>ND</v>
      </c>
      <c r="DK36" s="1" t="str">
        <f t="shared" si="64"/>
        <v>ND</v>
      </c>
      <c r="DL36" s="1" t="str">
        <f t="shared" si="65"/>
        <v>ND</v>
      </c>
      <c r="DM36" s="1" t="str">
        <f t="shared" si="66"/>
        <v>ND</v>
      </c>
      <c r="DN36" s="1" t="str">
        <f t="shared" si="67"/>
        <v>ND</v>
      </c>
      <c r="DO36" s="1" t="str">
        <f t="shared" si="68"/>
        <v>ND</v>
      </c>
      <c r="DP36" s="1" t="str">
        <f t="shared" si="69"/>
        <v>ND</v>
      </c>
      <c r="DQ36" s="1" t="str">
        <f t="shared" si="70"/>
        <v>ND</v>
      </c>
      <c r="DR36" s="1" t="str">
        <f t="shared" si="71"/>
        <v>ND</v>
      </c>
      <c r="DS36" s="1" t="str">
        <f t="shared" si="72"/>
        <v>ND</v>
      </c>
      <c r="DT36" s="1" t="str">
        <f t="shared" si="73"/>
        <v>ND</v>
      </c>
      <c r="DU36" s="1" t="str">
        <f t="shared" si="74"/>
        <v>ND</v>
      </c>
      <c r="DV36" s="1" t="str">
        <f t="shared" si="75"/>
        <v>ND</v>
      </c>
      <c r="DW36" s="1" t="str">
        <f t="shared" si="76"/>
        <v>ND</v>
      </c>
      <c r="DX36" s="1" t="str">
        <f t="shared" si="77"/>
        <v>ND</v>
      </c>
      <c r="DY36" s="1" t="str">
        <f t="shared" si="78"/>
        <v>ND</v>
      </c>
      <c r="DZ36" s="1" t="str">
        <f t="shared" si="79"/>
        <v>ND</v>
      </c>
      <c r="EA36" s="1" t="str">
        <f t="shared" si="80"/>
        <v>ND</v>
      </c>
      <c r="EB36" s="1" t="str">
        <f t="shared" si="81"/>
        <v>ND</v>
      </c>
      <c r="EC36" s="1" t="str">
        <f t="shared" si="82"/>
        <v>ND</v>
      </c>
      <c r="ED36" s="1" t="str">
        <f t="shared" si="83"/>
        <v>ND</v>
      </c>
      <c r="EE36" s="1" t="str">
        <f t="shared" si="84"/>
        <v>ND</v>
      </c>
      <c r="EF36" s="1" t="str">
        <f t="shared" si="85"/>
        <v>ND</v>
      </c>
      <c r="EG36" s="1" t="str">
        <f t="shared" si="86"/>
        <v>ND</v>
      </c>
      <c r="EH36" s="1" t="str">
        <f t="shared" si="87"/>
        <v>ND</v>
      </c>
      <c r="EI36" s="1" t="str">
        <f t="shared" si="88"/>
        <v>ND</v>
      </c>
      <c r="EJ36" s="1" t="str">
        <f t="shared" si="89"/>
        <v>ND</v>
      </c>
      <c r="EK36" s="1" t="str">
        <f t="shared" si="90"/>
        <v>ND</v>
      </c>
      <c r="EL36" s="1" t="str">
        <f t="shared" si="91"/>
        <v>ND</v>
      </c>
      <c r="EM36" s="1" t="str">
        <f t="shared" si="92"/>
        <v>ND</v>
      </c>
      <c r="EN36" s="1" t="str">
        <f t="shared" si="93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7"/>
        <v>ND</v>
      </c>
      <c r="FW36" s="1" t="str">
        <f t="shared" si="98"/>
        <v>ND</v>
      </c>
      <c r="FX36" s="1" t="str">
        <f t="shared" si="99"/>
        <v>ND</v>
      </c>
      <c r="FY36" s="1" t="str">
        <f t="shared" si="100"/>
        <v>ND</v>
      </c>
      <c r="FZ36" s="1" t="str">
        <f t="shared" si="101"/>
        <v>ND</v>
      </c>
      <c r="GA36" s="1" t="str">
        <f t="shared" si="102"/>
        <v>ND</v>
      </c>
      <c r="GB36" s="1" t="str">
        <f t="shared" si="103"/>
        <v>ND</v>
      </c>
      <c r="GC36" s="1" t="str">
        <f t="shared" si="104"/>
        <v>ND</v>
      </c>
      <c r="GD36" s="1" t="str">
        <f t="shared" si="105"/>
        <v>ND</v>
      </c>
      <c r="GE36" s="1" t="str">
        <f t="shared" si="106"/>
        <v>ND</v>
      </c>
      <c r="GF36" s="1" t="str">
        <f t="shared" si="107"/>
        <v>ND</v>
      </c>
      <c r="GG36" s="1" t="str">
        <f t="shared" si="108"/>
        <v>ND</v>
      </c>
      <c r="GH36" s="1" t="str">
        <f t="shared" si="109"/>
        <v>ND</v>
      </c>
      <c r="GI36" s="1" t="str">
        <f t="shared" si="110"/>
        <v>ND</v>
      </c>
      <c r="GJ36" s="1" t="str">
        <f t="shared" si="111"/>
        <v>ND</v>
      </c>
      <c r="GK36" s="1" t="str">
        <f t="shared" si="112"/>
        <v>ND</v>
      </c>
      <c r="GL36" s="1" t="str">
        <f t="shared" si="113"/>
        <v>ND</v>
      </c>
      <c r="GM36" s="1" t="str">
        <f t="shared" si="114"/>
        <v>ND</v>
      </c>
      <c r="GN36" s="1" t="str">
        <f t="shared" si="115"/>
        <v>ND</v>
      </c>
      <c r="GO36" s="1" t="str">
        <f t="shared" si="116"/>
        <v>ND</v>
      </c>
      <c r="GP36" s="1" t="str">
        <f t="shared" si="117"/>
        <v>ND</v>
      </c>
      <c r="GQ36" s="1" t="str">
        <f t="shared" si="118"/>
        <v>ND</v>
      </c>
      <c r="GR36" s="1" t="str">
        <f t="shared" si="119"/>
        <v>ND</v>
      </c>
      <c r="GS36" s="1" t="str">
        <f t="shared" si="120"/>
        <v>ND</v>
      </c>
      <c r="GT36" s="1" t="str">
        <f t="shared" si="121"/>
        <v>ND</v>
      </c>
      <c r="GU36" s="1" t="str">
        <f t="shared" si="122"/>
        <v>ND</v>
      </c>
      <c r="GV36" s="1" t="str">
        <f t="shared" si="123"/>
        <v>ND</v>
      </c>
      <c r="GW36" s="1" t="str">
        <f t="shared" si="124"/>
        <v>ND</v>
      </c>
      <c r="GX36" s="1" t="str">
        <f t="shared" si="125"/>
        <v>ND</v>
      </c>
      <c r="GY36" s="1" t="str">
        <f t="shared" si="126"/>
        <v>ND</v>
      </c>
      <c r="GZ36" s="1" t="str">
        <f t="shared" si="127"/>
        <v>ND</v>
      </c>
      <c r="HA36" s="1" t="str">
        <f t="shared" si="128"/>
        <v>ND</v>
      </c>
      <c r="HB36" s="1" t="str">
        <f t="shared" si="129"/>
        <v>ND</v>
      </c>
      <c r="HC36" s="1" t="str">
        <f t="shared" si="130"/>
        <v>ND</v>
      </c>
      <c r="HD36" s="1" t="str">
        <f t="shared" si="131"/>
        <v>ND</v>
      </c>
      <c r="HE36" s="1" t="str">
        <f t="shared" si="132"/>
        <v>ND</v>
      </c>
      <c r="HF36" s="1" t="str">
        <f t="shared" si="133"/>
        <v>ND</v>
      </c>
      <c r="HG36" s="1" t="str">
        <f t="shared" si="134"/>
        <v>ND</v>
      </c>
      <c r="HH36" s="1" t="str">
        <f t="shared" si="135"/>
        <v>ND</v>
      </c>
      <c r="HI36" s="1" t="str">
        <f t="shared" si="136"/>
        <v>ND</v>
      </c>
      <c r="HJ36" s="1" t="str">
        <f t="shared" si="137"/>
        <v>ND</v>
      </c>
      <c r="HK36" s="1" t="str">
        <f t="shared" si="138"/>
        <v>ND</v>
      </c>
      <c r="HL36" s="1" t="str">
        <f t="shared" si="139"/>
        <v>ND</v>
      </c>
      <c r="HM36" s="1" t="str">
        <f t="shared" si="140"/>
        <v>ND</v>
      </c>
      <c r="HN36" s="1" t="str">
        <f t="shared" si="141"/>
        <v>ND</v>
      </c>
      <c r="HO36" s="1" t="str">
        <f t="shared" si="142"/>
        <v>ND</v>
      </c>
      <c r="HP36" s="1" t="str">
        <f t="shared" si="143"/>
        <v>ND</v>
      </c>
      <c r="HQ36" s="1" t="str">
        <f t="shared" si="144"/>
        <v>ND</v>
      </c>
      <c r="HR36" s="1" t="str">
        <f t="shared" si="145"/>
        <v>ND</v>
      </c>
      <c r="HS36" s="1" t="str">
        <f t="shared" si="146"/>
        <v>ND</v>
      </c>
      <c r="HT36" s="1" t="str">
        <f t="shared" si="147"/>
        <v>ND</v>
      </c>
      <c r="HU36" s="1" t="str">
        <f t="shared" si="148"/>
        <v>ND</v>
      </c>
      <c r="HV36" s="1" t="str">
        <f t="shared" si="149"/>
        <v>ND</v>
      </c>
      <c r="HW36" s="1" t="str">
        <f t="shared" si="150"/>
        <v>ND</v>
      </c>
      <c r="HX36" s="1" t="str">
        <f t="shared" si="151"/>
        <v>ND</v>
      </c>
      <c r="HY36" s="1" t="str">
        <f t="shared" si="152"/>
        <v>ND</v>
      </c>
      <c r="HZ36" s="1" t="str">
        <f t="shared" si="153"/>
        <v>ND</v>
      </c>
      <c r="IA36" s="1" t="str">
        <f t="shared" si="154"/>
        <v>ND</v>
      </c>
      <c r="IB36" s="1" t="str">
        <f t="shared" si="155"/>
        <v>ND</v>
      </c>
      <c r="IC36" s="1" t="str">
        <f t="shared" si="156"/>
        <v>ND</v>
      </c>
      <c r="ID36" s="1" t="str">
        <f t="shared" si="157"/>
        <v>ND</v>
      </c>
      <c r="IE36" s="1" t="str">
        <f t="shared" si="158"/>
        <v>ND</v>
      </c>
      <c r="IF36" s="1" t="str">
        <f t="shared" si="159"/>
        <v>ND</v>
      </c>
      <c r="IG36" s="1" t="str">
        <f t="shared" si="160"/>
        <v>ND</v>
      </c>
      <c r="IH36" s="1" t="str">
        <f t="shared" si="161"/>
        <v>ND</v>
      </c>
      <c r="II36" s="1" t="str">
        <f t="shared" si="162"/>
        <v>ND</v>
      </c>
    </row>
    <row r="37" spans="3:243" x14ac:dyDescent="0.25">
      <c r="C37" t="s">
        <v>100</v>
      </c>
      <c r="D37">
        <f>SUMIFS(DICCIONARIO[Cantidad],DICCIONARIO[Modelo],UNIFICADA[[#This Row],[Equipo]])</f>
        <v>0</v>
      </c>
      <c r="E37" s="1">
        <f>IFERROR(VLOOKUP($C37,EQUIPOS[],UNIFICADO!E$9,0),"")</f>
        <v>11</v>
      </c>
      <c r="F37" s="1">
        <f>IFERROR(VLOOKUP($C37,EQUIPOS[],UNIFICADO!F$9,0),"")</f>
        <v>6.74</v>
      </c>
      <c r="G37" s="1">
        <f>IFERROR(VLOOKUP($C37,EQUIPOS[],UNIFICADO!G$9,0),"")</f>
        <v>48</v>
      </c>
      <c r="H37" s="1">
        <f>IFERROR(VLOOKUP($C37,EQUIPOS[],UNIFICADO!H$9,0),"")</f>
        <v>4</v>
      </c>
      <c r="I37" s="1">
        <f>IFERROR(VLOOKUP($C37,EQUIPOS[],UNIFICADO!I$9,0),"")</f>
        <v>8</v>
      </c>
      <c r="J37" s="1" t="str">
        <f>IFERROR(VLOOKUP($C37,EQUIPOS[],UNIFICADO!J$9,0),"")</f>
        <v>128GB</v>
      </c>
      <c r="K37" s="1">
        <f>IFERROR(VLOOKUP($C37,EQUIPOS[],UNIFICADO!K$9,0),"")</f>
        <v>0</v>
      </c>
      <c r="L37" s="1">
        <f>IFERROR(VLOOKUP($C37,EQUIPOS[],UNIFICADO!L$9,0),"")</f>
        <v>8</v>
      </c>
      <c r="M37" s="1" t="str">
        <f>IFERROR(VLOOKUP($C37,EQUIPOS[],UNIFICADO!M$9,0),"")</f>
        <v>2.4/1.9</v>
      </c>
      <c r="N37" s="1">
        <f>IFERROR(VLOOKUP($C37,EQUIPOS[],UNIFICADO!N$9,0),"")</f>
        <v>6</v>
      </c>
      <c r="O37" s="1">
        <f>IFERROR(VLOOKUP($C37,EQUIPOS[],UNIFICADO!O$9,0),"")</f>
        <v>198</v>
      </c>
      <c r="P37" s="1">
        <f>IFERROR(VLOOKUP($C37,EQUIPOS[],UNIFICADO!P$9,0),"")</f>
        <v>16.760000000000002</v>
      </c>
      <c r="Q37" s="1">
        <f>IFERROR(VLOOKUP($C37,EQUIPOS[],UNIFICADO!Q$9,0),"")</f>
        <v>7.72</v>
      </c>
      <c r="R37" s="1">
        <f>IFERROR(VLOOKUP($C37,EQUIPOS[],UNIFICADO!R$9,0),"")</f>
        <v>0.86</v>
      </c>
      <c r="S37" s="1">
        <f>IFERROR(VLOOKUP($C37,EQUIPOS[],UNIFICADO!S$9,0),"")</f>
        <v>5000</v>
      </c>
      <c r="T37" s="1">
        <f>IFERROR(VLOOKUP($C37,EQUIPOS[],UNIFICADO!T$9,0),"")</f>
        <v>4</v>
      </c>
      <c r="U37" s="1">
        <f>VLOOKUP(UNIFICADA[[#This Row],[Equipo]],EQUIPOS[],19,0)</f>
        <v>27</v>
      </c>
      <c r="V37" s="1" t="str">
        <f t="shared" si="0"/>
        <v>ND</v>
      </c>
      <c r="W37" s="1" t="str">
        <f t="shared" si="1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4"/>
        <v>ND</v>
      </c>
      <c r="AJ37" s="1" t="str">
        <f t="shared" si="5"/>
        <v>ND</v>
      </c>
      <c r="AK37" s="1" t="str">
        <f t="shared" si="6"/>
        <v>ND</v>
      </c>
      <c r="AL37" s="1" t="str">
        <f t="shared" si="7"/>
        <v>ND</v>
      </c>
      <c r="AM37" s="1" t="str">
        <f t="shared" si="8"/>
        <v>ND</v>
      </c>
      <c r="AN37" s="1" t="str">
        <f t="shared" si="9"/>
        <v>ND</v>
      </c>
      <c r="AO37" s="1" t="str">
        <f t="shared" si="10"/>
        <v>ND</v>
      </c>
      <c r="AP37" s="1" t="str">
        <f t="shared" si="11"/>
        <v>ND</v>
      </c>
      <c r="AQ37" s="1" t="str">
        <f t="shared" si="12"/>
        <v>ND</v>
      </c>
      <c r="AR37" s="1" t="str">
        <f t="shared" si="13"/>
        <v>ND</v>
      </c>
      <c r="AS37" s="1" t="str">
        <f t="shared" si="14"/>
        <v>ND</v>
      </c>
      <c r="AT37" s="1" t="str">
        <f t="shared" si="15"/>
        <v>ND</v>
      </c>
      <c r="AU37" s="1" t="str">
        <f t="shared" si="16"/>
        <v>ND</v>
      </c>
      <c r="AV37" s="1" t="str">
        <f t="shared" si="17"/>
        <v>ND</v>
      </c>
      <c r="AW37" s="1" t="str">
        <f t="shared" si="18"/>
        <v>ND</v>
      </c>
      <c r="AX37" s="1" t="str">
        <f t="shared" si="19"/>
        <v>ND</v>
      </c>
      <c r="AY37" s="1" t="str">
        <f t="shared" si="20"/>
        <v>ND</v>
      </c>
      <c r="AZ37" s="1" t="str">
        <f t="shared" si="21"/>
        <v>ND</v>
      </c>
      <c r="BA37" s="1" t="str">
        <f t="shared" si="22"/>
        <v>ND</v>
      </c>
      <c r="BB37" s="1" t="str">
        <f t="shared" si="23"/>
        <v>ND</v>
      </c>
      <c r="BC37" s="1" t="str">
        <f t="shared" si="24"/>
        <v>ND</v>
      </c>
      <c r="BD37" s="1" t="str">
        <f t="shared" si="25"/>
        <v>ND</v>
      </c>
      <c r="BE37" s="1" t="str">
        <f t="shared" si="26"/>
        <v>ND</v>
      </c>
      <c r="BF37" s="1" t="str">
        <f t="shared" si="27"/>
        <v>ND</v>
      </c>
      <c r="BG37" s="1" t="str">
        <f t="shared" si="28"/>
        <v>ND</v>
      </c>
      <c r="BH37" s="1" t="str">
        <f t="shared" si="29"/>
        <v>ND</v>
      </c>
      <c r="BI37" s="1" t="str">
        <f t="shared" si="30"/>
        <v>ND</v>
      </c>
      <c r="BJ37" s="1" t="str">
        <f t="shared" si="31"/>
        <v>ND</v>
      </c>
      <c r="BK37" s="1" t="str">
        <f t="shared" si="32"/>
        <v>ND</v>
      </c>
      <c r="BL37" s="1" t="str">
        <f t="shared" si="33"/>
        <v>ND</v>
      </c>
      <c r="BM37" s="1" t="str">
        <f t="shared" si="34"/>
        <v>ND</v>
      </c>
      <c r="BN37" s="1" t="str">
        <f t="shared" si="35"/>
        <v>ND</v>
      </c>
      <c r="BO37" s="1" t="str">
        <f t="shared" si="36"/>
        <v>ND</v>
      </c>
      <c r="BP37" s="1" t="str">
        <f t="shared" si="37"/>
        <v>ND</v>
      </c>
      <c r="BQ37" s="1" t="str">
        <f t="shared" si="38"/>
        <v>ND</v>
      </c>
      <c r="BR37" s="1" t="str">
        <f t="shared" si="39"/>
        <v>ND</v>
      </c>
      <c r="BS37" s="1" t="str">
        <f t="shared" si="40"/>
        <v>ND</v>
      </c>
      <c r="BT37" s="1" t="str">
        <f t="shared" si="41"/>
        <v>ND</v>
      </c>
      <c r="BU37" s="1" t="str">
        <f t="shared" si="42"/>
        <v>ND</v>
      </c>
      <c r="BV37" s="1" t="str">
        <f t="shared" si="43"/>
        <v>ND</v>
      </c>
      <c r="BW37" s="1" t="str">
        <f t="shared" si="44"/>
        <v>ND</v>
      </c>
      <c r="BX37" s="1" t="str">
        <f t="shared" si="45"/>
        <v>ND</v>
      </c>
      <c r="BY37" s="1" t="str">
        <f t="shared" si="46"/>
        <v>ND</v>
      </c>
      <c r="BZ37" s="1" t="str">
        <f t="shared" si="47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50"/>
        <v>ND</v>
      </c>
      <c r="CX37" s="1" t="str">
        <f t="shared" si="51"/>
        <v>ND</v>
      </c>
      <c r="CY37" s="1" t="str">
        <f t="shared" si="52"/>
        <v>ND</v>
      </c>
      <c r="CZ37" s="1" t="str">
        <f t="shared" si="53"/>
        <v>ND</v>
      </c>
      <c r="DA37" s="1" t="str">
        <f t="shared" si="54"/>
        <v>ND</v>
      </c>
      <c r="DB37" s="1" t="str">
        <f t="shared" si="55"/>
        <v>ND</v>
      </c>
      <c r="DC37" s="1" t="str">
        <f t="shared" si="56"/>
        <v>ND</v>
      </c>
      <c r="DD37" s="1" t="str">
        <f t="shared" si="57"/>
        <v>ND</v>
      </c>
      <c r="DE37" s="1" t="str">
        <f t="shared" si="58"/>
        <v>ND</v>
      </c>
      <c r="DF37" s="1" t="str">
        <f t="shared" si="59"/>
        <v>ND</v>
      </c>
      <c r="DG37" s="1" t="str">
        <f t="shared" si="60"/>
        <v>ND</v>
      </c>
      <c r="DH37" s="1" t="str">
        <f t="shared" si="61"/>
        <v>ND</v>
      </c>
      <c r="DI37" s="1" t="str">
        <f t="shared" si="62"/>
        <v>ND</v>
      </c>
      <c r="DJ37" s="1" t="str">
        <f t="shared" si="63"/>
        <v>ND</v>
      </c>
      <c r="DK37" s="1" t="str">
        <f t="shared" si="64"/>
        <v>ND</v>
      </c>
      <c r="DL37" s="1" t="str">
        <f t="shared" si="65"/>
        <v>ND</v>
      </c>
      <c r="DM37" s="1" t="str">
        <f t="shared" si="66"/>
        <v>ND</v>
      </c>
      <c r="DN37" s="1" t="str">
        <f t="shared" si="67"/>
        <v>ND</v>
      </c>
      <c r="DO37" s="1" t="str">
        <f t="shared" si="68"/>
        <v>ND</v>
      </c>
      <c r="DP37" s="1" t="str">
        <f t="shared" si="69"/>
        <v>ND</v>
      </c>
      <c r="DQ37" s="1" t="str">
        <f t="shared" si="70"/>
        <v>ND</v>
      </c>
      <c r="DR37" s="1" t="str">
        <f t="shared" si="71"/>
        <v>ND</v>
      </c>
      <c r="DS37" s="1" t="str">
        <f t="shared" si="72"/>
        <v>ND</v>
      </c>
      <c r="DT37" s="1" t="str">
        <f t="shared" si="73"/>
        <v>ND</v>
      </c>
      <c r="DU37" s="1" t="str">
        <f t="shared" si="74"/>
        <v>ND</v>
      </c>
      <c r="DV37" s="1" t="str">
        <f t="shared" si="75"/>
        <v>ND</v>
      </c>
      <c r="DW37" s="1" t="str">
        <f t="shared" si="76"/>
        <v>ND</v>
      </c>
      <c r="DX37" s="1" t="str">
        <f t="shared" si="77"/>
        <v>ND</v>
      </c>
      <c r="DY37" s="1" t="str">
        <f t="shared" si="78"/>
        <v>ND</v>
      </c>
      <c r="DZ37" s="1" t="str">
        <f t="shared" si="79"/>
        <v>ND</v>
      </c>
      <c r="EA37" s="1" t="str">
        <f t="shared" si="80"/>
        <v>ND</v>
      </c>
      <c r="EB37" s="1" t="str">
        <f t="shared" si="81"/>
        <v>ND</v>
      </c>
      <c r="EC37" s="1" t="str">
        <f t="shared" si="82"/>
        <v>ND</v>
      </c>
      <c r="ED37" s="1" t="str">
        <f t="shared" si="83"/>
        <v>ND</v>
      </c>
      <c r="EE37" s="1" t="str">
        <f t="shared" si="84"/>
        <v>ND</v>
      </c>
      <c r="EF37" s="1" t="str">
        <f t="shared" si="85"/>
        <v>ND</v>
      </c>
      <c r="EG37" s="1" t="str">
        <f t="shared" si="86"/>
        <v>ND</v>
      </c>
      <c r="EH37" s="1" t="str">
        <f t="shared" si="87"/>
        <v>ND</v>
      </c>
      <c r="EI37" s="1" t="str">
        <f t="shared" si="88"/>
        <v>ND</v>
      </c>
      <c r="EJ37" s="1" t="str">
        <f t="shared" si="89"/>
        <v>ND</v>
      </c>
      <c r="EK37" s="1" t="str">
        <f t="shared" si="90"/>
        <v>ND</v>
      </c>
      <c r="EL37" s="1" t="str">
        <f t="shared" si="91"/>
        <v>ND</v>
      </c>
      <c r="EM37" s="1" t="str">
        <f t="shared" si="92"/>
        <v>ND</v>
      </c>
      <c r="EN37" s="1" t="str">
        <f t="shared" si="93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7"/>
        <v>ND</v>
      </c>
      <c r="FW37" s="1" t="str">
        <f t="shared" si="98"/>
        <v>ND</v>
      </c>
      <c r="FX37" s="1" t="str">
        <f t="shared" si="99"/>
        <v>ND</v>
      </c>
      <c r="FY37" s="1" t="str">
        <f t="shared" si="100"/>
        <v>ND</v>
      </c>
      <c r="FZ37" s="1" t="str">
        <f t="shared" si="101"/>
        <v>ND</v>
      </c>
      <c r="GA37" s="1" t="str">
        <f t="shared" si="102"/>
        <v>ND</v>
      </c>
      <c r="GB37" s="1" t="str">
        <f t="shared" si="103"/>
        <v>ND</v>
      </c>
      <c r="GC37" s="1" t="str">
        <f t="shared" si="104"/>
        <v>ND</v>
      </c>
      <c r="GD37" s="1" t="str">
        <f t="shared" si="105"/>
        <v>ND</v>
      </c>
      <c r="GE37" s="1" t="str">
        <f t="shared" si="106"/>
        <v>ND</v>
      </c>
      <c r="GF37" s="1" t="str">
        <f t="shared" si="107"/>
        <v>ND</v>
      </c>
      <c r="GG37" s="1" t="str">
        <f t="shared" si="108"/>
        <v>ND</v>
      </c>
      <c r="GH37" s="1" t="str">
        <f t="shared" si="109"/>
        <v>ND</v>
      </c>
      <c r="GI37" s="1" t="str">
        <f t="shared" si="110"/>
        <v>ND</v>
      </c>
      <c r="GJ37" s="1" t="str">
        <f t="shared" si="111"/>
        <v>ND</v>
      </c>
      <c r="GK37" s="1" t="str">
        <f t="shared" si="112"/>
        <v>ND</v>
      </c>
      <c r="GL37" s="1" t="str">
        <f t="shared" si="113"/>
        <v>ND</v>
      </c>
      <c r="GM37" s="1" t="str">
        <f t="shared" si="114"/>
        <v>ND</v>
      </c>
      <c r="GN37" s="1" t="str">
        <f t="shared" si="115"/>
        <v>ND</v>
      </c>
      <c r="GO37" s="1" t="str">
        <f t="shared" si="116"/>
        <v>ND</v>
      </c>
      <c r="GP37" s="1" t="str">
        <f t="shared" si="117"/>
        <v>ND</v>
      </c>
      <c r="GQ37" s="1" t="str">
        <f t="shared" si="118"/>
        <v>ND</v>
      </c>
      <c r="GR37" s="1" t="str">
        <f t="shared" si="119"/>
        <v>ND</v>
      </c>
      <c r="GS37" s="1" t="str">
        <f t="shared" si="120"/>
        <v>ND</v>
      </c>
      <c r="GT37" s="1" t="str">
        <f t="shared" si="121"/>
        <v>ND</v>
      </c>
      <c r="GU37" s="1" t="str">
        <f t="shared" si="122"/>
        <v>ND</v>
      </c>
      <c r="GV37" s="1" t="str">
        <f t="shared" si="123"/>
        <v>ND</v>
      </c>
      <c r="GW37" s="1" t="str">
        <f t="shared" si="124"/>
        <v>ND</v>
      </c>
      <c r="GX37" s="1" t="str">
        <f t="shared" si="125"/>
        <v>ND</v>
      </c>
      <c r="GY37" s="1" t="str">
        <f t="shared" si="126"/>
        <v>ND</v>
      </c>
      <c r="GZ37" s="1" t="str">
        <f t="shared" si="127"/>
        <v>ND</v>
      </c>
      <c r="HA37" s="1" t="str">
        <f t="shared" si="128"/>
        <v>ND</v>
      </c>
      <c r="HB37" s="1" t="str">
        <f t="shared" si="129"/>
        <v>ND</v>
      </c>
      <c r="HC37" s="1" t="str">
        <f t="shared" si="130"/>
        <v>ND</v>
      </c>
      <c r="HD37" s="1" t="str">
        <f t="shared" si="131"/>
        <v>ND</v>
      </c>
      <c r="HE37" s="1" t="str">
        <f t="shared" si="132"/>
        <v>ND</v>
      </c>
      <c r="HF37" s="1" t="str">
        <f t="shared" si="133"/>
        <v>ND</v>
      </c>
      <c r="HG37" s="1" t="str">
        <f t="shared" si="134"/>
        <v>ND</v>
      </c>
      <c r="HH37" s="1" t="str">
        <f t="shared" si="135"/>
        <v>ND</v>
      </c>
      <c r="HI37" s="1" t="str">
        <f t="shared" si="136"/>
        <v>ND</v>
      </c>
      <c r="HJ37" s="1" t="str">
        <f t="shared" si="137"/>
        <v>ND</v>
      </c>
      <c r="HK37" s="1" t="str">
        <f t="shared" si="138"/>
        <v>ND</v>
      </c>
      <c r="HL37" s="1" t="str">
        <f t="shared" si="139"/>
        <v>ND</v>
      </c>
      <c r="HM37" s="1" t="str">
        <f t="shared" si="140"/>
        <v>ND</v>
      </c>
      <c r="HN37" s="1" t="str">
        <f t="shared" si="141"/>
        <v>ND</v>
      </c>
      <c r="HO37" s="1" t="str">
        <f t="shared" si="142"/>
        <v>ND</v>
      </c>
      <c r="HP37" s="1" t="str">
        <f t="shared" si="143"/>
        <v>ND</v>
      </c>
      <c r="HQ37" s="1" t="str">
        <f t="shared" si="144"/>
        <v>ND</v>
      </c>
      <c r="HR37" s="1" t="str">
        <f t="shared" si="145"/>
        <v>ND</v>
      </c>
      <c r="HS37" s="1" t="str">
        <f t="shared" si="146"/>
        <v>ND</v>
      </c>
      <c r="HT37" s="1" t="str">
        <f t="shared" si="147"/>
        <v>ND</v>
      </c>
      <c r="HU37" s="1" t="str">
        <f t="shared" si="148"/>
        <v>ND</v>
      </c>
      <c r="HV37" s="1" t="str">
        <f t="shared" si="149"/>
        <v>ND</v>
      </c>
      <c r="HW37" s="1" t="str">
        <f t="shared" si="150"/>
        <v>ND</v>
      </c>
      <c r="HX37" s="1" t="str">
        <f t="shared" si="151"/>
        <v>ND</v>
      </c>
      <c r="HY37" s="1" t="str">
        <f t="shared" si="152"/>
        <v>ND</v>
      </c>
      <c r="HZ37" s="1" t="str">
        <f t="shared" si="153"/>
        <v>ND</v>
      </c>
      <c r="IA37" s="1" t="str">
        <f t="shared" si="154"/>
        <v>ND</v>
      </c>
      <c r="IB37" s="1" t="str">
        <f t="shared" si="155"/>
        <v>ND</v>
      </c>
      <c r="IC37" s="1" t="str">
        <f t="shared" si="156"/>
        <v>ND</v>
      </c>
      <c r="ID37" s="1" t="str">
        <f t="shared" si="157"/>
        <v>ND</v>
      </c>
      <c r="IE37" s="1" t="str">
        <f t="shared" si="158"/>
        <v>ND</v>
      </c>
      <c r="IF37" s="1" t="str">
        <f t="shared" si="159"/>
        <v>ND</v>
      </c>
      <c r="IG37" s="1" t="str">
        <f t="shared" si="160"/>
        <v>ND</v>
      </c>
      <c r="IH37" s="1" t="str">
        <f t="shared" si="161"/>
        <v>ND</v>
      </c>
      <c r="II37" s="1" t="str">
        <f t="shared" si="162"/>
        <v>ND</v>
      </c>
    </row>
    <row r="38" spans="3:243" x14ac:dyDescent="0.25">
      <c r="C38" t="s">
        <v>590</v>
      </c>
      <c r="D38">
        <f>SUMIFS(DICCIONARIO[Cantidad],DICCIONARIO[Modelo],UNIFICADA[[#This Row],[Equipo]])</f>
        <v>56</v>
      </c>
      <c r="E38" s="1">
        <f>IFERROR(VLOOKUP($C38,EQUIPOS[],UNIFICADO!E$9,0),"")</f>
        <v>12</v>
      </c>
      <c r="F38" s="1" t="str">
        <f>IFERROR(VLOOKUP($C38,EQUIPOS[],UNIFICADO!F$9,0),"")</f>
        <v>6.74 LCD HD 90Hz</v>
      </c>
      <c r="G38" s="1" t="str">
        <f>IFERROR(VLOOKUP($C38,EQUIPOS[],UNIFICADO!G$9,0),"")</f>
        <v>50 MP f/1.8</v>
      </c>
      <c r="H38" s="1">
        <f>IFERROR(VLOOKUP($C38,EQUIPOS[],UNIFICADO!H$9,0),"")</f>
        <v>3</v>
      </c>
      <c r="I38" s="1" t="str">
        <f>IFERROR(VLOOKUP($C38,EQUIPOS[],UNIFICADO!I$9,0),"")</f>
        <v>8MP f/2.0</v>
      </c>
      <c r="J38" s="1" t="str">
        <f>IFERROR(VLOOKUP($C38,EQUIPOS[],UNIFICADO!J$9,0),"")</f>
        <v>128GB</v>
      </c>
      <c r="K38" s="1">
        <f>IFERROR(VLOOKUP($C38,EQUIPOS[],UNIFICADO!K$9,0),"")</f>
        <v>1024</v>
      </c>
      <c r="L38" s="1">
        <f>IFERROR(VLOOKUP($C38,EQUIPOS[],UNIFICADO!L$9,0),"")</f>
        <v>8</v>
      </c>
      <c r="M38" s="1" t="str">
        <f>IFERROR(VLOOKUP($C38,EQUIPOS[],UNIFICADO!M$9,0),"")</f>
        <v>Mdtk Helio G37</v>
      </c>
      <c r="N38" s="1">
        <f>IFERROR(VLOOKUP($C38,EQUIPOS[],UNIFICADO!N$9,0),"")</f>
        <v>6</v>
      </c>
      <c r="O38" s="1">
        <f>IFERROR(VLOOKUP($C38,EQUIPOS[],UNIFICADO!O$9,0),"")</f>
        <v>198</v>
      </c>
      <c r="P38" s="1">
        <f>IFERROR(VLOOKUP($C38,EQUIPOS[],UNIFICADO!P$9,0),"")</f>
        <v>16.760000000000002</v>
      </c>
      <c r="Q38" s="1">
        <f>IFERROR(VLOOKUP($C38,EQUIPOS[],UNIFICADO!Q$9,0),"")</f>
        <v>7.72</v>
      </c>
      <c r="R38" s="1">
        <f>IFERROR(VLOOKUP($C38,EQUIPOS[],UNIFICADO!R$9,0),"")</f>
        <v>0.86</v>
      </c>
      <c r="S38" s="1" t="str">
        <f>IFERROR(VLOOKUP($C38,EQUIPOS[],UNIFICADO!S$9,0),"")</f>
        <v>5330 22.5W</v>
      </c>
      <c r="T38" s="1">
        <f>IFERROR(VLOOKUP($C38,EQUIPOS[],UNIFICADO!T$9,0),"")</f>
        <v>4</v>
      </c>
      <c r="U38" s="1">
        <f>VLOOKUP(UNIFICADA[[#This Row],[Equipo]],EQUIPOS[],19,0)</f>
        <v>28</v>
      </c>
      <c r="V38" s="1" t="str">
        <f t="shared" si="0"/>
        <v>ND</v>
      </c>
      <c r="W38" s="1" t="str">
        <f t="shared" si="1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4"/>
        <v>ND</v>
      </c>
      <c r="AJ38" s="1" t="str">
        <f t="shared" si="5"/>
        <v>ND</v>
      </c>
      <c r="AK38" s="1" t="str">
        <f t="shared" si="6"/>
        <v>ND</v>
      </c>
      <c r="AL38" s="1" t="str">
        <f t="shared" si="7"/>
        <v>ND</v>
      </c>
      <c r="AM38" s="1" t="str">
        <f t="shared" si="8"/>
        <v>ND</v>
      </c>
      <c r="AN38" s="1" t="str">
        <f t="shared" si="9"/>
        <v>ND</v>
      </c>
      <c r="AO38" s="1" t="str">
        <f t="shared" si="10"/>
        <v>ND</v>
      </c>
      <c r="AP38" s="1" t="str">
        <f t="shared" si="11"/>
        <v>ND</v>
      </c>
      <c r="AQ38" s="1" t="str">
        <f t="shared" si="12"/>
        <v>ND</v>
      </c>
      <c r="AR38" s="1" t="str">
        <f t="shared" si="13"/>
        <v>ND</v>
      </c>
      <c r="AS38" s="1" t="str">
        <f t="shared" si="14"/>
        <v>ND</v>
      </c>
      <c r="AT38" s="1" t="str">
        <f t="shared" si="15"/>
        <v>ND</v>
      </c>
      <c r="AU38" s="1" t="str">
        <f t="shared" si="16"/>
        <v>ND</v>
      </c>
      <c r="AV38" s="1" t="str">
        <f t="shared" si="17"/>
        <v>ND</v>
      </c>
      <c r="AW38" s="1" t="str">
        <f t="shared" si="18"/>
        <v>ND</v>
      </c>
      <c r="AX38" s="1" t="str">
        <f t="shared" si="19"/>
        <v>ND</v>
      </c>
      <c r="AY38" s="1" t="str">
        <f t="shared" si="20"/>
        <v>ND</v>
      </c>
      <c r="AZ38" s="1" t="str">
        <f t="shared" si="21"/>
        <v>ND</v>
      </c>
      <c r="BA38" s="1" t="str">
        <f t="shared" si="22"/>
        <v>ND</v>
      </c>
      <c r="BB38" s="1" t="str">
        <f t="shared" si="23"/>
        <v>ND</v>
      </c>
      <c r="BC38" s="1" t="str">
        <f t="shared" si="24"/>
        <v>ND</v>
      </c>
      <c r="BD38" s="1" t="str">
        <f t="shared" si="25"/>
        <v>ND</v>
      </c>
      <c r="BE38" s="1" t="str">
        <f t="shared" si="26"/>
        <v>ND</v>
      </c>
      <c r="BF38" s="1" t="str">
        <f t="shared" si="27"/>
        <v>ND</v>
      </c>
      <c r="BG38" s="1" t="str">
        <f t="shared" si="28"/>
        <v>ND</v>
      </c>
      <c r="BH38" s="1" t="str">
        <f t="shared" si="29"/>
        <v>ND</v>
      </c>
      <c r="BI38" s="1" t="str">
        <f t="shared" si="30"/>
        <v>ND</v>
      </c>
      <c r="BJ38" s="1" t="str">
        <f t="shared" si="31"/>
        <v>ND</v>
      </c>
      <c r="BK38" s="1" t="str">
        <f t="shared" si="32"/>
        <v>ND</v>
      </c>
      <c r="BL38" s="1" t="str">
        <f t="shared" si="33"/>
        <v>ND</v>
      </c>
      <c r="BM38" s="1" t="str">
        <f t="shared" si="34"/>
        <v>ND</v>
      </c>
      <c r="BN38" s="1" t="str">
        <f t="shared" si="35"/>
        <v>ND</v>
      </c>
      <c r="BO38" s="1" t="str">
        <f t="shared" si="36"/>
        <v>ND</v>
      </c>
      <c r="BP38" s="1" t="str">
        <f t="shared" si="37"/>
        <v>ND</v>
      </c>
      <c r="BQ38" s="1" t="str">
        <f t="shared" si="38"/>
        <v>ND</v>
      </c>
      <c r="BR38" s="1" t="str">
        <f t="shared" si="39"/>
        <v>ND</v>
      </c>
      <c r="BS38" s="1" t="str">
        <f t="shared" si="40"/>
        <v>ND</v>
      </c>
      <c r="BT38" s="1" t="str">
        <f t="shared" si="41"/>
        <v>ND</v>
      </c>
      <c r="BU38" s="1" t="str">
        <f t="shared" si="42"/>
        <v>ND</v>
      </c>
      <c r="BV38" s="1" t="str">
        <f t="shared" si="43"/>
        <v>ND</v>
      </c>
      <c r="BW38" s="1" t="str">
        <f t="shared" si="44"/>
        <v>ND</v>
      </c>
      <c r="BX38" s="1" t="str">
        <f t="shared" si="45"/>
        <v>ND</v>
      </c>
      <c r="BY38" s="1" t="str">
        <f t="shared" si="46"/>
        <v>ND</v>
      </c>
      <c r="BZ38" s="1" t="str">
        <f t="shared" si="47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50"/>
        <v>ND</v>
      </c>
      <c r="CX38" s="1" t="str">
        <f t="shared" si="51"/>
        <v>ND</v>
      </c>
      <c r="CY38" s="1" t="str">
        <f t="shared" si="52"/>
        <v>ND</v>
      </c>
      <c r="CZ38" s="1" t="str">
        <f t="shared" si="53"/>
        <v>ND</v>
      </c>
      <c r="DA38" s="1" t="str">
        <f t="shared" si="54"/>
        <v>ND</v>
      </c>
      <c r="DB38" s="1" t="str">
        <f t="shared" si="55"/>
        <v>ND</v>
      </c>
      <c r="DC38" s="1" t="str">
        <f t="shared" si="56"/>
        <v>ND</v>
      </c>
      <c r="DD38" s="1" t="str">
        <f t="shared" si="57"/>
        <v>ND</v>
      </c>
      <c r="DE38" s="1" t="str">
        <f t="shared" si="58"/>
        <v>ND</v>
      </c>
      <c r="DF38" s="1" t="str">
        <f t="shared" si="59"/>
        <v>ND</v>
      </c>
      <c r="DG38" s="1" t="str">
        <f t="shared" si="60"/>
        <v>ND</v>
      </c>
      <c r="DH38" s="1" t="str">
        <f t="shared" si="61"/>
        <v>ND</v>
      </c>
      <c r="DI38" s="1" t="str">
        <f t="shared" si="62"/>
        <v>ND</v>
      </c>
      <c r="DJ38" s="1" t="str">
        <f t="shared" si="63"/>
        <v>ND</v>
      </c>
      <c r="DK38" s="1" t="str">
        <f t="shared" si="64"/>
        <v>ND</v>
      </c>
      <c r="DL38" s="1" t="str">
        <f t="shared" si="65"/>
        <v>ND</v>
      </c>
      <c r="DM38" s="1" t="str">
        <f t="shared" si="66"/>
        <v>ND</v>
      </c>
      <c r="DN38" s="1" t="str">
        <f t="shared" si="67"/>
        <v>ND</v>
      </c>
      <c r="DO38" s="1" t="str">
        <f t="shared" si="68"/>
        <v>ND</v>
      </c>
      <c r="DP38" s="1" t="str">
        <f t="shared" si="69"/>
        <v>ND</v>
      </c>
      <c r="DQ38" s="1" t="str">
        <f t="shared" si="70"/>
        <v>ND</v>
      </c>
      <c r="DR38" s="1" t="str">
        <f t="shared" si="71"/>
        <v>ND</v>
      </c>
      <c r="DS38" s="1" t="str">
        <f t="shared" si="72"/>
        <v>ND</v>
      </c>
      <c r="DT38" s="1" t="str">
        <f t="shared" si="73"/>
        <v>ND</v>
      </c>
      <c r="DU38" s="1" t="str">
        <f t="shared" si="74"/>
        <v>ND</v>
      </c>
      <c r="DV38" s="1" t="str">
        <f t="shared" si="75"/>
        <v>ND</v>
      </c>
      <c r="DW38" s="1" t="str">
        <f t="shared" si="76"/>
        <v>ND</v>
      </c>
      <c r="DX38" s="1" t="str">
        <f t="shared" si="77"/>
        <v>ND</v>
      </c>
      <c r="DY38" s="1" t="str">
        <f t="shared" si="78"/>
        <v>ND</v>
      </c>
      <c r="DZ38" s="1" t="str">
        <f t="shared" si="79"/>
        <v>ND</v>
      </c>
      <c r="EA38" s="1" t="str">
        <f t="shared" si="80"/>
        <v>ND</v>
      </c>
      <c r="EB38" s="1" t="str">
        <f t="shared" si="81"/>
        <v>ND</v>
      </c>
      <c r="EC38" s="1" t="str">
        <f t="shared" si="82"/>
        <v>ND</v>
      </c>
      <c r="ED38" s="1" t="str">
        <f t="shared" si="83"/>
        <v>ND</v>
      </c>
      <c r="EE38" s="1" t="str">
        <f t="shared" si="84"/>
        <v>ND</v>
      </c>
      <c r="EF38" s="1" t="str">
        <f t="shared" si="85"/>
        <v>ND</v>
      </c>
      <c r="EG38" s="1" t="str">
        <f t="shared" si="86"/>
        <v>ND</v>
      </c>
      <c r="EH38" s="1" t="str">
        <f t="shared" si="87"/>
        <v>ND</v>
      </c>
      <c r="EI38" s="1" t="str">
        <f t="shared" si="88"/>
        <v>ND</v>
      </c>
      <c r="EJ38" s="1" t="str">
        <f t="shared" si="89"/>
        <v>ND</v>
      </c>
      <c r="EK38" s="1" t="str">
        <f t="shared" si="90"/>
        <v>ND</v>
      </c>
      <c r="EL38" s="1" t="str">
        <f t="shared" si="91"/>
        <v>ND</v>
      </c>
      <c r="EM38" s="1" t="str">
        <f t="shared" si="92"/>
        <v>ND</v>
      </c>
      <c r="EN38" s="1" t="str">
        <f t="shared" si="93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7"/>
        <v>ND</v>
      </c>
      <c r="FW38" s="1" t="str">
        <f t="shared" si="98"/>
        <v>ND</v>
      </c>
      <c r="FX38" s="1" t="str">
        <f t="shared" si="99"/>
        <v>ND</v>
      </c>
      <c r="FY38" s="1" t="str">
        <f t="shared" si="100"/>
        <v>ND</v>
      </c>
      <c r="FZ38" s="1" t="str">
        <f t="shared" si="101"/>
        <v>ND</v>
      </c>
      <c r="GA38" s="1" t="str">
        <f t="shared" si="102"/>
        <v>ND</v>
      </c>
      <c r="GB38" s="1" t="str">
        <f t="shared" si="103"/>
        <v>ND</v>
      </c>
      <c r="GC38" s="1" t="str">
        <f t="shared" si="104"/>
        <v>ND</v>
      </c>
      <c r="GD38" s="1" t="str">
        <f t="shared" si="105"/>
        <v>ND</v>
      </c>
      <c r="GE38" s="1" t="str">
        <f t="shared" si="106"/>
        <v>ND</v>
      </c>
      <c r="GF38" s="1" t="str">
        <f t="shared" si="107"/>
        <v>ND</v>
      </c>
      <c r="GG38" s="1" t="str">
        <f t="shared" si="108"/>
        <v>ND</v>
      </c>
      <c r="GH38" s="1" t="str">
        <f t="shared" si="109"/>
        <v>ND</v>
      </c>
      <c r="GI38" s="1" t="str">
        <f t="shared" si="110"/>
        <v>ND</v>
      </c>
      <c r="GJ38" s="1" t="str">
        <f t="shared" si="111"/>
        <v>ND</v>
      </c>
      <c r="GK38" s="1" t="str">
        <f t="shared" si="112"/>
        <v>ND</v>
      </c>
      <c r="GL38" s="1" t="str">
        <f t="shared" si="113"/>
        <v>ND</v>
      </c>
      <c r="GM38" s="1" t="str">
        <f t="shared" si="114"/>
        <v>ND</v>
      </c>
      <c r="GN38" s="1" t="str">
        <f t="shared" si="115"/>
        <v>ND</v>
      </c>
      <c r="GO38" s="1" t="str">
        <f t="shared" si="116"/>
        <v>ND</v>
      </c>
      <c r="GP38" s="1" t="str">
        <f t="shared" si="117"/>
        <v>ND</v>
      </c>
      <c r="GQ38" s="1" t="str">
        <f t="shared" si="118"/>
        <v>ND</v>
      </c>
      <c r="GR38" s="1" t="str">
        <f t="shared" si="119"/>
        <v>ND</v>
      </c>
      <c r="GS38" s="1" t="str">
        <f t="shared" si="120"/>
        <v>ND</v>
      </c>
      <c r="GT38" s="1" t="str">
        <f t="shared" si="121"/>
        <v>ND</v>
      </c>
      <c r="GU38" s="1" t="str">
        <f t="shared" si="122"/>
        <v>ND</v>
      </c>
      <c r="GV38" s="1" t="str">
        <f t="shared" si="123"/>
        <v>ND</v>
      </c>
      <c r="GW38" s="1" t="str">
        <f t="shared" si="124"/>
        <v>ND</v>
      </c>
      <c r="GX38" s="1" t="str">
        <f t="shared" si="125"/>
        <v>ND</v>
      </c>
      <c r="GY38" s="1" t="str">
        <f t="shared" si="126"/>
        <v>ND</v>
      </c>
      <c r="GZ38" s="1" t="str">
        <f t="shared" si="127"/>
        <v>ND</v>
      </c>
      <c r="HA38" s="1" t="str">
        <f t="shared" si="128"/>
        <v>ND</v>
      </c>
      <c r="HB38" s="1" t="str">
        <f t="shared" si="129"/>
        <v>ND</v>
      </c>
      <c r="HC38" s="1" t="str">
        <f t="shared" si="130"/>
        <v>ND</v>
      </c>
      <c r="HD38" s="1" t="str">
        <f t="shared" si="131"/>
        <v>ND</v>
      </c>
      <c r="HE38" s="1" t="str">
        <f t="shared" si="132"/>
        <v>ND</v>
      </c>
      <c r="HF38" s="1" t="str">
        <f t="shared" si="133"/>
        <v>ND</v>
      </c>
      <c r="HG38" s="1" t="str">
        <f t="shared" si="134"/>
        <v>ND</v>
      </c>
      <c r="HH38" s="1" t="str">
        <f t="shared" si="135"/>
        <v>ND</v>
      </c>
      <c r="HI38" s="1" t="str">
        <f t="shared" si="136"/>
        <v>ND</v>
      </c>
      <c r="HJ38" s="1" t="str">
        <f t="shared" si="137"/>
        <v>ND</v>
      </c>
      <c r="HK38" s="1" t="str">
        <f t="shared" si="138"/>
        <v>ND</v>
      </c>
      <c r="HL38" s="1" t="str">
        <f t="shared" si="139"/>
        <v>ND</v>
      </c>
      <c r="HM38" s="1" t="str">
        <f t="shared" si="140"/>
        <v>ND</v>
      </c>
      <c r="HN38" s="1" t="str">
        <f t="shared" si="141"/>
        <v>ND</v>
      </c>
      <c r="HO38" s="1" t="str">
        <f t="shared" si="142"/>
        <v>ND</v>
      </c>
      <c r="HP38" s="1" t="str">
        <f t="shared" si="143"/>
        <v>ND</v>
      </c>
      <c r="HQ38" s="1" t="str">
        <f t="shared" si="144"/>
        <v>ND</v>
      </c>
      <c r="HR38" s="1" t="str">
        <f t="shared" si="145"/>
        <v>ND</v>
      </c>
      <c r="HS38" s="1" t="str">
        <f t="shared" si="146"/>
        <v>ND</v>
      </c>
      <c r="HT38" s="1" t="str">
        <f t="shared" si="147"/>
        <v>ND</v>
      </c>
      <c r="HU38" s="1" t="str">
        <f t="shared" si="148"/>
        <v>ND</v>
      </c>
      <c r="HV38" s="1" t="str">
        <f t="shared" si="149"/>
        <v>ND</v>
      </c>
      <c r="HW38" s="1" t="str">
        <f t="shared" si="150"/>
        <v>ND</v>
      </c>
      <c r="HX38" s="1" t="str">
        <f t="shared" si="151"/>
        <v>ND</v>
      </c>
      <c r="HY38" s="1" t="str">
        <f t="shared" si="152"/>
        <v>ND</v>
      </c>
      <c r="HZ38" s="1" t="str">
        <f t="shared" si="153"/>
        <v>ND</v>
      </c>
      <c r="IA38" s="1" t="str">
        <f t="shared" si="154"/>
        <v>ND</v>
      </c>
      <c r="IB38" s="1" t="str">
        <f t="shared" si="155"/>
        <v>ND</v>
      </c>
      <c r="IC38" s="1" t="str">
        <f t="shared" si="156"/>
        <v>ND</v>
      </c>
      <c r="ID38" s="1" t="str">
        <f t="shared" si="157"/>
        <v>ND</v>
      </c>
      <c r="IE38" s="1" t="str">
        <f t="shared" si="158"/>
        <v>ND</v>
      </c>
      <c r="IF38" s="1" t="str">
        <f t="shared" si="159"/>
        <v>ND</v>
      </c>
      <c r="IG38" s="1" t="str">
        <f t="shared" si="160"/>
        <v>ND</v>
      </c>
      <c r="IH38" s="1" t="str">
        <f t="shared" si="161"/>
        <v>ND</v>
      </c>
      <c r="II38" s="1" t="str">
        <f t="shared" si="162"/>
        <v>ND</v>
      </c>
    </row>
    <row r="39" spans="3:243" x14ac:dyDescent="0.25">
      <c r="C39" t="s">
        <v>77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6.7</v>
      </c>
      <c r="G39" s="1">
        <f>IFERROR(VLOOKUP($C39,EQUIPOS[],UNIFICADO!G$9,0),"")</f>
        <v>64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2.4/1.9</v>
      </c>
      <c r="N39" s="1">
        <f>IFERROR(VLOOKUP($C39,EQUIPOS[],UNIFICADO!N$9,0),"")</f>
        <v>6</v>
      </c>
      <c r="O39" s="1">
        <f>IFERROR(VLOOKUP($C39,EQUIPOS[],UNIFICADO!O$9,0),"")</f>
        <v>177</v>
      </c>
      <c r="P39" s="1">
        <f>IFERROR(VLOOKUP($C39,EQUIPOS[],UNIFICADO!P$9,0),"")</f>
        <v>16.3</v>
      </c>
      <c r="Q39" s="1">
        <f>IFERROR(VLOOKUP($C39,EQUIPOS[],UNIFICADO!Q$9,0),"")</f>
        <v>7.4</v>
      </c>
      <c r="R39" s="1">
        <f>IFERROR(VLOOKUP($C39,EQUIPOS[],UNIFICADO!R$9,0),"")</f>
        <v>0.75</v>
      </c>
      <c r="S39" s="1">
        <f>IFERROR(VLOOKUP($C39,EQUIPOS[],UNIFICADO!S$9,0),"")</f>
        <v>4000</v>
      </c>
      <c r="T39" s="1">
        <f>IFERROR(VLOOKUP($C39,EQUIPOS[],UNIFICADO!T$9,0),"")</f>
        <v>4</v>
      </c>
      <c r="U39" s="1">
        <f>VLOOKUP(UNIFICADA[[#This Row],[Equipo]],EQUIPOS[],19,0)</f>
        <v>29</v>
      </c>
      <c r="V39" s="1" t="str">
        <f t="shared" si="0"/>
        <v>ND</v>
      </c>
      <c r="W39" s="1" t="str">
        <f t="shared" si="1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4"/>
        <v>ND</v>
      </c>
      <c r="AJ39" s="1" t="str">
        <f t="shared" si="5"/>
        <v>ND</v>
      </c>
      <c r="AK39" s="1" t="str">
        <f t="shared" si="6"/>
        <v>ND</v>
      </c>
      <c r="AL39" s="1" t="str">
        <f t="shared" si="7"/>
        <v>ND</v>
      </c>
      <c r="AM39" s="1" t="str">
        <f t="shared" si="8"/>
        <v>ND</v>
      </c>
      <c r="AN39" s="1" t="str">
        <f t="shared" si="9"/>
        <v>ND</v>
      </c>
      <c r="AO39" s="1" t="str">
        <f t="shared" si="10"/>
        <v>ND</v>
      </c>
      <c r="AP39" s="1" t="str">
        <f t="shared" si="11"/>
        <v>ND</v>
      </c>
      <c r="AQ39" s="1" t="str">
        <f t="shared" si="12"/>
        <v>ND</v>
      </c>
      <c r="AR39" s="1" t="str">
        <f t="shared" si="13"/>
        <v>ND</v>
      </c>
      <c r="AS39" s="1" t="str">
        <f t="shared" si="14"/>
        <v>ND</v>
      </c>
      <c r="AT39" s="1" t="str">
        <f t="shared" si="15"/>
        <v>ND</v>
      </c>
      <c r="AU39" s="1" t="str">
        <f t="shared" si="16"/>
        <v>ND</v>
      </c>
      <c r="AV39" s="1" t="str">
        <f t="shared" si="17"/>
        <v>ND</v>
      </c>
      <c r="AW39" s="1" t="str">
        <f t="shared" si="18"/>
        <v>ND</v>
      </c>
      <c r="AX39" s="1" t="str">
        <f t="shared" si="19"/>
        <v>ND</v>
      </c>
      <c r="AY39" s="1" t="str">
        <f t="shared" si="20"/>
        <v>ND</v>
      </c>
      <c r="AZ39" s="1" t="str">
        <f t="shared" si="21"/>
        <v>ND</v>
      </c>
      <c r="BA39" s="1" t="str">
        <f t="shared" si="22"/>
        <v>ND</v>
      </c>
      <c r="BB39" s="1" t="str">
        <f t="shared" si="23"/>
        <v>ND</v>
      </c>
      <c r="BC39" s="1" t="str">
        <f t="shared" si="24"/>
        <v>ND</v>
      </c>
      <c r="BD39" s="1" t="str">
        <f t="shared" si="25"/>
        <v>ND</v>
      </c>
      <c r="BE39" s="1" t="str">
        <f t="shared" si="26"/>
        <v>ND</v>
      </c>
      <c r="BF39" s="1" t="str">
        <f t="shared" si="27"/>
        <v>ND</v>
      </c>
      <c r="BG39" s="1" t="str">
        <f t="shared" si="28"/>
        <v>ND</v>
      </c>
      <c r="BH39" s="1" t="str">
        <f t="shared" si="29"/>
        <v>ND</v>
      </c>
      <c r="BI39" s="1" t="str">
        <f t="shared" si="30"/>
        <v>ND</v>
      </c>
      <c r="BJ39" s="1" t="str">
        <f t="shared" si="31"/>
        <v>ND</v>
      </c>
      <c r="BK39" s="1" t="str">
        <f t="shared" si="32"/>
        <v>ND</v>
      </c>
      <c r="BL39" s="1" t="str">
        <f t="shared" si="33"/>
        <v>ND</v>
      </c>
      <c r="BM39" s="1" t="str">
        <f t="shared" si="34"/>
        <v>ND</v>
      </c>
      <c r="BN39" s="1" t="str">
        <f t="shared" si="35"/>
        <v>ND</v>
      </c>
      <c r="BO39" s="1" t="str">
        <f t="shared" si="36"/>
        <v>ND</v>
      </c>
      <c r="BP39" s="1" t="str">
        <f t="shared" si="37"/>
        <v>ND</v>
      </c>
      <c r="BQ39" s="1" t="str">
        <f t="shared" si="38"/>
        <v>ND</v>
      </c>
      <c r="BR39" s="1" t="str">
        <f t="shared" si="39"/>
        <v>ND</v>
      </c>
      <c r="BS39" s="1" t="str">
        <f t="shared" si="40"/>
        <v>ND</v>
      </c>
      <c r="BT39" s="1" t="str">
        <f t="shared" si="41"/>
        <v>ND</v>
      </c>
      <c r="BU39" s="1" t="str">
        <f t="shared" si="42"/>
        <v>ND</v>
      </c>
      <c r="BV39" s="1" t="str">
        <f t="shared" si="43"/>
        <v>ND</v>
      </c>
      <c r="BW39" s="1" t="str">
        <f t="shared" si="44"/>
        <v>ND</v>
      </c>
      <c r="BX39" s="1" t="str">
        <f t="shared" si="45"/>
        <v>ND</v>
      </c>
      <c r="BY39" s="1" t="str">
        <f t="shared" si="46"/>
        <v>ND</v>
      </c>
      <c r="BZ39" s="1" t="str">
        <f t="shared" si="47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50"/>
        <v>ND</v>
      </c>
      <c r="CX39" s="1" t="str">
        <f t="shared" si="51"/>
        <v>ND</v>
      </c>
      <c r="CY39" s="1" t="str">
        <f t="shared" si="52"/>
        <v>ND</v>
      </c>
      <c r="CZ39" s="1" t="str">
        <f t="shared" si="53"/>
        <v>ND</v>
      </c>
      <c r="DA39" s="1" t="str">
        <f t="shared" si="54"/>
        <v>ND</v>
      </c>
      <c r="DB39" s="1" t="str">
        <f t="shared" si="55"/>
        <v>ND</v>
      </c>
      <c r="DC39" s="1" t="str">
        <f t="shared" si="56"/>
        <v>ND</v>
      </c>
      <c r="DD39" s="1" t="str">
        <f t="shared" si="57"/>
        <v>ND</v>
      </c>
      <c r="DE39" s="1" t="str">
        <f t="shared" si="58"/>
        <v>ND</v>
      </c>
      <c r="DF39" s="1" t="str">
        <f t="shared" si="59"/>
        <v>ND</v>
      </c>
      <c r="DG39" s="1" t="str">
        <f t="shared" si="60"/>
        <v>ND</v>
      </c>
      <c r="DH39" s="1" t="str">
        <f t="shared" si="61"/>
        <v>ND</v>
      </c>
      <c r="DI39" s="1" t="str">
        <f t="shared" si="62"/>
        <v>ND</v>
      </c>
      <c r="DJ39" s="1" t="str">
        <f t="shared" si="63"/>
        <v>ND</v>
      </c>
      <c r="DK39" s="1" t="str">
        <f t="shared" si="64"/>
        <v>ND</v>
      </c>
      <c r="DL39" s="1" t="str">
        <f t="shared" si="65"/>
        <v>ND</v>
      </c>
      <c r="DM39" s="1" t="str">
        <f t="shared" si="66"/>
        <v>ND</v>
      </c>
      <c r="DN39" s="1" t="str">
        <f t="shared" si="67"/>
        <v>ND</v>
      </c>
      <c r="DO39" s="1" t="str">
        <f t="shared" si="68"/>
        <v>ND</v>
      </c>
      <c r="DP39" s="1" t="str">
        <f t="shared" si="69"/>
        <v>ND</v>
      </c>
      <c r="DQ39" s="1" t="str">
        <f t="shared" si="70"/>
        <v>ND</v>
      </c>
      <c r="DR39" s="1" t="str">
        <f t="shared" si="71"/>
        <v>ND</v>
      </c>
      <c r="DS39" s="1" t="str">
        <f t="shared" si="72"/>
        <v>ND</v>
      </c>
      <c r="DT39" s="1" t="str">
        <f t="shared" si="73"/>
        <v>ND</v>
      </c>
      <c r="DU39" s="1" t="str">
        <f t="shared" si="74"/>
        <v>ND</v>
      </c>
      <c r="DV39" s="1" t="str">
        <f t="shared" si="75"/>
        <v>ND</v>
      </c>
      <c r="DW39" s="1" t="str">
        <f t="shared" si="76"/>
        <v>ND</v>
      </c>
      <c r="DX39" s="1" t="str">
        <f t="shared" si="77"/>
        <v>ND</v>
      </c>
      <c r="DY39" s="1" t="str">
        <f t="shared" si="78"/>
        <v>ND</v>
      </c>
      <c r="DZ39" s="1" t="str">
        <f t="shared" si="79"/>
        <v>ND</v>
      </c>
      <c r="EA39" s="1" t="str">
        <f t="shared" si="80"/>
        <v>ND</v>
      </c>
      <c r="EB39" s="1" t="str">
        <f t="shared" si="81"/>
        <v>ND</v>
      </c>
      <c r="EC39" s="1" t="str">
        <f t="shared" si="82"/>
        <v>ND</v>
      </c>
      <c r="ED39" s="1" t="str">
        <f t="shared" si="83"/>
        <v>ND</v>
      </c>
      <c r="EE39" s="1" t="str">
        <f t="shared" si="84"/>
        <v>ND</v>
      </c>
      <c r="EF39" s="1" t="str">
        <f t="shared" si="85"/>
        <v>ND</v>
      </c>
      <c r="EG39" s="1" t="str">
        <f t="shared" si="86"/>
        <v>ND</v>
      </c>
      <c r="EH39" s="1" t="str">
        <f t="shared" si="87"/>
        <v>ND</v>
      </c>
      <c r="EI39" s="1" t="str">
        <f t="shared" si="88"/>
        <v>ND</v>
      </c>
      <c r="EJ39" s="1" t="str">
        <f t="shared" si="89"/>
        <v>ND</v>
      </c>
      <c r="EK39" s="1" t="str">
        <f t="shared" si="90"/>
        <v>ND</v>
      </c>
      <c r="EL39" s="1" t="str">
        <f t="shared" si="91"/>
        <v>ND</v>
      </c>
      <c r="EM39" s="1" t="str">
        <f t="shared" si="92"/>
        <v>ND</v>
      </c>
      <c r="EN39" s="1" t="str">
        <f t="shared" si="93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7"/>
        <v>ND</v>
      </c>
      <c r="FW39" s="1" t="str">
        <f t="shared" si="98"/>
        <v>ND</v>
      </c>
      <c r="FX39" s="1" t="str">
        <f t="shared" si="99"/>
        <v>ND</v>
      </c>
      <c r="FY39" s="1" t="str">
        <f t="shared" si="100"/>
        <v>ND</v>
      </c>
      <c r="FZ39" s="1" t="str">
        <f t="shared" si="101"/>
        <v>ND</v>
      </c>
      <c r="GA39" s="1" t="str">
        <f t="shared" si="102"/>
        <v>ND</v>
      </c>
      <c r="GB39" s="1" t="str">
        <f t="shared" si="103"/>
        <v>ND</v>
      </c>
      <c r="GC39" s="1" t="str">
        <f t="shared" si="104"/>
        <v>ND</v>
      </c>
      <c r="GD39" s="1" t="str">
        <f t="shared" si="105"/>
        <v>ND</v>
      </c>
      <c r="GE39" s="1" t="str">
        <f t="shared" si="106"/>
        <v>ND</v>
      </c>
      <c r="GF39" s="1" t="str">
        <f t="shared" si="107"/>
        <v>ND</v>
      </c>
      <c r="GG39" s="1" t="str">
        <f t="shared" si="108"/>
        <v>ND</v>
      </c>
      <c r="GH39" s="1" t="str">
        <f t="shared" si="109"/>
        <v>ND</v>
      </c>
      <c r="GI39" s="1" t="str">
        <f t="shared" si="110"/>
        <v>ND</v>
      </c>
      <c r="GJ39" s="1" t="str">
        <f t="shared" si="111"/>
        <v>ND</v>
      </c>
      <c r="GK39" s="1" t="str">
        <f t="shared" si="112"/>
        <v>ND</v>
      </c>
      <c r="GL39" s="1" t="str">
        <f t="shared" si="113"/>
        <v>ND</v>
      </c>
      <c r="GM39" s="1" t="str">
        <f t="shared" si="114"/>
        <v>ND</v>
      </c>
      <c r="GN39" s="1" t="str">
        <f t="shared" si="115"/>
        <v>ND</v>
      </c>
      <c r="GO39" s="1" t="str">
        <f t="shared" si="116"/>
        <v>ND</v>
      </c>
      <c r="GP39" s="1" t="str">
        <f t="shared" si="117"/>
        <v>ND</v>
      </c>
      <c r="GQ39" s="1" t="str">
        <f t="shared" si="118"/>
        <v>ND</v>
      </c>
      <c r="GR39" s="1" t="str">
        <f t="shared" si="119"/>
        <v>ND</v>
      </c>
      <c r="GS39" s="1" t="str">
        <f t="shared" si="120"/>
        <v>ND</v>
      </c>
      <c r="GT39" s="1" t="str">
        <f t="shared" si="121"/>
        <v>ND</v>
      </c>
      <c r="GU39" s="1" t="str">
        <f t="shared" si="122"/>
        <v>ND</v>
      </c>
      <c r="GV39" s="1" t="str">
        <f t="shared" si="123"/>
        <v>ND</v>
      </c>
      <c r="GW39" s="1" t="str">
        <f t="shared" si="124"/>
        <v>ND</v>
      </c>
      <c r="GX39" s="1" t="str">
        <f t="shared" si="125"/>
        <v>ND</v>
      </c>
      <c r="GY39" s="1" t="str">
        <f t="shared" si="126"/>
        <v>ND</v>
      </c>
      <c r="GZ39" s="1" t="str">
        <f t="shared" si="127"/>
        <v>ND</v>
      </c>
      <c r="HA39" s="1" t="str">
        <f t="shared" si="128"/>
        <v>ND</v>
      </c>
      <c r="HB39" s="1" t="str">
        <f t="shared" si="129"/>
        <v>ND</v>
      </c>
      <c r="HC39" s="1" t="str">
        <f t="shared" si="130"/>
        <v>ND</v>
      </c>
      <c r="HD39" s="1" t="str">
        <f t="shared" si="131"/>
        <v>ND</v>
      </c>
      <c r="HE39" s="1" t="str">
        <f t="shared" si="132"/>
        <v>ND</v>
      </c>
      <c r="HF39" s="1" t="str">
        <f t="shared" si="133"/>
        <v>ND</v>
      </c>
      <c r="HG39" s="1" t="str">
        <f t="shared" si="134"/>
        <v>ND</v>
      </c>
      <c r="HH39" s="1" t="str">
        <f t="shared" si="135"/>
        <v>ND</v>
      </c>
      <c r="HI39" s="1" t="str">
        <f t="shared" si="136"/>
        <v>ND</v>
      </c>
      <c r="HJ39" s="1" t="str">
        <f t="shared" si="137"/>
        <v>ND</v>
      </c>
      <c r="HK39" s="1" t="str">
        <f t="shared" si="138"/>
        <v>ND</v>
      </c>
      <c r="HL39" s="1" t="str">
        <f t="shared" si="139"/>
        <v>ND</v>
      </c>
      <c r="HM39" s="1" t="str">
        <f t="shared" si="140"/>
        <v>ND</v>
      </c>
      <c r="HN39" s="1" t="str">
        <f t="shared" si="141"/>
        <v>ND</v>
      </c>
      <c r="HO39" s="1" t="str">
        <f t="shared" si="142"/>
        <v>ND</v>
      </c>
      <c r="HP39" s="1" t="str">
        <f t="shared" si="143"/>
        <v>ND</v>
      </c>
      <c r="HQ39" s="1" t="str">
        <f t="shared" si="144"/>
        <v>ND</v>
      </c>
      <c r="HR39" s="1" t="str">
        <f t="shared" si="145"/>
        <v>ND</v>
      </c>
      <c r="HS39" s="1" t="str">
        <f t="shared" si="146"/>
        <v>ND</v>
      </c>
      <c r="HT39" s="1" t="str">
        <f t="shared" si="147"/>
        <v>ND</v>
      </c>
      <c r="HU39" s="1" t="str">
        <f t="shared" si="148"/>
        <v>ND</v>
      </c>
      <c r="HV39" s="1" t="str">
        <f t="shared" si="149"/>
        <v>ND</v>
      </c>
      <c r="HW39" s="1" t="str">
        <f t="shared" si="150"/>
        <v>ND</v>
      </c>
      <c r="HX39" s="1" t="str">
        <f t="shared" si="151"/>
        <v>ND</v>
      </c>
      <c r="HY39" s="1" t="str">
        <f t="shared" si="152"/>
        <v>ND</v>
      </c>
      <c r="HZ39" s="1" t="str">
        <f t="shared" si="153"/>
        <v>ND</v>
      </c>
      <c r="IA39" s="1" t="str">
        <f t="shared" si="154"/>
        <v>ND</v>
      </c>
      <c r="IB39" s="1" t="str">
        <f t="shared" si="155"/>
        <v>ND</v>
      </c>
      <c r="IC39" s="1" t="str">
        <f t="shared" si="156"/>
        <v>ND</v>
      </c>
      <c r="ID39" s="1" t="str">
        <f t="shared" si="157"/>
        <v>ND</v>
      </c>
      <c r="IE39" s="1" t="str">
        <f t="shared" si="158"/>
        <v>ND</v>
      </c>
      <c r="IF39" s="1" t="str">
        <f t="shared" si="159"/>
        <v>ND</v>
      </c>
      <c r="IG39" s="1" t="str">
        <f t="shared" si="160"/>
        <v>ND</v>
      </c>
      <c r="IH39" s="1" t="str">
        <f t="shared" si="161"/>
        <v>ND</v>
      </c>
      <c r="II39" s="1" t="str">
        <f t="shared" si="162"/>
        <v>ND</v>
      </c>
    </row>
    <row r="40" spans="3:243" x14ac:dyDescent="0.25">
      <c r="C40" t="s">
        <v>602</v>
      </c>
      <c r="D40">
        <f>SUMIFS(DICCIONARIO[Cantidad],DICCIONARIO[Modelo],UNIFICADA[[#This Row],[Equipo]])</f>
        <v>12</v>
      </c>
      <c r="E40" s="1">
        <f>IFERROR(VLOOKUP($C40,EQUIPOS[],UNIFICADO!E$9,0),"")</f>
        <v>12</v>
      </c>
      <c r="F40" s="1" t="str">
        <f>IFERROR(VLOOKUP($C40,EQUIPOS[],UNIFICADO!F$9,0),"")</f>
        <v>6.7 LCD FullHD+ 90Hz</v>
      </c>
      <c r="G40" s="1" t="str">
        <f>IFERROR(VLOOKUP($C40,EQUIPOS[],UNIFICADO!G$9,0),"")</f>
        <v>100 MPx f/1,9</v>
      </c>
      <c r="H40" s="1">
        <f>IFERROR(VLOOKUP($C40,EQUIPOS[],UNIFICADO!H$9,0),"")</f>
        <v>3</v>
      </c>
      <c r="I40" s="1" t="str">
        <f>IFERROR(VLOOKUP($C40,EQUIPOS[],UNIFICADO!I$9,0),"")</f>
        <v>16 Mpx f/2,45</v>
      </c>
      <c r="J40" s="1" t="str">
        <f>IFERROR(VLOOKUP($C40,EQUIPOS[],UNIFICADO!J$9,0),"")</f>
        <v>128GB</v>
      </c>
      <c r="K40" s="1">
        <f>IFERROR(VLOOKUP($C40,EQUIPOS[],UNIFICADO!K$9,0),"")</f>
        <v>0</v>
      </c>
      <c r="L40" s="1">
        <f>IFERROR(VLOOKUP($C40,EQUIPOS[],UNIFICADO!L$9,0),"")</f>
        <v>8</v>
      </c>
      <c r="M40" s="1" t="str">
        <f>IFERROR(VLOOKUP($C40,EQUIPOS[],UNIFICADO!M$9,0),"")</f>
        <v>Mdtk Helio G88</v>
      </c>
      <c r="N40" s="1">
        <f>IFERROR(VLOOKUP($C40,EQUIPOS[],UNIFICADO!N$9,0),"")</f>
        <v>6</v>
      </c>
      <c r="O40" s="1">
        <f>IFERROR(VLOOKUP($C40,EQUIPOS[],UNIFICADO!O$9,0),"")</f>
        <v>179</v>
      </c>
      <c r="P40" s="1">
        <f>IFERROR(VLOOKUP($C40,EQUIPOS[],UNIFICADO!P$9,0),"")</f>
        <v>16.3</v>
      </c>
      <c r="Q40" s="1">
        <f>IFERROR(VLOOKUP($C40,EQUIPOS[],UNIFICADO!Q$9,0),"")</f>
        <v>7.45</v>
      </c>
      <c r="R40" s="1">
        <f>IFERROR(VLOOKUP($C40,EQUIPOS[],UNIFICADO!R$9,0),"")</f>
        <v>0.75</v>
      </c>
      <c r="S40" s="1" t="str">
        <f>IFERROR(VLOOKUP($C40,EQUIPOS[],UNIFICADO!S$9,0),"")</f>
        <v>4500 22.5W</v>
      </c>
      <c r="T40" s="1">
        <f>IFERROR(VLOOKUP($C40,EQUIPOS[],UNIFICADO!T$9,0),"")</f>
        <v>4</v>
      </c>
      <c r="U40" s="1">
        <f>VLOOKUP(UNIFICADA[[#This Row],[Equipo]],EQUIPOS[],19,0)</f>
        <v>30</v>
      </c>
      <c r="V40" s="1" t="str">
        <f t="shared" si="0"/>
        <v>ND</v>
      </c>
      <c r="W40" s="1" t="str">
        <f t="shared" si="1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4"/>
        <v>ND</v>
      </c>
      <c r="AJ40" s="1" t="str">
        <f t="shared" si="5"/>
        <v>ND</v>
      </c>
      <c r="AK40" s="1" t="str">
        <f t="shared" si="6"/>
        <v>ND</v>
      </c>
      <c r="AL40" s="1" t="str">
        <f t="shared" si="7"/>
        <v>ND</v>
      </c>
      <c r="AM40" s="1" t="str">
        <f t="shared" si="8"/>
        <v>ND</v>
      </c>
      <c r="AN40" s="1" t="str">
        <f t="shared" si="9"/>
        <v>ND</v>
      </c>
      <c r="AO40" s="1" t="str">
        <f t="shared" si="10"/>
        <v>ND</v>
      </c>
      <c r="AP40" s="1" t="str">
        <f t="shared" si="11"/>
        <v>ND</v>
      </c>
      <c r="AQ40" s="1" t="str">
        <f t="shared" si="12"/>
        <v>ND</v>
      </c>
      <c r="AR40" s="1" t="str">
        <f t="shared" si="13"/>
        <v>ND</v>
      </c>
      <c r="AS40" s="1" t="str">
        <f t="shared" si="14"/>
        <v>ND</v>
      </c>
      <c r="AT40" s="1" t="str">
        <f t="shared" si="15"/>
        <v>ND</v>
      </c>
      <c r="AU40" s="1" t="str">
        <f t="shared" si="16"/>
        <v>ND</v>
      </c>
      <c r="AV40" s="1" t="str">
        <f t="shared" si="17"/>
        <v>ND</v>
      </c>
      <c r="AW40" s="1" t="str">
        <f t="shared" si="18"/>
        <v>ND</v>
      </c>
      <c r="AX40" s="1" t="str">
        <f t="shared" si="19"/>
        <v>ND</v>
      </c>
      <c r="AY40" s="1" t="str">
        <f t="shared" si="20"/>
        <v>ND</v>
      </c>
      <c r="AZ40" s="1" t="str">
        <f t="shared" si="21"/>
        <v>ND</v>
      </c>
      <c r="BA40" s="1" t="str">
        <f t="shared" si="22"/>
        <v>ND</v>
      </c>
      <c r="BB40" s="1" t="str">
        <f t="shared" si="23"/>
        <v>ND</v>
      </c>
      <c r="BC40" s="1" t="str">
        <f t="shared" si="24"/>
        <v>ND</v>
      </c>
      <c r="BD40" s="1" t="str">
        <f t="shared" si="25"/>
        <v>ND</v>
      </c>
      <c r="BE40" s="1" t="str">
        <f t="shared" si="26"/>
        <v>ND</v>
      </c>
      <c r="BF40" s="1" t="str">
        <f t="shared" si="27"/>
        <v>ND</v>
      </c>
      <c r="BG40" s="1" t="str">
        <f t="shared" si="28"/>
        <v>ND</v>
      </c>
      <c r="BH40" s="1" t="str">
        <f t="shared" si="29"/>
        <v>ND</v>
      </c>
      <c r="BI40" s="1" t="str">
        <f t="shared" si="30"/>
        <v>ND</v>
      </c>
      <c r="BJ40" s="1" t="str">
        <f t="shared" si="31"/>
        <v>ND</v>
      </c>
      <c r="BK40" s="1" t="str">
        <f t="shared" si="32"/>
        <v>ND</v>
      </c>
      <c r="BL40" s="1" t="str">
        <f t="shared" si="33"/>
        <v>ND</v>
      </c>
      <c r="BM40" s="1" t="str">
        <f t="shared" si="34"/>
        <v>ND</v>
      </c>
      <c r="BN40" s="1" t="str">
        <f t="shared" si="35"/>
        <v>ND</v>
      </c>
      <c r="BO40" s="1" t="str">
        <f t="shared" si="36"/>
        <v>ND</v>
      </c>
      <c r="BP40" s="1" t="str">
        <f t="shared" si="37"/>
        <v>ND</v>
      </c>
      <c r="BQ40" s="1" t="str">
        <f t="shared" si="38"/>
        <v>ND</v>
      </c>
      <c r="BR40" s="1" t="str">
        <f t="shared" si="39"/>
        <v>ND</v>
      </c>
      <c r="BS40" s="1" t="str">
        <f t="shared" si="40"/>
        <v>ND</v>
      </c>
      <c r="BT40" s="1" t="str">
        <f t="shared" si="41"/>
        <v>ND</v>
      </c>
      <c r="BU40" s="1" t="str">
        <f t="shared" si="42"/>
        <v>ND</v>
      </c>
      <c r="BV40" s="1" t="str">
        <f t="shared" si="43"/>
        <v>ND</v>
      </c>
      <c r="BW40" s="1" t="str">
        <f t="shared" si="44"/>
        <v>ND</v>
      </c>
      <c r="BX40" s="1" t="str">
        <f t="shared" si="45"/>
        <v>ND</v>
      </c>
      <c r="BY40" s="1" t="str">
        <f t="shared" si="46"/>
        <v>ND</v>
      </c>
      <c r="BZ40" s="1" t="str">
        <f t="shared" si="47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50"/>
        <v>ND</v>
      </c>
      <c r="CX40" s="1" t="str">
        <f t="shared" si="51"/>
        <v>ND</v>
      </c>
      <c r="CY40" s="1" t="str">
        <f t="shared" si="52"/>
        <v>ND</v>
      </c>
      <c r="CZ40" s="1" t="str">
        <f t="shared" si="53"/>
        <v>ND</v>
      </c>
      <c r="DA40" s="1" t="str">
        <f t="shared" si="54"/>
        <v>ND</v>
      </c>
      <c r="DB40" s="1" t="str">
        <f t="shared" si="55"/>
        <v>ND</v>
      </c>
      <c r="DC40" s="1" t="str">
        <f t="shared" si="56"/>
        <v>ND</v>
      </c>
      <c r="DD40" s="1" t="str">
        <f t="shared" si="57"/>
        <v>ND</v>
      </c>
      <c r="DE40" s="1" t="str">
        <f t="shared" si="58"/>
        <v>ND</v>
      </c>
      <c r="DF40" s="1" t="str">
        <f t="shared" si="59"/>
        <v>ND</v>
      </c>
      <c r="DG40" s="1" t="str">
        <f t="shared" si="60"/>
        <v>ND</v>
      </c>
      <c r="DH40" s="1" t="str">
        <f t="shared" si="61"/>
        <v>ND</v>
      </c>
      <c r="DI40" s="1" t="str">
        <f t="shared" si="62"/>
        <v>ND</v>
      </c>
      <c r="DJ40" s="1" t="str">
        <f t="shared" si="63"/>
        <v>ND</v>
      </c>
      <c r="DK40" s="1" t="str">
        <f t="shared" si="64"/>
        <v>ND</v>
      </c>
      <c r="DL40" s="1" t="str">
        <f t="shared" si="65"/>
        <v>ND</v>
      </c>
      <c r="DM40" s="1" t="str">
        <f t="shared" si="66"/>
        <v>ND</v>
      </c>
      <c r="DN40" s="1" t="str">
        <f t="shared" si="67"/>
        <v>ND</v>
      </c>
      <c r="DO40" s="1" t="str">
        <f t="shared" si="68"/>
        <v>ND</v>
      </c>
      <c r="DP40" s="1" t="str">
        <f t="shared" si="69"/>
        <v>ND</v>
      </c>
      <c r="DQ40" s="1" t="str">
        <f t="shared" si="70"/>
        <v>ND</v>
      </c>
      <c r="DR40" s="1" t="str">
        <f t="shared" si="71"/>
        <v>ND</v>
      </c>
      <c r="DS40" s="1" t="str">
        <f t="shared" si="72"/>
        <v>ND</v>
      </c>
      <c r="DT40" s="1" t="str">
        <f t="shared" si="73"/>
        <v>ND</v>
      </c>
      <c r="DU40" s="1" t="str">
        <f t="shared" si="74"/>
        <v>ND</v>
      </c>
      <c r="DV40" s="1" t="str">
        <f t="shared" si="75"/>
        <v>ND</v>
      </c>
      <c r="DW40" s="1" t="str">
        <f t="shared" si="76"/>
        <v>ND</v>
      </c>
      <c r="DX40" s="1" t="str">
        <f t="shared" si="77"/>
        <v>ND</v>
      </c>
      <c r="DY40" s="1" t="str">
        <f t="shared" si="78"/>
        <v>ND</v>
      </c>
      <c r="DZ40" s="1" t="str">
        <f t="shared" si="79"/>
        <v>ND</v>
      </c>
      <c r="EA40" s="1" t="str">
        <f t="shared" si="80"/>
        <v>ND</v>
      </c>
      <c r="EB40" s="1" t="str">
        <f t="shared" si="81"/>
        <v>ND</v>
      </c>
      <c r="EC40" s="1" t="str">
        <f t="shared" si="82"/>
        <v>ND</v>
      </c>
      <c r="ED40" s="1" t="str">
        <f t="shared" si="83"/>
        <v>ND</v>
      </c>
      <c r="EE40" s="1" t="str">
        <f t="shared" si="84"/>
        <v>ND</v>
      </c>
      <c r="EF40" s="1" t="str">
        <f t="shared" si="85"/>
        <v>ND</v>
      </c>
      <c r="EG40" s="1" t="str">
        <f t="shared" si="86"/>
        <v>ND</v>
      </c>
      <c r="EH40" s="1" t="str">
        <f t="shared" si="87"/>
        <v>ND</v>
      </c>
      <c r="EI40" s="1" t="str">
        <f t="shared" si="88"/>
        <v>ND</v>
      </c>
      <c r="EJ40" s="1" t="str">
        <f t="shared" si="89"/>
        <v>ND</v>
      </c>
      <c r="EK40" s="1" t="str">
        <f t="shared" si="90"/>
        <v>ND</v>
      </c>
      <c r="EL40" s="1" t="str">
        <f t="shared" si="91"/>
        <v>ND</v>
      </c>
      <c r="EM40" s="1" t="str">
        <f t="shared" si="92"/>
        <v>ND</v>
      </c>
      <c r="EN40" s="1" t="str">
        <f t="shared" si="93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7"/>
        <v>ND</v>
      </c>
      <c r="FW40" s="1" t="str">
        <f t="shared" si="98"/>
        <v>ND</v>
      </c>
      <c r="FX40" s="1" t="str">
        <f t="shared" si="99"/>
        <v>ND</v>
      </c>
      <c r="FY40" s="1" t="str">
        <f t="shared" si="100"/>
        <v>ND</v>
      </c>
      <c r="FZ40" s="1" t="str">
        <f t="shared" si="101"/>
        <v>ND</v>
      </c>
      <c r="GA40" s="1" t="str">
        <f t="shared" si="102"/>
        <v>ND</v>
      </c>
      <c r="GB40" s="1" t="str">
        <f t="shared" si="103"/>
        <v>ND</v>
      </c>
      <c r="GC40" s="1" t="str">
        <f t="shared" si="104"/>
        <v>ND</v>
      </c>
      <c r="GD40" s="1" t="str">
        <f t="shared" si="105"/>
        <v>ND</v>
      </c>
      <c r="GE40" s="1" t="str">
        <f t="shared" si="106"/>
        <v>ND</v>
      </c>
      <c r="GF40" s="1" t="str">
        <f t="shared" si="107"/>
        <v>ND</v>
      </c>
      <c r="GG40" s="1" t="str">
        <f t="shared" si="108"/>
        <v>ND</v>
      </c>
      <c r="GH40" s="1" t="str">
        <f t="shared" si="109"/>
        <v>ND</v>
      </c>
      <c r="GI40" s="1" t="str">
        <f t="shared" si="110"/>
        <v>ND</v>
      </c>
      <c r="GJ40" s="1" t="str">
        <f t="shared" si="111"/>
        <v>ND</v>
      </c>
      <c r="GK40" s="1" t="str">
        <f t="shared" si="112"/>
        <v>ND</v>
      </c>
      <c r="GL40" s="1" t="str">
        <f t="shared" si="113"/>
        <v>ND</v>
      </c>
      <c r="GM40" s="1" t="str">
        <f t="shared" si="114"/>
        <v>ND</v>
      </c>
      <c r="GN40" s="1" t="str">
        <f t="shared" si="115"/>
        <v>ND</v>
      </c>
      <c r="GO40" s="1" t="str">
        <f t="shared" si="116"/>
        <v>ND</v>
      </c>
      <c r="GP40" s="1" t="str">
        <f t="shared" si="117"/>
        <v>ND</v>
      </c>
      <c r="GQ40" s="1" t="str">
        <f t="shared" si="118"/>
        <v>ND</v>
      </c>
      <c r="GR40" s="1" t="str">
        <f t="shared" si="119"/>
        <v>ND</v>
      </c>
      <c r="GS40" s="1" t="str">
        <f t="shared" si="120"/>
        <v>ND</v>
      </c>
      <c r="GT40" s="1" t="str">
        <f t="shared" si="121"/>
        <v>ND</v>
      </c>
      <c r="GU40" s="1" t="str">
        <f t="shared" si="122"/>
        <v>ND</v>
      </c>
      <c r="GV40" s="1" t="str">
        <f t="shared" si="123"/>
        <v>ND</v>
      </c>
      <c r="GW40" s="1" t="str">
        <f t="shared" si="124"/>
        <v>ND</v>
      </c>
      <c r="GX40" s="1" t="str">
        <f t="shared" si="125"/>
        <v>ND</v>
      </c>
      <c r="GY40" s="1" t="str">
        <f t="shared" si="126"/>
        <v>ND</v>
      </c>
      <c r="GZ40" s="1" t="str">
        <f t="shared" si="127"/>
        <v>ND</v>
      </c>
      <c r="HA40" s="1" t="str">
        <f t="shared" si="128"/>
        <v>ND</v>
      </c>
      <c r="HB40" s="1" t="str">
        <f t="shared" si="129"/>
        <v>ND</v>
      </c>
      <c r="HC40" s="1" t="str">
        <f t="shared" si="130"/>
        <v>ND</v>
      </c>
      <c r="HD40" s="1" t="str">
        <f t="shared" si="131"/>
        <v>ND</v>
      </c>
      <c r="HE40" s="1" t="str">
        <f t="shared" si="132"/>
        <v>ND</v>
      </c>
      <c r="HF40" s="1" t="str">
        <f t="shared" si="133"/>
        <v>ND</v>
      </c>
      <c r="HG40" s="1" t="str">
        <f t="shared" si="134"/>
        <v>ND</v>
      </c>
      <c r="HH40" s="1" t="str">
        <f t="shared" si="135"/>
        <v>ND</v>
      </c>
      <c r="HI40" s="1" t="str">
        <f t="shared" si="136"/>
        <v>ND</v>
      </c>
      <c r="HJ40" s="1" t="str">
        <f t="shared" si="137"/>
        <v>ND</v>
      </c>
      <c r="HK40" s="1" t="str">
        <f t="shared" si="138"/>
        <v>ND</v>
      </c>
      <c r="HL40" s="1" t="str">
        <f t="shared" si="139"/>
        <v>ND</v>
      </c>
      <c r="HM40" s="1" t="str">
        <f t="shared" si="140"/>
        <v>ND</v>
      </c>
      <c r="HN40" s="1" t="str">
        <f t="shared" si="141"/>
        <v>ND</v>
      </c>
      <c r="HO40" s="1" t="str">
        <f t="shared" si="142"/>
        <v>ND</v>
      </c>
      <c r="HP40" s="1" t="str">
        <f t="shared" si="143"/>
        <v>ND</v>
      </c>
      <c r="HQ40" s="1" t="str">
        <f t="shared" si="144"/>
        <v>ND</v>
      </c>
      <c r="HR40" s="1" t="str">
        <f t="shared" si="145"/>
        <v>ND</v>
      </c>
      <c r="HS40" s="1" t="str">
        <f t="shared" si="146"/>
        <v>ND</v>
      </c>
      <c r="HT40" s="1" t="str">
        <f t="shared" si="147"/>
        <v>ND</v>
      </c>
      <c r="HU40" s="1" t="str">
        <f t="shared" si="148"/>
        <v>ND</v>
      </c>
      <c r="HV40" s="1" t="str">
        <f t="shared" si="149"/>
        <v>ND</v>
      </c>
      <c r="HW40" s="1" t="str">
        <f t="shared" si="150"/>
        <v>ND</v>
      </c>
      <c r="HX40" s="1" t="str">
        <f t="shared" si="151"/>
        <v>ND</v>
      </c>
      <c r="HY40" s="1" t="str">
        <f t="shared" si="152"/>
        <v>ND</v>
      </c>
      <c r="HZ40" s="1" t="str">
        <f t="shared" si="153"/>
        <v>ND</v>
      </c>
      <c r="IA40" s="1" t="str">
        <f t="shared" si="154"/>
        <v>ND</v>
      </c>
      <c r="IB40" s="1" t="str">
        <f t="shared" si="155"/>
        <v>ND</v>
      </c>
      <c r="IC40" s="1" t="str">
        <f t="shared" si="156"/>
        <v>ND</v>
      </c>
      <c r="ID40" s="1" t="str">
        <f t="shared" si="157"/>
        <v>ND</v>
      </c>
      <c r="IE40" s="1" t="str">
        <f t="shared" si="158"/>
        <v>ND</v>
      </c>
      <c r="IF40" s="1" t="str">
        <f t="shared" si="159"/>
        <v>ND</v>
      </c>
      <c r="IG40" s="1" t="str">
        <f t="shared" si="160"/>
        <v>ND</v>
      </c>
      <c r="IH40" s="1" t="str">
        <f t="shared" si="161"/>
        <v>ND</v>
      </c>
      <c r="II40" s="1" t="str">
        <f t="shared" si="162"/>
        <v>ND</v>
      </c>
    </row>
    <row r="41" spans="3:243" x14ac:dyDescent="0.25">
      <c r="C41" t="s">
        <v>97</v>
      </c>
      <c r="D41">
        <f>SUMIFS(DICCIONARIO[Cantidad],DICCIONARIO[Modelo],UNIFICADA[[#This Row],[Equipo]])</f>
        <v>0</v>
      </c>
      <c r="E41" s="1">
        <f>IFERROR(VLOOKUP($C41,EQUIPOS[],UNIFICADO!E$9,0),"")</f>
        <v>11</v>
      </c>
      <c r="F41" s="1">
        <f>IFERROR(VLOOKUP($C41,EQUIPOS[],UNIFICADO!F$9,0),"")</f>
        <v>6.81</v>
      </c>
      <c r="G41" s="1">
        <f>IFERROR(VLOOKUP($C41,EQUIPOS[],UNIFICADO!G$9,0),"")</f>
        <v>64</v>
      </c>
      <c r="H41" s="1">
        <f>IFERROR(VLOOKUP($C41,EQUIPOS[],UNIFICADO!H$9,0),"")</f>
        <v>4</v>
      </c>
      <c r="I41" s="1">
        <f>IFERROR(VLOOKUP($C41,EQUIPOS[],UNIFICADO!I$9,0),"")</f>
        <v>16</v>
      </c>
      <c r="J41" s="1" t="str">
        <f>IFERROR(VLOOKUP($C41,EQUIPOS[],UNIFICADO!J$9,0),"")</f>
        <v>128GB</v>
      </c>
      <c r="K41" s="1">
        <f>IFERROR(VLOOKUP($C41,EQUIPOS[],UNIFICADO!K$9,0),"")</f>
        <v>0</v>
      </c>
      <c r="L41" s="1">
        <f>IFERROR(VLOOKUP($C41,EQUIPOS[],UNIFICADO!L$9,0),"")</f>
        <v>8</v>
      </c>
      <c r="M41" s="1" t="str">
        <f>IFERROR(VLOOKUP($C41,EQUIPOS[],UNIFICADO!M$9,0),"")</f>
        <v>2.4/1.9</v>
      </c>
      <c r="N41" s="1">
        <f>IFERROR(VLOOKUP($C41,EQUIPOS[],UNIFICADO!N$9,0),"")</f>
        <v>8</v>
      </c>
      <c r="O41" s="1">
        <f>IFERROR(VLOOKUP($C41,EQUIPOS[],UNIFICADO!O$9,0),"")</f>
        <v>189</v>
      </c>
      <c r="P41" s="1">
        <f>IFERROR(VLOOKUP($C41,EQUIPOS[],UNIFICADO!P$9,0),"")</f>
        <v>16.600000000000001</v>
      </c>
      <c r="Q41" s="1">
        <f>IFERROR(VLOOKUP($C41,EQUIPOS[],UNIFICADO!Q$9,0),"")</f>
        <v>7.58</v>
      </c>
      <c r="R41" s="1">
        <f>IFERROR(VLOOKUP($C41,EQUIPOS[],UNIFICADO!R$9,0),"")</f>
        <v>0.81</v>
      </c>
      <c r="S41" s="1">
        <f>IFERROR(VLOOKUP($C41,EQUIPOS[],UNIFICADO!S$9,0),"")</f>
        <v>4800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0"/>
        <v>ND</v>
      </c>
      <c r="W41" s="1" t="str">
        <f t="shared" si="1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4"/>
        <v>ND</v>
      </c>
      <c r="AJ41" s="1" t="str">
        <f t="shared" si="5"/>
        <v>ND</v>
      </c>
      <c r="AK41" s="1" t="str">
        <f t="shared" si="6"/>
        <v>ND</v>
      </c>
      <c r="AL41" s="1" t="str">
        <f t="shared" si="7"/>
        <v>ND</v>
      </c>
      <c r="AM41" s="1" t="str">
        <f t="shared" si="8"/>
        <v>ND</v>
      </c>
      <c r="AN41" s="1" t="str">
        <f t="shared" si="9"/>
        <v>ND</v>
      </c>
      <c r="AO41" s="1" t="str">
        <f t="shared" si="10"/>
        <v>ND</v>
      </c>
      <c r="AP41" s="1" t="str">
        <f t="shared" si="11"/>
        <v>ND</v>
      </c>
      <c r="AQ41" s="1" t="str">
        <f t="shared" si="12"/>
        <v>ND</v>
      </c>
      <c r="AR41" s="1" t="str">
        <f t="shared" si="13"/>
        <v>ND</v>
      </c>
      <c r="AS41" s="1" t="str">
        <f t="shared" si="14"/>
        <v>ND</v>
      </c>
      <c r="AT41" s="1" t="str">
        <f t="shared" si="15"/>
        <v>ND</v>
      </c>
      <c r="AU41" s="1" t="str">
        <f t="shared" si="16"/>
        <v>ND</v>
      </c>
      <c r="AV41" s="1" t="str">
        <f t="shared" si="17"/>
        <v>ND</v>
      </c>
      <c r="AW41" s="1" t="str">
        <f t="shared" si="18"/>
        <v>ND</v>
      </c>
      <c r="AX41" s="1" t="str">
        <f t="shared" si="19"/>
        <v>ND</v>
      </c>
      <c r="AY41" s="1" t="str">
        <f t="shared" si="20"/>
        <v>ND</v>
      </c>
      <c r="AZ41" s="1" t="str">
        <f t="shared" si="21"/>
        <v>ND</v>
      </c>
      <c r="BA41" s="1" t="str">
        <f t="shared" si="22"/>
        <v>ND</v>
      </c>
      <c r="BB41" s="1" t="str">
        <f t="shared" si="23"/>
        <v>ND</v>
      </c>
      <c r="BC41" s="1" t="str">
        <f t="shared" si="24"/>
        <v>ND</v>
      </c>
      <c r="BD41" s="1" t="str">
        <f t="shared" si="25"/>
        <v>ND</v>
      </c>
      <c r="BE41" s="1" t="str">
        <f t="shared" si="26"/>
        <v>ND</v>
      </c>
      <c r="BF41" s="1" t="str">
        <f t="shared" si="27"/>
        <v>ND</v>
      </c>
      <c r="BG41" s="1" t="str">
        <f t="shared" si="28"/>
        <v>ND</v>
      </c>
      <c r="BH41" s="1" t="str">
        <f t="shared" si="29"/>
        <v>ND</v>
      </c>
      <c r="BI41" s="1" t="str">
        <f t="shared" si="30"/>
        <v>ND</v>
      </c>
      <c r="BJ41" s="1" t="str">
        <f t="shared" si="31"/>
        <v>ND</v>
      </c>
      <c r="BK41" s="1" t="str">
        <f t="shared" si="32"/>
        <v>ND</v>
      </c>
      <c r="BL41" s="1" t="str">
        <f t="shared" si="33"/>
        <v>ND</v>
      </c>
      <c r="BM41" s="1" t="str">
        <f t="shared" si="34"/>
        <v>ND</v>
      </c>
      <c r="BN41" s="1" t="str">
        <f t="shared" si="35"/>
        <v>ND</v>
      </c>
      <c r="BO41" s="1" t="str">
        <f t="shared" si="36"/>
        <v>ND</v>
      </c>
      <c r="BP41" s="1" t="str">
        <f t="shared" si="37"/>
        <v>ND</v>
      </c>
      <c r="BQ41" s="1" t="str">
        <f t="shared" si="38"/>
        <v>ND</v>
      </c>
      <c r="BR41" s="1" t="str">
        <f t="shared" si="39"/>
        <v>ND</v>
      </c>
      <c r="BS41" s="1" t="str">
        <f t="shared" si="40"/>
        <v>ND</v>
      </c>
      <c r="BT41" s="1" t="str">
        <f t="shared" si="41"/>
        <v>ND</v>
      </c>
      <c r="BU41" s="1" t="str">
        <f t="shared" si="42"/>
        <v>ND</v>
      </c>
      <c r="BV41" s="1" t="str">
        <f t="shared" si="43"/>
        <v>ND</v>
      </c>
      <c r="BW41" s="1" t="str">
        <f t="shared" si="44"/>
        <v>ND</v>
      </c>
      <c r="BX41" s="1" t="str">
        <f t="shared" si="45"/>
        <v>ND</v>
      </c>
      <c r="BY41" s="1" t="str">
        <f t="shared" si="46"/>
        <v>ND</v>
      </c>
      <c r="BZ41" s="1" t="str">
        <f t="shared" si="47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50"/>
        <v>ND</v>
      </c>
      <c r="CX41" s="1" t="str">
        <f t="shared" si="51"/>
        <v>ND</v>
      </c>
      <c r="CY41" s="1" t="str">
        <f t="shared" si="52"/>
        <v>ND</v>
      </c>
      <c r="CZ41" s="1" t="str">
        <f t="shared" si="53"/>
        <v>ND</v>
      </c>
      <c r="DA41" s="1" t="str">
        <f t="shared" si="54"/>
        <v>ND</v>
      </c>
      <c r="DB41" s="1" t="str">
        <f t="shared" si="55"/>
        <v>ND</v>
      </c>
      <c r="DC41" s="1" t="str">
        <f t="shared" si="56"/>
        <v>ND</v>
      </c>
      <c r="DD41" s="1" t="str">
        <f t="shared" si="57"/>
        <v>ND</v>
      </c>
      <c r="DE41" s="1" t="str">
        <f t="shared" si="58"/>
        <v>ND</v>
      </c>
      <c r="DF41" s="1" t="str">
        <f t="shared" si="59"/>
        <v>ND</v>
      </c>
      <c r="DG41" s="1" t="str">
        <f t="shared" si="60"/>
        <v>ND</v>
      </c>
      <c r="DH41" s="1" t="str">
        <f t="shared" si="61"/>
        <v>ND</v>
      </c>
      <c r="DI41" s="1" t="str">
        <f t="shared" si="62"/>
        <v>ND</v>
      </c>
      <c r="DJ41" s="1" t="str">
        <f t="shared" si="63"/>
        <v>ND</v>
      </c>
      <c r="DK41" s="1" t="str">
        <f t="shared" si="64"/>
        <v>ND</v>
      </c>
      <c r="DL41" s="1" t="str">
        <f t="shared" si="65"/>
        <v>ND</v>
      </c>
      <c r="DM41" s="1" t="str">
        <f t="shared" si="66"/>
        <v>ND</v>
      </c>
      <c r="DN41" s="1" t="str">
        <f t="shared" si="67"/>
        <v>ND</v>
      </c>
      <c r="DO41" s="1" t="str">
        <f t="shared" si="68"/>
        <v>ND</v>
      </c>
      <c r="DP41" s="1" t="str">
        <f t="shared" si="69"/>
        <v>ND</v>
      </c>
      <c r="DQ41" s="1" t="str">
        <f t="shared" si="70"/>
        <v>ND</v>
      </c>
      <c r="DR41" s="1" t="str">
        <f t="shared" si="71"/>
        <v>ND</v>
      </c>
      <c r="DS41" s="1" t="str">
        <f t="shared" si="72"/>
        <v>ND</v>
      </c>
      <c r="DT41" s="1" t="str">
        <f t="shared" si="73"/>
        <v>ND</v>
      </c>
      <c r="DU41" s="1" t="str">
        <f t="shared" si="74"/>
        <v>ND</v>
      </c>
      <c r="DV41" s="1" t="str">
        <f t="shared" si="75"/>
        <v>ND</v>
      </c>
      <c r="DW41" s="1" t="str">
        <f t="shared" si="76"/>
        <v>ND</v>
      </c>
      <c r="DX41" s="1" t="str">
        <f t="shared" si="77"/>
        <v>ND</v>
      </c>
      <c r="DY41" s="1" t="str">
        <f t="shared" si="78"/>
        <v>ND</v>
      </c>
      <c r="DZ41" s="1" t="str">
        <f t="shared" si="79"/>
        <v>ND</v>
      </c>
      <c r="EA41" s="1" t="str">
        <f t="shared" si="80"/>
        <v>ND</v>
      </c>
      <c r="EB41" s="1" t="str">
        <f t="shared" si="81"/>
        <v>ND</v>
      </c>
      <c r="EC41" s="1" t="str">
        <f t="shared" si="82"/>
        <v>ND</v>
      </c>
      <c r="ED41" s="1" t="str">
        <f t="shared" si="83"/>
        <v>ND</v>
      </c>
      <c r="EE41" s="1" t="str">
        <f t="shared" si="84"/>
        <v>ND</v>
      </c>
      <c r="EF41" s="1" t="str">
        <f t="shared" si="85"/>
        <v>ND</v>
      </c>
      <c r="EG41" s="1" t="str">
        <f t="shared" si="86"/>
        <v>ND</v>
      </c>
      <c r="EH41" s="1" t="str">
        <f t="shared" si="87"/>
        <v>ND</v>
      </c>
      <c r="EI41" s="1" t="str">
        <f t="shared" si="88"/>
        <v>ND</v>
      </c>
      <c r="EJ41" s="1" t="str">
        <f t="shared" si="89"/>
        <v>ND</v>
      </c>
      <c r="EK41" s="1" t="str">
        <f t="shared" si="90"/>
        <v>ND</v>
      </c>
      <c r="EL41" s="1" t="str">
        <f t="shared" si="91"/>
        <v>ND</v>
      </c>
      <c r="EM41" s="1" t="str">
        <f t="shared" si="92"/>
        <v>ND</v>
      </c>
      <c r="EN41" s="1" t="str">
        <f t="shared" si="93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7"/>
        <v>ND</v>
      </c>
      <c r="FW41" s="1" t="str">
        <f t="shared" si="98"/>
        <v>ND</v>
      </c>
      <c r="FX41" s="1" t="str">
        <f t="shared" si="99"/>
        <v>ND</v>
      </c>
      <c r="FY41" s="1" t="str">
        <f t="shared" si="100"/>
        <v>ND</v>
      </c>
      <c r="FZ41" s="1" t="str">
        <f t="shared" si="101"/>
        <v>ND</v>
      </c>
      <c r="GA41" s="1" t="str">
        <f t="shared" si="102"/>
        <v>ND</v>
      </c>
      <c r="GB41" s="1" t="str">
        <f t="shared" si="103"/>
        <v>ND</v>
      </c>
      <c r="GC41" s="1" t="str">
        <f t="shared" si="104"/>
        <v>ND</v>
      </c>
      <c r="GD41" s="1" t="str">
        <f t="shared" si="105"/>
        <v>ND</v>
      </c>
      <c r="GE41" s="1" t="str">
        <f t="shared" si="106"/>
        <v>ND</v>
      </c>
      <c r="GF41" s="1" t="str">
        <f t="shared" si="107"/>
        <v>ND</v>
      </c>
      <c r="GG41" s="1" t="str">
        <f t="shared" si="108"/>
        <v>ND</v>
      </c>
      <c r="GH41" s="1" t="str">
        <f t="shared" si="109"/>
        <v>ND</v>
      </c>
      <c r="GI41" s="1" t="str">
        <f t="shared" si="110"/>
        <v>ND</v>
      </c>
      <c r="GJ41" s="1" t="str">
        <f t="shared" si="111"/>
        <v>ND</v>
      </c>
      <c r="GK41" s="1" t="str">
        <f t="shared" si="112"/>
        <v>ND</v>
      </c>
      <c r="GL41" s="1" t="str">
        <f t="shared" si="113"/>
        <v>ND</v>
      </c>
      <c r="GM41" s="1" t="str">
        <f t="shared" si="114"/>
        <v>ND</v>
      </c>
      <c r="GN41" s="1" t="str">
        <f t="shared" si="115"/>
        <v>ND</v>
      </c>
      <c r="GO41" s="1" t="str">
        <f t="shared" si="116"/>
        <v>ND</v>
      </c>
      <c r="GP41" s="1" t="str">
        <f t="shared" si="117"/>
        <v>ND</v>
      </c>
      <c r="GQ41" s="1" t="str">
        <f t="shared" si="118"/>
        <v>ND</v>
      </c>
      <c r="GR41" s="1" t="str">
        <f t="shared" si="119"/>
        <v>ND</v>
      </c>
      <c r="GS41" s="1" t="str">
        <f t="shared" si="120"/>
        <v>ND</v>
      </c>
      <c r="GT41" s="1" t="str">
        <f t="shared" si="121"/>
        <v>ND</v>
      </c>
      <c r="GU41" s="1" t="str">
        <f t="shared" si="122"/>
        <v>ND</v>
      </c>
      <c r="GV41" s="1" t="str">
        <f t="shared" si="123"/>
        <v>ND</v>
      </c>
      <c r="GW41" s="1" t="str">
        <f t="shared" si="124"/>
        <v>ND</v>
      </c>
      <c r="GX41" s="1" t="str">
        <f t="shared" si="125"/>
        <v>ND</v>
      </c>
      <c r="GY41" s="1" t="str">
        <f t="shared" si="126"/>
        <v>ND</v>
      </c>
      <c r="GZ41" s="1" t="str">
        <f t="shared" si="127"/>
        <v>ND</v>
      </c>
      <c r="HA41" s="1" t="str">
        <f t="shared" si="128"/>
        <v>ND</v>
      </c>
      <c r="HB41" s="1" t="str">
        <f t="shared" si="129"/>
        <v>ND</v>
      </c>
      <c r="HC41" s="1" t="str">
        <f t="shared" si="130"/>
        <v>ND</v>
      </c>
      <c r="HD41" s="1" t="str">
        <f t="shared" si="131"/>
        <v>ND</v>
      </c>
      <c r="HE41" s="1" t="str">
        <f t="shared" si="132"/>
        <v>ND</v>
      </c>
      <c r="HF41" s="1" t="str">
        <f t="shared" si="133"/>
        <v>ND</v>
      </c>
      <c r="HG41" s="1" t="str">
        <f t="shared" si="134"/>
        <v>ND</v>
      </c>
      <c r="HH41" s="1" t="str">
        <f t="shared" si="135"/>
        <v>ND</v>
      </c>
      <c r="HI41" s="1" t="str">
        <f t="shared" si="136"/>
        <v>ND</v>
      </c>
      <c r="HJ41" s="1" t="str">
        <f t="shared" si="137"/>
        <v>ND</v>
      </c>
      <c r="HK41" s="1" t="str">
        <f t="shared" si="138"/>
        <v>ND</v>
      </c>
      <c r="HL41" s="1" t="str">
        <f t="shared" si="139"/>
        <v>ND</v>
      </c>
      <c r="HM41" s="1" t="str">
        <f t="shared" si="140"/>
        <v>ND</v>
      </c>
      <c r="HN41" s="1" t="str">
        <f t="shared" si="141"/>
        <v>ND</v>
      </c>
      <c r="HO41" s="1" t="str">
        <f t="shared" si="142"/>
        <v>ND</v>
      </c>
      <c r="HP41" s="1" t="str">
        <f t="shared" si="143"/>
        <v>ND</v>
      </c>
      <c r="HQ41" s="1" t="str">
        <f t="shared" si="144"/>
        <v>ND</v>
      </c>
      <c r="HR41" s="1" t="str">
        <f t="shared" si="145"/>
        <v>ND</v>
      </c>
      <c r="HS41" s="1" t="str">
        <f t="shared" si="146"/>
        <v>ND</v>
      </c>
      <c r="HT41" s="1" t="str">
        <f t="shared" si="147"/>
        <v>ND</v>
      </c>
      <c r="HU41" s="1" t="str">
        <f t="shared" si="148"/>
        <v>ND</v>
      </c>
      <c r="HV41" s="1" t="str">
        <f t="shared" si="149"/>
        <v>ND</v>
      </c>
      <c r="HW41" s="1" t="str">
        <f t="shared" si="150"/>
        <v>ND</v>
      </c>
      <c r="HX41" s="1" t="str">
        <f t="shared" si="151"/>
        <v>ND</v>
      </c>
      <c r="HY41" s="1" t="str">
        <f t="shared" si="152"/>
        <v>ND</v>
      </c>
      <c r="HZ41" s="1" t="str">
        <f t="shared" si="153"/>
        <v>ND</v>
      </c>
      <c r="IA41" s="1" t="str">
        <f t="shared" si="154"/>
        <v>ND</v>
      </c>
      <c r="IB41" s="1" t="str">
        <f t="shared" si="155"/>
        <v>ND</v>
      </c>
      <c r="IC41" s="1" t="str">
        <f t="shared" si="156"/>
        <v>ND</v>
      </c>
      <c r="ID41" s="1" t="str">
        <f t="shared" si="157"/>
        <v>ND</v>
      </c>
      <c r="IE41" s="1" t="str">
        <f t="shared" si="158"/>
        <v>ND</v>
      </c>
      <c r="IF41" s="1" t="str">
        <f t="shared" si="159"/>
        <v>ND</v>
      </c>
      <c r="IG41" s="1" t="str">
        <f t="shared" si="160"/>
        <v>ND</v>
      </c>
      <c r="IH41" s="1" t="str">
        <f t="shared" si="161"/>
        <v>ND</v>
      </c>
      <c r="II41" s="1" t="str">
        <f t="shared" si="162"/>
        <v>ND</v>
      </c>
    </row>
    <row r="42" spans="3:243" x14ac:dyDescent="0.25">
      <c r="C42" t="s">
        <v>16</v>
      </c>
      <c r="D42">
        <f>SUMIFS(DICCIONARIO[Cantidad],DICCIONARIO[Modelo],UNIFICADA[[#This Row],[Equipo]])</f>
        <v>0</v>
      </c>
      <c r="E42" s="1">
        <f>IFERROR(VLOOKUP($C42,EQUIPOS[],UNIFICADO!E$9,0),"")</f>
        <v>11</v>
      </c>
      <c r="F42" s="1">
        <f>IFERROR(VLOOKUP($C42,EQUIPOS[],UNIFICADO!F$9,0),"")</f>
        <v>6.57</v>
      </c>
      <c r="G42" s="1">
        <f>IFERROR(VLOOKUP($C42,EQUIPOS[],UNIFICADO!G$9,0),"")</f>
        <v>50</v>
      </c>
      <c r="H42" s="1">
        <f>IFERROR(VLOOKUP($C42,EQUIPOS[],UNIFICADO!H$9,0),"")</f>
        <v>4</v>
      </c>
      <c r="I42" s="1">
        <f>IFERROR(VLOOKUP($C42,EQUIPOS[],UNIFICADO!I$9,0),"")</f>
        <v>32</v>
      </c>
      <c r="J42" s="1" t="str">
        <f>IFERROR(VLOOKUP($C42,EQUIPOS[],UNIFICADO!J$9,0),"")</f>
        <v>128GB</v>
      </c>
      <c r="K42" s="1">
        <f>IFERROR(VLOOKUP($C42,EQUIPOS[],UNIFICADO!K$9,0),"")</f>
        <v>0</v>
      </c>
      <c r="L42" s="1">
        <f>IFERROR(VLOOKUP($C42,EQUIPOS[],UNIFICADO!L$9,0),"")</f>
        <v>8</v>
      </c>
      <c r="M42" s="1" t="str">
        <f>IFERROR(VLOOKUP($C42,EQUIPOS[],UNIFICADO!M$9,0),"")</f>
        <v>2.4/1.8</v>
      </c>
      <c r="N42" s="1">
        <f>IFERROR(VLOOKUP($C42,EQUIPOS[],UNIFICADO!N$9,0),"")</f>
        <v>8</v>
      </c>
      <c r="O42" s="1">
        <f>IFERROR(VLOOKUP($C42,EQUIPOS[],UNIFICADO!O$9,0),"")</f>
        <v>175</v>
      </c>
      <c r="P42" s="1">
        <f>IFERROR(VLOOKUP($C42,EQUIPOS[],UNIFICADO!P$9,0),"")</f>
        <v>16</v>
      </c>
      <c r="Q42" s="1">
        <f>IFERROR(VLOOKUP($C42,EQUIPOS[],UNIFICADO!Q$9,0),"")</f>
        <v>7.37</v>
      </c>
      <c r="R42" s="1">
        <f>IFERROR(VLOOKUP($C42,EQUIPOS[],UNIFICADO!R$9,0),"")</f>
        <v>0.78</v>
      </c>
      <c r="S42" s="1">
        <f>IFERROR(VLOOKUP($C42,EQUIPOS[],UNIFICADO!S$9,0),"")</f>
        <v>4300</v>
      </c>
      <c r="T42" s="1">
        <f>IFERROR(VLOOKUP($C42,EQUIPOS[],UNIFICADO!T$9,0),"")</f>
        <v>4.5</v>
      </c>
      <c r="U42" s="1">
        <f>VLOOKUP(UNIFICADA[[#This Row],[Equipo]],EQUIPOS[],19,0)</f>
        <v>32</v>
      </c>
      <c r="V42" s="1" t="str">
        <f t="shared" si="0"/>
        <v>ND</v>
      </c>
      <c r="W42" s="1" t="str">
        <f t="shared" si="1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4"/>
        <v>ND</v>
      </c>
      <c r="AJ42" s="1" t="str">
        <f t="shared" si="5"/>
        <v>ND</v>
      </c>
      <c r="AK42" s="1" t="str">
        <f t="shared" si="6"/>
        <v>ND</v>
      </c>
      <c r="AL42" s="1" t="str">
        <f t="shared" si="7"/>
        <v>ND</v>
      </c>
      <c r="AM42" s="1" t="str">
        <f t="shared" si="8"/>
        <v>ND</v>
      </c>
      <c r="AN42" s="1" t="str">
        <f t="shared" si="9"/>
        <v>ND</v>
      </c>
      <c r="AO42" s="1" t="str">
        <f t="shared" si="10"/>
        <v>ND</v>
      </c>
      <c r="AP42" s="1" t="str">
        <f t="shared" si="11"/>
        <v>ND</v>
      </c>
      <c r="AQ42" s="1" t="str">
        <f t="shared" si="12"/>
        <v>ND</v>
      </c>
      <c r="AR42" s="1" t="str">
        <f t="shared" si="13"/>
        <v>ND</v>
      </c>
      <c r="AS42" s="1" t="str">
        <f t="shared" si="14"/>
        <v>ND</v>
      </c>
      <c r="AT42" s="1" t="str">
        <f t="shared" si="15"/>
        <v>ND</v>
      </c>
      <c r="AU42" s="1" t="str">
        <f t="shared" si="16"/>
        <v>ND</v>
      </c>
      <c r="AV42" s="1" t="str">
        <f t="shared" si="17"/>
        <v>ND</v>
      </c>
      <c r="AW42" s="1" t="str">
        <f t="shared" si="18"/>
        <v>ND</v>
      </c>
      <c r="AX42" s="1" t="str">
        <f t="shared" si="19"/>
        <v>ND</v>
      </c>
      <c r="AY42" s="1" t="str">
        <f t="shared" si="20"/>
        <v>ND</v>
      </c>
      <c r="AZ42" s="1" t="str">
        <f t="shared" si="21"/>
        <v>ND</v>
      </c>
      <c r="BA42" s="1" t="str">
        <f t="shared" si="22"/>
        <v>ND</v>
      </c>
      <c r="BB42" s="1" t="str">
        <f t="shared" si="23"/>
        <v>ND</v>
      </c>
      <c r="BC42" s="1" t="str">
        <f t="shared" si="24"/>
        <v>ND</v>
      </c>
      <c r="BD42" s="1" t="str">
        <f t="shared" si="25"/>
        <v>ND</v>
      </c>
      <c r="BE42" s="1" t="str">
        <f t="shared" si="26"/>
        <v>ND</v>
      </c>
      <c r="BF42" s="1" t="str">
        <f t="shared" si="27"/>
        <v>ND</v>
      </c>
      <c r="BG42" s="1" t="str">
        <f t="shared" si="28"/>
        <v>ND</v>
      </c>
      <c r="BH42" s="1" t="str">
        <f t="shared" si="29"/>
        <v>ND</v>
      </c>
      <c r="BI42" s="1" t="str">
        <f t="shared" si="30"/>
        <v>ND</v>
      </c>
      <c r="BJ42" s="1" t="str">
        <f t="shared" si="31"/>
        <v>ND</v>
      </c>
      <c r="BK42" s="1" t="str">
        <f t="shared" si="32"/>
        <v>ND</v>
      </c>
      <c r="BL42" s="1" t="str">
        <f t="shared" si="33"/>
        <v>ND</v>
      </c>
      <c r="BM42" s="1" t="str">
        <f t="shared" si="34"/>
        <v>ND</v>
      </c>
      <c r="BN42" s="1" t="str">
        <f t="shared" si="35"/>
        <v>ND</v>
      </c>
      <c r="BO42" s="1" t="str">
        <f t="shared" si="36"/>
        <v>ND</v>
      </c>
      <c r="BP42" s="1" t="str">
        <f t="shared" si="37"/>
        <v>ND</v>
      </c>
      <c r="BQ42" s="1" t="str">
        <f t="shared" si="38"/>
        <v>ND</v>
      </c>
      <c r="BR42" s="1" t="str">
        <f t="shared" si="39"/>
        <v>ND</v>
      </c>
      <c r="BS42" s="1" t="str">
        <f t="shared" si="40"/>
        <v>ND</v>
      </c>
      <c r="BT42" s="1" t="str">
        <f t="shared" si="41"/>
        <v>ND</v>
      </c>
      <c r="BU42" s="1" t="str">
        <f t="shared" si="42"/>
        <v>ND</v>
      </c>
      <c r="BV42" s="1" t="str">
        <f t="shared" si="43"/>
        <v>ND</v>
      </c>
      <c r="BW42" s="1" t="str">
        <f t="shared" si="44"/>
        <v>ND</v>
      </c>
      <c r="BX42" s="1" t="str">
        <f t="shared" si="45"/>
        <v>ND</v>
      </c>
      <c r="BY42" s="1" t="str">
        <f t="shared" si="46"/>
        <v>ND</v>
      </c>
      <c r="BZ42" s="1" t="str">
        <f t="shared" si="47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50"/>
        <v>ND</v>
      </c>
      <c r="CX42" s="1" t="str">
        <f t="shared" si="51"/>
        <v>ND</v>
      </c>
      <c r="CY42" s="1" t="str">
        <f t="shared" si="52"/>
        <v>ND</v>
      </c>
      <c r="CZ42" s="1" t="str">
        <f t="shared" si="53"/>
        <v>ND</v>
      </c>
      <c r="DA42" s="1" t="str">
        <f t="shared" si="54"/>
        <v>ND</v>
      </c>
      <c r="DB42" s="1" t="str">
        <f t="shared" si="55"/>
        <v>ND</v>
      </c>
      <c r="DC42" s="1" t="str">
        <f t="shared" si="56"/>
        <v>ND</v>
      </c>
      <c r="DD42" s="1" t="str">
        <f t="shared" si="57"/>
        <v>ND</v>
      </c>
      <c r="DE42" s="1" t="str">
        <f t="shared" si="58"/>
        <v>ND</v>
      </c>
      <c r="DF42" s="1" t="str">
        <f t="shared" si="59"/>
        <v>ND</v>
      </c>
      <c r="DG42" s="1" t="str">
        <f t="shared" si="60"/>
        <v>ND</v>
      </c>
      <c r="DH42" s="1" t="str">
        <f t="shared" si="61"/>
        <v>ND</v>
      </c>
      <c r="DI42" s="1" t="str">
        <f t="shared" si="62"/>
        <v>ND</v>
      </c>
      <c r="DJ42" s="1" t="str">
        <f t="shared" si="63"/>
        <v>ND</v>
      </c>
      <c r="DK42" s="1" t="str">
        <f t="shared" si="64"/>
        <v>ND</v>
      </c>
      <c r="DL42" s="1" t="str">
        <f t="shared" si="65"/>
        <v>ND</v>
      </c>
      <c r="DM42" s="1" t="str">
        <f t="shared" si="66"/>
        <v>ND</v>
      </c>
      <c r="DN42" s="1" t="str">
        <f t="shared" si="67"/>
        <v>ND</v>
      </c>
      <c r="DO42" s="1" t="str">
        <f t="shared" si="68"/>
        <v>ND</v>
      </c>
      <c r="DP42" s="1" t="str">
        <f t="shared" si="69"/>
        <v>ND</v>
      </c>
      <c r="DQ42" s="1" t="str">
        <f t="shared" si="70"/>
        <v>ND</v>
      </c>
      <c r="DR42" s="1" t="str">
        <f t="shared" si="71"/>
        <v>ND</v>
      </c>
      <c r="DS42" s="1" t="str">
        <f t="shared" si="72"/>
        <v>ND</v>
      </c>
      <c r="DT42" s="1" t="str">
        <f t="shared" si="73"/>
        <v>ND</v>
      </c>
      <c r="DU42" s="1" t="str">
        <f t="shared" si="74"/>
        <v>ND</v>
      </c>
      <c r="DV42" s="1" t="str">
        <f t="shared" si="75"/>
        <v>ND</v>
      </c>
      <c r="DW42" s="1" t="str">
        <f t="shared" si="76"/>
        <v>ND</v>
      </c>
      <c r="DX42" s="1" t="str">
        <f t="shared" si="77"/>
        <v>ND</v>
      </c>
      <c r="DY42" s="1" t="str">
        <f t="shared" si="78"/>
        <v>ND</v>
      </c>
      <c r="DZ42" s="1" t="str">
        <f t="shared" si="79"/>
        <v>ND</v>
      </c>
      <c r="EA42" s="1" t="str">
        <f t="shared" si="80"/>
        <v>ND</v>
      </c>
      <c r="EB42" s="1" t="str">
        <f t="shared" si="81"/>
        <v>ND</v>
      </c>
      <c r="EC42" s="1" t="str">
        <f t="shared" si="82"/>
        <v>ND</v>
      </c>
      <c r="ED42" s="1" t="str">
        <f t="shared" si="83"/>
        <v>ND</v>
      </c>
      <c r="EE42" s="1" t="str">
        <f t="shared" si="84"/>
        <v>ND</v>
      </c>
      <c r="EF42" s="1" t="str">
        <f t="shared" si="85"/>
        <v>ND</v>
      </c>
      <c r="EG42" s="1" t="str">
        <f t="shared" si="86"/>
        <v>ND</v>
      </c>
      <c r="EH42" s="1" t="str">
        <f t="shared" si="87"/>
        <v>ND</v>
      </c>
      <c r="EI42" s="1" t="str">
        <f t="shared" si="88"/>
        <v>ND</v>
      </c>
      <c r="EJ42" s="1" t="str">
        <f t="shared" si="89"/>
        <v>ND</v>
      </c>
      <c r="EK42" s="1" t="str">
        <f t="shared" si="90"/>
        <v>ND</v>
      </c>
      <c r="EL42" s="1" t="str">
        <f t="shared" si="91"/>
        <v>ND</v>
      </c>
      <c r="EM42" s="1" t="str">
        <f t="shared" si="92"/>
        <v>ND</v>
      </c>
      <c r="EN42" s="1" t="str">
        <f t="shared" si="93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7"/>
        <v>ND</v>
      </c>
      <c r="FW42" s="1" t="str">
        <f t="shared" si="98"/>
        <v>ND</v>
      </c>
      <c r="FX42" s="1" t="str">
        <f t="shared" si="99"/>
        <v>ND</v>
      </c>
      <c r="FY42" s="1" t="str">
        <f t="shared" si="100"/>
        <v>ND</v>
      </c>
      <c r="FZ42" s="1" t="str">
        <f t="shared" si="101"/>
        <v>ND</v>
      </c>
      <c r="GA42" s="1" t="str">
        <f t="shared" si="102"/>
        <v>ND</v>
      </c>
      <c r="GB42" s="1" t="str">
        <f t="shared" si="103"/>
        <v>ND</v>
      </c>
      <c r="GC42" s="1" t="str">
        <f t="shared" si="104"/>
        <v>ND</v>
      </c>
      <c r="GD42" s="1" t="str">
        <f t="shared" si="105"/>
        <v>ND</v>
      </c>
      <c r="GE42" s="1" t="str">
        <f t="shared" si="106"/>
        <v>ND</v>
      </c>
      <c r="GF42" s="1" t="str">
        <f t="shared" si="107"/>
        <v>ND</v>
      </c>
      <c r="GG42" s="1" t="str">
        <f t="shared" si="108"/>
        <v>ND</v>
      </c>
      <c r="GH42" s="1" t="str">
        <f t="shared" si="109"/>
        <v>ND</v>
      </c>
      <c r="GI42" s="1" t="str">
        <f t="shared" si="110"/>
        <v>ND</v>
      </c>
      <c r="GJ42" s="1" t="str">
        <f t="shared" si="111"/>
        <v>ND</v>
      </c>
      <c r="GK42" s="1" t="str">
        <f t="shared" si="112"/>
        <v>ND</v>
      </c>
      <c r="GL42" s="1" t="str">
        <f t="shared" si="113"/>
        <v>ND</v>
      </c>
      <c r="GM42" s="1" t="str">
        <f t="shared" si="114"/>
        <v>ND</v>
      </c>
      <c r="GN42" s="1" t="str">
        <f t="shared" si="115"/>
        <v>ND</v>
      </c>
      <c r="GO42" s="1" t="str">
        <f t="shared" si="116"/>
        <v>ND</v>
      </c>
      <c r="GP42" s="1" t="str">
        <f t="shared" si="117"/>
        <v>ND</v>
      </c>
      <c r="GQ42" s="1" t="str">
        <f t="shared" si="118"/>
        <v>ND</v>
      </c>
      <c r="GR42" s="1" t="str">
        <f t="shared" si="119"/>
        <v>ND</v>
      </c>
      <c r="GS42" s="1" t="str">
        <f t="shared" si="120"/>
        <v>ND</v>
      </c>
      <c r="GT42" s="1" t="str">
        <f t="shared" si="121"/>
        <v>ND</v>
      </c>
      <c r="GU42" s="1" t="str">
        <f t="shared" si="122"/>
        <v>ND</v>
      </c>
      <c r="GV42" s="1" t="str">
        <f t="shared" si="123"/>
        <v>ND</v>
      </c>
      <c r="GW42" s="1" t="str">
        <f t="shared" si="124"/>
        <v>ND</v>
      </c>
      <c r="GX42" s="1" t="str">
        <f t="shared" si="125"/>
        <v>ND</v>
      </c>
      <c r="GY42" s="1" t="str">
        <f t="shared" si="126"/>
        <v>ND</v>
      </c>
      <c r="GZ42" s="1" t="str">
        <f t="shared" si="127"/>
        <v>ND</v>
      </c>
      <c r="HA42" s="1" t="str">
        <f t="shared" si="128"/>
        <v>ND</v>
      </c>
      <c r="HB42" s="1" t="str">
        <f t="shared" si="129"/>
        <v>ND</v>
      </c>
      <c r="HC42" s="1" t="str">
        <f t="shared" si="130"/>
        <v>ND</v>
      </c>
      <c r="HD42" s="1" t="str">
        <f t="shared" si="131"/>
        <v>ND</v>
      </c>
      <c r="HE42" s="1" t="str">
        <f t="shared" si="132"/>
        <v>ND</v>
      </c>
      <c r="HF42" s="1" t="str">
        <f t="shared" si="133"/>
        <v>ND</v>
      </c>
      <c r="HG42" s="1" t="str">
        <f t="shared" si="134"/>
        <v>ND</v>
      </c>
      <c r="HH42" s="1" t="str">
        <f t="shared" si="135"/>
        <v>ND</v>
      </c>
      <c r="HI42" s="1" t="str">
        <f t="shared" si="136"/>
        <v>ND</v>
      </c>
      <c r="HJ42" s="1" t="str">
        <f t="shared" si="137"/>
        <v>ND</v>
      </c>
      <c r="HK42" s="1" t="str">
        <f t="shared" si="138"/>
        <v>ND</v>
      </c>
      <c r="HL42" s="1" t="str">
        <f t="shared" si="139"/>
        <v>ND</v>
      </c>
      <c r="HM42" s="1" t="str">
        <f t="shared" si="140"/>
        <v>ND</v>
      </c>
      <c r="HN42" s="1" t="str">
        <f t="shared" si="141"/>
        <v>ND</v>
      </c>
      <c r="HO42" s="1" t="str">
        <f t="shared" si="142"/>
        <v>ND</v>
      </c>
      <c r="HP42" s="1" t="str">
        <f t="shared" si="143"/>
        <v>ND</v>
      </c>
      <c r="HQ42" s="1" t="str">
        <f t="shared" si="144"/>
        <v>ND</v>
      </c>
      <c r="HR42" s="1" t="str">
        <f t="shared" si="145"/>
        <v>ND</v>
      </c>
      <c r="HS42" s="1" t="str">
        <f t="shared" si="146"/>
        <v>ND</v>
      </c>
      <c r="HT42" s="1" t="str">
        <f t="shared" si="147"/>
        <v>ND</v>
      </c>
      <c r="HU42" s="1" t="str">
        <f t="shared" si="148"/>
        <v>ND</v>
      </c>
      <c r="HV42" s="1" t="str">
        <f t="shared" si="149"/>
        <v>ND</v>
      </c>
      <c r="HW42" s="1" t="str">
        <f t="shared" si="150"/>
        <v>ND</v>
      </c>
      <c r="HX42" s="1" t="str">
        <f t="shared" si="151"/>
        <v>ND</v>
      </c>
      <c r="HY42" s="1" t="str">
        <f t="shared" si="152"/>
        <v>ND</v>
      </c>
      <c r="HZ42" s="1" t="str">
        <f t="shared" si="153"/>
        <v>ND</v>
      </c>
      <c r="IA42" s="1" t="str">
        <f t="shared" si="154"/>
        <v>ND</v>
      </c>
      <c r="IB42" s="1" t="str">
        <f t="shared" si="155"/>
        <v>ND</v>
      </c>
      <c r="IC42" s="1" t="str">
        <f t="shared" si="156"/>
        <v>ND</v>
      </c>
      <c r="ID42" s="1" t="str">
        <f t="shared" si="157"/>
        <v>ND</v>
      </c>
      <c r="IE42" s="1" t="str">
        <f t="shared" si="158"/>
        <v>ND</v>
      </c>
      <c r="IF42" s="1" t="str">
        <f t="shared" si="159"/>
        <v>ND</v>
      </c>
      <c r="IG42" s="1" t="str">
        <f t="shared" si="160"/>
        <v>ND</v>
      </c>
      <c r="IH42" s="1" t="str">
        <f t="shared" si="161"/>
        <v>ND</v>
      </c>
      <c r="II42" s="1" t="str">
        <f t="shared" si="162"/>
        <v>ND</v>
      </c>
    </row>
    <row r="43" spans="3:243" x14ac:dyDescent="0.25">
      <c r="C43" t="s">
        <v>94</v>
      </c>
      <c r="D43">
        <f>SUMIFS(DICCIONARIO[Cantidad],DICCIONARIO[Modelo],UNIFICADA[[#This Row],[Equipo]])</f>
        <v>0</v>
      </c>
      <c r="E43" s="1">
        <f>IFERROR(VLOOKUP($C43,EQUIPOS[],UNIFICADO!E$9,0),"")</f>
        <v>11</v>
      </c>
      <c r="F43" s="1">
        <f>IFERROR(VLOOKUP($C43,EQUIPOS[],UNIFICADO!F$9,0),"")</f>
        <v>6.78</v>
      </c>
      <c r="G43" s="1">
        <f>IFERROR(VLOOKUP($C43,EQUIPOS[],UNIFICADO!G$9,0),"")</f>
        <v>108</v>
      </c>
      <c r="H43" s="1">
        <f>IFERROR(VLOOKUP($C43,EQUIPOS[],UNIFICADO!H$9,0),"")</f>
        <v>4</v>
      </c>
      <c r="I43" s="1">
        <f>IFERROR(VLOOKUP($C43,EQUIPOS[],UNIFICADO!I$9,0),"")</f>
        <v>16</v>
      </c>
      <c r="J43" s="1" t="str">
        <f>IFERROR(VLOOKUP($C43,EQUIPOS[],UNIFICADO!J$9,0),"")</f>
        <v>128GB</v>
      </c>
      <c r="K43" s="1">
        <f>IFERROR(VLOOKUP($C43,EQUIPOS[],UNIFICADO!K$9,0),"")</f>
        <v>256</v>
      </c>
      <c r="L43" s="1">
        <f>IFERROR(VLOOKUP($C43,EQUIPOS[],UNIFICADO!L$9,0),"")</f>
        <v>8</v>
      </c>
      <c r="M43" s="1" t="str">
        <f>IFERROR(VLOOKUP($C43,EQUIPOS[],UNIFICADO!M$9,0),"")</f>
        <v>2.4/1.9</v>
      </c>
      <c r="N43" s="1">
        <f>IFERROR(VLOOKUP($C43,EQUIPOS[],UNIFICADO!N$9,0),"")</f>
        <v>6</v>
      </c>
      <c r="O43" s="1">
        <f>IFERROR(VLOOKUP($C43,EQUIPOS[],UNIFICADO!O$9,0),"")</f>
        <v>191</v>
      </c>
      <c r="P43" s="1">
        <f>IFERROR(VLOOKUP($C43,EQUIPOS[],UNIFICADO!P$9,0),"")</f>
        <v>16.399999999999999</v>
      </c>
      <c r="Q43" s="1">
        <f>IFERROR(VLOOKUP($C43,EQUIPOS[],UNIFICADO!Q$9,0),"")</f>
        <v>7.56</v>
      </c>
      <c r="R43" s="1">
        <f>IFERROR(VLOOKUP($C43,EQUIPOS[],UNIFICADO!R$9,0),"")</f>
        <v>0.79</v>
      </c>
      <c r="S43" s="1">
        <f>IFERROR(VLOOKUP($C43,EQUIPOS[],UNIFICADO!S$9,0),"")</f>
        <v>4000</v>
      </c>
      <c r="T43" s="1">
        <f>IFERROR(VLOOKUP($C43,EQUIPOS[],UNIFICADO!T$9,0),"")</f>
        <v>4.5</v>
      </c>
      <c r="U43" s="1">
        <f>VLOOKUP(UNIFICADA[[#This Row],[Equipo]],EQUIPOS[],19,0)</f>
        <v>33</v>
      </c>
      <c r="V43" s="1" t="str">
        <f t="shared" ref="V43:V74" si="182">IFERROR(IF(V$9="ND","ND",VLOOKUP($C43,PAR,V$9,0)),"ND")</f>
        <v>ND</v>
      </c>
      <c r="W43" s="1" t="str">
        <f t="shared" ref="W43:W74" si="183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4">IFERROR(ROUNDUP(AJ43/6,2)+29.9,"ND")</f>
        <v>ND</v>
      </c>
      <c r="AJ43" s="1" t="str">
        <f t="shared" ref="AJ43:AJ74" si="185">IFERROR(IF(AJ$9="ND","ND",ROUNDUP(VALUE(VLOOKUP($C43,A6M,AJ$9,0))/6,2)),"ND")</f>
        <v>ND</v>
      </c>
      <c r="AK43" s="1" t="str">
        <f t="shared" ref="AK43:AK74" si="186">IFERROR(ROUNDUP(AL43/6,2)+39.9,"ND")</f>
        <v>ND</v>
      </c>
      <c r="AL43" s="1" t="str">
        <f t="shared" ref="AL43:AL74" si="187">IFERROR(IF(AL$9="ND","ND",ROUNDUP(VALUE(VLOOKUP($C43,A6M,AL$9,0))/6,2)),"ND")</f>
        <v>ND</v>
      </c>
      <c r="AM43" s="1" t="str">
        <f t="shared" ref="AM43:AM74" si="188">IFERROR(ROUNDUP(AN43/6,2)+49.9,"ND")</f>
        <v>ND</v>
      </c>
      <c r="AN43" s="1" t="str">
        <f t="shared" ref="AN43:AN74" si="189">IFERROR(IF(AN$9="ND","ND",VLOOKUP($C43,A6M,AN$9,0)),"ND")</f>
        <v>ND</v>
      </c>
      <c r="AO43" s="1" t="str">
        <f t="shared" ref="AO43:AO74" si="190">IFERROR(ROUNDUP(AP43/6,2)+55.9,"ND")</f>
        <v>ND</v>
      </c>
      <c r="AP43" s="1" t="str">
        <f t="shared" ref="AP43:AP74" si="191">IFERROR(IF(AP$9="ND","ND",VLOOKUP($C43,A6M,AP$9,0)),"ND")</f>
        <v>ND</v>
      </c>
      <c r="AQ43" s="1" t="str">
        <f t="shared" ref="AQ43:AQ74" si="192">IFERROR(ROUNDUP(AR43/6,2)+69.9,"ND")</f>
        <v>ND</v>
      </c>
      <c r="AR43" s="1" t="str">
        <f t="shared" ref="AR43:AR74" si="193">IFERROR(IF(AR$9="ND","ND",VLOOKUP($C43,A6M,AR$9,0)),"ND")</f>
        <v>ND</v>
      </c>
      <c r="AS43" s="1" t="str">
        <f t="shared" ref="AS43:AS74" si="194">IFERROR(ROUNDUP(AT43/6,2)+79.9,"ND")</f>
        <v>ND</v>
      </c>
      <c r="AT43" s="1" t="str">
        <f t="shared" ref="AT43:AT74" si="195">IFERROR(IF(AT$9="ND","ND",VLOOKUP($C43,A6M,AT$9,0)),"ND")</f>
        <v>ND</v>
      </c>
      <c r="AU43" s="1" t="str">
        <f t="shared" ref="AU43:AU74" si="196">IFERROR(ROUNDUP(AV43/6,2)+95.9,"ND")</f>
        <v>ND</v>
      </c>
      <c r="AV43" s="1" t="str">
        <f t="shared" ref="AV43:AV74" si="197">IFERROR(IF(AV$9="ND","ND",VLOOKUP($C43,A6M,AV$9,0)),"ND")</f>
        <v>ND</v>
      </c>
      <c r="AW43" s="1" t="str">
        <f t="shared" ref="AW43:AW74" si="198">IFERROR(ROUNDUP(AX43/6,2)+109.9,"ND")</f>
        <v>ND</v>
      </c>
      <c r="AX43" s="1" t="str">
        <f t="shared" ref="AX43:AX74" si="199">IFERROR(IF(AX$9="ND","ND",VLOOKUP($C43,A6M,AX$9,0)),"ND")</f>
        <v>ND</v>
      </c>
      <c r="AY43" s="1" t="str">
        <f t="shared" ref="AY43:AY74" si="200">IFERROR(ROUNDUP(AZ43/6,2)+159.9,"ND")</f>
        <v>ND</v>
      </c>
      <c r="AZ43" s="1" t="str">
        <f t="shared" ref="AZ43:AZ74" si="201">IFERROR(IF(AZ$9="ND","ND",VLOOKUP($C43,A6M,AZ$9,0)),"ND")</f>
        <v>ND</v>
      </c>
      <c r="BA43" s="1" t="str">
        <f t="shared" ref="BA43:BA74" si="202">IFERROR(ROUNDUP(BB43/6,2)+189.9,"ND")</f>
        <v>ND</v>
      </c>
      <c r="BB43" s="1" t="str">
        <f t="shared" ref="BB43:BB74" si="203">IFERROR(IF(BB$9="ND","ND",VLOOKUP($C43,A6M,BB$9,0)),"ND")</f>
        <v>ND</v>
      </c>
      <c r="BC43" s="1" t="str">
        <f t="shared" ref="BC43:BC74" si="204">IFERROR(ROUNDUP(BD43/6,2)+289.9,"ND")</f>
        <v>ND</v>
      </c>
      <c r="BD43" s="1" t="str">
        <f t="shared" ref="BD43:BD74" si="205">IFERROR(IF(BD$9="ND","ND",VLOOKUP($C43,A6M,BD$9,0)),"ND")</f>
        <v>ND</v>
      </c>
      <c r="BE43" s="1" t="str">
        <f t="shared" ref="BE43:BE74" si="206">IFERROR(ROUNDUP(BF43/12,2)+29.9,"ND")</f>
        <v>ND</v>
      </c>
      <c r="BF43" s="1" t="str">
        <f t="shared" ref="BF43:BF74" si="207">IFERROR(IF(BF$9="ND","ND",VLOOKUP($C43,A12M,BF$9,0)),"ND")</f>
        <v>ND</v>
      </c>
      <c r="BG43" s="1" t="str">
        <f t="shared" ref="BG43:BG74" si="208">IFERROR(ROUNDUP(BH43/12,2)+39.9,"ND")</f>
        <v>ND</v>
      </c>
      <c r="BH43" s="1" t="str">
        <f t="shared" ref="BH43:BH74" si="209">IFERROR(IF(BH$9="ND","ND",VLOOKUP($C43,A12M,BH$9,0)),"ND")</f>
        <v>ND</v>
      </c>
      <c r="BI43" s="1" t="str">
        <f t="shared" ref="BI43:BI74" si="210">IFERROR(ROUNDUP(BJ43/12,2)+49.9,"ND")</f>
        <v>ND</v>
      </c>
      <c r="BJ43" s="1" t="str">
        <f t="shared" ref="BJ43:BJ74" si="211">IFERROR(IF(BJ$9="ND","ND",VLOOKUP($C43,A12M,BJ$9,0)),"ND")</f>
        <v>ND</v>
      </c>
      <c r="BK43" s="1" t="str">
        <f t="shared" ref="BK43:BK74" si="212">IFERROR(ROUNDUP(BL43/12,2)+55.9,"ND")</f>
        <v>ND</v>
      </c>
      <c r="BL43" s="1" t="str">
        <f t="shared" ref="BL43:BL74" si="213">IFERROR(IF(BL$9="ND","ND",VLOOKUP($C43,A12M,BL$9,0)),"ND")</f>
        <v>ND</v>
      </c>
      <c r="BM43" s="1" t="str">
        <f t="shared" ref="BM43:BM74" si="214">IFERROR(ROUNDUP(BN43/12,2)+69.9,"ND")</f>
        <v>ND</v>
      </c>
      <c r="BN43" s="1" t="str">
        <f t="shared" ref="BN43:BN74" si="215">IFERROR(IF(BN$9="ND","ND",VLOOKUP($C43,A12M,BN$9,0)),"ND")</f>
        <v>ND</v>
      </c>
      <c r="BO43" s="1" t="str">
        <f t="shared" ref="BO43:BO74" si="216">IFERROR(ROUNDUP(BP43/12,2)+79.9,"ND")</f>
        <v>ND</v>
      </c>
      <c r="BP43" s="1" t="str">
        <f t="shared" ref="BP43:BP74" si="217">IFERROR(IF(BP$9="ND","ND",VLOOKUP($C43,A12M,BP$9,0)),"ND")</f>
        <v>ND</v>
      </c>
      <c r="BQ43" s="1" t="str">
        <f t="shared" ref="BQ43:BQ74" si="218">IFERROR(ROUNDUP(BR43/12,2)+95.9,"ND")</f>
        <v>ND</v>
      </c>
      <c r="BR43" s="1" t="str">
        <f t="shared" ref="BR43:BR74" si="219">IFERROR(IF(BR$9="ND","ND",VLOOKUP($C43,A12M,BR$9,0)),"ND")</f>
        <v>ND</v>
      </c>
      <c r="BS43" s="1" t="str">
        <f t="shared" ref="BS43:BS74" si="220">IFERROR(ROUNDUP(BT43/12,2)+109.9,"ND")</f>
        <v>ND</v>
      </c>
      <c r="BT43" s="1" t="str">
        <f t="shared" ref="BT43:BT74" si="221">IFERROR(IF(BT$9="ND","ND",VLOOKUP($C43,A12M,BT$9,0)),"ND")</f>
        <v>ND</v>
      </c>
      <c r="BU43" s="1" t="str">
        <f t="shared" ref="BU43:BU74" si="222">IFERROR(ROUNDUP(BV43/12,2)+159.9,"ND")</f>
        <v>ND</v>
      </c>
      <c r="BV43" s="1" t="str">
        <f t="shared" ref="BV43:BV74" si="223">IFERROR(IF(BV$9="ND","ND",VLOOKUP($C43,A12M,BV$9,0)),"ND")</f>
        <v>ND</v>
      </c>
      <c r="BW43" s="1" t="str">
        <f t="shared" ref="BW43:BW74" si="224">IFERROR(ROUNDUP(BX43/12,2)+189.9,"ND")</f>
        <v>ND</v>
      </c>
      <c r="BX43" s="1" t="str">
        <f t="shared" ref="BX43:BX74" si="225">IFERROR(IF(BX$9="ND","ND",VLOOKUP($C43,A12M,BX$9,0)),"ND")</f>
        <v>ND</v>
      </c>
      <c r="BY43" s="1" t="str">
        <f t="shared" ref="BY43:BY74" si="226">IFERROR(ROUNDUP(BZ43/12,2)+289.9,"ND")</f>
        <v>ND</v>
      </c>
      <c r="BZ43" s="1" t="str">
        <f t="shared" ref="BZ43:BZ74" si="227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8">IFERROR(ROUNDUP(CX43/6,2)+29.9,"ND")</f>
        <v>ND</v>
      </c>
      <c r="CX43" s="1" t="str">
        <f t="shared" ref="CX43:CX74" si="229">IFERROR(IF(CX$9="ND","ND",VLOOKUP($C43,AC6M,CX$9,0)),"ND")</f>
        <v>ND</v>
      </c>
      <c r="CY43" s="1" t="str">
        <f t="shared" ref="CY43:CY74" si="230">IFERROR(ROUNDUP(CZ43/6,2)+39.9,"ND")</f>
        <v>ND</v>
      </c>
      <c r="CZ43" s="1" t="str">
        <f t="shared" ref="CZ43:CZ74" si="231">IFERROR(IF(CZ$9="ND","ND",VLOOKUP($C43,AC6M,CZ$9,0)),"ND")</f>
        <v>ND</v>
      </c>
      <c r="DA43" s="1" t="str">
        <f t="shared" ref="DA43:DA74" si="232">IFERROR(ROUNDUP(DB43/6,2)+49.9,"ND")</f>
        <v>ND</v>
      </c>
      <c r="DB43" s="1" t="str">
        <f t="shared" ref="DB43:DB74" si="233">IFERROR(IF(DB$9="ND","ND",VLOOKUP($C43,AC6M,DB$9,0)),"ND")</f>
        <v>ND</v>
      </c>
      <c r="DC43" s="1" t="str">
        <f t="shared" ref="DC43:DC74" si="234">IFERROR(ROUNDUP(DD43/6,2)+55.9,"ND")</f>
        <v>ND</v>
      </c>
      <c r="DD43" s="1" t="str">
        <f t="shared" ref="DD43:DD74" si="235">IFERROR(IF(DD$9="ND","ND",VLOOKUP($C43,AC6M,DD$9,0)),"ND")</f>
        <v>ND</v>
      </c>
      <c r="DE43" s="1" t="str">
        <f t="shared" ref="DE43:DE74" si="236">IFERROR(ROUNDUP(DF43/6,2)+69.9,"ND")</f>
        <v>ND</v>
      </c>
      <c r="DF43" s="1" t="str">
        <f t="shared" ref="DF43:DF74" si="237">IFERROR(IF(DF$9="ND","ND",VLOOKUP($C43,AC6M,DF$9,0)),"ND")</f>
        <v>ND</v>
      </c>
      <c r="DG43" s="1" t="str">
        <f t="shared" ref="DG43:DG74" si="238">IFERROR(ROUNDUP(DH43/6,2)+79.9,"ND")</f>
        <v>ND</v>
      </c>
      <c r="DH43" s="1" t="str">
        <f t="shared" ref="DH43:DH74" si="239">IFERROR(IF(DH$9="ND","ND",VLOOKUP($C43,AC6M,DH$9,0)),"ND")</f>
        <v>ND</v>
      </c>
      <c r="DI43" s="1" t="str">
        <f t="shared" ref="DI43:DI74" si="240">IFERROR(ROUNDUP(DJ43/6,2)+95.9,"ND")</f>
        <v>ND</v>
      </c>
      <c r="DJ43" s="1" t="str">
        <f t="shared" ref="DJ43:DJ74" si="241">IFERROR(IF(DJ$9="ND","ND",VLOOKUP($C43,AC6M,DJ$9,0)),"ND")</f>
        <v>ND</v>
      </c>
      <c r="DK43" s="1" t="str">
        <f t="shared" ref="DK43:DK74" si="242">IFERROR(ROUNDUP(DL43/6,2)+109.9,"ND")</f>
        <v>ND</v>
      </c>
      <c r="DL43" s="1" t="str">
        <f t="shared" ref="DL43:DL74" si="243">IFERROR(IF(DL$9="ND","ND",VLOOKUP($C43,AC6M,DL$9,0)),"ND")</f>
        <v>ND</v>
      </c>
      <c r="DM43" s="1" t="str">
        <f t="shared" ref="DM43:DM74" si="244">IFERROR(ROUNDUP(DN43/6,2)+159.9,"ND")</f>
        <v>ND</v>
      </c>
      <c r="DN43" s="1" t="str">
        <f t="shared" ref="DN43:DN74" si="245">IFERROR(IF(DN$9="ND","ND",VLOOKUP($C43,AC6M,DN$9,0)),"ND")</f>
        <v>ND</v>
      </c>
      <c r="DO43" s="1" t="str">
        <f t="shared" ref="DO43:DO74" si="246">IFERROR(ROUNDUP(DP43/6,2)+189.9,"ND")</f>
        <v>ND</v>
      </c>
      <c r="DP43" s="1" t="str">
        <f t="shared" ref="DP43:DP74" si="247">IFERROR(IF(DP$9="ND","ND",VLOOKUP($C43,AC6M,DP$9,0)),"ND")</f>
        <v>ND</v>
      </c>
      <c r="DQ43" s="1" t="str">
        <f t="shared" ref="DQ43:DQ74" si="248">IFERROR(ROUNDUP(DR43/6,2)+289.9,"ND")</f>
        <v>ND</v>
      </c>
      <c r="DR43" s="1" t="str">
        <f t="shared" ref="DR43:DR74" si="249">IFERROR(IF(DR$9="ND","ND",VLOOKUP($C43,AC6M,DR$9,0)),"ND")</f>
        <v>ND</v>
      </c>
      <c r="DS43" s="1" t="str">
        <f t="shared" ref="DS43:DS74" si="250">IFERROR(ROUNDUP(DT43/12,2)+29.9,"ND")</f>
        <v>ND</v>
      </c>
      <c r="DT43" s="1" t="str">
        <f t="shared" ref="DT43:DT74" si="251">IFERROR(IF(DT$9="ND","ND",VLOOKUP($C43,AC12M,DT$9,0)),"ND")</f>
        <v>ND</v>
      </c>
      <c r="DU43" s="1" t="str">
        <f t="shared" ref="DU43:DU74" si="252">IFERROR(ROUNDUP(DV43/12,2)+39.9,"ND")</f>
        <v>ND</v>
      </c>
      <c r="DV43" s="1" t="str">
        <f t="shared" ref="DV43:DV74" si="253">IFERROR(IF(DV$9="ND","ND",VLOOKUP($C43,AC12M,DV$9,0)),"ND")</f>
        <v>ND</v>
      </c>
      <c r="DW43" s="1" t="str">
        <f t="shared" ref="DW43:DW74" si="254">IFERROR(ROUNDUP(DX43/12,2)+49.9,"ND")</f>
        <v>ND</v>
      </c>
      <c r="DX43" s="1" t="str">
        <f t="shared" ref="DX43:DX74" si="255">IFERROR(IF(DX$9="ND","ND",VLOOKUP($C43,AC12M,DX$9,0)),"ND")</f>
        <v>ND</v>
      </c>
      <c r="DY43" s="1" t="str">
        <f t="shared" ref="DY43:DY74" si="256">IFERROR(ROUNDUP(DZ43/12,2)+55.9,"ND")</f>
        <v>ND</v>
      </c>
      <c r="DZ43" s="1" t="str">
        <f t="shared" ref="DZ43:DZ74" si="257">IFERROR(IF(DZ$9="ND","ND",VLOOKUP($C43,AC12M,DZ$9,0)),"ND")</f>
        <v>ND</v>
      </c>
      <c r="EA43" s="1" t="str">
        <f t="shared" ref="EA43:EA74" si="258">IFERROR(ROUNDUP(EB43/12,2)+69.9,"ND")</f>
        <v>ND</v>
      </c>
      <c r="EB43" s="1" t="str">
        <f t="shared" ref="EB43:EB74" si="259">IFERROR(IF(EB$9="ND","ND",VLOOKUP($C43,AC12M,EB$9,0)),"ND")</f>
        <v>ND</v>
      </c>
      <c r="EC43" s="1" t="str">
        <f t="shared" ref="EC43:EC74" si="260">IFERROR(ROUNDUP(ED43/12,2)+79.9,"ND")</f>
        <v>ND</v>
      </c>
      <c r="ED43" s="1" t="str">
        <f t="shared" ref="ED43:ED74" si="261">IFERROR(IF(ED$9="ND","ND",VLOOKUP($C43,AC12M,ED$9,0)),"ND")</f>
        <v>ND</v>
      </c>
      <c r="EE43" s="1" t="str">
        <f t="shared" ref="EE43:EE74" si="262">IFERROR(ROUNDUP(EF43/12,2)+95.9,"ND")</f>
        <v>ND</v>
      </c>
      <c r="EF43" s="1" t="str">
        <f t="shared" ref="EF43:EF74" si="263">IFERROR(IF(EF$9="ND","ND",VLOOKUP($C43,AC12M,EF$9,0)),"ND")</f>
        <v>ND</v>
      </c>
      <c r="EG43" s="1" t="str">
        <f t="shared" ref="EG43:EG74" si="264">IFERROR(ROUNDUP(EH43/12,2)+109.9,"ND")</f>
        <v>ND</v>
      </c>
      <c r="EH43" s="1" t="str">
        <f t="shared" ref="EH43:EH74" si="265">IFERROR(IF(EH$9="ND","ND",VLOOKUP($C43,AC12M,EH$9,0)),"ND")</f>
        <v>ND</v>
      </c>
      <c r="EI43" s="1" t="str">
        <f t="shared" ref="EI43:EI74" si="266">IFERROR(ROUNDUP(EJ43/12,2)+159.9,"ND")</f>
        <v>ND</v>
      </c>
      <c r="EJ43" s="1" t="str">
        <f t="shared" ref="EJ43:EJ74" si="267">IFERROR(IF(EJ$9="ND","ND",VLOOKUP($C43,AC12M,EJ$9,0)),"ND")</f>
        <v>ND</v>
      </c>
      <c r="EK43" s="1" t="str">
        <f t="shared" ref="EK43:EK74" si="268">IFERROR(ROUNDUP(EL43/12,2)+189.9,"ND")</f>
        <v>ND</v>
      </c>
      <c r="EL43" s="1" t="str">
        <f t="shared" ref="EL43:EL74" si="269">IFERROR(IF(EL$9="ND","ND",VLOOKUP($C43,AC12M,EL$9,0)),"ND")</f>
        <v>ND</v>
      </c>
      <c r="EM43" s="1" t="str">
        <f t="shared" ref="EM43:EM74" si="270">IFERROR(ROUNDUP(EN43/12,2)+289.9,"ND")</f>
        <v>ND</v>
      </c>
      <c r="EN43" s="1" t="str">
        <f t="shared" ref="EN43:EN74" si="271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2">IFERROR(ROUNDUP(FW43/6,2)+29.9,"ND")</f>
        <v>ND</v>
      </c>
      <c r="FW43" s="1" t="str">
        <f t="shared" ref="FW43:FW74" si="273">IFERROR(IF(FW$9="ND","ND",VLOOKUP($C43,LC6M,FW$9,0)),"ND")</f>
        <v>ND</v>
      </c>
      <c r="FX43" s="1" t="str">
        <f t="shared" ref="FX43:FX74" si="274">IFERROR(ROUNDUP(FY43/6,2)+39.9,"ND")</f>
        <v>ND</v>
      </c>
      <c r="FY43" s="1" t="str">
        <f t="shared" ref="FY43:FY74" si="275">IFERROR(IF(FY$9="ND","ND",VLOOKUP($C43,LC6M,FY$9,0)),"ND")</f>
        <v>ND</v>
      </c>
      <c r="FZ43" s="1" t="str">
        <f t="shared" ref="FZ43:FZ74" si="276">IFERROR(ROUNDUP(GA43/6,2)+49.9,"ND")</f>
        <v>ND</v>
      </c>
      <c r="GA43" s="1" t="str">
        <f t="shared" ref="GA43:GA74" si="277">IFERROR(IF(GA$9="ND","ND",VLOOKUP($C43,LC6M,GA$9,0)),"ND")</f>
        <v>ND</v>
      </c>
      <c r="GB43" s="1" t="str">
        <f t="shared" ref="GB43:GB74" si="278">IFERROR(ROUNDUP(GC43/6,2)+55.9,"ND")</f>
        <v>ND</v>
      </c>
      <c r="GC43" s="1" t="str">
        <f t="shared" ref="GC43:GC74" si="279">IFERROR(IF(GC$9="ND","ND",VLOOKUP($C43,LC6M,GC$9,0)),"ND")</f>
        <v>ND</v>
      </c>
      <c r="GD43" s="1" t="str">
        <f t="shared" ref="GD43:GD74" si="280">IFERROR(ROUNDUP(GE43/6,2)+69.9,"ND")</f>
        <v>ND</v>
      </c>
      <c r="GE43" s="1" t="str">
        <f t="shared" ref="GE43:GE74" si="281">IFERROR(IF(GE$9="ND","ND",VLOOKUP($C43,LC6M,GE$9,0)),"ND")</f>
        <v>ND</v>
      </c>
      <c r="GF43" s="1" t="str">
        <f t="shared" ref="GF43:GF74" si="282">IFERROR(ROUNDUP(GG43/6,2)+79.9,"ND")</f>
        <v>ND</v>
      </c>
      <c r="GG43" s="1" t="str">
        <f t="shared" ref="GG43:GG74" si="283">IFERROR(IF(GG$9="ND","ND",VLOOKUP($C43,LC6M,GG$9,0)),"ND")</f>
        <v>ND</v>
      </c>
      <c r="GH43" s="1" t="str">
        <f t="shared" ref="GH43:GH74" si="284">IFERROR(ROUNDUP(GI43/6,2)+95.9,"ND")</f>
        <v>ND</v>
      </c>
      <c r="GI43" s="1" t="str">
        <f t="shared" ref="GI43:GI74" si="285">IFERROR(IF(GI$9="ND","ND",VLOOKUP($C43,LC6M,GI$9,0)),"ND")</f>
        <v>ND</v>
      </c>
      <c r="GJ43" s="1" t="str">
        <f t="shared" ref="GJ43:GJ74" si="286">IFERROR(ROUNDUP(GK43/6,2)+109.9,"ND")</f>
        <v>ND</v>
      </c>
      <c r="GK43" s="1" t="str">
        <f t="shared" ref="GK43:GK74" si="287">IFERROR(IF(GK$9="ND","ND",VLOOKUP($C43,LC6M,GK$9,0)),"ND")</f>
        <v>ND</v>
      </c>
      <c r="GL43" s="1" t="str">
        <f t="shared" ref="GL43:GL74" si="288">IFERROR(ROUNDUP(GM43/6,2)+159.9,"ND")</f>
        <v>ND</v>
      </c>
      <c r="GM43" s="1" t="str">
        <f t="shared" ref="GM43:GM74" si="289">IFERROR(IF(GM$9="ND","ND",VLOOKUP($C43,LC6M,GM$9,0)),"ND")</f>
        <v>ND</v>
      </c>
      <c r="GN43" s="1" t="str">
        <f t="shared" ref="GN43:GN74" si="290">IFERROR(ROUNDUP(GO43/6,2)+189.9,"ND")</f>
        <v>ND</v>
      </c>
      <c r="GO43" s="1" t="str">
        <f t="shared" ref="GO43:GO74" si="291">IFERROR(IF(GO$9="ND","ND",VLOOKUP($C43,LC6M,GO$9,0)),"ND")</f>
        <v>ND</v>
      </c>
      <c r="GP43" s="1" t="str">
        <f t="shared" ref="GP43:GP74" si="292">IFERROR(ROUNDUP(GQ43/6,2)+289.9,"ND")</f>
        <v>ND</v>
      </c>
      <c r="GQ43" s="1" t="str">
        <f t="shared" ref="GQ43:GQ74" si="293">IFERROR(IF(GQ$9="ND","ND",VLOOKUP($C43,LC6M,GQ$9,0)),"ND")</f>
        <v>ND</v>
      </c>
      <c r="GR43" s="1" t="str">
        <f t="shared" ref="GR43:GR74" si="294">IFERROR(ROUNDUP(GS43/12,2)+29.9,"ND")</f>
        <v>ND</v>
      </c>
      <c r="GS43" s="1" t="str">
        <f t="shared" ref="GS43:GS74" si="295">IFERROR(IF(GS$9="ND","ND",VLOOKUP($C43,LP12M,GS$9,0)),"ND")</f>
        <v>ND</v>
      </c>
      <c r="GT43" s="1" t="str">
        <f t="shared" ref="GT43:GT74" si="296">IFERROR(ROUNDUP(GU43/12,2)+39.9,"ND")</f>
        <v>ND</v>
      </c>
      <c r="GU43" s="1" t="str">
        <f t="shared" ref="GU43:GU74" si="297">IFERROR(IF(GU$9="ND","ND",VLOOKUP($C43,LP12M,GU$9,0)),"ND")</f>
        <v>ND</v>
      </c>
      <c r="GV43" s="1" t="str">
        <f t="shared" ref="GV43:GV74" si="298">IFERROR(ROUNDUP(GW43/12,2)+49.9,"ND")</f>
        <v>ND</v>
      </c>
      <c r="GW43" s="1" t="str">
        <f t="shared" ref="GW43:GW74" si="299">IFERROR(IF(GW$9="ND","ND",VLOOKUP($C43,LP12M,GW$9,0)),"ND")</f>
        <v>ND</v>
      </c>
      <c r="GX43" s="1" t="str">
        <f t="shared" ref="GX43:GX74" si="300">IFERROR(ROUNDUP(GY43/12,2)+55.9,"ND")</f>
        <v>ND</v>
      </c>
      <c r="GY43" s="1" t="str">
        <f t="shared" ref="GY43:GY74" si="301">IFERROR(IF(GY$9="ND","ND",VLOOKUP($C43,LP12M,GY$9,0)),"ND")</f>
        <v>ND</v>
      </c>
      <c r="GZ43" s="1" t="str">
        <f t="shared" ref="GZ43:GZ74" si="302">IFERROR(ROUNDUP(HA43/12,2)+69.9,"ND")</f>
        <v>ND</v>
      </c>
      <c r="HA43" s="1" t="str">
        <f t="shared" ref="HA43:HA74" si="303">IFERROR(IF(HA$9="ND","ND",VLOOKUP($C43,LP12M,HA$9,0)),"ND")</f>
        <v>ND</v>
      </c>
      <c r="HB43" s="1" t="str">
        <f t="shared" ref="HB43:HB74" si="304">IFERROR(ROUNDUP(HC43/12,2)+79.9,"ND")</f>
        <v>ND</v>
      </c>
      <c r="HC43" s="1" t="str">
        <f t="shared" ref="HC43:HC74" si="305">IFERROR(IF(HC$9="ND","ND",VLOOKUP($C43,LP12M,HC$9,0)),"ND")</f>
        <v>ND</v>
      </c>
      <c r="HD43" s="1" t="str">
        <f t="shared" ref="HD43:HD74" si="306">IFERROR(ROUNDUP(HE43/12,2)+95.9,"ND")</f>
        <v>ND</v>
      </c>
      <c r="HE43" s="1" t="str">
        <f t="shared" ref="HE43:HE74" si="307">IFERROR(IF(HE$9="ND","ND",VLOOKUP($C43,LP12M,HE$9,0)),"ND")</f>
        <v>ND</v>
      </c>
      <c r="HF43" s="1" t="str">
        <f t="shared" ref="HF43:HF74" si="308">IFERROR(ROUNDUP(HG43/12,2)+109.9,"ND")</f>
        <v>ND</v>
      </c>
      <c r="HG43" s="1" t="str">
        <f t="shared" ref="HG43:HG74" si="309">IFERROR(IF(HG$9="ND","ND",VLOOKUP($C43,LP12M,HG$9,0)),"ND")</f>
        <v>ND</v>
      </c>
      <c r="HH43" s="1" t="str">
        <f t="shared" ref="HH43:HH74" si="310">IFERROR(ROUNDUP(HI43/12,2)+159.9,"ND")</f>
        <v>ND</v>
      </c>
      <c r="HI43" s="1" t="str">
        <f t="shared" ref="HI43:HI74" si="311">IFERROR(IF(HI$9="ND","ND",VLOOKUP($C43,LP12M,HI$9,0)),"ND")</f>
        <v>ND</v>
      </c>
      <c r="HJ43" s="1" t="str">
        <f t="shared" ref="HJ43:HJ74" si="312">IFERROR(ROUNDUP(HK43/12,2)+189.9,"ND")</f>
        <v>ND</v>
      </c>
      <c r="HK43" s="1" t="str">
        <f t="shared" ref="HK43:HK74" si="313">IFERROR(IF(HK$9="ND","ND",VLOOKUP($C43,LP12M,HK$9,0)),"ND")</f>
        <v>ND</v>
      </c>
      <c r="HL43" s="1" t="str">
        <f t="shared" ref="HL43:HL74" si="314">IFERROR(ROUNDUP(HM43/12,2)+289.9,"ND")</f>
        <v>ND</v>
      </c>
      <c r="HM43" s="1" t="str">
        <f t="shared" ref="HM43:HM74" si="315">IFERROR(IF(HM$9="ND","ND",VLOOKUP($C43,LP12M,HM$9,0)),"ND")</f>
        <v>ND</v>
      </c>
      <c r="HN43" s="1" t="str">
        <f t="shared" ref="HN43:HN74" si="316">IFERROR(ROUNDUP(HO43/12,2)+29.9,"ND")</f>
        <v>ND</v>
      </c>
      <c r="HO43" s="1" t="str">
        <f t="shared" ref="HO43:HO74" si="317">IFERROR(IF(HO$9="ND","ND",VLOOKUP($C43,LR12M,HO$9,0)),"ND")</f>
        <v>ND</v>
      </c>
      <c r="HP43" s="1" t="str">
        <f t="shared" ref="HP43:HP74" si="318">IFERROR(ROUNDUP(HQ43/12,2)+39.9,"ND")</f>
        <v>ND</v>
      </c>
      <c r="HQ43" s="1" t="str">
        <f t="shared" ref="HQ43:HQ74" si="319">IFERROR(IF(HQ$9="ND","ND",VLOOKUP($C43,LR12M,HQ$9,0)),"ND")</f>
        <v>ND</v>
      </c>
      <c r="HR43" s="1" t="str">
        <f t="shared" ref="HR43:HR74" si="320">IFERROR(ROUNDUP(HS43/12,2)+49.9,"ND")</f>
        <v>ND</v>
      </c>
      <c r="HS43" s="1" t="str">
        <f t="shared" ref="HS43:HS74" si="321">IFERROR(IF(HS$9="ND","ND",VLOOKUP($C43,LR12M,HS$9,0)),"ND")</f>
        <v>ND</v>
      </c>
      <c r="HT43" s="1" t="str">
        <f t="shared" ref="HT43:HT74" si="322">IFERROR(ROUNDUP(HU43/12,2)+55.9,"ND")</f>
        <v>ND</v>
      </c>
      <c r="HU43" s="1" t="str">
        <f t="shared" ref="HU43:HU74" si="323">IFERROR(IF(HU$9="ND","ND",VLOOKUP($C43,LR12M,HU$9,0)),"ND")</f>
        <v>ND</v>
      </c>
      <c r="HV43" s="1" t="str">
        <f t="shared" ref="HV43:HV74" si="324">IFERROR(ROUNDUP(HW43/12,2)+69.9,"ND")</f>
        <v>ND</v>
      </c>
      <c r="HW43" s="1" t="str">
        <f t="shared" ref="HW43:HW74" si="325">IFERROR(IF(HW$9="ND","ND",VLOOKUP($C43,LR12M,HW$9,0)),"ND")</f>
        <v>ND</v>
      </c>
      <c r="HX43" s="1" t="str">
        <f t="shared" ref="HX43:HX74" si="326">IFERROR(ROUNDUP(HY43/12,2)+79.9,"ND")</f>
        <v>ND</v>
      </c>
      <c r="HY43" s="1" t="str">
        <f t="shared" ref="HY43:HY74" si="327">IFERROR(IF(HY$9="ND","ND",VLOOKUP($C43,LR12M,HY$9,0)),"ND")</f>
        <v>ND</v>
      </c>
      <c r="HZ43" s="1" t="str">
        <f t="shared" ref="HZ43:HZ74" si="328">IFERROR(ROUNDUP(IA43/12,2)+95.9,"ND")</f>
        <v>ND</v>
      </c>
      <c r="IA43" s="1" t="str">
        <f t="shared" ref="IA43:IA74" si="329">IFERROR(IF(IA$9="ND","ND",VLOOKUP($C43,LR12M,IA$9,0)),"ND")</f>
        <v>ND</v>
      </c>
      <c r="IB43" s="1" t="str">
        <f t="shared" ref="IB43:IB74" si="330">IFERROR(ROUNDUP(IC43/12,2)+109.9,"ND")</f>
        <v>ND</v>
      </c>
      <c r="IC43" s="1" t="str">
        <f t="shared" ref="IC43:IC74" si="331">IFERROR(IF(IC$9="ND","ND",VLOOKUP($C43,LR12M,IC$9,0)),"ND")</f>
        <v>ND</v>
      </c>
      <c r="ID43" s="1" t="str">
        <f t="shared" ref="ID43:ID74" si="332">IFERROR(ROUNDUP(IE43/12,2)+159.9,"ND")</f>
        <v>ND</v>
      </c>
      <c r="IE43" s="1" t="str">
        <f t="shared" ref="IE43:IE74" si="333">IFERROR(IF(IE$9="ND","ND",VLOOKUP($C43,LR12M,IE$9,0)),"ND")</f>
        <v>ND</v>
      </c>
      <c r="IF43" s="1" t="str">
        <f t="shared" ref="IF43:IF74" si="334">IFERROR(ROUNDUP(IG43/12,2)+189.9,"ND")</f>
        <v>ND</v>
      </c>
      <c r="IG43" s="1" t="str">
        <f t="shared" ref="IG43:IG74" si="335">IFERROR(IF(IG$9="ND","ND",VLOOKUP($C43,LR12M,IG$9,0)),"ND")</f>
        <v>ND</v>
      </c>
      <c r="IH43" s="1" t="str">
        <f t="shared" ref="IH43:IH74" si="336">IFERROR(ROUNDUP(II43/12,2)+289.9,"ND")</f>
        <v>ND</v>
      </c>
      <c r="II43" s="1" t="str">
        <f t="shared" ref="II43:II74" si="337">IFERROR(IF(II$9="ND","ND",VLOOKUP($C43,LR12M,II$9,0)),"ND")</f>
        <v>ND</v>
      </c>
    </row>
    <row r="44" spans="3:243" x14ac:dyDescent="0.25">
      <c r="C44" t="s">
        <v>95</v>
      </c>
      <c r="D44">
        <f>SUMIFS(DICCIONARIO[Cantidad],DICCIONARIO[Modelo],UNIFICADA[[#This Row],[Equipo]])</f>
        <v>0</v>
      </c>
      <c r="E44" s="1">
        <f>IFERROR(VLOOKUP($C44,EQUIPOS[],UNIFICADO!E$9,0),"")</f>
        <v>11</v>
      </c>
      <c r="F44" s="1">
        <f>IFERROR(VLOOKUP($C44,EQUIPOS[],UNIFICADO!F$9,0),"")</f>
        <v>6.75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128GB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 t="str">
        <f>IFERROR(VLOOKUP($C44,EQUIPOS[],UNIFICADO!M$9,0),"")</f>
        <v>2.0/1.7</v>
      </c>
      <c r="N44" s="1">
        <f>IFERROR(VLOOKUP($C44,EQUIPOS[],UNIFICADO!N$9,0),"")</f>
        <v>4</v>
      </c>
      <c r="O44" s="1">
        <f>IFERROR(VLOOKUP($C44,EQUIPOS[],UNIFICADO!O$9,0),"")</f>
        <v>199</v>
      </c>
      <c r="P44" s="1">
        <f>IFERROR(VLOOKUP($C44,EQUIPOS[],UNIFICADO!P$9,0),"")</f>
        <v>16.8</v>
      </c>
      <c r="Q44" s="1">
        <f>IFERROR(VLOOKUP($C44,EQUIPOS[],UNIFICADO!Q$9,0),"")</f>
        <v>7.77</v>
      </c>
      <c r="R44" s="1">
        <f>IFERROR(VLOOKUP($C44,EQUIPOS[],UNIFICADO!R$9,0),"")</f>
        <v>0.89</v>
      </c>
      <c r="S44" s="1">
        <f>IFERROR(VLOOKUP($C44,EQUIPOS[],UNIFICADO!S$9,0),"")</f>
        <v>6000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82"/>
        <v>ND</v>
      </c>
      <c r="W44" s="1" t="str">
        <f t="shared" si="183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4"/>
        <v>ND</v>
      </c>
      <c r="AJ44" s="1" t="str">
        <f t="shared" si="185"/>
        <v>ND</v>
      </c>
      <c r="AK44" s="1" t="str">
        <f t="shared" si="186"/>
        <v>ND</v>
      </c>
      <c r="AL44" s="1" t="str">
        <f t="shared" si="187"/>
        <v>ND</v>
      </c>
      <c r="AM44" s="1" t="str">
        <f t="shared" si="188"/>
        <v>ND</v>
      </c>
      <c r="AN44" s="1" t="str">
        <f t="shared" si="189"/>
        <v>ND</v>
      </c>
      <c r="AO44" s="1" t="str">
        <f t="shared" si="190"/>
        <v>ND</v>
      </c>
      <c r="AP44" s="1" t="str">
        <f t="shared" si="191"/>
        <v>ND</v>
      </c>
      <c r="AQ44" s="1" t="str">
        <f t="shared" si="192"/>
        <v>ND</v>
      </c>
      <c r="AR44" s="1" t="str">
        <f t="shared" si="193"/>
        <v>ND</v>
      </c>
      <c r="AS44" s="1" t="str">
        <f t="shared" si="194"/>
        <v>ND</v>
      </c>
      <c r="AT44" s="1" t="str">
        <f t="shared" si="195"/>
        <v>ND</v>
      </c>
      <c r="AU44" s="1" t="str">
        <f t="shared" si="196"/>
        <v>ND</v>
      </c>
      <c r="AV44" s="1" t="str">
        <f t="shared" si="197"/>
        <v>ND</v>
      </c>
      <c r="AW44" s="1" t="str">
        <f t="shared" si="198"/>
        <v>ND</v>
      </c>
      <c r="AX44" s="1" t="str">
        <f t="shared" si="199"/>
        <v>ND</v>
      </c>
      <c r="AY44" s="1" t="str">
        <f t="shared" si="200"/>
        <v>ND</v>
      </c>
      <c r="AZ44" s="1" t="str">
        <f t="shared" si="201"/>
        <v>ND</v>
      </c>
      <c r="BA44" s="1" t="str">
        <f t="shared" si="202"/>
        <v>ND</v>
      </c>
      <c r="BB44" s="1" t="str">
        <f t="shared" si="203"/>
        <v>ND</v>
      </c>
      <c r="BC44" s="1" t="str">
        <f t="shared" si="204"/>
        <v>ND</v>
      </c>
      <c r="BD44" s="1" t="str">
        <f t="shared" si="205"/>
        <v>ND</v>
      </c>
      <c r="BE44" s="1" t="str">
        <f t="shared" si="206"/>
        <v>ND</v>
      </c>
      <c r="BF44" s="1" t="str">
        <f t="shared" si="207"/>
        <v>ND</v>
      </c>
      <c r="BG44" s="1" t="str">
        <f t="shared" si="208"/>
        <v>ND</v>
      </c>
      <c r="BH44" s="1" t="str">
        <f t="shared" si="209"/>
        <v>ND</v>
      </c>
      <c r="BI44" s="1" t="str">
        <f t="shared" si="210"/>
        <v>ND</v>
      </c>
      <c r="BJ44" s="1" t="str">
        <f t="shared" si="211"/>
        <v>ND</v>
      </c>
      <c r="BK44" s="1" t="str">
        <f t="shared" si="212"/>
        <v>ND</v>
      </c>
      <c r="BL44" s="1" t="str">
        <f t="shared" si="213"/>
        <v>ND</v>
      </c>
      <c r="BM44" s="1" t="str">
        <f t="shared" si="214"/>
        <v>ND</v>
      </c>
      <c r="BN44" s="1" t="str">
        <f t="shared" si="215"/>
        <v>ND</v>
      </c>
      <c r="BO44" s="1" t="str">
        <f t="shared" si="216"/>
        <v>ND</v>
      </c>
      <c r="BP44" s="1" t="str">
        <f t="shared" si="217"/>
        <v>ND</v>
      </c>
      <c r="BQ44" s="1" t="str">
        <f t="shared" si="218"/>
        <v>ND</v>
      </c>
      <c r="BR44" s="1" t="str">
        <f t="shared" si="219"/>
        <v>ND</v>
      </c>
      <c r="BS44" s="1" t="str">
        <f t="shared" si="220"/>
        <v>ND</v>
      </c>
      <c r="BT44" s="1" t="str">
        <f t="shared" si="221"/>
        <v>ND</v>
      </c>
      <c r="BU44" s="1" t="str">
        <f t="shared" si="222"/>
        <v>ND</v>
      </c>
      <c r="BV44" s="1" t="str">
        <f t="shared" si="223"/>
        <v>ND</v>
      </c>
      <c r="BW44" s="1" t="str">
        <f t="shared" si="224"/>
        <v>ND</v>
      </c>
      <c r="BX44" s="1" t="str">
        <f t="shared" si="225"/>
        <v>ND</v>
      </c>
      <c r="BY44" s="1" t="str">
        <f t="shared" si="226"/>
        <v>ND</v>
      </c>
      <c r="BZ44" s="1" t="str">
        <f t="shared" si="227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8"/>
        <v>ND</v>
      </c>
      <c r="CX44" s="1" t="str">
        <f t="shared" si="229"/>
        <v>ND</v>
      </c>
      <c r="CY44" s="1" t="str">
        <f t="shared" si="230"/>
        <v>ND</v>
      </c>
      <c r="CZ44" s="1" t="str">
        <f t="shared" si="231"/>
        <v>ND</v>
      </c>
      <c r="DA44" s="1" t="str">
        <f t="shared" si="232"/>
        <v>ND</v>
      </c>
      <c r="DB44" s="1" t="str">
        <f t="shared" si="233"/>
        <v>ND</v>
      </c>
      <c r="DC44" s="1" t="str">
        <f t="shared" si="234"/>
        <v>ND</v>
      </c>
      <c r="DD44" s="1" t="str">
        <f t="shared" si="235"/>
        <v>ND</v>
      </c>
      <c r="DE44" s="1" t="str">
        <f t="shared" si="236"/>
        <v>ND</v>
      </c>
      <c r="DF44" s="1" t="str">
        <f t="shared" si="237"/>
        <v>ND</v>
      </c>
      <c r="DG44" s="1" t="str">
        <f t="shared" si="238"/>
        <v>ND</v>
      </c>
      <c r="DH44" s="1" t="str">
        <f t="shared" si="239"/>
        <v>ND</v>
      </c>
      <c r="DI44" s="1" t="str">
        <f t="shared" si="240"/>
        <v>ND</v>
      </c>
      <c r="DJ44" s="1" t="str">
        <f t="shared" si="241"/>
        <v>ND</v>
      </c>
      <c r="DK44" s="1" t="str">
        <f t="shared" si="242"/>
        <v>ND</v>
      </c>
      <c r="DL44" s="1" t="str">
        <f t="shared" si="243"/>
        <v>ND</v>
      </c>
      <c r="DM44" s="1" t="str">
        <f t="shared" si="244"/>
        <v>ND</v>
      </c>
      <c r="DN44" s="1" t="str">
        <f t="shared" si="245"/>
        <v>ND</v>
      </c>
      <c r="DO44" s="1" t="str">
        <f t="shared" si="246"/>
        <v>ND</v>
      </c>
      <c r="DP44" s="1" t="str">
        <f t="shared" si="247"/>
        <v>ND</v>
      </c>
      <c r="DQ44" s="1" t="str">
        <f t="shared" si="248"/>
        <v>ND</v>
      </c>
      <c r="DR44" s="1" t="str">
        <f t="shared" si="249"/>
        <v>ND</v>
      </c>
      <c r="DS44" s="1" t="str">
        <f t="shared" si="250"/>
        <v>ND</v>
      </c>
      <c r="DT44" s="1" t="str">
        <f t="shared" si="251"/>
        <v>ND</v>
      </c>
      <c r="DU44" s="1" t="str">
        <f t="shared" si="252"/>
        <v>ND</v>
      </c>
      <c r="DV44" s="1" t="str">
        <f t="shared" si="253"/>
        <v>ND</v>
      </c>
      <c r="DW44" s="1" t="str">
        <f t="shared" si="254"/>
        <v>ND</v>
      </c>
      <c r="DX44" s="1" t="str">
        <f t="shared" si="255"/>
        <v>ND</v>
      </c>
      <c r="DY44" s="1" t="str">
        <f t="shared" si="256"/>
        <v>ND</v>
      </c>
      <c r="DZ44" s="1" t="str">
        <f t="shared" si="257"/>
        <v>ND</v>
      </c>
      <c r="EA44" s="1" t="str">
        <f t="shared" si="258"/>
        <v>ND</v>
      </c>
      <c r="EB44" s="1" t="str">
        <f t="shared" si="259"/>
        <v>ND</v>
      </c>
      <c r="EC44" s="1" t="str">
        <f t="shared" si="260"/>
        <v>ND</v>
      </c>
      <c r="ED44" s="1" t="str">
        <f t="shared" si="261"/>
        <v>ND</v>
      </c>
      <c r="EE44" s="1" t="str">
        <f t="shared" si="262"/>
        <v>ND</v>
      </c>
      <c r="EF44" s="1" t="str">
        <f t="shared" si="263"/>
        <v>ND</v>
      </c>
      <c r="EG44" s="1" t="str">
        <f t="shared" si="264"/>
        <v>ND</v>
      </c>
      <c r="EH44" s="1" t="str">
        <f t="shared" si="265"/>
        <v>ND</v>
      </c>
      <c r="EI44" s="1" t="str">
        <f t="shared" si="266"/>
        <v>ND</v>
      </c>
      <c r="EJ44" s="1" t="str">
        <f t="shared" si="267"/>
        <v>ND</v>
      </c>
      <c r="EK44" s="1" t="str">
        <f t="shared" si="268"/>
        <v>ND</v>
      </c>
      <c r="EL44" s="1" t="str">
        <f t="shared" si="269"/>
        <v>ND</v>
      </c>
      <c r="EM44" s="1" t="str">
        <f t="shared" si="270"/>
        <v>ND</v>
      </c>
      <c r="EN44" s="1" t="str">
        <f t="shared" si="271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2"/>
        <v>ND</v>
      </c>
      <c r="FW44" s="1" t="str">
        <f t="shared" si="273"/>
        <v>ND</v>
      </c>
      <c r="FX44" s="1" t="str">
        <f t="shared" si="274"/>
        <v>ND</v>
      </c>
      <c r="FY44" s="1" t="str">
        <f t="shared" si="275"/>
        <v>ND</v>
      </c>
      <c r="FZ44" s="1" t="str">
        <f t="shared" si="276"/>
        <v>ND</v>
      </c>
      <c r="GA44" s="1" t="str">
        <f t="shared" si="277"/>
        <v>ND</v>
      </c>
      <c r="GB44" s="1" t="str">
        <f t="shared" si="278"/>
        <v>ND</v>
      </c>
      <c r="GC44" s="1" t="str">
        <f t="shared" si="279"/>
        <v>ND</v>
      </c>
      <c r="GD44" s="1" t="str">
        <f t="shared" si="280"/>
        <v>ND</v>
      </c>
      <c r="GE44" s="1" t="str">
        <f t="shared" si="281"/>
        <v>ND</v>
      </c>
      <c r="GF44" s="1" t="str">
        <f t="shared" si="282"/>
        <v>ND</v>
      </c>
      <c r="GG44" s="1" t="str">
        <f t="shared" si="283"/>
        <v>ND</v>
      </c>
      <c r="GH44" s="1" t="str">
        <f t="shared" si="284"/>
        <v>ND</v>
      </c>
      <c r="GI44" s="1" t="str">
        <f t="shared" si="285"/>
        <v>ND</v>
      </c>
      <c r="GJ44" s="1" t="str">
        <f t="shared" si="286"/>
        <v>ND</v>
      </c>
      <c r="GK44" s="1" t="str">
        <f t="shared" si="287"/>
        <v>ND</v>
      </c>
      <c r="GL44" s="1" t="str">
        <f t="shared" si="288"/>
        <v>ND</v>
      </c>
      <c r="GM44" s="1" t="str">
        <f t="shared" si="289"/>
        <v>ND</v>
      </c>
      <c r="GN44" s="1" t="str">
        <f t="shared" si="290"/>
        <v>ND</v>
      </c>
      <c r="GO44" s="1" t="str">
        <f t="shared" si="291"/>
        <v>ND</v>
      </c>
      <c r="GP44" s="1" t="str">
        <f t="shared" si="292"/>
        <v>ND</v>
      </c>
      <c r="GQ44" s="1" t="str">
        <f t="shared" si="293"/>
        <v>ND</v>
      </c>
      <c r="GR44" s="1" t="str">
        <f t="shared" si="294"/>
        <v>ND</v>
      </c>
      <c r="GS44" s="1" t="str">
        <f t="shared" si="295"/>
        <v>ND</v>
      </c>
      <c r="GT44" s="1" t="str">
        <f t="shared" si="296"/>
        <v>ND</v>
      </c>
      <c r="GU44" s="1" t="str">
        <f t="shared" si="297"/>
        <v>ND</v>
      </c>
      <c r="GV44" s="1" t="str">
        <f t="shared" si="298"/>
        <v>ND</v>
      </c>
      <c r="GW44" s="1" t="str">
        <f t="shared" si="299"/>
        <v>ND</v>
      </c>
      <c r="GX44" s="1" t="str">
        <f t="shared" si="300"/>
        <v>ND</v>
      </c>
      <c r="GY44" s="1" t="str">
        <f t="shared" si="301"/>
        <v>ND</v>
      </c>
      <c r="GZ44" s="1" t="str">
        <f t="shared" si="302"/>
        <v>ND</v>
      </c>
      <c r="HA44" s="1" t="str">
        <f t="shared" si="303"/>
        <v>ND</v>
      </c>
      <c r="HB44" s="1" t="str">
        <f t="shared" si="304"/>
        <v>ND</v>
      </c>
      <c r="HC44" s="1" t="str">
        <f t="shared" si="305"/>
        <v>ND</v>
      </c>
      <c r="HD44" s="1" t="str">
        <f t="shared" si="306"/>
        <v>ND</v>
      </c>
      <c r="HE44" s="1" t="str">
        <f t="shared" si="307"/>
        <v>ND</v>
      </c>
      <c r="HF44" s="1" t="str">
        <f t="shared" si="308"/>
        <v>ND</v>
      </c>
      <c r="HG44" s="1" t="str">
        <f t="shared" si="309"/>
        <v>ND</v>
      </c>
      <c r="HH44" s="1" t="str">
        <f t="shared" si="310"/>
        <v>ND</v>
      </c>
      <c r="HI44" s="1" t="str">
        <f t="shared" si="311"/>
        <v>ND</v>
      </c>
      <c r="HJ44" s="1" t="str">
        <f t="shared" si="312"/>
        <v>ND</v>
      </c>
      <c r="HK44" s="1" t="str">
        <f t="shared" si="313"/>
        <v>ND</v>
      </c>
      <c r="HL44" s="1" t="str">
        <f t="shared" si="314"/>
        <v>ND</v>
      </c>
      <c r="HM44" s="1" t="str">
        <f t="shared" si="315"/>
        <v>ND</v>
      </c>
      <c r="HN44" s="1" t="str">
        <f t="shared" si="316"/>
        <v>ND</v>
      </c>
      <c r="HO44" s="1" t="str">
        <f t="shared" si="317"/>
        <v>ND</v>
      </c>
      <c r="HP44" s="1" t="str">
        <f t="shared" si="318"/>
        <v>ND</v>
      </c>
      <c r="HQ44" s="1" t="str">
        <f t="shared" si="319"/>
        <v>ND</v>
      </c>
      <c r="HR44" s="1" t="str">
        <f t="shared" si="320"/>
        <v>ND</v>
      </c>
      <c r="HS44" s="1" t="str">
        <f t="shared" si="321"/>
        <v>ND</v>
      </c>
      <c r="HT44" s="1" t="str">
        <f t="shared" si="322"/>
        <v>ND</v>
      </c>
      <c r="HU44" s="1" t="str">
        <f t="shared" si="323"/>
        <v>ND</v>
      </c>
      <c r="HV44" s="1" t="str">
        <f t="shared" si="324"/>
        <v>ND</v>
      </c>
      <c r="HW44" s="1" t="str">
        <f t="shared" si="325"/>
        <v>ND</v>
      </c>
      <c r="HX44" s="1" t="str">
        <f t="shared" si="326"/>
        <v>ND</v>
      </c>
      <c r="HY44" s="1" t="str">
        <f t="shared" si="327"/>
        <v>ND</v>
      </c>
      <c r="HZ44" s="1" t="str">
        <f t="shared" si="328"/>
        <v>ND</v>
      </c>
      <c r="IA44" s="1" t="str">
        <f t="shared" si="329"/>
        <v>ND</v>
      </c>
      <c r="IB44" s="1" t="str">
        <f t="shared" si="330"/>
        <v>ND</v>
      </c>
      <c r="IC44" s="1" t="str">
        <f t="shared" si="331"/>
        <v>ND</v>
      </c>
      <c r="ID44" s="1" t="str">
        <f t="shared" si="332"/>
        <v>ND</v>
      </c>
      <c r="IE44" s="1" t="str">
        <f t="shared" si="333"/>
        <v>ND</v>
      </c>
      <c r="IF44" s="1" t="str">
        <f t="shared" si="334"/>
        <v>ND</v>
      </c>
      <c r="IG44" s="1" t="str">
        <f t="shared" si="335"/>
        <v>ND</v>
      </c>
      <c r="IH44" s="1" t="str">
        <f t="shared" si="336"/>
        <v>ND</v>
      </c>
      <c r="II44" s="1" t="str">
        <f t="shared" si="337"/>
        <v>ND</v>
      </c>
    </row>
    <row r="45" spans="3:243" x14ac:dyDescent="0.25">
      <c r="C45" t="s">
        <v>127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6.7</v>
      </c>
      <c r="G45" s="1">
        <f>IFERROR(VLOOKUP($C45,EQUIPOS[],UNIFICADO!G$9,0),"")</f>
        <v>50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128GB</v>
      </c>
      <c r="K45" s="1">
        <f>IFERROR(VLOOKUP($C45,EQUIPOS[],UNIFICADO!K$9,0),"")</f>
        <v>0</v>
      </c>
      <c r="L45" s="1">
        <f>IFERROR(VLOOKUP($C45,EQUIPOS[],UNIFICADO!L$9,0),"")</f>
        <v>8</v>
      </c>
      <c r="M45" s="1" t="str">
        <f>IFERROR(VLOOKUP($C45,EQUIPOS[],UNIFICADO!M$9,0),"")</f>
        <v>2.4/1.9</v>
      </c>
      <c r="N45" s="1">
        <f>IFERROR(VLOOKUP($C45,EQUIPOS[],UNIFICADO!N$9,0),"")</f>
        <v>6</v>
      </c>
      <c r="O45" s="1">
        <f>IFERROR(VLOOKUP($C45,EQUIPOS[],UNIFICADO!O$9,0),"")</f>
        <v>195</v>
      </c>
      <c r="P45" s="1">
        <f>IFERROR(VLOOKUP($C45,EQUIPOS[],UNIFICADO!P$9,0),"")</f>
        <v>16.3</v>
      </c>
      <c r="Q45" s="1">
        <f>IFERROR(VLOOKUP($C45,EQUIPOS[],UNIFICADO!Q$9,0),"")</f>
        <v>7.47</v>
      </c>
      <c r="R45" s="1">
        <f>IFERROR(VLOOKUP($C45,EQUIPOS[],UNIFICADO!R$9,0),"")</f>
        <v>0.84</v>
      </c>
      <c r="S45" s="1">
        <f>IFERROR(VLOOKUP($C45,EQUIPOS[],UNIFICADO!S$9,0),"")</f>
        <v>5000</v>
      </c>
      <c r="T45" s="1">
        <f>IFERROR(VLOOKUP($C45,EQUIPOS[],UNIFICADO!T$9,0),"")</f>
        <v>4.5</v>
      </c>
      <c r="U45" s="1">
        <f>VLOOKUP(UNIFICADA[[#This Row],[Equipo]],EQUIPOS[],19,0)</f>
        <v>35</v>
      </c>
      <c r="V45" s="1" t="str">
        <f t="shared" si="182"/>
        <v>ND</v>
      </c>
      <c r="W45" s="1" t="str">
        <f t="shared" si="183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4"/>
        <v>ND</v>
      </c>
      <c r="AJ45" s="1" t="str">
        <f t="shared" si="185"/>
        <v>ND</v>
      </c>
      <c r="AK45" s="1" t="str">
        <f t="shared" si="186"/>
        <v>ND</v>
      </c>
      <c r="AL45" s="1" t="str">
        <f t="shared" si="187"/>
        <v>ND</v>
      </c>
      <c r="AM45" s="1" t="str">
        <f t="shared" si="188"/>
        <v>ND</v>
      </c>
      <c r="AN45" s="1" t="str">
        <f t="shared" si="189"/>
        <v>ND</v>
      </c>
      <c r="AO45" s="1" t="str">
        <f t="shared" si="190"/>
        <v>ND</v>
      </c>
      <c r="AP45" s="1" t="str">
        <f t="shared" si="191"/>
        <v>ND</v>
      </c>
      <c r="AQ45" s="1" t="str">
        <f t="shared" si="192"/>
        <v>ND</v>
      </c>
      <c r="AR45" s="1" t="str">
        <f t="shared" si="193"/>
        <v>ND</v>
      </c>
      <c r="AS45" s="1" t="str">
        <f t="shared" si="194"/>
        <v>ND</v>
      </c>
      <c r="AT45" s="1" t="str">
        <f t="shared" si="195"/>
        <v>ND</v>
      </c>
      <c r="AU45" s="1" t="str">
        <f t="shared" si="196"/>
        <v>ND</v>
      </c>
      <c r="AV45" s="1" t="str">
        <f t="shared" si="197"/>
        <v>ND</v>
      </c>
      <c r="AW45" s="1" t="str">
        <f t="shared" si="198"/>
        <v>ND</v>
      </c>
      <c r="AX45" s="1" t="str">
        <f t="shared" si="199"/>
        <v>ND</v>
      </c>
      <c r="AY45" s="1" t="str">
        <f t="shared" si="200"/>
        <v>ND</v>
      </c>
      <c r="AZ45" s="1" t="str">
        <f t="shared" si="201"/>
        <v>ND</v>
      </c>
      <c r="BA45" s="1" t="str">
        <f t="shared" si="202"/>
        <v>ND</v>
      </c>
      <c r="BB45" s="1" t="str">
        <f t="shared" si="203"/>
        <v>ND</v>
      </c>
      <c r="BC45" s="1" t="str">
        <f t="shared" si="204"/>
        <v>ND</v>
      </c>
      <c r="BD45" s="1" t="str">
        <f t="shared" si="205"/>
        <v>ND</v>
      </c>
      <c r="BE45" s="1" t="str">
        <f t="shared" si="206"/>
        <v>ND</v>
      </c>
      <c r="BF45" s="1" t="str">
        <f t="shared" si="207"/>
        <v>ND</v>
      </c>
      <c r="BG45" s="1" t="str">
        <f t="shared" si="208"/>
        <v>ND</v>
      </c>
      <c r="BH45" s="1" t="str">
        <f t="shared" si="209"/>
        <v>ND</v>
      </c>
      <c r="BI45" s="1" t="str">
        <f t="shared" si="210"/>
        <v>ND</v>
      </c>
      <c r="BJ45" s="1" t="str">
        <f t="shared" si="211"/>
        <v>ND</v>
      </c>
      <c r="BK45" s="1" t="str">
        <f t="shared" si="212"/>
        <v>ND</v>
      </c>
      <c r="BL45" s="1" t="str">
        <f t="shared" si="213"/>
        <v>ND</v>
      </c>
      <c r="BM45" s="1" t="str">
        <f t="shared" si="214"/>
        <v>ND</v>
      </c>
      <c r="BN45" s="1" t="str">
        <f t="shared" si="215"/>
        <v>ND</v>
      </c>
      <c r="BO45" s="1" t="str">
        <f t="shared" si="216"/>
        <v>ND</v>
      </c>
      <c r="BP45" s="1" t="str">
        <f t="shared" si="217"/>
        <v>ND</v>
      </c>
      <c r="BQ45" s="1" t="str">
        <f t="shared" si="218"/>
        <v>ND</v>
      </c>
      <c r="BR45" s="1" t="str">
        <f t="shared" si="219"/>
        <v>ND</v>
      </c>
      <c r="BS45" s="1" t="str">
        <f t="shared" si="220"/>
        <v>ND</v>
      </c>
      <c r="BT45" s="1" t="str">
        <f t="shared" si="221"/>
        <v>ND</v>
      </c>
      <c r="BU45" s="1" t="str">
        <f t="shared" si="222"/>
        <v>ND</v>
      </c>
      <c r="BV45" s="1" t="str">
        <f t="shared" si="223"/>
        <v>ND</v>
      </c>
      <c r="BW45" s="1" t="str">
        <f t="shared" si="224"/>
        <v>ND</v>
      </c>
      <c r="BX45" s="1" t="str">
        <f t="shared" si="225"/>
        <v>ND</v>
      </c>
      <c r="BY45" s="1" t="str">
        <f t="shared" si="226"/>
        <v>ND</v>
      </c>
      <c r="BZ45" s="1" t="str">
        <f t="shared" si="227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8"/>
        <v>ND</v>
      </c>
      <c r="CX45" s="1" t="str">
        <f t="shared" si="229"/>
        <v>ND</v>
      </c>
      <c r="CY45" s="1" t="str">
        <f t="shared" si="230"/>
        <v>ND</v>
      </c>
      <c r="CZ45" s="1" t="str">
        <f t="shared" si="231"/>
        <v>ND</v>
      </c>
      <c r="DA45" s="1" t="str">
        <f t="shared" si="232"/>
        <v>ND</v>
      </c>
      <c r="DB45" s="1" t="str">
        <f t="shared" si="233"/>
        <v>ND</v>
      </c>
      <c r="DC45" s="1" t="str">
        <f t="shared" si="234"/>
        <v>ND</v>
      </c>
      <c r="DD45" s="1" t="str">
        <f t="shared" si="235"/>
        <v>ND</v>
      </c>
      <c r="DE45" s="1" t="str">
        <f t="shared" si="236"/>
        <v>ND</v>
      </c>
      <c r="DF45" s="1" t="str">
        <f t="shared" si="237"/>
        <v>ND</v>
      </c>
      <c r="DG45" s="1" t="str">
        <f t="shared" si="238"/>
        <v>ND</v>
      </c>
      <c r="DH45" s="1" t="str">
        <f t="shared" si="239"/>
        <v>ND</v>
      </c>
      <c r="DI45" s="1" t="str">
        <f t="shared" si="240"/>
        <v>ND</v>
      </c>
      <c r="DJ45" s="1" t="str">
        <f t="shared" si="241"/>
        <v>ND</v>
      </c>
      <c r="DK45" s="1" t="str">
        <f t="shared" si="242"/>
        <v>ND</v>
      </c>
      <c r="DL45" s="1" t="str">
        <f t="shared" si="243"/>
        <v>ND</v>
      </c>
      <c r="DM45" s="1" t="str">
        <f t="shared" si="244"/>
        <v>ND</v>
      </c>
      <c r="DN45" s="1" t="str">
        <f t="shared" si="245"/>
        <v>ND</v>
      </c>
      <c r="DO45" s="1" t="str">
        <f t="shared" si="246"/>
        <v>ND</v>
      </c>
      <c r="DP45" s="1" t="str">
        <f t="shared" si="247"/>
        <v>ND</v>
      </c>
      <c r="DQ45" s="1" t="str">
        <f t="shared" si="248"/>
        <v>ND</v>
      </c>
      <c r="DR45" s="1" t="str">
        <f t="shared" si="249"/>
        <v>ND</v>
      </c>
      <c r="DS45" s="1" t="str">
        <f t="shared" si="250"/>
        <v>ND</v>
      </c>
      <c r="DT45" s="1" t="str">
        <f t="shared" si="251"/>
        <v>ND</v>
      </c>
      <c r="DU45" s="1" t="str">
        <f t="shared" si="252"/>
        <v>ND</v>
      </c>
      <c r="DV45" s="1" t="str">
        <f t="shared" si="253"/>
        <v>ND</v>
      </c>
      <c r="DW45" s="1" t="str">
        <f t="shared" si="254"/>
        <v>ND</v>
      </c>
      <c r="DX45" s="1" t="str">
        <f t="shared" si="255"/>
        <v>ND</v>
      </c>
      <c r="DY45" s="1" t="str">
        <f t="shared" si="256"/>
        <v>ND</v>
      </c>
      <c r="DZ45" s="1" t="str">
        <f t="shared" si="257"/>
        <v>ND</v>
      </c>
      <c r="EA45" s="1" t="str">
        <f t="shared" si="258"/>
        <v>ND</v>
      </c>
      <c r="EB45" s="1" t="str">
        <f t="shared" si="259"/>
        <v>ND</v>
      </c>
      <c r="EC45" s="1" t="str">
        <f t="shared" si="260"/>
        <v>ND</v>
      </c>
      <c r="ED45" s="1" t="str">
        <f t="shared" si="261"/>
        <v>ND</v>
      </c>
      <c r="EE45" s="1" t="str">
        <f t="shared" si="262"/>
        <v>ND</v>
      </c>
      <c r="EF45" s="1" t="str">
        <f t="shared" si="263"/>
        <v>ND</v>
      </c>
      <c r="EG45" s="1" t="str">
        <f t="shared" si="264"/>
        <v>ND</v>
      </c>
      <c r="EH45" s="1" t="str">
        <f t="shared" si="265"/>
        <v>ND</v>
      </c>
      <c r="EI45" s="1" t="str">
        <f t="shared" si="266"/>
        <v>ND</v>
      </c>
      <c r="EJ45" s="1" t="str">
        <f t="shared" si="267"/>
        <v>ND</v>
      </c>
      <c r="EK45" s="1" t="str">
        <f t="shared" si="268"/>
        <v>ND</v>
      </c>
      <c r="EL45" s="1" t="str">
        <f t="shared" si="269"/>
        <v>ND</v>
      </c>
      <c r="EM45" s="1" t="str">
        <f t="shared" si="270"/>
        <v>ND</v>
      </c>
      <c r="EN45" s="1" t="str">
        <f t="shared" si="271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2"/>
        <v>ND</v>
      </c>
      <c r="FW45" s="1" t="str">
        <f t="shared" si="273"/>
        <v>ND</v>
      </c>
      <c r="FX45" s="1" t="str">
        <f t="shared" si="274"/>
        <v>ND</v>
      </c>
      <c r="FY45" s="1" t="str">
        <f t="shared" si="275"/>
        <v>ND</v>
      </c>
      <c r="FZ45" s="1" t="str">
        <f t="shared" si="276"/>
        <v>ND</v>
      </c>
      <c r="GA45" s="1" t="str">
        <f t="shared" si="277"/>
        <v>ND</v>
      </c>
      <c r="GB45" s="1" t="str">
        <f t="shared" si="278"/>
        <v>ND</v>
      </c>
      <c r="GC45" s="1" t="str">
        <f t="shared" si="279"/>
        <v>ND</v>
      </c>
      <c r="GD45" s="1" t="str">
        <f t="shared" si="280"/>
        <v>ND</v>
      </c>
      <c r="GE45" s="1" t="str">
        <f t="shared" si="281"/>
        <v>ND</v>
      </c>
      <c r="GF45" s="1" t="str">
        <f t="shared" si="282"/>
        <v>ND</v>
      </c>
      <c r="GG45" s="1" t="str">
        <f t="shared" si="283"/>
        <v>ND</v>
      </c>
      <c r="GH45" s="1" t="str">
        <f t="shared" si="284"/>
        <v>ND</v>
      </c>
      <c r="GI45" s="1" t="str">
        <f t="shared" si="285"/>
        <v>ND</v>
      </c>
      <c r="GJ45" s="1" t="str">
        <f t="shared" si="286"/>
        <v>ND</v>
      </c>
      <c r="GK45" s="1" t="str">
        <f t="shared" si="287"/>
        <v>ND</v>
      </c>
      <c r="GL45" s="1" t="str">
        <f t="shared" si="288"/>
        <v>ND</v>
      </c>
      <c r="GM45" s="1" t="str">
        <f t="shared" si="289"/>
        <v>ND</v>
      </c>
      <c r="GN45" s="1" t="str">
        <f t="shared" si="290"/>
        <v>ND</v>
      </c>
      <c r="GO45" s="1" t="str">
        <f t="shared" si="291"/>
        <v>ND</v>
      </c>
      <c r="GP45" s="1" t="str">
        <f t="shared" si="292"/>
        <v>ND</v>
      </c>
      <c r="GQ45" s="1" t="str">
        <f t="shared" si="293"/>
        <v>ND</v>
      </c>
      <c r="GR45" s="1" t="str">
        <f t="shared" si="294"/>
        <v>ND</v>
      </c>
      <c r="GS45" s="1" t="str">
        <f t="shared" si="295"/>
        <v>ND</v>
      </c>
      <c r="GT45" s="1" t="str">
        <f t="shared" si="296"/>
        <v>ND</v>
      </c>
      <c r="GU45" s="1" t="str">
        <f t="shared" si="297"/>
        <v>ND</v>
      </c>
      <c r="GV45" s="1" t="str">
        <f t="shared" si="298"/>
        <v>ND</v>
      </c>
      <c r="GW45" s="1" t="str">
        <f t="shared" si="299"/>
        <v>ND</v>
      </c>
      <c r="GX45" s="1" t="str">
        <f t="shared" si="300"/>
        <v>ND</v>
      </c>
      <c r="GY45" s="1" t="str">
        <f t="shared" si="301"/>
        <v>ND</v>
      </c>
      <c r="GZ45" s="1" t="str">
        <f t="shared" si="302"/>
        <v>ND</v>
      </c>
      <c r="HA45" s="1" t="str">
        <f t="shared" si="303"/>
        <v>ND</v>
      </c>
      <c r="HB45" s="1" t="str">
        <f t="shared" si="304"/>
        <v>ND</v>
      </c>
      <c r="HC45" s="1" t="str">
        <f t="shared" si="305"/>
        <v>ND</v>
      </c>
      <c r="HD45" s="1" t="str">
        <f t="shared" si="306"/>
        <v>ND</v>
      </c>
      <c r="HE45" s="1" t="str">
        <f t="shared" si="307"/>
        <v>ND</v>
      </c>
      <c r="HF45" s="1" t="str">
        <f t="shared" si="308"/>
        <v>ND</v>
      </c>
      <c r="HG45" s="1" t="str">
        <f t="shared" si="309"/>
        <v>ND</v>
      </c>
      <c r="HH45" s="1" t="str">
        <f t="shared" si="310"/>
        <v>ND</v>
      </c>
      <c r="HI45" s="1" t="str">
        <f t="shared" si="311"/>
        <v>ND</v>
      </c>
      <c r="HJ45" s="1" t="str">
        <f t="shared" si="312"/>
        <v>ND</v>
      </c>
      <c r="HK45" s="1" t="str">
        <f t="shared" si="313"/>
        <v>ND</v>
      </c>
      <c r="HL45" s="1" t="str">
        <f t="shared" si="314"/>
        <v>ND</v>
      </c>
      <c r="HM45" s="1" t="str">
        <f t="shared" si="315"/>
        <v>ND</v>
      </c>
      <c r="HN45" s="1" t="str">
        <f t="shared" si="316"/>
        <v>ND</v>
      </c>
      <c r="HO45" s="1" t="str">
        <f t="shared" si="317"/>
        <v>ND</v>
      </c>
      <c r="HP45" s="1" t="str">
        <f t="shared" si="318"/>
        <v>ND</v>
      </c>
      <c r="HQ45" s="1" t="str">
        <f t="shared" si="319"/>
        <v>ND</v>
      </c>
      <c r="HR45" s="1" t="str">
        <f t="shared" si="320"/>
        <v>ND</v>
      </c>
      <c r="HS45" s="1" t="str">
        <f t="shared" si="321"/>
        <v>ND</v>
      </c>
      <c r="HT45" s="1" t="str">
        <f t="shared" si="322"/>
        <v>ND</v>
      </c>
      <c r="HU45" s="1" t="str">
        <f t="shared" si="323"/>
        <v>ND</v>
      </c>
      <c r="HV45" s="1" t="str">
        <f t="shared" si="324"/>
        <v>ND</v>
      </c>
      <c r="HW45" s="1" t="str">
        <f t="shared" si="325"/>
        <v>ND</v>
      </c>
      <c r="HX45" s="1" t="str">
        <f t="shared" si="326"/>
        <v>ND</v>
      </c>
      <c r="HY45" s="1" t="str">
        <f t="shared" si="327"/>
        <v>ND</v>
      </c>
      <c r="HZ45" s="1" t="str">
        <f t="shared" si="328"/>
        <v>ND</v>
      </c>
      <c r="IA45" s="1" t="str">
        <f t="shared" si="329"/>
        <v>ND</v>
      </c>
      <c r="IB45" s="1" t="str">
        <f t="shared" si="330"/>
        <v>ND</v>
      </c>
      <c r="IC45" s="1" t="str">
        <f t="shared" si="331"/>
        <v>ND</v>
      </c>
      <c r="ID45" s="1" t="str">
        <f t="shared" si="332"/>
        <v>ND</v>
      </c>
      <c r="IE45" s="1" t="str">
        <f t="shared" si="333"/>
        <v>ND</v>
      </c>
      <c r="IF45" s="1" t="str">
        <f t="shared" si="334"/>
        <v>ND</v>
      </c>
      <c r="IG45" s="1" t="str">
        <f t="shared" si="335"/>
        <v>ND</v>
      </c>
      <c r="IH45" s="1" t="str">
        <f t="shared" si="336"/>
        <v>ND</v>
      </c>
      <c r="II45" s="1" t="str">
        <f t="shared" si="337"/>
        <v>ND</v>
      </c>
    </row>
    <row r="46" spans="3:243" x14ac:dyDescent="0.25">
      <c r="C46" t="s">
        <v>60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6.6</v>
      </c>
      <c r="G46" s="1">
        <f>IFERROR(VLOOKUP($C46,EQUIPOS[],UNIFICADO!G$9,0),"")</f>
        <v>64</v>
      </c>
      <c r="H46" s="1">
        <f>IFERROR(VLOOKUP($C46,EQUIPOS[],UNIFICADO!H$9,0),"")</f>
        <v>4</v>
      </c>
      <c r="I46" s="1">
        <f>IFERROR(VLOOKUP($C46,EQUIPOS[],UNIFICADO!I$9,0),"")</f>
        <v>13</v>
      </c>
      <c r="J46" s="1" t="str">
        <f>IFERROR(VLOOKUP($C46,EQUIPOS[],UNIFICADO!J$9,0),"")</f>
        <v>256GB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 t="str">
        <f>IFERROR(VLOOKUP($C46,EQUIPOS[],UNIFICADO!M$9,0),"")</f>
        <v>2.8/2.4/1.8</v>
      </c>
      <c r="N46" s="1">
        <f>IFERROR(VLOOKUP($C46,EQUIPOS[],UNIFICADO!N$9,0),"")</f>
        <v>8</v>
      </c>
      <c r="O46" s="1">
        <f>IFERROR(VLOOKUP($C46,EQUIPOS[],UNIFICADO!O$9,0),"")</f>
        <v>195</v>
      </c>
      <c r="P46" s="1">
        <f>IFERROR(VLOOKUP($C46,EQUIPOS[],UNIFICADO!P$9,0),"")</f>
        <v>15.8</v>
      </c>
      <c r="Q46" s="1">
        <f>IFERROR(VLOOKUP($C46,EQUIPOS[],UNIFICADO!Q$9,0),"")</f>
        <v>7.28</v>
      </c>
      <c r="R46" s="1">
        <f>IFERROR(VLOOKUP($C46,EQUIPOS[],UNIFICADO!R$9,0),"")</f>
        <v>0.85</v>
      </c>
      <c r="S46" s="1">
        <f>IFERROR(VLOOKUP($C46,EQUIPOS[],UNIFICADO!S$9,0),"")</f>
        <v>4360</v>
      </c>
      <c r="T46" s="1">
        <f>IFERROR(VLOOKUP($C46,EQUIPOS[],UNIFICADO!T$9,0),"")</f>
        <v>4.5</v>
      </c>
      <c r="U46" s="1">
        <f>VLOOKUP(UNIFICADA[[#This Row],[Equipo]],EQUIPOS[],19,0)</f>
        <v>36</v>
      </c>
      <c r="V46" s="1" t="str">
        <f t="shared" si="182"/>
        <v>ND</v>
      </c>
      <c r="W46" s="1" t="str">
        <f t="shared" si="183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4"/>
        <v>ND</v>
      </c>
      <c r="AJ46" s="1" t="str">
        <f t="shared" si="185"/>
        <v>ND</v>
      </c>
      <c r="AK46" s="1" t="str">
        <f t="shared" si="186"/>
        <v>ND</v>
      </c>
      <c r="AL46" s="1" t="str">
        <f t="shared" si="187"/>
        <v>ND</v>
      </c>
      <c r="AM46" s="1" t="str">
        <f t="shared" si="188"/>
        <v>ND</v>
      </c>
      <c r="AN46" s="1" t="str">
        <f t="shared" si="189"/>
        <v>ND</v>
      </c>
      <c r="AO46" s="1" t="str">
        <f t="shared" si="190"/>
        <v>ND</v>
      </c>
      <c r="AP46" s="1" t="str">
        <f t="shared" si="191"/>
        <v>ND</v>
      </c>
      <c r="AQ46" s="1" t="str">
        <f t="shared" si="192"/>
        <v>ND</v>
      </c>
      <c r="AR46" s="1" t="str">
        <f t="shared" si="193"/>
        <v>ND</v>
      </c>
      <c r="AS46" s="1" t="str">
        <f t="shared" si="194"/>
        <v>ND</v>
      </c>
      <c r="AT46" s="1" t="str">
        <f t="shared" si="195"/>
        <v>ND</v>
      </c>
      <c r="AU46" s="1" t="str">
        <f t="shared" si="196"/>
        <v>ND</v>
      </c>
      <c r="AV46" s="1" t="str">
        <f t="shared" si="197"/>
        <v>ND</v>
      </c>
      <c r="AW46" s="1" t="str">
        <f t="shared" si="198"/>
        <v>ND</v>
      </c>
      <c r="AX46" s="1" t="str">
        <f t="shared" si="199"/>
        <v>ND</v>
      </c>
      <c r="AY46" s="1" t="str">
        <f t="shared" si="200"/>
        <v>ND</v>
      </c>
      <c r="AZ46" s="1" t="str">
        <f t="shared" si="201"/>
        <v>ND</v>
      </c>
      <c r="BA46" s="1" t="str">
        <f t="shared" si="202"/>
        <v>ND</v>
      </c>
      <c r="BB46" s="1" t="str">
        <f t="shared" si="203"/>
        <v>ND</v>
      </c>
      <c r="BC46" s="1" t="str">
        <f t="shared" si="204"/>
        <v>ND</v>
      </c>
      <c r="BD46" s="1" t="str">
        <f t="shared" si="205"/>
        <v>ND</v>
      </c>
      <c r="BE46" s="1" t="str">
        <f t="shared" si="206"/>
        <v>ND</v>
      </c>
      <c r="BF46" s="1" t="str">
        <f t="shared" si="207"/>
        <v>ND</v>
      </c>
      <c r="BG46" s="1" t="str">
        <f t="shared" si="208"/>
        <v>ND</v>
      </c>
      <c r="BH46" s="1" t="str">
        <f t="shared" si="209"/>
        <v>ND</v>
      </c>
      <c r="BI46" s="1" t="str">
        <f t="shared" si="210"/>
        <v>ND</v>
      </c>
      <c r="BJ46" s="1" t="str">
        <f t="shared" si="211"/>
        <v>ND</v>
      </c>
      <c r="BK46" s="1" t="str">
        <f t="shared" si="212"/>
        <v>ND</v>
      </c>
      <c r="BL46" s="1" t="str">
        <f t="shared" si="213"/>
        <v>ND</v>
      </c>
      <c r="BM46" s="1" t="str">
        <f t="shared" si="214"/>
        <v>ND</v>
      </c>
      <c r="BN46" s="1" t="str">
        <f t="shared" si="215"/>
        <v>ND</v>
      </c>
      <c r="BO46" s="1" t="str">
        <f t="shared" si="216"/>
        <v>ND</v>
      </c>
      <c r="BP46" s="1" t="str">
        <f t="shared" si="217"/>
        <v>ND</v>
      </c>
      <c r="BQ46" s="1" t="str">
        <f t="shared" si="218"/>
        <v>ND</v>
      </c>
      <c r="BR46" s="1" t="str">
        <f t="shared" si="219"/>
        <v>ND</v>
      </c>
      <c r="BS46" s="1" t="str">
        <f t="shared" si="220"/>
        <v>ND</v>
      </c>
      <c r="BT46" s="1" t="str">
        <f t="shared" si="221"/>
        <v>ND</v>
      </c>
      <c r="BU46" s="1" t="str">
        <f t="shared" si="222"/>
        <v>ND</v>
      </c>
      <c r="BV46" s="1" t="str">
        <f t="shared" si="223"/>
        <v>ND</v>
      </c>
      <c r="BW46" s="1" t="str">
        <f t="shared" si="224"/>
        <v>ND</v>
      </c>
      <c r="BX46" s="1" t="str">
        <f t="shared" si="225"/>
        <v>ND</v>
      </c>
      <c r="BY46" s="1" t="str">
        <f t="shared" si="226"/>
        <v>ND</v>
      </c>
      <c r="BZ46" s="1" t="str">
        <f t="shared" si="227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8"/>
        <v>ND</v>
      </c>
      <c r="CX46" s="1" t="str">
        <f t="shared" si="229"/>
        <v>ND</v>
      </c>
      <c r="CY46" s="1" t="str">
        <f t="shared" si="230"/>
        <v>ND</v>
      </c>
      <c r="CZ46" s="1" t="str">
        <f t="shared" si="231"/>
        <v>ND</v>
      </c>
      <c r="DA46" s="1" t="str">
        <f t="shared" si="232"/>
        <v>ND</v>
      </c>
      <c r="DB46" s="1" t="str">
        <f t="shared" si="233"/>
        <v>ND</v>
      </c>
      <c r="DC46" s="1" t="str">
        <f t="shared" si="234"/>
        <v>ND</v>
      </c>
      <c r="DD46" s="1" t="str">
        <f t="shared" si="235"/>
        <v>ND</v>
      </c>
      <c r="DE46" s="1" t="str">
        <f t="shared" si="236"/>
        <v>ND</v>
      </c>
      <c r="DF46" s="1" t="str">
        <f t="shared" si="237"/>
        <v>ND</v>
      </c>
      <c r="DG46" s="1" t="str">
        <f t="shared" si="238"/>
        <v>ND</v>
      </c>
      <c r="DH46" s="1" t="str">
        <f t="shared" si="239"/>
        <v>ND</v>
      </c>
      <c r="DI46" s="1" t="str">
        <f t="shared" si="240"/>
        <v>ND</v>
      </c>
      <c r="DJ46" s="1" t="str">
        <f t="shared" si="241"/>
        <v>ND</v>
      </c>
      <c r="DK46" s="1" t="str">
        <f t="shared" si="242"/>
        <v>ND</v>
      </c>
      <c r="DL46" s="1" t="str">
        <f t="shared" si="243"/>
        <v>ND</v>
      </c>
      <c r="DM46" s="1" t="str">
        <f t="shared" si="244"/>
        <v>ND</v>
      </c>
      <c r="DN46" s="1" t="str">
        <f t="shared" si="245"/>
        <v>ND</v>
      </c>
      <c r="DO46" s="1" t="str">
        <f t="shared" si="246"/>
        <v>ND</v>
      </c>
      <c r="DP46" s="1" t="str">
        <f t="shared" si="247"/>
        <v>ND</v>
      </c>
      <c r="DQ46" s="1" t="str">
        <f t="shared" si="248"/>
        <v>ND</v>
      </c>
      <c r="DR46" s="1" t="str">
        <f t="shared" si="249"/>
        <v>ND</v>
      </c>
      <c r="DS46" s="1" t="str">
        <f t="shared" si="250"/>
        <v>ND</v>
      </c>
      <c r="DT46" s="1" t="str">
        <f t="shared" si="251"/>
        <v>ND</v>
      </c>
      <c r="DU46" s="1" t="str">
        <f t="shared" si="252"/>
        <v>ND</v>
      </c>
      <c r="DV46" s="1" t="str">
        <f t="shared" si="253"/>
        <v>ND</v>
      </c>
      <c r="DW46" s="1" t="str">
        <f t="shared" si="254"/>
        <v>ND</v>
      </c>
      <c r="DX46" s="1" t="str">
        <f t="shared" si="255"/>
        <v>ND</v>
      </c>
      <c r="DY46" s="1" t="str">
        <f t="shared" si="256"/>
        <v>ND</v>
      </c>
      <c r="DZ46" s="1" t="str">
        <f t="shared" si="257"/>
        <v>ND</v>
      </c>
      <c r="EA46" s="1" t="str">
        <f t="shared" si="258"/>
        <v>ND</v>
      </c>
      <c r="EB46" s="1" t="str">
        <f t="shared" si="259"/>
        <v>ND</v>
      </c>
      <c r="EC46" s="1" t="str">
        <f t="shared" si="260"/>
        <v>ND</v>
      </c>
      <c r="ED46" s="1" t="str">
        <f t="shared" si="261"/>
        <v>ND</v>
      </c>
      <c r="EE46" s="1" t="str">
        <f t="shared" si="262"/>
        <v>ND</v>
      </c>
      <c r="EF46" s="1" t="str">
        <f t="shared" si="263"/>
        <v>ND</v>
      </c>
      <c r="EG46" s="1" t="str">
        <f t="shared" si="264"/>
        <v>ND</v>
      </c>
      <c r="EH46" s="1" t="str">
        <f t="shared" si="265"/>
        <v>ND</v>
      </c>
      <c r="EI46" s="1" t="str">
        <f t="shared" si="266"/>
        <v>ND</v>
      </c>
      <c r="EJ46" s="1" t="str">
        <f t="shared" si="267"/>
        <v>ND</v>
      </c>
      <c r="EK46" s="1" t="str">
        <f t="shared" si="268"/>
        <v>ND</v>
      </c>
      <c r="EL46" s="1" t="str">
        <f t="shared" si="269"/>
        <v>ND</v>
      </c>
      <c r="EM46" s="1" t="str">
        <f t="shared" si="270"/>
        <v>ND</v>
      </c>
      <c r="EN46" s="1" t="str">
        <f t="shared" si="271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2"/>
        <v>ND</v>
      </c>
      <c r="FW46" s="1" t="str">
        <f t="shared" si="273"/>
        <v>ND</v>
      </c>
      <c r="FX46" s="1" t="str">
        <f t="shared" si="274"/>
        <v>ND</v>
      </c>
      <c r="FY46" s="1" t="str">
        <f t="shared" si="275"/>
        <v>ND</v>
      </c>
      <c r="FZ46" s="1" t="str">
        <f t="shared" si="276"/>
        <v>ND</v>
      </c>
      <c r="GA46" s="1" t="str">
        <f t="shared" si="277"/>
        <v>ND</v>
      </c>
      <c r="GB46" s="1" t="str">
        <f t="shared" si="278"/>
        <v>ND</v>
      </c>
      <c r="GC46" s="1" t="str">
        <f t="shared" si="279"/>
        <v>ND</v>
      </c>
      <c r="GD46" s="1" t="str">
        <f t="shared" si="280"/>
        <v>ND</v>
      </c>
      <c r="GE46" s="1" t="str">
        <f t="shared" si="281"/>
        <v>ND</v>
      </c>
      <c r="GF46" s="1" t="str">
        <f t="shared" si="282"/>
        <v>ND</v>
      </c>
      <c r="GG46" s="1" t="str">
        <f t="shared" si="283"/>
        <v>ND</v>
      </c>
      <c r="GH46" s="1" t="str">
        <f t="shared" si="284"/>
        <v>ND</v>
      </c>
      <c r="GI46" s="1" t="str">
        <f t="shared" si="285"/>
        <v>ND</v>
      </c>
      <c r="GJ46" s="1" t="str">
        <f t="shared" si="286"/>
        <v>ND</v>
      </c>
      <c r="GK46" s="1" t="str">
        <f t="shared" si="287"/>
        <v>ND</v>
      </c>
      <c r="GL46" s="1" t="str">
        <f t="shared" si="288"/>
        <v>ND</v>
      </c>
      <c r="GM46" s="1" t="str">
        <f t="shared" si="289"/>
        <v>ND</v>
      </c>
      <c r="GN46" s="1" t="str">
        <f t="shared" si="290"/>
        <v>ND</v>
      </c>
      <c r="GO46" s="1" t="str">
        <f t="shared" si="291"/>
        <v>ND</v>
      </c>
      <c r="GP46" s="1" t="str">
        <f t="shared" si="292"/>
        <v>ND</v>
      </c>
      <c r="GQ46" s="1" t="str">
        <f t="shared" si="293"/>
        <v>ND</v>
      </c>
      <c r="GR46" s="1" t="str">
        <f t="shared" si="294"/>
        <v>ND</v>
      </c>
      <c r="GS46" s="1" t="str">
        <f t="shared" si="295"/>
        <v>ND</v>
      </c>
      <c r="GT46" s="1" t="str">
        <f t="shared" si="296"/>
        <v>ND</v>
      </c>
      <c r="GU46" s="1" t="str">
        <f t="shared" si="297"/>
        <v>ND</v>
      </c>
      <c r="GV46" s="1" t="str">
        <f t="shared" si="298"/>
        <v>ND</v>
      </c>
      <c r="GW46" s="1" t="str">
        <f t="shared" si="299"/>
        <v>ND</v>
      </c>
      <c r="GX46" s="1" t="str">
        <f t="shared" si="300"/>
        <v>ND</v>
      </c>
      <c r="GY46" s="1" t="str">
        <f t="shared" si="301"/>
        <v>ND</v>
      </c>
      <c r="GZ46" s="1" t="str">
        <f t="shared" si="302"/>
        <v>ND</v>
      </c>
      <c r="HA46" s="1" t="str">
        <f t="shared" si="303"/>
        <v>ND</v>
      </c>
      <c r="HB46" s="1" t="str">
        <f t="shared" si="304"/>
        <v>ND</v>
      </c>
      <c r="HC46" s="1" t="str">
        <f t="shared" si="305"/>
        <v>ND</v>
      </c>
      <c r="HD46" s="1" t="str">
        <f t="shared" si="306"/>
        <v>ND</v>
      </c>
      <c r="HE46" s="1" t="str">
        <f t="shared" si="307"/>
        <v>ND</v>
      </c>
      <c r="HF46" s="1" t="str">
        <f t="shared" si="308"/>
        <v>ND</v>
      </c>
      <c r="HG46" s="1" t="str">
        <f t="shared" si="309"/>
        <v>ND</v>
      </c>
      <c r="HH46" s="1" t="str">
        <f t="shared" si="310"/>
        <v>ND</v>
      </c>
      <c r="HI46" s="1" t="str">
        <f t="shared" si="311"/>
        <v>ND</v>
      </c>
      <c r="HJ46" s="1" t="str">
        <f t="shared" si="312"/>
        <v>ND</v>
      </c>
      <c r="HK46" s="1" t="str">
        <f t="shared" si="313"/>
        <v>ND</v>
      </c>
      <c r="HL46" s="1" t="str">
        <f t="shared" si="314"/>
        <v>ND</v>
      </c>
      <c r="HM46" s="1" t="str">
        <f t="shared" si="315"/>
        <v>ND</v>
      </c>
      <c r="HN46" s="1" t="str">
        <f t="shared" si="316"/>
        <v>ND</v>
      </c>
      <c r="HO46" s="1" t="str">
        <f t="shared" si="317"/>
        <v>ND</v>
      </c>
      <c r="HP46" s="1" t="str">
        <f t="shared" si="318"/>
        <v>ND</v>
      </c>
      <c r="HQ46" s="1" t="str">
        <f t="shared" si="319"/>
        <v>ND</v>
      </c>
      <c r="HR46" s="1" t="str">
        <f t="shared" si="320"/>
        <v>ND</v>
      </c>
      <c r="HS46" s="1" t="str">
        <f t="shared" si="321"/>
        <v>ND</v>
      </c>
      <c r="HT46" s="1" t="str">
        <f t="shared" si="322"/>
        <v>ND</v>
      </c>
      <c r="HU46" s="1" t="str">
        <f t="shared" si="323"/>
        <v>ND</v>
      </c>
      <c r="HV46" s="1" t="str">
        <f t="shared" si="324"/>
        <v>ND</v>
      </c>
      <c r="HW46" s="1" t="str">
        <f t="shared" si="325"/>
        <v>ND</v>
      </c>
      <c r="HX46" s="1" t="str">
        <f t="shared" si="326"/>
        <v>ND</v>
      </c>
      <c r="HY46" s="1" t="str">
        <f t="shared" si="327"/>
        <v>ND</v>
      </c>
      <c r="HZ46" s="1" t="str">
        <f t="shared" si="328"/>
        <v>ND</v>
      </c>
      <c r="IA46" s="1" t="str">
        <f t="shared" si="329"/>
        <v>ND</v>
      </c>
      <c r="IB46" s="1" t="str">
        <f t="shared" si="330"/>
        <v>ND</v>
      </c>
      <c r="IC46" s="1" t="str">
        <f t="shared" si="331"/>
        <v>ND</v>
      </c>
      <c r="ID46" s="1" t="str">
        <f t="shared" si="332"/>
        <v>ND</v>
      </c>
      <c r="IE46" s="1" t="str">
        <f t="shared" si="333"/>
        <v>ND</v>
      </c>
      <c r="IF46" s="1" t="str">
        <f t="shared" si="334"/>
        <v>ND</v>
      </c>
      <c r="IG46" s="1" t="str">
        <f t="shared" si="335"/>
        <v>ND</v>
      </c>
      <c r="IH46" s="1" t="str">
        <f t="shared" si="336"/>
        <v>ND</v>
      </c>
      <c r="II46" s="1" t="str">
        <f t="shared" si="337"/>
        <v>ND</v>
      </c>
    </row>
    <row r="47" spans="3:243" x14ac:dyDescent="0.25">
      <c r="C47" t="s">
        <v>17</v>
      </c>
      <c r="D47">
        <f>SUMIFS(DICCIONARIO[Cantidad],DICCIONARIO[Modelo],UNIFICADA[[#This Row],[Equipo]])</f>
        <v>0</v>
      </c>
      <c r="E47" s="1">
        <f>IFERROR(VLOOKUP($C47,EQUIPOS[],UNIFICADO!E$9,0),"")</f>
        <v>10</v>
      </c>
      <c r="F47" s="1">
        <f>IFERROR(VLOOKUP($C47,EQUIPOS[],UNIFICADO!F$9,0),"")</f>
        <v>6.63</v>
      </c>
      <c r="G47" s="1">
        <f>IFERROR(VLOOKUP($C47,EQUIPOS[],UNIFICADO!G$9,0),"")</f>
        <v>64</v>
      </c>
      <c r="H47" s="1">
        <f>IFERROR(VLOOKUP($C47,EQUIPOS[],UNIFICADO!H$9,0),"")</f>
        <v>4</v>
      </c>
      <c r="I47" s="1">
        <f>IFERROR(VLOOKUP($C47,EQUIPOS[],UNIFICADO!I$9,0),"")</f>
        <v>16</v>
      </c>
      <c r="J47" s="1" t="str">
        <f>IFERROR(VLOOKUP($C47,EQUIPOS[],UNIFICADO!J$9,0),"")</f>
        <v>128GB</v>
      </c>
      <c r="K47" s="1">
        <f>IFERROR(VLOOKUP($C47,EQUIPOS[],UNIFICADO!K$9,0),"")</f>
        <v>256</v>
      </c>
      <c r="L47" s="1">
        <f>IFERROR(VLOOKUP($C47,EQUIPOS[],UNIFICADO!L$9,0),"")</f>
        <v>8</v>
      </c>
      <c r="M47" s="1" t="str">
        <f>IFERROR(VLOOKUP($C47,EQUIPOS[],UNIFICADO!M$9,0),"")</f>
        <v>2.0/1.8</v>
      </c>
      <c r="N47" s="1">
        <f>IFERROR(VLOOKUP($C47,EQUIPOS[],UNIFICADO!N$9,0),"")</f>
        <v>6</v>
      </c>
      <c r="O47" s="1">
        <f>IFERROR(VLOOKUP($C47,EQUIPOS[],UNIFICADO!O$9,0),"")</f>
        <v>197</v>
      </c>
      <c r="P47" s="1">
        <f>IFERROR(VLOOKUP($C47,EQUIPOS[],UNIFICADO!P$9,0),"")</f>
        <v>16.3</v>
      </c>
      <c r="Q47" s="1">
        <f>IFERROR(VLOOKUP($C47,EQUIPOS[],UNIFICADO!Q$9,0),"")</f>
        <v>7.65</v>
      </c>
      <c r="R47" s="1">
        <f>IFERROR(VLOOKUP($C47,EQUIPOS[],UNIFICADO!R$9,0),"")</f>
        <v>0.9</v>
      </c>
      <c r="S47" s="1">
        <f>IFERROR(VLOOKUP($C47,EQUIPOS[],UNIFICADO!S$9,0),"")</f>
        <v>4300</v>
      </c>
      <c r="T47" s="1">
        <f>IFERROR(VLOOKUP($C47,EQUIPOS[],UNIFICADO!T$9,0),"")</f>
        <v>4</v>
      </c>
      <c r="U47" s="1">
        <f>VLOOKUP(UNIFICADA[[#This Row],[Equipo]],EQUIPOS[],19,0)</f>
        <v>37</v>
      </c>
      <c r="V47" s="1" t="str">
        <f t="shared" si="182"/>
        <v>ND</v>
      </c>
      <c r="W47" s="1" t="str">
        <f t="shared" si="183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4"/>
        <v>ND</v>
      </c>
      <c r="AJ47" s="1" t="str">
        <f t="shared" si="185"/>
        <v>ND</v>
      </c>
      <c r="AK47" s="1" t="str">
        <f t="shared" si="186"/>
        <v>ND</v>
      </c>
      <c r="AL47" s="1" t="str">
        <f t="shared" si="187"/>
        <v>ND</v>
      </c>
      <c r="AM47" s="1" t="str">
        <f t="shared" si="188"/>
        <v>ND</v>
      </c>
      <c r="AN47" s="1" t="str">
        <f t="shared" si="189"/>
        <v>ND</v>
      </c>
      <c r="AO47" s="1" t="str">
        <f t="shared" si="190"/>
        <v>ND</v>
      </c>
      <c r="AP47" s="1" t="str">
        <f t="shared" si="191"/>
        <v>ND</v>
      </c>
      <c r="AQ47" s="1" t="str">
        <f t="shared" si="192"/>
        <v>ND</v>
      </c>
      <c r="AR47" s="1" t="str">
        <f t="shared" si="193"/>
        <v>ND</v>
      </c>
      <c r="AS47" s="1" t="str">
        <f t="shared" si="194"/>
        <v>ND</v>
      </c>
      <c r="AT47" s="1" t="str">
        <f t="shared" si="195"/>
        <v>ND</v>
      </c>
      <c r="AU47" s="1" t="str">
        <f t="shared" si="196"/>
        <v>ND</v>
      </c>
      <c r="AV47" s="1" t="str">
        <f t="shared" si="197"/>
        <v>ND</v>
      </c>
      <c r="AW47" s="1" t="str">
        <f t="shared" si="198"/>
        <v>ND</v>
      </c>
      <c r="AX47" s="1" t="str">
        <f t="shared" si="199"/>
        <v>ND</v>
      </c>
      <c r="AY47" s="1" t="str">
        <f t="shared" si="200"/>
        <v>ND</v>
      </c>
      <c r="AZ47" s="1" t="str">
        <f t="shared" si="201"/>
        <v>ND</v>
      </c>
      <c r="BA47" s="1" t="str">
        <f t="shared" si="202"/>
        <v>ND</v>
      </c>
      <c r="BB47" s="1" t="str">
        <f t="shared" si="203"/>
        <v>ND</v>
      </c>
      <c r="BC47" s="1" t="str">
        <f t="shared" si="204"/>
        <v>ND</v>
      </c>
      <c r="BD47" s="1" t="str">
        <f t="shared" si="205"/>
        <v>ND</v>
      </c>
      <c r="BE47" s="1" t="str">
        <f t="shared" si="206"/>
        <v>ND</v>
      </c>
      <c r="BF47" s="1" t="str">
        <f t="shared" si="207"/>
        <v>ND</v>
      </c>
      <c r="BG47" s="1" t="str">
        <f t="shared" si="208"/>
        <v>ND</v>
      </c>
      <c r="BH47" s="1" t="str">
        <f t="shared" si="209"/>
        <v>ND</v>
      </c>
      <c r="BI47" s="1" t="str">
        <f t="shared" si="210"/>
        <v>ND</v>
      </c>
      <c r="BJ47" s="1" t="str">
        <f t="shared" si="211"/>
        <v>ND</v>
      </c>
      <c r="BK47" s="1" t="str">
        <f t="shared" si="212"/>
        <v>ND</v>
      </c>
      <c r="BL47" s="1" t="str">
        <f t="shared" si="213"/>
        <v>ND</v>
      </c>
      <c r="BM47" s="1" t="str">
        <f t="shared" si="214"/>
        <v>ND</v>
      </c>
      <c r="BN47" s="1" t="str">
        <f t="shared" si="215"/>
        <v>ND</v>
      </c>
      <c r="BO47" s="1" t="str">
        <f t="shared" si="216"/>
        <v>ND</v>
      </c>
      <c r="BP47" s="1" t="str">
        <f t="shared" si="217"/>
        <v>ND</v>
      </c>
      <c r="BQ47" s="1" t="str">
        <f t="shared" si="218"/>
        <v>ND</v>
      </c>
      <c r="BR47" s="1" t="str">
        <f t="shared" si="219"/>
        <v>ND</v>
      </c>
      <c r="BS47" s="1" t="str">
        <f t="shared" si="220"/>
        <v>ND</v>
      </c>
      <c r="BT47" s="1" t="str">
        <f t="shared" si="221"/>
        <v>ND</v>
      </c>
      <c r="BU47" s="1" t="str">
        <f t="shared" si="222"/>
        <v>ND</v>
      </c>
      <c r="BV47" s="1" t="str">
        <f t="shared" si="223"/>
        <v>ND</v>
      </c>
      <c r="BW47" s="1" t="str">
        <f t="shared" si="224"/>
        <v>ND</v>
      </c>
      <c r="BX47" s="1" t="str">
        <f t="shared" si="225"/>
        <v>ND</v>
      </c>
      <c r="BY47" s="1" t="str">
        <f t="shared" si="226"/>
        <v>ND</v>
      </c>
      <c r="BZ47" s="1" t="str">
        <f t="shared" si="227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8"/>
        <v>ND</v>
      </c>
      <c r="CX47" s="1" t="str">
        <f t="shared" si="229"/>
        <v>ND</v>
      </c>
      <c r="CY47" s="1" t="str">
        <f t="shared" si="230"/>
        <v>ND</v>
      </c>
      <c r="CZ47" s="1" t="str">
        <f t="shared" si="231"/>
        <v>ND</v>
      </c>
      <c r="DA47" s="1" t="str">
        <f t="shared" si="232"/>
        <v>ND</v>
      </c>
      <c r="DB47" s="1" t="str">
        <f t="shared" si="233"/>
        <v>ND</v>
      </c>
      <c r="DC47" s="1" t="str">
        <f t="shared" si="234"/>
        <v>ND</v>
      </c>
      <c r="DD47" s="1" t="str">
        <f t="shared" si="235"/>
        <v>ND</v>
      </c>
      <c r="DE47" s="1" t="str">
        <f t="shared" si="236"/>
        <v>ND</v>
      </c>
      <c r="DF47" s="1" t="str">
        <f t="shared" si="237"/>
        <v>ND</v>
      </c>
      <c r="DG47" s="1" t="str">
        <f t="shared" si="238"/>
        <v>ND</v>
      </c>
      <c r="DH47" s="1" t="str">
        <f t="shared" si="239"/>
        <v>ND</v>
      </c>
      <c r="DI47" s="1" t="str">
        <f t="shared" si="240"/>
        <v>ND</v>
      </c>
      <c r="DJ47" s="1" t="str">
        <f t="shared" si="241"/>
        <v>ND</v>
      </c>
      <c r="DK47" s="1" t="str">
        <f t="shared" si="242"/>
        <v>ND</v>
      </c>
      <c r="DL47" s="1" t="str">
        <f t="shared" si="243"/>
        <v>ND</v>
      </c>
      <c r="DM47" s="1" t="str">
        <f t="shared" si="244"/>
        <v>ND</v>
      </c>
      <c r="DN47" s="1" t="str">
        <f t="shared" si="245"/>
        <v>ND</v>
      </c>
      <c r="DO47" s="1" t="str">
        <f t="shared" si="246"/>
        <v>ND</v>
      </c>
      <c r="DP47" s="1" t="str">
        <f t="shared" si="247"/>
        <v>ND</v>
      </c>
      <c r="DQ47" s="1" t="str">
        <f t="shared" si="248"/>
        <v>ND</v>
      </c>
      <c r="DR47" s="1" t="str">
        <f t="shared" si="249"/>
        <v>ND</v>
      </c>
      <c r="DS47" s="1" t="str">
        <f t="shared" si="250"/>
        <v>ND</v>
      </c>
      <c r="DT47" s="1" t="str">
        <f t="shared" si="251"/>
        <v>ND</v>
      </c>
      <c r="DU47" s="1" t="str">
        <f t="shared" si="252"/>
        <v>ND</v>
      </c>
      <c r="DV47" s="1" t="str">
        <f t="shared" si="253"/>
        <v>ND</v>
      </c>
      <c r="DW47" s="1" t="str">
        <f t="shared" si="254"/>
        <v>ND</v>
      </c>
      <c r="DX47" s="1" t="str">
        <f t="shared" si="255"/>
        <v>ND</v>
      </c>
      <c r="DY47" s="1" t="str">
        <f t="shared" si="256"/>
        <v>ND</v>
      </c>
      <c r="DZ47" s="1" t="str">
        <f t="shared" si="257"/>
        <v>ND</v>
      </c>
      <c r="EA47" s="1" t="str">
        <f t="shared" si="258"/>
        <v>ND</v>
      </c>
      <c r="EB47" s="1" t="str">
        <f t="shared" si="259"/>
        <v>ND</v>
      </c>
      <c r="EC47" s="1" t="str">
        <f t="shared" si="260"/>
        <v>ND</v>
      </c>
      <c r="ED47" s="1" t="str">
        <f t="shared" si="261"/>
        <v>ND</v>
      </c>
      <c r="EE47" s="1" t="str">
        <f t="shared" si="262"/>
        <v>ND</v>
      </c>
      <c r="EF47" s="1" t="str">
        <f t="shared" si="263"/>
        <v>ND</v>
      </c>
      <c r="EG47" s="1" t="str">
        <f t="shared" si="264"/>
        <v>ND</v>
      </c>
      <c r="EH47" s="1" t="str">
        <f t="shared" si="265"/>
        <v>ND</v>
      </c>
      <c r="EI47" s="1" t="str">
        <f t="shared" si="266"/>
        <v>ND</v>
      </c>
      <c r="EJ47" s="1" t="str">
        <f t="shared" si="267"/>
        <v>ND</v>
      </c>
      <c r="EK47" s="1" t="str">
        <f t="shared" si="268"/>
        <v>ND</v>
      </c>
      <c r="EL47" s="1" t="str">
        <f t="shared" si="269"/>
        <v>ND</v>
      </c>
      <c r="EM47" s="1" t="str">
        <f t="shared" si="270"/>
        <v>ND</v>
      </c>
      <c r="EN47" s="1" t="str">
        <f t="shared" si="271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2"/>
        <v>ND</v>
      </c>
      <c r="FW47" s="1" t="str">
        <f t="shared" si="273"/>
        <v>ND</v>
      </c>
      <c r="FX47" s="1" t="str">
        <f t="shared" si="274"/>
        <v>ND</v>
      </c>
      <c r="FY47" s="1" t="str">
        <f t="shared" si="275"/>
        <v>ND</v>
      </c>
      <c r="FZ47" s="1" t="str">
        <f t="shared" si="276"/>
        <v>ND</v>
      </c>
      <c r="GA47" s="1" t="str">
        <f t="shared" si="277"/>
        <v>ND</v>
      </c>
      <c r="GB47" s="1" t="str">
        <f t="shared" si="278"/>
        <v>ND</v>
      </c>
      <c r="GC47" s="1" t="str">
        <f t="shared" si="279"/>
        <v>ND</v>
      </c>
      <c r="GD47" s="1" t="str">
        <f t="shared" si="280"/>
        <v>ND</v>
      </c>
      <c r="GE47" s="1" t="str">
        <f t="shared" si="281"/>
        <v>ND</v>
      </c>
      <c r="GF47" s="1" t="str">
        <f t="shared" si="282"/>
        <v>ND</v>
      </c>
      <c r="GG47" s="1" t="str">
        <f t="shared" si="283"/>
        <v>ND</v>
      </c>
      <c r="GH47" s="1" t="str">
        <f t="shared" si="284"/>
        <v>ND</v>
      </c>
      <c r="GI47" s="1" t="str">
        <f t="shared" si="285"/>
        <v>ND</v>
      </c>
      <c r="GJ47" s="1" t="str">
        <f t="shared" si="286"/>
        <v>ND</v>
      </c>
      <c r="GK47" s="1" t="str">
        <f t="shared" si="287"/>
        <v>ND</v>
      </c>
      <c r="GL47" s="1" t="str">
        <f t="shared" si="288"/>
        <v>ND</v>
      </c>
      <c r="GM47" s="1" t="str">
        <f t="shared" si="289"/>
        <v>ND</v>
      </c>
      <c r="GN47" s="1" t="str">
        <f t="shared" si="290"/>
        <v>ND</v>
      </c>
      <c r="GO47" s="1" t="str">
        <f t="shared" si="291"/>
        <v>ND</v>
      </c>
      <c r="GP47" s="1" t="str">
        <f t="shared" si="292"/>
        <v>ND</v>
      </c>
      <c r="GQ47" s="1" t="str">
        <f t="shared" si="293"/>
        <v>ND</v>
      </c>
      <c r="GR47" s="1" t="str">
        <f t="shared" si="294"/>
        <v>ND</v>
      </c>
      <c r="GS47" s="1" t="str">
        <f t="shared" si="295"/>
        <v>ND</v>
      </c>
      <c r="GT47" s="1" t="str">
        <f t="shared" si="296"/>
        <v>ND</v>
      </c>
      <c r="GU47" s="1" t="str">
        <f t="shared" si="297"/>
        <v>ND</v>
      </c>
      <c r="GV47" s="1" t="str">
        <f t="shared" si="298"/>
        <v>ND</v>
      </c>
      <c r="GW47" s="1" t="str">
        <f t="shared" si="299"/>
        <v>ND</v>
      </c>
      <c r="GX47" s="1" t="str">
        <f t="shared" si="300"/>
        <v>ND</v>
      </c>
      <c r="GY47" s="1" t="str">
        <f t="shared" si="301"/>
        <v>ND</v>
      </c>
      <c r="GZ47" s="1" t="str">
        <f t="shared" si="302"/>
        <v>ND</v>
      </c>
      <c r="HA47" s="1" t="str">
        <f t="shared" si="303"/>
        <v>ND</v>
      </c>
      <c r="HB47" s="1" t="str">
        <f t="shared" si="304"/>
        <v>ND</v>
      </c>
      <c r="HC47" s="1" t="str">
        <f t="shared" si="305"/>
        <v>ND</v>
      </c>
      <c r="HD47" s="1" t="str">
        <f t="shared" si="306"/>
        <v>ND</v>
      </c>
      <c r="HE47" s="1" t="str">
        <f t="shared" si="307"/>
        <v>ND</v>
      </c>
      <c r="HF47" s="1" t="str">
        <f t="shared" si="308"/>
        <v>ND</v>
      </c>
      <c r="HG47" s="1" t="str">
        <f t="shared" si="309"/>
        <v>ND</v>
      </c>
      <c r="HH47" s="1" t="str">
        <f t="shared" si="310"/>
        <v>ND</v>
      </c>
      <c r="HI47" s="1" t="str">
        <f t="shared" si="311"/>
        <v>ND</v>
      </c>
      <c r="HJ47" s="1" t="str">
        <f t="shared" si="312"/>
        <v>ND</v>
      </c>
      <c r="HK47" s="1" t="str">
        <f t="shared" si="313"/>
        <v>ND</v>
      </c>
      <c r="HL47" s="1" t="str">
        <f t="shared" si="314"/>
        <v>ND</v>
      </c>
      <c r="HM47" s="1" t="str">
        <f t="shared" si="315"/>
        <v>ND</v>
      </c>
      <c r="HN47" s="1" t="str">
        <f t="shared" si="316"/>
        <v>ND</v>
      </c>
      <c r="HO47" s="1" t="str">
        <f t="shared" si="317"/>
        <v>ND</v>
      </c>
      <c r="HP47" s="1" t="str">
        <f t="shared" si="318"/>
        <v>ND</v>
      </c>
      <c r="HQ47" s="1" t="str">
        <f t="shared" si="319"/>
        <v>ND</v>
      </c>
      <c r="HR47" s="1" t="str">
        <f t="shared" si="320"/>
        <v>ND</v>
      </c>
      <c r="HS47" s="1" t="str">
        <f t="shared" si="321"/>
        <v>ND</v>
      </c>
      <c r="HT47" s="1" t="str">
        <f t="shared" si="322"/>
        <v>ND</v>
      </c>
      <c r="HU47" s="1" t="str">
        <f t="shared" si="323"/>
        <v>ND</v>
      </c>
      <c r="HV47" s="1" t="str">
        <f t="shared" si="324"/>
        <v>ND</v>
      </c>
      <c r="HW47" s="1" t="str">
        <f t="shared" si="325"/>
        <v>ND</v>
      </c>
      <c r="HX47" s="1" t="str">
        <f t="shared" si="326"/>
        <v>ND</v>
      </c>
      <c r="HY47" s="1" t="str">
        <f t="shared" si="327"/>
        <v>ND</v>
      </c>
      <c r="HZ47" s="1" t="str">
        <f t="shared" si="328"/>
        <v>ND</v>
      </c>
      <c r="IA47" s="1" t="str">
        <f t="shared" si="329"/>
        <v>ND</v>
      </c>
      <c r="IB47" s="1" t="str">
        <f t="shared" si="330"/>
        <v>ND</v>
      </c>
      <c r="IC47" s="1" t="str">
        <f t="shared" si="331"/>
        <v>ND</v>
      </c>
      <c r="ID47" s="1" t="str">
        <f t="shared" si="332"/>
        <v>ND</v>
      </c>
      <c r="IE47" s="1" t="str">
        <f t="shared" si="333"/>
        <v>ND</v>
      </c>
      <c r="IF47" s="1" t="str">
        <f t="shared" si="334"/>
        <v>ND</v>
      </c>
      <c r="IG47" s="1" t="str">
        <f t="shared" si="335"/>
        <v>ND</v>
      </c>
      <c r="IH47" s="1" t="str">
        <f t="shared" si="336"/>
        <v>ND</v>
      </c>
      <c r="II47" s="1" t="str">
        <f t="shared" si="337"/>
        <v>ND</v>
      </c>
    </row>
    <row r="48" spans="3:243" x14ac:dyDescent="0.25">
      <c r="C48" t="s">
        <v>78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>
        <f>IFERROR(VLOOKUP($C48,EQUIPOS[],UNIFICADO!F$9,0),"")</f>
        <v>6.7</v>
      </c>
      <c r="G48" s="1">
        <f>IFERROR(VLOOKUP($C48,EQUIPOS[],UNIFICADO!G$9,0),"")</f>
        <v>50</v>
      </c>
      <c r="H48" s="1">
        <f>IFERROR(VLOOKUP($C48,EQUIPOS[],UNIFICADO!H$9,0),"")</f>
        <v>3</v>
      </c>
      <c r="I48" s="1">
        <f>IFERROR(VLOOKUP($C48,EQUIPOS[],UNIFICADO!I$9,0),"")</f>
        <v>60</v>
      </c>
      <c r="J48" s="1" t="str">
        <f>IFERROR(VLOOKUP($C48,EQUIPOS[],UNIFICADO!J$9,0),"")</f>
        <v>256GB</v>
      </c>
      <c r="K48" s="1">
        <f>IFERROR(VLOOKUP($C48,EQUIPOS[],UNIFICADO!K$9,0),"")</f>
        <v>0</v>
      </c>
      <c r="L48" s="1">
        <f>IFERROR(VLOOKUP($C48,EQUIPOS[],UNIFICADO!L$9,0),"")</f>
        <v>8</v>
      </c>
      <c r="M48" s="1" t="str">
        <f>IFERROR(VLOOKUP($C48,EQUIPOS[],UNIFICADO!M$9,0),"")</f>
        <v>3.0/2.5/1.8</v>
      </c>
      <c r="N48" s="1">
        <f>IFERROR(VLOOKUP($C48,EQUIPOS[],UNIFICADO!N$9,0),"")</f>
        <v>12</v>
      </c>
      <c r="O48" s="1">
        <f>IFERROR(VLOOKUP($C48,EQUIPOS[],UNIFICADO!O$9,0),"")</f>
        <v>196</v>
      </c>
      <c r="P48" s="1">
        <f>IFERROR(VLOOKUP($C48,EQUIPOS[],UNIFICADO!P$9,0),"")</f>
        <v>16.3</v>
      </c>
      <c r="Q48" s="1">
        <f>IFERROR(VLOOKUP($C48,EQUIPOS[],UNIFICADO!Q$9,0),"")</f>
        <v>7.6</v>
      </c>
      <c r="R48" s="1">
        <f>IFERROR(VLOOKUP($C48,EQUIPOS[],UNIFICADO!R$9,0),"")</f>
        <v>0.88</v>
      </c>
      <c r="S48" s="1">
        <f>IFERROR(VLOOKUP($C48,EQUIPOS[],UNIFICADO!S$9,0),"")</f>
        <v>4800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82"/>
        <v>ND</v>
      </c>
      <c r="W48" s="1" t="str">
        <f t="shared" si="183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4"/>
        <v>ND</v>
      </c>
      <c r="AJ48" s="1" t="str">
        <f t="shared" si="185"/>
        <v>ND</v>
      </c>
      <c r="AK48" s="1" t="str">
        <f t="shared" si="186"/>
        <v>ND</v>
      </c>
      <c r="AL48" s="1" t="str">
        <f t="shared" si="187"/>
        <v>ND</v>
      </c>
      <c r="AM48" s="1" t="str">
        <f t="shared" si="188"/>
        <v>ND</v>
      </c>
      <c r="AN48" s="1" t="str">
        <f t="shared" si="189"/>
        <v>ND</v>
      </c>
      <c r="AO48" s="1" t="str">
        <f t="shared" si="190"/>
        <v>ND</v>
      </c>
      <c r="AP48" s="1" t="str">
        <f t="shared" si="191"/>
        <v>ND</v>
      </c>
      <c r="AQ48" s="1" t="str">
        <f t="shared" si="192"/>
        <v>ND</v>
      </c>
      <c r="AR48" s="1" t="str">
        <f t="shared" si="193"/>
        <v>ND</v>
      </c>
      <c r="AS48" s="1" t="str">
        <f t="shared" si="194"/>
        <v>ND</v>
      </c>
      <c r="AT48" s="1" t="str">
        <f t="shared" si="195"/>
        <v>ND</v>
      </c>
      <c r="AU48" s="1" t="str">
        <f t="shared" si="196"/>
        <v>ND</v>
      </c>
      <c r="AV48" s="1" t="str">
        <f t="shared" si="197"/>
        <v>ND</v>
      </c>
      <c r="AW48" s="1" t="str">
        <f t="shared" si="198"/>
        <v>ND</v>
      </c>
      <c r="AX48" s="1" t="str">
        <f t="shared" si="199"/>
        <v>ND</v>
      </c>
      <c r="AY48" s="1" t="str">
        <f t="shared" si="200"/>
        <v>ND</v>
      </c>
      <c r="AZ48" s="1" t="str">
        <f t="shared" si="201"/>
        <v>ND</v>
      </c>
      <c r="BA48" s="1" t="str">
        <f t="shared" si="202"/>
        <v>ND</v>
      </c>
      <c r="BB48" s="1" t="str">
        <f t="shared" si="203"/>
        <v>ND</v>
      </c>
      <c r="BC48" s="1" t="str">
        <f t="shared" si="204"/>
        <v>ND</v>
      </c>
      <c r="BD48" s="1" t="str">
        <f t="shared" si="205"/>
        <v>ND</v>
      </c>
      <c r="BE48" s="1" t="str">
        <f t="shared" si="206"/>
        <v>ND</v>
      </c>
      <c r="BF48" s="1" t="str">
        <f t="shared" si="207"/>
        <v>ND</v>
      </c>
      <c r="BG48" s="1" t="str">
        <f t="shared" si="208"/>
        <v>ND</v>
      </c>
      <c r="BH48" s="1" t="str">
        <f t="shared" si="209"/>
        <v>ND</v>
      </c>
      <c r="BI48" s="1" t="str">
        <f t="shared" si="210"/>
        <v>ND</v>
      </c>
      <c r="BJ48" s="1" t="str">
        <f t="shared" si="211"/>
        <v>ND</v>
      </c>
      <c r="BK48" s="1" t="str">
        <f t="shared" si="212"/>
        <v>ND</v>
      </c>
      <c r="BL48" s="1" t="str">
        <f t="shared" si="213"/>
        <v>ND</v>
      </c>
      <c r="BM48" s="1" t="str">
        <f t="shared" si="214"/>
        <v>ND</v>
      </c>
      <c r="BN48" s="1" t="str">
        <f t="shared" si="215"/>
        <v>ND</v>
      </c>
      <c r="BO48" s="1" t="str">
        <f t="shared" si="216"/>
        <v>ND</v>
      </c>
      <c r="BP48" s="1" t="str">
        <f t="shared" si="217"/>
        <v>ND</v>
      </c>
      <c r="BQ48" s="1" t="str">
        <f t="shared" si="218"/>
        <v>ND</v>
      </c>
      <c r="BR48" s="1" t="str">
        <f t="shared" si="219"/>
        <v>ND</v>
      </c>
      <c r="BS48" s="1" t="str">
        <f t="shared" si="220"/>
        <v>ND</v>
      </c>
      <c r="BT48" s="1" t="str">
        <f t="shared" si="221"/>
        <v>ND</v>
      </c>
      <c r="BU48" s="1" t="str">
        <f t="shared" si="222"/>
        <v>ND</v>
      </c>
      <c r="BV48" s="1" t="str">
        <f t="shared" si="223"/>
        <v>ND</v>
      </c>
      <c r="BW48" s="1" t="str">
        <f t="shared" si="224"/>
        <v>ND</v>
      </c>
      <c r="BX48" s="1" t="str">
        <f t="shared" si="225"/>
        <v>ND</v>
      </c>
      <c r="BY48" s="1" t="str">
        <f t="shared" si="226"/>
        <v>ND</v>
      </c>
      <c r="BZ48" s="1" t="str">
        <f t="shared" si="227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8"/>
        <v>ND</v>
      </c>
      <c r="CX48" s="1" t="str">
        <f t="shared" si="229"/>
        <v>ND</v>
      </c>
      <c r="CY48" s="1" t="str">
        <f t="shared" si="230"/>
        <v>ND</v>
      </c>
      <c r="CZ48" s="1" t="str">
        <f t="shared" si="231"/>
        <v>ND</v>
      </c>
      <c r="DA48" s="1" t="str">
        <f t="shared" si="232"/>
        <v>ND</v>
      </c>
      <c r="DB48" s="1" t="str">
        <f t="shared" si="233"/>
        <v>ND</v>
      </c>
      <c r="DC48" s="1" t="str">
        <f t="shared" si="234"/>
        <v>ND</v>
      </c>
      <c r="DD48" s="1" t="str">
        <f t="shared" si="235"/>
        <v>ND</v>
      </c>
      <c r="DE48" s="1" t="str">
        <f t="shared" si="236"/>
        <v>ND</v>
      </c>
      <c r="DF48" s="1" t="str">
        <f t="shared" si="237"/>
        <v>ND</v>
      </c>
      <c r="DG48" s="1" t="str">
        <f t="shared" si="238"/>
        <v>ND</v>
      </c>
      <c r="DH48" s="1" t="str">
        <f t="shared" si="239"/>
        <v>ND</v>
      </c>
      <c r="DI48" s="1" t="str">
        <f t="shared" si="240"/>
        <v>ND</v>
      </c>
      <c r="DJ48" s="1" t="str">
        <f t="shared" si="241"/>
        <v>ND</v>
      </c>
      <c r="DK48" s="1" t="str">
        <f t="shared" si="242"/>
        <v>ND</v>
      </c>
      <c r="DL48" s="1" t="str">
        <f t="shared" si="243"/>
        <v>ND</v>
      </c>
      <c r="DM48" s="1" t="str">
        <f t="shared" si="244"/>
        <v>ND</v>
      </c>
      <c r="DN48" s="1" t="str">
        <f t="shared" si="245"/>
        <v>ND</v>
      </c>
      <c r="DO48" s="1" t="str">
        <f t="shared" si="246"/>
        <v>ND</v>
      </c>
      <c r="DP48" s="1" t="str">
        <f t="shared" si="247"/>
        <v>ND</v>
      </c>
      <c r="DQ48" s="1" t="str">
        <f t="shared" si="248"/>
        <v>ND</v>
      </c>
      <c r="DR48" s="1" t="str">
        <f t="shared" si="249"/>
        <v>ND</v>
      </c>
      <c r="DS48" s="1" t="str">
        <f t="shared" si="250"/>
        <v>ND</v>
      </c>
      <c r="DT48" s="1" t="str">
        <f t="shared" si="251"/>
        <v>ND</v>
      </c>
      <c r="DU48" s="1" t="str">
        <f t="shared" si="252"/>
        <v>ND</v>
      </c>
      <c r="DV48" s="1" t="str">
        <f t="shared" si="253"/>
        <v>ND</v>
      </c>
      <c r="DW48" s="1" t="str">
        <f t="shared" si="254"/>
        <v>ND</v>
      </c>
      <c r="DX48" s="1" t="str">
        <f t="shared" si="255"/>
        <v>ND</v>
      </c>
      <c r="DY48" s="1" t="str">
        <f t="shared" si="256"/>
        <v>ND</v>
      </c>
      <c r="DZ48" s="1" t="str">
        <f t="shared" si="257"/>
        <v>ND</v>
      </c>
      <c r="EA48" s="1" t="str">
        <f t="shared" si="258"/>
        <v>ND</v>
      </c>
      <c r="EB48" s="1" t="str">
        <f t="shared" si="259"/>
        <v>ND</v>
      </c>
      <c r="EC48" s="1" t="str">
        <f t="shared" si="260"/>
        <v>ND</v>
      </c>
      <c r="ED48" s="1" t="str">
        <f t="shared" si="261"/>
        <v>ND</v>
      </c>
      <c r="EE48" s="1" t="str">
        <f t="shared" si="262"/>
        <v>ND</v>
      </c>
      <c r="EF48" s="1" t="str">
        <f t="shared" si="263"/>
        <v>ND</v>
      </c>
      <c r="EG48" s="1" t="str">
        <f t="shared" si="264"/>
        <v>ND</v>
      </c>
      <c r="EH48" s="1" t="str">
        <f t="shared" si="265"/>
        <v>ND</v>
      </c>
      <c r="EI48" s="1" t="str">
        <f t="shared" si="266"/>
        <v>ND</v>
      </c>
      <c r="EJ48" s="1" t="str">
        <f t="shared" si="267"/>
        <v>ND</v>
      </c>
      <c r="EK48" s="1" t="str">
        <f t="shared" si="268"/>
        <v>ND</v>
      </c>
      <c r="EL48" s="1" t="str">
        <f t="shared" si="269"/>
        <v>ND</v>
      </c>
      <c r="EM48" s="1" t="str">
        <f t="shared" si="270"/>
        <v>ND</v>
      </c>
      <c r="EN48" s="1" t="str">
        <f t="shared" si="271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2"/>
        <v>ND</v>
      </c>
      <c r="FW48" s="1" t="str">
        <f t="shared" si="273"/>
        <v>ND</v>
      </c>
      <c r="FX48" s="1" t="str">
        <f t="shared" si="274"/>
        <v>ND</v>
      </c>
      <c r="FY48" s="1" t="str">
        <f t="shared" si="275"/>
        <v>ND</v>
      </c>
      <c r="FZ48" s="1" t="str">
        <f t="shared" si="276"/>
        <v>ND</v>
      </c>
      <c r="GA48" s="1" t="str">
        <f t="shared" si="277"/>
        <v>ND</v>
      </c>
      <c r="GB48" s="1" t="str">
        <f t="shared" si="278"/>
        <v>ND</v>
      </c>
      <c r="GC48" s="1" t="str">
        <f t="shared" si="279"/>
        <v>ND</v>
      </c>
      <c r="GD48" s="1" t="str">
        <f t="shared" si="280"/>
        <v>ND</v>
      </c>
      <c r="GE48" s="1" t="str">
        <f t="shared" si="281"/>
        <v>ND</v>
      </c>
      <c r="GF48" s="1" t="str">
        <f t="shared" si="282"/>
        <v>ND</v>
      </c>
      <c r="GG48" s="1" t="str">
        <f t="shared" si="283"/>
        <v>ND</v>
      </c>
      <c r="GH48" s="1" t="str">
        <f t="shared" si="284"/>
        <v>ND</v>
      </c>
      <c r="GI48" s="1" t="str">
        <f t="shared" si="285"/>
        <v>ND</v>
      </c>
      <c r="GJ48" s="1" t="str">
        <f t="shared" si="286"/>
        <v>ND</v>
      </c>
      <c r="GK48" s="1" t="str">
        <f t="shared" si="287"/>
        <v>ND</v>
      </c>
      <c r="GL48" s="1" t="str">
        <f t="shared" si="288"/>
        <v>ND</v>
      </c>
      <c r="GM48" s="1" t="str">
        <f t="shared" si="289"/>
        <v>ND</v>
      </c>
      <c r="GN48" s="1" t="str">
        <f t="shared" si="290"/>
        <v>ND</v>
      </c>
      <c r="GO48" s="1" t="str">
        <f t="shared" si="291"/>
        <v>ND</v>
      </c>
      <c r="GP48" s="1" t="str">
        <f t="shared" si="292"/>
        <v>ND</v>
      </c>
      <c r="GQ48" s="1" t="str">
        <f t="shared" si="293"/>
        <v>ND</v>
      </c>
      <c r="GR48" s="1" t="str">
        <f t="shared" si="294"/>
        <v>ND</v>
      </c>
      <c r="GS48" s="1" t="str">
        <f t="shared" si="295"/>
        <v>ND</v>
      </c>
      <c r="GT48" s="1" t="str">
        <f t="shared" si="296"/>
        <v>ND</v>
      </c>
      <c r="GU48" s="1" t="str">
        <f t="shared" si="297"/>
        <v>ND</v>
      </c>
      <c r="GV48" s="1" t="str">
        <f t="shared" si="298"/>
        <v>ND</v>
      </c>
      <c r="GW48" s="1" t="str">
        <f t="shared" si="299"/>
        <v>ND</v>
      </c>
      <c r="GX48" s="1" t="str">
        <f t="shared" si="300"/>
        <v>ND</v>
      </c>
      <c r="GY48" s="1" t="str">
        <f t="shared" si="301"/>
        <v>ND</v>
      </c>
      <c r="GZ48" s="1" t="str">
        <f t="shared" si="302"/>
        <v>ND</v>
      </c>
      <c r="HA48" s="1" t="str">
        <f t="shared" si="303"/>
        <v>ND</v>
      </c>
      <c r="HB48" s="1" t="str">
        <f t="shared" si="304"/>
        <v>ND</v>
      </c>
      <c r="HC48" s="1" t="str">
        <f t="shared" si="305"/>
        <v>ND</v>
      </c>
      <c r="HD48" s="1" t="str">
        <f t="shared" si="306"/>
        <v>ND</v>
      </c>
      <c r="HE48" s="1" t="str">
        <f t="shared" si="307"/>
        <v>ND</v>
      </c>
      <c r="HF48" s="1" t="str">
        <f t="shared" si="308"/>
        <v>ND</v>
      </c>
      <c r="HG48" s="1" t="str">
        <f t="shared" si="309"/>
        <v>ND</v>
      </c>
      <c r="HH48" s="1" t="str">
        <f t="shared" si="310"/>
        <v>ND</v>
      </c>
      <c r="HI48" s="1" t="str">
        <f t="shared" si="311"/>
        <v>ND</v>
      </c>
      <c r="HJ48" s="1" t="str">
        <f t="shared" si="312"/>
        <v>ND</v>
      </c>
      <c r="HK48" s="1" t="str">
        <f t="shared" si="313"/>
        <v>ND</v>
      </c>
      <c r="HL48" s="1" t="str">
        <f t="shared" si="314"/>
        <v>ND</v>
      </c>
      <c r="HM48" s="1" t="str">
        <f t="shared" si="315"/>
        <v>ND</v>
      </c>
      <c r="HN48" s="1" t="str">
        <f t="shared" si="316"/>
        <v>ND</v>
      </c>
      <c r="HO48" s="1" t="str">
        <f t="shared" si="317"/>
        <v>ND</v>
      </c>
      <c r="HP48" s="1" t="str">
        <f t="shared" si="318"/>
        <v>ND</v>
      </c>
      <c r="HQ48" s="1" t="str">
        <f t="shared" si="319"/>
        <v>ND</v>
      </c>
      <c r="HR48" s="1" t="str">
        <f t="shared" si="320"/>
        <v>ND</v>
      </c>
      <c r="HS48" s="1" t="str">
        <f t="shared" si="321"/>
        <v>ND</v>
      </c>
      <c r="HT48" s="1" t="str">
        <f t="shared" si="322"/>
        <v>ND</v>
      </c>
      <c r="HU48" s="1" t="str">
        <f t="shared" si="323"/>
        <v>ND</v>
      </c>
      <c r="HV48" s="1" t="str">
        <f t="shared" si="324"/>
        <v>ND</v>
      </c>
      <c r="HW48" s="1" t="str">
        <f t="shared" si="325"/>
        <v>ND</v>
      </c>
      <c r="HX48" s="1" t="str">
        <f t="shared" si="326"/>
        <v>ND</v>
      </c>
      <c r="HY48" s="1" t="str">
        <f t="shared" si="327"/>
        <v>ND</v>
      </c>
      <c r="HZ48" s="1" t="str">
        <f t="shared" si="328"/>
        <v>ND</v>
      </c>
      <c r="IA48" s="1" t="str">
        <f t="shared" si="329"/>
        <v>ND</v>
      </c>
      <c r="IB48" s="1" t="str">
        <f t="shared" si="330"/>
        <v>ND</v>
      </c>
      <c r="IC48" s="1" t="str">
        <f t="shared" si="331"/>
        <v>ND</v>
      </c>
      <c r="ID48" s="1" t="str">
        <f t="shared" si="332"/>
        <v>ND</v>
      </c>
      <c r="IE48" s="1" t="str">
        <f t="shared" si="333"/>
        <v>ND</v>
      </c>
      <c r="IF48" s="1" t="str">
        <f t="shared" si="334"/>
        <v>ND</v>
      </c>
      <c r="IG48" s="1" t="str">
        <f t="shared" si="335"/>
        <v>ND</v>
      </c>
      <c r="IH48" s="1" t="str">
        <f t="shared" si="336"/>
        <v>ND</v>
      </c>
      <c r="II48" s="1" t="str">
        <f t="shared" si="337"/>
        <v>ND</v>
      </c>
    </row>
    <row r="49" spans="3:243" x14ac:dyDescent="0.25">
      <c r="C49" t="s">
        <v>56</v>
      </c>
      <c r="D49">
        <f>SUMIFS(DICCIONARIO[Cantidad],DICCIONARIO[Modelo],UNIFICADA[[#This Row],[Equipo]])</f>
        <v>0</v>
      </c>
      <c r="E49" s="1">
        <f>IFERROR(VLOOKUP($C49,EQUIPOS[],UNIFICADO!E$9,0),"")</f>
        <v>11</v>
      </c>
      <c r="F49" s="1">
        <f>IFERROR(VLOOKUP($C49,EQUIPOS[],UNIFICADO!F$9,0),"")</f>
        <v>6.8</v>
      </c>
      <c r="G49" s="1">
        <f>IFERROR(VLOOKUP($C49,EQUIPOS[],UNIFICADO!G$9,0),"")</f>
        <v>108</v>
      </c>
      <c r="H49" s="1">
        <f>IFERROR(VLOOKUP($C49,EQUIPOS[],UNIFICADO!H$9,0),"")</f>
        <v>4</v>
      </c>
      <c r="I49" s="1">
        <f>IFERROR(VLOOKUP($C49,EQUIPOS[],UNIFICADO!I$9,0),"")</f>
        <v>16</v>
      </c>
      <c r="J49" s="1" t="str">
        <f>IFERROR(VLOOKUP($C49,EQUIPOS[],UNIFICADO!J$9,0),"")</f>
        <v>128GB</v>
      </c>
      <c r="K49" s="1">
        <f>IFERROR(VLOOKUP($C49,EQUIPOS[],UNIFICADO!K$9,0),"")</f>
        <v>0</v>
      </c>
      <c r="L49" s="1">
        <f>IFERROR(VLOOKUP($C49,EQUIPOS[],UNIFICADO!L$9,0),"")</f>
        <v>8</v>
      </c>
      <c r="M49" s="1" t="str">
        <f>IFERROR(VLOOKUP($C49,EQUIPOS[],UNIFICADO!M$9,0),"")</f>
        <v>2.9/2.4/1.8</v>
      </c>
      <c r="N49" s="1">
        <f>IFERROR(VLOOKUP($C49,EQUIPOS[],UNIFICADO!N$9,0),"")</f>
        <v>8</v>
      </c>
      <c r="O49" s="1">
        <f>IFERROR(VLOOKUP($C49,EQUIPOS[],UNIFICADO!O$9,0),"")</f>
        <v>202</v>
      </c>
      <c r="P49" s="1">
        <f>IFERROR(VLOOKUP($C49,EQUIPOS[],UNIFICADO!P$9,0),"")</f>
        <v>16.8</v>
      </c>
      <c r="Q49" s="1">
        <f>IFERROR(VLOOKUP($C49,EQUIPOS[],UNIFICADO!Q$9,0),"")</f>
        <v>7.55</v>
      </c>
      <c r="R49" s="1">
        <f>IFERROR(VLOOKUP($C49,EQUIPOS[],UNIFICADO!R$9,0),"")</f>
        <v>0.89</v>
      </c>
      <c r="S49" s="1">
        <f>IFERROR(VLOOKUP($C49,EQUIPOS[],UNIFICADO!S$9,0),"")</f>
        <v>5000</v>
      </c>
      <c r="T49" s="1">
        <f>IFERROR(VLOOKUP($C49,EQUIPOS[],UNIFICADO!T$9,0),"")</f>
        <v>5</v>
      </c>
      <c r="U49" s="1">
        <f>VLOOKUP(UNIFICADA[[#This Row],[Equipo]],EQUIPOS[],19,0)</f>
        <v>39</v>
      </c>
      <c r="V49" s="1" t="str">
        <f t="shared" si="182"/>
        <v>ND</v>
      </c>
      <c r="W49" s="1" t="str">
        <f t="shared" si="183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4"/>
        <v>ND</v>
      </c>
      <c r="AJ49" s="1" t="str">
        <f t="shared" si="185"/>
        <v>ND</v>
      </c>
      <c r="AK49" s="1" t="str">
        <f t="shared" si="186"/>
        <v>ND</v>
      </c>
      <c r="AL49" s="1" t="str">
        <f t="shared" si="187"/>
        <v>ND</v>
      </c>
      <c r="AM49" s="1" t="str">
        <f t="shared" si="188"/>
        <v>ND</v>
      </c>
      <c r="AN49" s="1" t="str">
        <f t="shared" si="189"/>
        <v>ND</v>
      </c>
      <c r="AO49" s="1" t="str">
        <f t="shared" si="190"/>
        <v>ND</v>
      </c>
      <c r="AP49" s="1" t="str">
        <f t="shared" si="191"/>
        <v>ND</v>
      </c>
      <c r="AQ49" s="1" t="str">
        <f t="shared" si="192"/>
        <v>ND</v>
      </c>
      <c r="AR49" s="1" t="str">
        <f t="shared" si="193"/>
        <v>ND</v>
      </c>
      <c r="AS49" s="1" t="str">
        <f t="shared" si="194"/>
        <v>ND</v>
      </c>
      <c r="AT49" s="1" t="str">
        <f t="shared" si="195"/>
        <v>ND</v>
      </c>
      <c r="AU49" s="1" t="str">
        <f t="shared" si="196"/>
        <v>ND</v>
      </c>
      <c r="AV49" s="1" t="str">
        <f t="shared" si="197"/>
        <v>ND</v>
      </c>
      <c r="AW49" s="1" t="str">
        <f t="shared" si="198"/>
        <v>ND</v>
      </c>
      <c r="AX49" s="1" t="str">
        <f t="shared" si="199"/>
        <v>ND</v>
      </c>
      <c r="AY49" s="1" t="str">
        <f t="shared" si="200"/>
        <v>ND</v>
      </c>
      <c r="AZ49" s="1" t="str">
        <f t="shared" si="201"/>
        <v>ND</v>
      </c>
      <c r="BA49" s="1" t="str">
        <f t="shared" si="202"/>
        <v>ND</v>
      </c>
      <c r="BB49" s="1" t="str">
        <f t="shared" si="203"/>
        <v>ND</v>
      </c>
      <c r="BC49" s="1" t="str">
        <f t="shared" si="204"/>
        <v>ND</v>
      </c>
      <c r="BD49" s="1" t="str">
        <f t="shared" si="205"/>
        <v>ND</v>
      </c>
      <c r="BE49" s="1" t="str">
        <f t="shared" si="206"/>
        <v>ND</v>
      </c>
      <c r="BF49" s="1" t="str">
        <f t="shared" si="207"/>
        <v>ND</v>
      </c>
      <c r="BG49" s="1" t="str">
        <f t="shared" si="208"/>
        <v>ND</v>
      </c>
      <c r="BH49" s="1" t="str">
        <f t="shared" si="209"/>
        <v>ND</v>
      </c>
      <c r="BI49" s="1" t="str">
        <f t="shared" si="210"/>
        <v>ND</v>
      </c>
      <c r="BJ49" s="1" t="str">
        <f t="shared" si="211"/>
        <v>ND</v>
      </c>
      <c r="BK49" s="1" t="str">
        <f t="shared" si="212"/>
        <v>ND</v>
      </c>
      <c r="BL49" s="1" t="str">
        <f t="shared" si="213"/>
        <v>ND</v>
      </c>
      <c r="BM49" s="1" t="str">
        <f t="shared" si="214"/>
        <v>ND</v>
      </c>
      <c r="BN49" s="1" t="str">
        <f t="shared" si="215"/>
        <v>ND</v>
      </c>
      <c r="BO49" s="1" t="str">
        <f t="shared" si="216"/>
        <v>ND</v>
      </c>
      <c r="BP49" s="1" t="str">
        <f t="shared" si="217"/>
        <v>ND</v>
      </c>
      <c r="BQ49" s="1" t="str">
        <f t="shared" si="218"/>
        <v>ND</v>
      </c>
      <c r="BR49" s="1" t="str">
        <f t="shared" si="219"/>
        <v>ND</v>
      </c>
      <c r="BS49" s="1" t="str">
        <f t="shared" si="220"/>
        <v>ND</v>
      </c>
      <c r="BT49" s="1" t="str">
        <f t="shared" si="221"/>
        <v>ND</v>
      </c>
      <c r="BU49" s="1" t="str">
        <f t="shared" si="222"/>
        <v>ND</v>
      </c>
      <c r="BV49" s="1" t="str">
        <f t="shared" si="223"/>
        <v>ND</v>
      </c>
      <c r="BW49" s="1" t="str">
        <f t="shared" si="224"/>
        <v>ND</v>
      </c>
      <c r="BX49" s="1" t="str">
        <f t="shared" si="225"/>
        <v>ND</v>
      </c>
      <c r="BY49" s="1" t="str">
        <f t="shared" si="226"/>
        <v>ND</v>
      </c>
      <c r="BZ49" s="1" t="str">
        <f t="shared" si="227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8"/>
        <v>ND</v>
      </c>
      <c r="CX49" s="1" t="str">
        <f t="shared" si="229"/>
        <v>ND</v>
      </c>
      <c r="CY49" s="1" t="str">
        <f t="shared" si="230"/>
        <v>ND</v>
      </c>
      <c r="CZ49" s="1" t="str">
        <f t="shared" si="231"/>
        <v>ND</v>
      </c>
      <c r="DA49" s="1" t="str">
        <f t="shared" si="232"/>
        <v>ND</v>
      </c>
      <c r="DB49" s="1" t="str">
        <f t="shared" si="233"/>
        <v>ND</v>
      </c>
      <c r="DC49" s="1" t="str">
        <f t="shared" si="234"/>
        <v>ND</v>
      </c>
      <c r="DD49" s="1" t="str">
        <f t="shared" si="235"/>
        <v>ND</v>
      </c>
      <c r="DE49" s="1" t="str">
        <f t="shared" si="236"/>
        <v>ND</v>
      </c>
      <c r="DF49" s="1" t="str">
        <f t="shared" si="237"/>
        <v>ND</v>
      </c>
      <c r="DG49" s="1" t="str">
        <f t="shared" si="238"/>
        <v>ND</v>
      </c>
      <c r="DH49" s="1" t="str">
        <f t="shared" si="239"/>
        <v>ND</v>
      </c>
      <c r="DI49" s="1" t="str">
        <f t="shared" si="240"/>
        <v>ND</v>
      </c>
      <c r="DJ49" s="1" t="str">
        <f t="shared" si="241"/>
        <v>ND</v>
      </c>
      <c r="DK49" s="1" t="str">
        <f t="shared" si="242"/>
        <v>ND</v>
      </c>
      <c r="DL49" s="1" t="str">
        <f t="shared" si="243"/>
        <v>ND</v>
      </c>
      <c r="DM49" s="1" t="str">
        <f t="shared" si="244"/>
        <v>ND</v>
      </c>
      <c r="DN49" s="1" t="str">
        <f t="shared" si="245"/>
        <v>ND</v>
      </c>
      <c r="DO49" s="1" t="str">
        <f t="shared" si="246"/>
        <v>ND</v>
      </c>
      <c r="DP49" s="1" t="str">
        <f t="shared" si="247"/>
        <v>ND</v>
      </c>
      <c r="DQ49" s="1" t="str">
        <f t="shared" si="248"/>
        <v>ND</v>
      </c>
      <c r="DR49" s="1" t="str">
        <f t="shared" si="249"/>
        <v>ND</v>
      </c>
      <c r="DS49" s="1" t="str">
        <f t="shared" si="250"/>
        <v>ND</v>
      </c>
      <c r="DT49" s="1" t="str">
        <f t="shared" si="251"/>
        <v>ND</v>
      </c>
      <c r="DU49" s="1" t="str">
        <f t="shared" si="252"/>
        <v>ND</v>
      </c>
      <c r="DV49" s="1" t="str">
        <f t="shared" si="253"/>
        <v>ND</v>
      </c>
      <c r="DW49" s="1" t="str">
        <f t="shared" si="254"/>
        <v>ND</v>
      </c>
      <c r="DX49" s="1" t="str">
        <f t="shared" si="255"/>
        <v>ND</v>
      </c>
      <c r="DY49" s="1" t="str">
        <f t="shared" si="256"/>
        <v>ND</v>
      </c>
      <c r="DZ49" s="1" t="str">
        <f t="shared" si="257"/>
        <v>ND</v>
      </c>
      <c r="EA49" s="1" t="str">
        <f t="shared" si="258"/>
        <v>ND</v>
      </c>
      <c r="EB49" s="1" t="str">
        <f t="shared" si="259"/>
        <v>ND</v>
      </c>
      <c r="EC49" s="1" t="str">
        <f t="shared" si="260"/>
        <v>ND</v>
      </c>
      <c r="ED49" s="1" t="str">
        <f t="shared" si="261"/>
        <v>ND</v>
      </c>
      <c r="EE49" s="1" t="str">
        <f t="shared" si="262"/>
        <v>ND</v>
      </c>
      <c r="EF49" s="1" t="str">
        <f t="shared" si="263"/>
        <v>ND</v>
      </c>
      <c r="EG49" s="1" t="str">
        <f t="shared" si="264"/>
        <v>ND</v>
      </c>
      <c r="EH49" s="1" t="str">
        <f t="shared" si="265"/>
        <v>ND</v>
      </c>
      <c r="EI49" s="1" t="str">
        <f t="shared" si="266"/>
        <v>ND</v>
      </c>
      <c r="EJ49" s="1" t="str">
        <f t="shared" si="267"/>
        <v>ND</v>
      </c>
      <c r="EK49" s="1" t="str">
        <f t="shared" si="268"/>
        <v>ND</v>
      </c>
      <c r="EL49" s="1" t="str">
        <f t="shared" si="269"/>
        <v>ND</v>
      </c>
      <c r="EM49" s="1" t="str">
        <f t="shared" si="270"/>
        <v>ND</v>
      </c>
      <c r="EN49" s="1" t="str">
        <f t="shared" si="271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2"/>
        <v>ND</v>
      </c>
      <c r="FW49" s="1" t="str">
        <f t="shared" si="273"/>
        <v>ND</v>
      </c>
      <c r="FX49" s="1" t="str">
        <f t="shared" si="274"/>
        <v>ND</v>
      </c>
      <c r="FY49" s="1" t="str">
        <f t="shared" si="275"/>
        <v>ND</v>
      </c>
      <c r="FZ49" s="1" t="str">
        <f t="shared" si="276"/>
        <v>ND</v>
      </c>
      <c r="GA49" s="1" t="str">
        <f t="shared" si="277"/>
        <v>ND</v>
      </c>
      <c r="GB49" s="1" t="str">
        <f t="shared" si="278"/>
        <v>ND</v>
      </c>
      <c r="GC49" s="1" t="str">
        <f t="shared" si="279"/>
        <v>ND</v>
      </c>
      <c r="GD49" s="1" t="str">
        <f t="shared" si="280"/>
        <v>ND</v>
      </c>
      <c r="GE49" s="1" t="str">
        <f t="shared" si="281"/>
        <v>ND</v>
      </c>
      <c r="GF49" s="1" t="str">
        <f t="shared" si="282"/>
        <v>ND</v>
      </c>
      <c r="GG49" s="1" t="str">
        <f t="shared" si="283"/>
        <v>ND</v>
      </c>
      <c r="GH49" s="1" t="str">
        <f t="shared" si="284"/>
        <v>ND</v>
      </c>
      <c r="GI49" s="1" t="str">
        <f t="shared" si="285"/>
        <v>ND</v>
      </c>
      <c r="GJ49" s="1" t="str">
        <f t="shared" si="286"/>
        <v>ND</v>
      </c>
      <c r="GK49" s="1" t="str">
        <f t="shared" si="287"/>
        <v>ND</v>
      </c>
      <c r="GL49" s="1" t="str">
        <f t="shared" si="288"/>
        <v>ND</v>
      </c>
      <c r="GM49" s="1" t="str">
        <f t="shared" si="289"/>
        <v>ND</v>
      </c>
      <c r="GN49" s="1" t="str">
        <f t="shared" si="290"/>
        <v>ND</v>
      </c>
      <c r="GO49" s="1" t="str">
        <f t="shared" si="291"/>
        <v>ND</v>
      </c>
      <c r="GP49" s="1" t="str">
        <f t="shared" si="292"/>
        <v>ND</v>
      </c>
      <c r="GQ49" s="1" t="str">
        <f t="shared" si="293"/>
        <v>ND</v>
      </c>
      <c r="GR49" s="1" t="str">
        <f t="shared" si="294"/>
        <v>ND</v>
      </c>
      <c r="GS49" s="1" t="str">
        <f t="shared" si="295"/>
        <v>ND</v>
      </c>
      <c r="GT49" s="1" t="str">
        <f t="shared" si="296"/>
        <v>ND</v>
      </c>
      <c r="GU49" s="1" t="str">
        <f t="shared" si="297"/>
        <v>ND</v>
      </c>
      <c r="GV49" s="1" t="str">
        <f t="shared" si="298"/>
        <v>ND</v>
      </c>
      <c r="GW49" s="1" t="str">
        <f t="shared" si="299"/>
        <v>ND</v>
      </c>
      <c r="GX49" s="1" t="str">
        <f t="shared" si="300"/>
        <v>ND</v>
      </c>
      <c r="GY49" s="1" t="str">
        <f t="shared" si="301"/>
        <v>ND</v>
      </c>
      <c r="GZ49" s="1" t="str">
        <f t="shared" si="302"/>
        <v>ND</v>
      </c>
      <c r="HA49" s="1" t="str">
        <f t="shared" si="303"/>
        <v>ND</v>
      </c>
      <c r="HB49" s="1" t="str">
        <f t="shared" si="304"/>
        <v>ND</v>
      </c>
      <c r="HC49" s="1" t="str">
        <f t="shared" si="305"/>
        <v>ND</v>
      </c>
      <c r="HD49" s="1" t="str">
        <f t="shared" si="306"/>
        <v>ND</v>
      </c>
      <c r="HE49" s="1" t="str">
        <f t="shared" si="307"/>
        <v>ND</v>
      </c>
      <c r="HF49" s="1" t="str">
        <f t="shared" si="308"/>
        <v>ND</v>
      </c>
      <c r="HG49" s="1" t="str">
        <f t="shared" si="309"/>
        <v>ND</v>
      </c>
      <c r="HH49" s="1" t="str">
        <f t="shared" si="310"/>
        <v>ND</v>
      </c>
      <c r="HI49" s="1" t="str">
        <f t="shared" si="311"/>
        <v>ND</v>
      </c>
      <c r="HJ49" s="1" t="str">
        <f t="shared" si="312"/>
        <v>ND</v>
      </c>
      <c r="HK49" s="1" t="str">
        <f t="shared" si="313"/>
        <v>ND</v>
      </c>
      <c r="HL49" s="1" t="str">
        <f t="shared" si="314"/>
        <v>ND</v>
      </c>
      <c r="HM49" s="1" t="str">
        <f t="shared" si="315"/>
        <v>ND</v>
      </c>
      <c r="HN49" s="1" t="str">
        <f t="shared" si="316"/>
        <v>ND</v>
      </c>
      <c r="HO49" s="1" t="str">
        <f t="shared" si="317"/>
        <v>ND</v>
      </c>
      <c r="HP49" s="1" t="str">
        <f t="shared" si="318"/>
        <v>ND</v>
      </c>
      <c r="HQ49" s="1" t="str">
        <f t="shared" si="319"/>
        <v>ND</v>
      </c>
      <c r="HR49" s="1" t="str">
        <f t="shared" si="320"/>
        <v>ND</v>
      </c>
      <c r="HS49" s="1" t="str">
        <f t="shared" si="321"/>
        <v>ND</v>
      </c>
      <c r="HT49" s="1" t="str">
        <f t="shared" si="322"/>
        <v>ND</v>
      </c>
      <c r="HU49" s="1" t="str">
        <f t="shared" si="323"/>
        <v>ND</v>
      </c>
      <c r="HV49" s="1" t="str">
        <f t="shared" si="324"/>
        <v>ND</v>
      </c>
      <c r="HW49" s="1" t="str">
        <f t="shared" si="325"/>
        <v>ND</v>
      </c>
      <c r="HX49" s="1" t="str">
        <f t="shared" si="326"/>
        <v>ND</v>
      </c>
      <c r="HY49" s="1" t="str">
        <f t="shared" si="327"/>
        <v>ND</v>
      </c>
      <c r="HZ49" s="1" t="str">
        <f t="shared" si="328"/>
        <v>ND</v>
      </c>
      <c r="IA49" s="1" t="str">
        <f t="shared" si="329"/>
        <v>ND</v>
      </c>
      <c r="IB49" s="1" t="str">
        <f t="shared" si="330"/>
        <v>ND</v>
      </c>
      <c r="IC49" s="1" t="str">
        <f t="shared" si="331"/>
        <v>ND</v>
      </c>
      <c r="ID49" s="1" t="str">
        <f t="shared" si="332"/>
        <v>ND</v>
      </c>
      <c r="IE49" s="1" t="str">
        <f t="shared" si="333"/>
        <v>ND</v>
      </c>
      <c r="IF49" s="1" t="str">
        <f t="shared" si="334"/>
        <v>ND</v>
      </c>
      <c r="IG49" s="1" t="str">
        <f t="shared" si="335"/>
        <v>ND</v>
      </c>
      <c r="IH49" s="1" t="str">
        <f t="shared" si="336"/>
        <v>ND</v>
      </c>
      <c r="II49" s="1" t="str">
        <f t="shared" si="337"/>
        <v>ND</v>
      </c>
    </row>
    <row r="50" spans="3:243" x14ac:dyDescent="0.25">
      <c r="C50" t="s">
        <v>76</v>
      </c>
      <c r="D50">
        <f>SUMIFS(DICCIONARIO[Cantidad],DICCIONARIO[Modelo],UNIFICADA[[#This Row],[Equipo]])</f>
        <v>0</v>
      </c>
      <c r="E50" s="1">
        <f>IFERROR(VLOOKUP($C50,EQUIPOS[],UNIFICADO!E$9,0),"")</f>
        <v>12</v>
      </c>
      <c r="F50" s="1">
        <f>IFERROR(VLOOKUP($C50,EQUIPOS[],UNIFICADO!F$9,0),"")</f>
        <v>6.5</v>
      </c>
      <c r="G50" s="1">
        <f>IFERROR(VLOOKUP($C50,EQUIPOS[],UNIFICADO!G$9,0),"")</f>
        <v>50</v>
      </c>
      <c r="H50" s="1">
        <f>IFERROR(VLOOKUP($C50,EQUIPOS[],UNIFICADO!H$9,0),"")</f>
        <v>4</v>
      </c>
      <c r="I50" s="1">
        <f>IFERROR(VLOOKUP($C50,EQUIPOS[],UNIFICADO!I$9,0),"")</f>
        <v>16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2.3/1.8</v>
      </c>
      <c r="N50" s="1">
        <f>IFERROR(VLOOKUP($C50,EQUIPOS[],UNIFICADO!N$9,0),"")</f>
        <v>4</v>
      </c>
      <c r="O50" s="1">
        <f>IFERROR(VLOOKUP($C50,EQUIPOS[],UNIFICADO!O$9,0),"")</f>
        <v>185</v>
      </c>
      <c r="P50" s="1">
        <f>IFERROR(VLOOKUP($C50,EQUIPOS[],UNIFICADO!P$9,0),"")</f>
        <v>16.399999999999999</v>
      </c>
      <c r="Q50" s="1">
        <f>IFERROR(VLOOKUP($C50,EQUIPOS[],UNIFICADO!Q$9,0),"")</f>
        <v>7.5</v>
      </c>
      <c r="R50" s="1">
        <f>IFERROR(VLOOKUP($C50,EQUIPOS[],UNIFICADO!R$9,0),"")</f>
        <v>0.75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82"/>
        <v>ND</v>
      </c>
      <c r="W50" s="1" t="str">
        <f t="shared" si="183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4"/>
        <v>ND</v>
      </c>
      <c r="AJ50" s="1" t="str">
        <f t="shared" si="185"/>
        <v>ND</v>
      </c>
      <c r="AK50" s="1" t="str">
        <f t="shared" si="186"/>
        <v>ND</v>
      </c>
      <c r="AL50" s="1" t="str">
        <f t="shared" si="187"/>
        <v>ND</v>
      </c>
      <c r="AM50" s="1" t="str">
        <f t="shared" si="188"/>
        <v>ND</v>
      </c>
      <c r="AN50" s="1" t="str">
        <f t="shared" si="189"/>
        <v>ND</v>
      </c>
      <c r="AO50" s="1" t="str">
        <f t="shared" si="190"/>
        <v>ND</v>
      </c>
      <c r="AP50" s="1" t="str">
        <f t="shared" si="191"/>
        <v>ND</v>
      </c>
      <c r="AQ50" s="1" t="str">
        <f t="shared" si="192"/>
        <v>ND</v>
      </c>
      <c r="AR50" s="1" t="str">
        <f t="shared" si="193"/>
        <v>ND</v>
      </c>
      <c r="AS50" s="1" t="str">
        <f t="shared" si="194"/>
        <v>ND</v>
      </c>
      <c r="AT50" s="1" t="str">
        <f t="shared" si="195"/>
        <v>ND</v>
      </c>
      <c r="AU50" s="1" t="str">
        <f t="shared" si="196"/>
        <v>ND</v>
      </c>
      <c r="AV50" s="1" t="str">
        <f t="shared" si="197"/>
        <v>ND</v>
      </c>
      <c r="AW50" s="1" t="str">
        <f t="shared" si="198"/>
        <v>ND</v>
      </c>
      <c r="AX50" s="1" t="str">
        <f t="shared" si="199"/>
        <v>ND</v>
      </c>
      <c r="AY50" s="1" t="str">
        <f t="shared" si="200"/>
        <v>ND</v>
      </c>
      <c r="AZ50" s="1" t="str">
        <f t="shared" si="201"/>
        <v>ND</v>
      </c>
      <c r="BA50" s="1" t="str">
        <f t="shared" si="202"/>
        <v>ND</v>
      </c>
      <c r="BB50" s="1" t="str">
        <f t="shared" si="203"/>
        <v>ND</v>
      </c>
      <c r="BC50" s="1" t="str">
        <f t="shared" si="204"/>
        <v>ND</v>
      </c>
      <c r="BD50" s="1" t="str">
        <f t="shared" si="205"/>
        <v>ND</v>
      </c>
      <c r="BE50" s="1" t="str">
        <f t="shared" si="206"/>
        <v>ND</v>
      </c>
      <c r="BF50" s="1" t="str">
        <f t="shared" si="207"/>
        <v>ND</v>
      </c>
      <c r="BG50" s="1" t="str">
        <f t="shared" si="208"/>
        <v>ND</v>
      </c>
      <c r="BH50" s="1" t="str">
        <f t="shared" si="209"/>
        <v>ND</v>
      </c>
      <c r="BI50" s="1" t="str">
        <f t="shared" si="210"/>
        <v>ND</v>
      </c>
      <c r="BJ50" s="1" t="str">
        <f t="shared" si="211"/>
        <v>ND</v>
      </c>
      <c r="BK50" s="1" t="str">
        <f t="shared" si="212"/>
        <v>ND</v>
      </c>
      <c r="BL50" s="1" t="str">
        <f t="shared" si="213"/>
        <v>ND</v>
      </c>
      <c r="BM50" s="1" t="str">
        <f t="shared" si="214"/>
        <v>ND</v>
      </c>
      <c r="BN50" s="1" t="str">
        <f t="shared" si="215"/>
        <v>ND</v>
      </c>
      <c r="BO50" s="1" t="str">
        <f t="shared" si="216"/>
        <v>ND</v>
      </c>
      <c r="BP50" s="1" t="str">
        <f t="shared" si="217"/>
        <v>ND</v>
      </c>
      <c r="BQ50" s="1" t="str">
        <f t="shared" si="218"/>
        <v>ND</v>
      </c>
      <c r="BR50" s="1" t="str">
        <f t="shared" si="219"/>
        <v>ND</v>
      </c>
      <c r="BS50" s="1" t="str">
        <f t="shared" si="220"/>
        <v>ND</v>
      </c>
      <c r="BT50" s="1" t="str">
        <f t="shared" si="221"/>
        <v>ND</v>
      </c>
      <c r="BU50" s="1" t="str">
        <f t="shared" si="222"/>
        <v>ND</v>
      </c>
      <c r="BV50" s="1" t="str">
        <f t="shared" si="223"/>
        <v>ND</v>
      </c>
      <c r="BW50" s="1" t="str">
        <f t="shared" si="224"/>
        <v>ND</v>
      </c>
      <c r="BX50" s="1" t="str">
        <f t="shared" si="225"/>
        <v>ND</v>
      </c>
      <c r="BY50" s="1" t="str">
        <f t="shared" si="226"/>
        <v>ND</v>
      </c>
      <c r="BZ50" s="1" t="str">
        <f t="shared" si="227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8"/>
        <v>ND</v>
      </c>
      <c r="CX50" s="1" t="str">
        <f t="shared" si="229"/>
        <v>ND</v>
      </c>
      <c r="CY50" s="1" t="str">
        <f t="shared" si="230"/>
        <v>ND</v>
      </c>
      <c r="CZ50" s="1" t="str">
        <f t="shared" si="231"/>
        <v>ND</v>
      </c>
      <c r="DA50" s="1" t="str">
        <f t="shared" si="232"/>
        <v>ND</v>
      </c>
      <c r="DB50" s="1" t="str">
        <f t="shared" si="233"/>
        <v>ND</v>
      </c>
      <c r="DC50" s="1" t="str">
        <f t="shared" si="234"/>
        <v>ND</v>
      </c>
      <c r="DD50" s="1" t="str">
        <f t="shared" si="235"/>
        <v>ND</v>
      </c>
      <c r="DE50" s="1" t="str">
        <f t="shared" si="236"/>
        <v>ND</v>
      </c>
      <c r="DF50" s="1" t="str">
        <f t="shared" si="237"/>
        <v>ND</v>
      </c>
      <c r="DG50" s="1" t="str">
        <f t="shared" si="238"/>
        <v>ND</v>
      </c>
      <c r="DH50" s="1" t="str">
        <f t="shared" si="239"/>
        <v>ND</v>
      </c>
      <c r="DI50" s="1" t="str">
        <f t="shared" si="240"/>
        <v>ND</v>
      </c>
      <c r="DJ50" s="1" t="str">
        <f t="shared" si="241"/>
        <v>ND</v>
      </c>
      <c r="DK50" s="1" t="str">
        <f t="shared" si="242"/>
        <v>ND</v>
      </c>
      <c r="DL50" s="1" t="str">
        <f t="shared" si="243"/>
        <v>ND</v>
      </c>
      <c r="DM50" s="1" t="str">
        <f t="shared" si="244"/>
        <v>ND</v>
      </c>
      <c r="DN50" s="1" t="str">
        <f t="shared" si="245"/>
        <v>ND</v>
      </c>
      <c r="DO50" s="1" t="str">
        <f t="shared" si="246"/>
        <v>ND</v>
      </c>
      <c r="DP50" s="1" t="str">
        <f t="shared" si="247"/>
        <v>ND</v>
      </c>
      <c r="DQ50" s="1" t="str">
        <f t="shared" si="248"/>
        <v>ND</v>
      </c>
      <c r="DR50" s="1" t="str">
        <f t="shared" si="249"/>
        <v>ND</v>
      </c>
      <c r="DS50" s="1" t="str">
        <f t="shared" si="250"/>
        <v>ND</v>
      </c>
      <c r="DT50" s="1" t="str">
        <f t="shared" si="251"/>
        <v>ND</v>
      </c>
      <c r="DU50" s="1" t="str">
        <f t="shared" si="252"/>
        <v>ND</v>
      </c>
      <c r="DV50" s="1" t="str">
        <f t="shared" si="253"/>
        <v>ND</v>
      </c>
      <c r="DW50" s="1" t="str">
        <f t="shared" si="254"/>
        <v>ND</v>
      </c>
      <c r="DX50" s="1" t="str">
        <f t="shared" si="255"/>
        <v>ND</v>
      </c>
      <c r="DY50" s="1" t="str">
        <f t="shared" si="256"/>
        <v>ND</v>
      </c>
      <c r="DZ50" s="1" t="str">
        <f t="shared" si="257"/>
        <v>ND</v>
      </c>
      <c r="EA50" s="1" t="str">
        <f t="shared" si="258"/>
        <v>ND</v>
      </c>
      <c r="EB50" s="1" t="str">
        <f t="shared" si="259"/>
        <v>ND</v>
      </c>
      <c r="EC50" s="1" t="str">
        <f t="shared" si="260"/>
        <v>ND</v>
      </c>
      <c r="ED50" s="1" t="str">
        <f t="shared" si="261"/>
        <v>ND</v>
      </c>
      <c r="EE50" s="1" t="str">
        <f t="shared" si="262"/>
        <v>ND</v>
      </c>
      <c r="EF50" s="1" t="str">
        <f t="shared" si="263"/>
        <v>ND</v>
      </c>
      <c r="EG50" s="1" t="str">
        <f t="shared" si="264"/>
        <v>ND</v>
      </c>
      <c r="EH50" s="1" t="str">
        <f t="shared" si="265"/>
        <v>ND</v>
      </c>
      <c r="EI50" s="1" t="str">
        <f t="shared" si="266"/>
        <v>ND</v>
      </c>
      <c r="EJ50" s="1" t="str">
        <f t="shared" si="267"/>
        <v>ND</v>
      </c>
      <c r="EK50" s="1" t="str">
        <f t="shared" si="268"/>
        <v>ND</v>
      </c>
      <c r="EL50" s="1" t="str">
        <f t="shared" si="269"/>
        <v>ND</v>
      </c>
      <c r="EM50" s="1" t="str">
        <f t="shared" si="270"/>
        <v>ND</v>
      </c>
      <c r="EN50" s="1" t="str">
        <f t="shared" si="271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2"/>
        <v>ND</v>
      </c>
      <c r="FW50" s="1" t="str">
        <f t="shared" si="273"/>
        <v>ND</v>
      </c>
      <c r="FX50" s="1" t="str">
        <f t="shared" si="274"/>
        <v>ND</v>
      </c>
      <c r="FY50" s="1" t="str">
        <f t="shared" si="275"/>
        <v>ND</v>
      </c>
      <c r="FZ50" s="1" t="str">
        <f t="shared" si="276"/>
        <v>ND</v>
      </c>
      <c r="GA50" s="1" t="str">
        <f t="shared" si="277"/>
        <v>ND</v>
      </c>
      <c r="GB50" s="1" t="str">
        <f t="shared" si="278"/>
        <v>ND</v>
      </c>
      <c r="GC50" s="1" t="str">
        <f t="shared" si="279"/>
        <v>ND</v>
      </c>
      <c r="GD50" s="1" t="str">
        <f t="shared" si="280"/>
        <v>ND</v>
      </c>
      <c r="GE50" s="1" t="str">
        <f t="shared" si="281"/>
        <v>ND</v>
      </c>
      <c r="GF50" s="1" t="str">
        <f t="shared" si="282"/>
        <v>ND</v>
      </c>
      <c r="GG50" s="1" t="str">
        <f t="shared" si="283"/>
        <v>ND</v>
      </c>
      <c r="GH50" s="1" t="str">
        <f t="shared" si="284"/>
        <v>ND</v>
      </c>
      <c r="GI50" s="1" t="str">
        <f t="shared" si="285"/>
        <v>ND</v>
      </c>
      <c r="GJ50" s="1" t="str">
        <f t="shared" si="286"/>
        <v>ND</v>
      </c>
      <c r="GK50" s="1" t="str">
        <f t="shared" si="287"/>
        <v>ND</v>
      </c>
      <c r="GL50" s="1" t="str">
        <f t="shared" si="288"/>
        <v>ND</v>
      </c>
      <c r="GM50" s="1" t="str">
        <f t="shared" si="289"/>
        <v>ND</v>
      </c>
      <c r="GN50" s="1" t="str">
        <f t="shared" si="290"/>
        <v>ND</v>
      </c>
      <c r="GO50" s="1" t="str">
        <f t="shared" si="291"/>
        <v>ND</v>
      </c>
      <c r="GP50" s="1" t="str">
        <f t="shared" si="292"/>
        <v>ND</v>
      </c>
      <c r="GQ50" s="1" t="str">
        <f t="shared" si="293"/>
        <v>ND</v>
      </c>
      <c r="GR50" s="1" t="str">
        <f t="shared" si="294"/>
        <v>ND</v>
      </c>
      <c r="GS50" s="1" t="str">
        <f t="shared" si="295"/>
        <v>ND</v>
      </c>
      <c r="GT50" s="1" t="str">
        <f t="shared" si="296"/>
        <v>ND</v>
      </c>
      <c r="GU50" s="1" t="str">
        <f t="shared" si="297"/>
        <v>ND</v>
      </c>
      <c r="GV50" s="1" t="str">
        <f t="shared" si="298"/>
        <v>ND</v>
      </c>
      <c r="GW50" s="1" t="str">
        <f t="shared" si="299"/>
        <v>ND</v>
      </c>
      <c r="GX50" s="1" t="str">
        <f t="shared" si="300"/>
        <v>ND</v>
      </c>
      <c r="GY50" s="1" t="str">
        <f t="shared" si="301"/>
        <v>ND</v>
      </c>
      <c r="GZ50" s="1" t="str">
        <f t="shared" si="302"/>
        <v>ND</v>
      </c>
      <c r="HA50" s="1" t="str">
        <f t="shared" si="303"/>
        <v>ND</v>
      </c>
      <c r="HB50" s="1" t="str">
        <f t="shared" si="304"/>
        <v>ND</v>
      </c>
      <c r="HC50" s="1" t="str">
        <f t="shared" si="305"/>
        <v>ND</v>
      </c>
      <c r="HD50" s="1" t="str">
        <f t="shared" si="306"/>
        <v>ND</v>
      </c>
      <c r="HE50" s="1" t="str">
        <f t="shared" si="307"/>
        <v>ND</v>
      </c>
      <c r="HF50" s="1" t="str">
        <f t="shared" si="308"/>
        <v>ND</v>
      </c>
      <c r="HG50" s="1" t="str">
        <f t="shared" si="309"/>
        <v>ND</v>
      </c>
      <c r="HH50" s="1" t="str">
        <f t="shared" si="310"/>
        <v>ND</v>
      </c>
      <c r="HI50" s="1" t="str">
        <f t="shared" si="311"/>
        <v>ND</v>
      </c>
      <c r="HJ50" s="1" t="str">
        <f t="shared" si="312"/>
        <v>ND</v>
      </c>
      <c r="HK50" s="1" t="str">
        <f t="shared" si="313"/>
        <v>ND</v>
      </c>
      <c r="HL50" s="1" t="str">
        <f t="shared" si="314"/>
        <v>ND</v>
      </c>
      <c r="HM50" s="1" t="str">
        <f t="shared" si="315"/>
        <v>ND</v>
      </c>
      <c r="HN50" s="1" t="str">
        <f t="shared" si="316"/>
        <v>ND</v>
      </c>
      <c r="HO50" s="1" t="str">
        <f t="shared" si="317"/>
        <v>ND</v>
      </c>
      <c r="HP50" s="1" t="str">
        <f t="shared" si="318"/>
        <v>ND</v>
      </c>
      <c r="HQ50" s="1" t="str">
        <f t="shared" si="319"/>
        <v>ND</v>
      </c>
      <c r="HR50" s="1" t="str">
        <f t="shared" si="320"/>
        <v>ND</v>
      </c>
      <c r="HS50" s="1" t="str">
        <f t="shared" si="321"/>
        <v>ND</v>
      </c>
      <c r="HT50" s="1" t="str">
        <f t="shared" si="322"/>
        <v>ND</v>
      </c>
      <c r="HU50" s="1" t="str">
        <f t="shared" si="323"/>
        <v>ND</v>
      </c>
      <c r="HV50" s="1" t="str">
        <f t="shared" si="324"/>
        <v>ND</v>
      </c>
      <c r="HW50" s="1" t="str">
        <f t="shared" si="325"/>
        <v>ND</v>
      </c>
      <c r="HX50" s="1" t="str">
        <f t="shared" si="326"/>
        <v>ND</v>
      </c>
      <c r="HY50" s="1" t="str">
        <f t="shared" si="327"/>
        <v>ND</v>
      </c>
      <c r="HZ50" s="1" t="str">
        <f t="shared" si="328"/>
        <v>ND</v>
      </c>
      <c r="IA50" s="1" t="str">
        <f t="shared" si="329"/>
        <v>ND</v>
      </c>
      <c r="IB50" s="1" t="str">
        <f t="shared" si="330"/>
        <v>ND</v>
      </c>
      <c r="IC50" s="1" t="str">
        <f t="shared" si="331"/>
        <v>ND</v>
      </c>
      <c r="ID50" s="1" t="str">
        <f t="shared" si="332"/>
        <v>ND</v>
      </c>
      <c r="IE50" s="1" t="str">
        <f t="shared" si="333"/>
        <v>ND</v>
      </c>
      <c r="IF50" s="1" t="str">
        <f t="shared" si="334"/>
        <v>ND</v>
      </c>
      <c r="IG50" s="1" t="str">
        <f t="shared" si="335"/>
        <v>ND</v>
      </c>
      <c r="IH50" s="1" t="str">
        <f t="shared" si="336"/>
        <v>ND</v>
      </c>
      <c r="II50" s="1" t="str">
        <f t="shared" si="337"/>
        <v>ND</v>
      </c>
    </row>
    <row r="51" spans="3:243" x14ac:dyDescent="0.25">
      <c r="C51" t="s">
        <v>1012</v>
      </c>
      <c r="D51">
        <f>SUMIFS(DICCIONARIO[Cantidad],DICCIONARIO[Modelo],UNIFICADA[[#This Row],[Equipo]])</f>
        <v>84</v>
      </c>
      <c r="E51" s="1">
        <f>IFERROR(VLOOKUP($C51,EQUIPOS[],UNIFICADO!E$9,0),"")</f>
        <v>13</v>
      </c>
      <c r="F51" s="1" t="str">
        <f>IFERROR(VLOOKUP($C51,EQUIPOS[],UNIFICADO!F$9,0),"")</f>
        <v>6.5 LCD HD+</v>
      </c>
      <c r="G51" s="1">
        <f>IFERROR(VLOOKUP($C51,EQUIPOS[],UNIFICADO!G$9,0),"")</f>
        <v>13</v>
      </c>
      <c r="H51" s="1">
        <f>IFERROR(VLOOKUP($C51,EQUIPOS[],UNIFICADO!H$9,0),"")</f>
        <v>2</v>
      </c>
      <c r="I51" s="1">
        <f>IFERROR(VLOOKUP($C51,EQUIPOS[],UNIFICADO!I$9,0),"")</f>
        <v>5</v>
      </c>
      <c r="J51" s="1" t="str">
        <f>IFERROR(VLOOKUP($C51,EQUIPOS[],UNIFICADO!J$9,0),"")</f>
        <v>64GB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Unisoc T606</v>
      </c>
      <c r="N51" s="1">
        <f>IFERROR(VLOOKUP($C51,EQUIPOS[],UNIFICADO!N$9,0),"")</f>
        <v>2</v>
      </c>
      <c r="O51" s="1">
        <f>IFERROR(VLOOKUP($C51,EQUIPOS[],UNIFICADO!O$9,0),"")</f>
        <v>180</v>
      </c>
      <c r="P51" s="1">
        <f>IFERROR(VLOOKUP($C51,EQUIPOS[],UNIFICADO!P$9,0),"")</f>
        <v>16.420000000000002</v>
      </c>
      <c r="Q51" s="1">
        <f>IFERROR(VLOOKUP($C51,EQUIPOS[],UNIFICADO!Q$9,0),"")</f>
        <v>7.5</v>
      </c>
      <c r="R51" s="1">
        <f>IFERROR(VLOOKUP($C51,EQUIPOS[],UNIFICADO!R$9,0),"")</f>
        <v>0.85</v>
      </c>
      <c r="S51" s="1">
        <f>IFERROR(VLOOKUP($C51,EQUIPOS[],UNIFICADO!S$9,0),"")</f>
        <v>5000</v>
      </c>
      <c r="T51" s="1">
        <f>IFERROR(VLOOKUP($C51,EQUIPOS[],UNIFICADO!T$9,0),"")</f>
        <v>4</v>
      </c>
      <c r="U51" s="1">
        <f>VLOOKUP(UNIFICADA[[#This Row],[Equipo]],EQUIPOS[],19,0)</f>
        <v>41</v>
      </c>
      <c r="V51" s="1" t="str">
        <f t="shared" si="182"/>
        <v>ND</v>
      </c>
      <c r="W51" s="1" t="str">
        <f t="shared" si="183"/>
        <v>ND</v>
      </c>
      <c r="X51" s="1" t="str">
        <f t="shared" ref="X51:Y70" si="338">IF(X$9="ND","ND",VLOOKUP($C51,AC,X$9,0))</f>
        <v>ND</v>
      </c>
      <c r="Y51" s="1" t="str">
        <f t="shared" si="338"/>
        <v>ND</v>
      </c>
      <c r="Z51" s="1" t="str">
        <f t="shared" ref="Z51:AH60" si="339">IFERROR(IF(Z$9="ND","ND",VLOOKUP($C51,AC,Z$9,0)),"ND")</f>
        <v>ND</v>
      </c>
      <c r="AA51" s="1" t="str">
        <f t="shared" si="339"/>
        <v>ND</v>
      </c>
      <c r="AB51" s="1" t="str">
        <f t="shared" si="339"/>
        <v>ND</v>
      </c>
      <c r="AC51" s="1" t="str">
        <f t="shared" si="339"/>
        <v>ND</v>
      </c>
      <c r="AD51" s="1" t="str">
        <f t="shared" si="339"/>
        <v>ND</v>
      </c>
      <c r="AE51" s="1" t="str">
        <f t="shared" si="339"/>
        <v>ND</v>
      </c>
      <c r="AF51" s="1" t="str">
        <f t="shared" si="339"/>
        <v>ND</v>
      </c>
      <c r="AG51" s="1" t="str">
        <f t="shared" si="339"/>
        <v>ND</v>
      </c>
      <c r="AH51" s="1" t="str">
        <f t="shared" si="339"/>
        <v>ND</v>
      </c>
      <c r="AI51" s="1" t="str">
        <f t="shared" si="184"/>
        <v>ND</v>
      </c>
      <c r="AJ51" s="1" t="str">
        <f t="shared" si="185"/>
        <v>ND</v>
      </c>
      <c r="AK51" s="1" t="str">
        <f t="shared" si="186"/>
        <v>ND</v>
      </c>
      <c r="AL51" s="1" t="str">
        <f t="shared" si="187"/>
        <v>ND</v>
      </c>
      <c r="AM51" s="1" t="str">
        <f t="shared" si="188"/>
        <v>ND</v>
      </c>
      <c r="AN51" s="1" t="str">
        <f t="shared" si="189"/>
        <v>ND</v>
      </c>
      <c r="AO51" s="1" t="str">
        <f t="shared" si="190"/>
        <v>ND</v>
      </c>
      <c r="AP51" s="1" t="str">
        <f t="shared" si="191"/>
        <v>ND</v>
      </c>
      <c r="AQ51" s="1" t="str">
        <f t="shared" si="192"/>
        <v>ND</v>
      </c>
      <c r="AR51" s="1" t="str">
        <f t="shared" si="193"/>
        <v>ND</v>
      </c>
      <c r="AS51" s="1" t="str">
        <f t="shared" si="194"/>
        <v>ND</v>
      </c>
      <c r="AT51" s="1" t="str">
        <f t="shared" si="195"/>
        <v>ND</v>
      </c>
      <c r="AU51" s="1" t="str">
        <f t="shared" si="196"/>
        <v>ND</v>
      </c>
      <c r="AV51" s="1" t="str">
        <f t="shared" si="197"/>
        <v>ND</v>
      </c>
      <c r="AW51" s="1" t="str">
        <f t="shared" si="198"/>
        <v>ND</v>
      </c>
      <c r="AX51" s="1" t="str">
        <f t="shared" si="199"/>
        <v>ND</v>
      </c>
      <c r="AY51" s="1" t="str">
        <f t="shared" si="200"/>
        <v>ND</v>
      </c>
      <c r="AZ51" s="1" t="str">
        <f t="shared" si="201"/>
        <v>ND</v>
      </c>
      <c r="BA51" s="1" t="str">
        <f t="shared" si="202"/>
        <v>ND</v>
      </c>
      <c r="BB51" s="1" t="str">
        <f t="shared" si="203"/>
        <v>ND</v>
      </c>
      <c r="BC51" s="1" t="str">
        <f t="shared" si="204"/>
        <v>ND</v>
      </c>
      <c r="BD51" s="1" t="str">
        <f t="shared" si="205"/>
        <v>ND</v>
      </c>
      <c r="BE51" s="1" t="str">
        <f t="shared" si="206"/>
        <v>ND</v>
      </c>
      <c r="BF51" s="1" t="str">
        <f t="shared" si="207"/>
        <v>ND</v>
      </c>
      <c r="BG51" s="1" t="str">
        <f t="shared" si="208"/>
        <v>ND</v>
      </c>
      <c r="BH51" s="1" t="str">
        <f t="shared" si="209"/>
        <v>ND</v>
      </c>
      <c r="BI51" s="1" t="str">
        <f t="shared" si="210"/>
        <v>ND</v>
      </c>
      <c r="BJ51" s="1" t="str">
        <f t="shared" si="211"/>
        <v>ND</v>
      </c>
      <c r="BK51" s="1" t="str">
        <f t="shared" si="212"/>
        <v>ND</v>
      </c>
      <c r="BL51" s="1" t="str">
        <f t="shared" si="213"/>
        <v>ND</v>
      </c>
      <c r="BM51" s="1" t="str">
        <f t="shared" si="214"/>
        <v>ND</v>
      </c>
      <c r="BN51" s="1" t="str">
        <f t="shared" si="215"/>
        <v>ND</v>
      </c>
      <c r="BO51" s="1" t="str">
        <f t="shared" si="216"/>
        <v>ND</v>
      </c>
      <c r="BP51" s="1" t="str">
        <f t="shared" si="217"/>
        <v>ND</v>
      </c>
      <c r="BQ51" s="1" t="str">
        <f t="shared" si="218"/>
        <v>ND</v>
      </c>
      <c r="BR51" s="1" t="str">
        <f t="shared" si="219"/>
        <v>ND</v>
      </c>
      <c r="BS51" s="1" t="str">
        <f t="shared" si="220"/>
        <v>ND</v>
      </c>
      <c r="BT51" s="1" t="str">
        <f t="shared" si="221"/>
        <v>ND</v>
      </c>
      <c r="BU51" s="1" t="str">
        <f t="shared" si="222"/>
        <v>ND</v>
      </c>
      <c r="BV51" s="1" t="str">
        <f t="shared" si="223"/>
        <v>ND</v>
      </c>
      <c r="BW51" s="1" t="str">
        <f t="shared" si="224"/>
        <v>ND</v>
      </c>
      <c r="BX51" s="1" t="str">
        <f t="shared" si="225"/>
        <v>ND</v>
      </c>
      <c r="BY51" s="1" t="str">
        <f t="shared" si="226"/>
        <v>ND</v>
      </c>
      <c r="BZ51" s="1" t="str">
        <f t="shared" si="227"/>
        <v>ND</v>
      </c>
      <c r="CA51" s="1" t="str">
        <f t="shared" ref="CA51:CK60" si="340">IFERROR(IF(CA$9="ND","ND",VLOOKUP($C51,FULLC,CA$9,0)),"ND")</f>
        <v>ND</v>
      </c>
      <c r="CB51" s="1" t="str">
        <f t="shared" si="340"/>
        <v>ND</v>
      </c>
      <c r="CC51" s="1" t="str">
        <f t="shared" si="340"/>
        <v>ND</v>
      </c>
      <c r="CD51" s="1" t="str">
        <f t="shared" si="340"/>
        <v>ND</v>
      </c>
      <c r="CE51" s="1" t="str">
        <f t="shared" si="340"/>
        <v>ND</v>
      </c>
      <c r="CF51" s="1" t="str">
        <f t="shared" si="340"/>
        <v>ND</v>
      </c>
      <c r="CG51" s="1" t="str">
        <f t="shared" si="340"/>
        <v>ND</v>
      </c>
      <c r="CH51" s="1" t="str">
        <f t="shared" si="340"/>
        <v>ND</v>
      </c>
      <c r="CI51" s="1" t="str">
        <f t="shared" si="340"/>
        <v>ND</v>
      </c>
      <c r="CJ51" s="1" t="str">
        <f t="shared" si="340"/>
        <v>ND</v>
      </c>
      <c r="CK51" s="1" t="str">
        <f t="shared" si="340"/>
        <v>ND</v>
      </c>
      <c r="CL51" s="1" t="str">
        <f t="shared" ref="CL51:CV60" si="341">IFERROR(IF(CL$9="ND","ND",VLOOKUP($C51,LINA,CL$9,0)),"ND")</f>
        <v>ND</v>
      </c>
      <c r="CM51" s="1" t="str">
        <f t="shared" si="341"/>
        <v>ND</v>
      </c>
      <c r="CN51" s="1" t="str">
        <f t="shared" si="341"/>
        <v>ND</v>
      </c>
      <c r="CO51" s="1" t="str">
        <f t="shared" si="341"/>
        <v>ND</v>
      </c>
      <c r="CP51" s="1" t="str">
        <f t="shared" si="341"/>
        <v>ND</v>
      </c>
      <c r="CQ51" s="1" t="str">
        <f t="shared" si="341"/>
        <v>ND</v>
      </c>
      <c r="CR51" s="1" t="str">
        <f t="shared" si="341"/>
        <v>ND</v>
      </c>
      <c r="CS51" s="1" t="str">
        <f t="shared" si="341"/>
        <v>ND</v>
      </c>
      <c r="CT51" s="1" t="str">
        <f t="shared" si="341"/>
        <v>ND</v>
      </c>
      <c r="CU51" s="1" t="str">
        <f t="shared" si="341"/>
        <v>ND</v>
      </c>
      <c r="CV51" s="1" t="str">
        <f t="shared" si="341"/>
        <v>ND</v>
      </c>
      <c r="CW51" s="1" t="str">
        <f t="shared" si="228"/>
        <v>ND</v>
      </c>
      <c r="CX51" s="1" t="str">
        <f t="shared" si="229"/>
        <v>ND</v>
      </c>
      <c r="CY51" s="1" t="str">
        <f t="shared" si="230"/>
        <v>ND</v>
      </c>
      <c r="CZ51" s="1" t="str">
        <f t="shared" si="231"/>
        <v>ND</v>
      </c>
      <c r="DA51" s="1" t="str">
        <f t="shared" si="232"/>
        <v>ND</v>
      </c>
      <c r="DB51" s="1" t="str">
        <f t="shared" si="233"/>
        <v>ND</v>
      </c>
      <c r="DC51" s="1" t="str">
        <f t="shared" si="234"/>
        <v>ND</v>
      </c>
      <c r="DD51" s="1" t="str">
        <f t="shared" si="235"/>
        <v>ND</v>
      </c>
      <c r="DE51" s="1" t="str">
        <f t="shared" si="236"/>
        <v>ND</v>
      </c>
      <c r="DF51" s="1" t="str">
        <f t="shared" si="237"/>
        <v>ND</v>
      </c>
      <c r="DG51" s="1" t="str">
        <f t="shared" si="238"/>
        <v>ND</v>
      </c>
      <c r="DH51" s="1" t="str">
        <f t="shared" si="239"/>
        <v>ND</v>
      </c>
      <c r="DI51" s="1" t="str">
        <f t="shared" si="240"/>
        <v>ND</v>
      </c>
      <c r="DJ51" s="1" t="str">
        <f t="shared" si="241"/>
        <v>ND</v>
      </c>
      <c r="DK51" s="1" t="str">
        <f t="shared" si="242"/>
        <v>ND</v>
      </c>
      <c r="DL51" s="1" t="str">
        <f t="shared" si="243"/>
        <v>ND</v>
      </c>
      <c r="DM51" s="1" t="str">
        <f t="shared" si="244"/>
        <v>ND</v>
      </c>
      <c r="DN51" s="1" t="str">
        <f t="shared" si="245"/>
        <v>ND</v>
      </c>
      <c r="DO51" s="1" t="str">
        <f t="shared" si="246"/>
        <v>ND</v>
      </c>
      <c r="DP51" s="1" t="str">
        <f t="shared" si="247"/>
        <v>ND</v>
      </c>
      <c r="DQ51" s="1" t="str">
        <f t="shared" si="248"/>
        <v>ND</v>
      </c>
      <c r="DR51" s="1" t="str">
        <f t="shared" si="249"/>
        <v>ND</v>
      </c>
      <c r="DS51" s="1" t="str">
        <f t="shared" si="250"/>
        <v>ND</v>
      </c>
      <c r="DT51" s="1" t="str">
        <f t="shared" si="251"/>
        <v>ND</v>
      </c>
      <c r="DU51" s="1" t="str">
        <f t="shared" si="252"/>
        <v>ND</v>
      </c>
      <c r="DV51" s="1" t="str">
        <f t="shared" si="253"/>
        <v>ND</v>
      </c>
      <c r="DW51" s="1" t="str">
        <f t="shared" si="254"/>
        <v>ND</v>
      </c>
      <c r="DX51" s="1" t="str">
        <f t="shared" si="255"/>
        <v>ND</v>
      </c>
      <c r="DY51" s="1" t="str">
        <f t="shared" si="256"/>
        <v>ND</v>
      </c>
      <c r="DZ51" s="1" t="str">
        <f t="shared" si="257"/>
        <v>ND</v>
      </c>
      <c r="EA51" s="1" t="str">
        <f t="shared" si="258"/>
        <v>ND</v>
      </c>
      <c r="EB51" s="1" t="str">
        <f t="shared" si="259"/>
        <v>ND</v>
      </c>
      <c r="EC51" s="1" t="str">
        <f t="shared" si="260"/>
        <v>ND</v>
      </c>
      <c r="ED51" s="1" t="str">
        <f t="shared" si="261"/>
        <v>ND</v>
      </c>
      <c r="EE51" s="1" t="str">
        <f t="shared" si="262"/>
        <v>ND</v>
      </c>
      <c r="EF51" s="1" t="str">
        <f t="shared" si="263"/>
        <v>ND</v>
      </c>
      <c r="EG51" s="1" t="str">
        <f t="shared" si="264"/>
        <v>ND</v>
      </c>
      <c r="EH51" s="1" t="str">
        <f t="shared" si="265"/>
        <v>ND</v>
      </c>
      <c r="EI51" s="1" t="str">
        <f t="shared" si="266"/>
        <v>ND</v>
      </c>
      <c r="EJ51" s="1" t="str">
        <f t="shared" si="267"/>
        <v>ND</v>
      </c>
      <c r="EK51" s="1" t="str">
        <f t="shared" si="268"/>
        <v>ND</v>
      </c>
      <c r="EL51" s="1" t="str">
        <f t="shared" si="269"/>
        <v>ND</v>
      </c>
      <c r="EM51" s="1" t="str">
        <f t="shared" si="270"/>
        <v>ND</v>
      </c>
      <c r="EN51" s="1" t="str">
        <f t="shared" si="271"/>
        <v>ND</v>
      </c>
      <c r="EO51" s="1" t="str">
        <f t="shared" ref="EO51:EY60" si="342">IFERROR(IF(EO$9="ND","ND",VLOOKUP($C51,PAR,EO$9,0)),"ND")</f>
        <v>ND</v>
      </c>
      <c r="EP51" s="1" t="str">
        <f t="shared" si="342"/>
        <v>ND</v>
      </c>
      <c r="EQ51" s="1" t="str">
        <f t="shared" si="342"/>
        <v>ND</v>
      </c>
      <c r="ER51" s="1" t="str">
        <f t="shared" si="342"/>
        <v>ND</v>
      </c>
      <c r="ES51" s="1" t="str">
        <f t="shared" si="342"/>
        <v>ND</v>
      </c>
      <c r="ET51" s="1" t="str">
        <f t="shared" si="342"/>
        <v>ND</v>
      </c>
      <c r="EU51" s="1" t="str">
        <f t="shared" si="342"/>
        <v>ND</v>
      </c>
      <c r="EV51" s="1" t="str">
        <f t="shared" si="342"/>
        <v>ND</v>
      </c>
      <c r="EW51" s="1" t="str">
        <f t="shared" si="342"/>
        <v>ND</v>
      </c>
      <c r="EX51" s="1" t="str">
        <f t="shared" si="342"/>
        <v>ND</v>
      </c>
      <c r="EY51" s="1" t="str">
        <f t="shared" si="342"/>
        <v>ND</v>
      </c>
      <c r="EZ51" s="1" t="str">
        <f t="shared" ref="EZ51:FJ60" si="343">IFERROR(IF(EZ$9="ND","ND",VLOOKUP($C51,PE,EZ$9,0)),"ND")</f>
        <v>ND</v>
      </c>
      <c r="FA51" s="1" t="str">
        <f t="shared" si="343"/>
        <v>ND</v>
      </c>
      <c r="FB51" s="1" t="str">
        <f t="shared" si="343"/>
        <v>ND</v>
      </c>
      <c r="FC51" s="1" t="str">
        <f t="shared" si="343"/>
        <v>ND</v>
      </c>
      <c r="FD51" s="1" t="str">
        <f t="shared" si="343"/>
        <v>ND</v>
      </c>
      <c r="FE51" s="1" t="str">
        <f t="shared" si="343"/>
        <v>ND</v>
      </c>
      <c r="FF51" s="1" t="str">
        <f t="shared" si="343"/>
        <v>ND</v>
      </c>
      <c r="FG51" s="1" t="str">
        <f t="shared" si="343"/>
        <v>ND</v>
      </c>
      <c r="FH51" s="1" t="str">
        <f t="shared" si="343"/>
        <v>ND</v>
      </c>
      <c r="FI51" s="1" t="str">
        <f t="shared" si="343"/>
        <v>ND</v>
      </c>
      <c r="FJ51" s="1" t="str">
        <f t="shared" si="343"/>
        <v>ND</v>
      </c>
      <c r="FK51" s="1" t="str">
        <f t="shared" ref="FK51:FU60" si="344">IFERROR(IF(FK$9="ND","ND",VLOOKUP($C51,RE,FK$9,0)),"ND")</f>
        <v>ND</v>
      </c>
      <c r="FL51" s="1" t="str">
        <f t="shared" si="344"/>
        <v>ND</v>
      </c>
      <c r="FM51" s="1" t="str">
        <f t="shared" si="344"/>
        <v>ND</v>
      </c>
      <c r="FN51" s="1" t="str">
        <f t="shared" si="344"/>
        <v>ND</v>
      </c>
      <c r="FO51" s="1" t="str">
        <f t="shared" si="344"/>
        <v>ND</v>
      </c>
      <c r="FP51" s="1" t="str">
        <f t="shared" si="344"/>
        <v>ND</v>
      </c>
      <c r="FQ51" s="1" t="str">
        <f t="shared" si="344"/>
        <v>ND</v>
      </c>
      <c r="FR51" s="1" t="str">
        <f t="shared" si="344"/>
        <v>ND</v>
      </c>
      <c r="FS51" s="1" t="str">
        <f t="shared" si="344"/>
        <v>ND</v>
      </c>
      <c r="FT51" s="1" t="str">
        <f t="shared" si="344"/>
        <v>ND</v>
      </c>
      <c r="FU51" s="1" t="str">
        <f t="shared" si="344"/>
        <v>ND</v>
      </c>
      <c r="FV51" s="1" t="str">
        <f t="shared" si="272"/>
        <v>ND</v>
      </c>
      <c r="FW51" s="1" t="str">
        <f t="shared" si="273"/>
        <v>ND</v>
      </c>
      <c r="FX51" s="1" t="str">
        <f t="shared" si="274"/>
        <v>ND</v>
      </c>
      <c r="FY51" s="1" t="str">
        <f t="shared" si="275"/>
        <v>ND</v>
      </c>
      <c r="FZ51" s="1" t="str">
        <f t="shared" si="276"/>
        <v>ND</v>
      </c>
      <c r="GA51" s="1" t="str">
        <f t="shared" si="277"/>
        <v>ND</v>
      </c>
      <c r="GB51" s="1" t="str">
        <f t="shared" si="278"/>
        <v>ND</v>
      </c>
      <c r="GC51" s="1" t="str">
        <f t="shared" si="279"/>
        <v>ND</v>
      </c>
      <c r="GD51" s="1" t="str">
        <f t="shared" si="280"/>
        <v>ND</v>
      </c>
      <c r="GE51" s="1" t="str">
        <f t="shared" si="281"/>
        <v>ND</v>
      </c>
      <c r="GF51" s="1" t="str">
        <f t="shared" si="282"/>
        <v>ND</v>
      </c>
      <c r="GG51" s="1" t="str">
        <f t="shared" si="283"/>
        <v>ND</v>
      </c>
      <c r="GH51" s="1" t="str">
        <f t="shared" si="284"/>
        <v>ND</v>
      </c>
      <c r="GI51" s="1" t="str">
        <f t="shared" si="285"/>
        <v>ND</v>
      </c>
      <c r="GJ51" s="1" t="str">
        <f t="shared" si="286"/>
        <v>ND</v>
      </c>
      <c r="GK51" s="1" t="str">
        <f t="shared" si="287"/>
        <v>ND</v>
      </c>
      <c r="GL51" s="1" t="str">
        <f t="shared" si="288"/>
        <v>ND</v>
      </c>
      <c r="GM51" s="1" t="str">
        <f t="shared" si="289"/>
        <v>ND</v>
      </c>
      <c r="GN51" s="1" t="str">
        <f t="shared" si="290"/>
        <v>ND</v>
      </c>
      <c r="GO51" s="1" t="str">
        <f t="shared" si="291"/>
        <v>ND</v>
      </c>
      <c r="GP51" s="1" t="str">
        <f t="shared" si="292"/>
        <v>ND</v>
      </c>
      <c r="GQ51" s="1" t="str">
        <f t="shared" si="293"/>
        <v>ND</v>
      </c>
      <c r="GR51" s="1" t="str">
        <f t="shared" si="294"/>
        <v>ND</v>
      </c>
      <c r="GS51" s="1" t="str">
        <f t="shared" si="295"/>
        <v>ND</v>
      </c>
      <c r="GT51" s="1" t="str">
        <f t="shared" si="296"/>
        <v>ND</v>
      </c>
      <c r="GU51" s="1" t="str">
        <f t="shared" si="297"/>
        <v>ND</v>
      </c>
      <c r="GV51" s="1" t="str">
        <f t="shared" si="298"/>
        <v>ND</v>
      </c>
      <c r="GW51" s="1" t="str">
        <f t="shared" si="299"/>
        <v>ND</v>
      </c>
      <c r="GX51" s="1" t="str">
        <f t="shared" si="300"/>
        <v>ND</v>
      </c>
      <c r="GY51" s="1" t="str">
        <f t="shared" si="301"/>
        <v>ND</v>
      </c>
      <c r="GZ51" s="1" t="str">
        <f t="shared" si="302"/>
        <v>ND</v>
      </c>
      <c r="HA51" s="1" t="str">
        <f t="shared" si="303"/>
        <v>ND</v>
      </c>
      <c r="HB51" s="1" t="str">
        <f t="shared" si="304"/>
        <v>ND</v>
      </c>
      <c r="HC51" s="1" t="str">
        <f t="shared" si="305"/>
        <v>ND</v>
      </c>
      <c r="HD51" s="1" t="str">
        <f t="shared" si="306"/>
        <v>ND</v>
      </c>
      <c r="HE51" s="1" t="str">
        <f t="shared" si="307"/>
        <v>ND</v>
      </c>
      <c r="HF51" s="1" t="str">
        <f t="shared" si="308"/>
        <v>ND</v>
      </c>
      <c r="HG51" s="1" t="str">
        <f t="shared" si="309"/>
        <v>ND</v>
      </c>
      <c r="HH51" s="1" t="str">
        <f t="shared" si="310"/>
        <v>ND</v>
      </c>
      <c r="HI51" s="1" t="str">
        <f t="shared" si="311"/>
        <v>ND</v>
      </c>
      <c r="HJ51" s="1" t="str">
        <f t="shared" si="312"/>
        <v>ND</v>
      </c>
      <c r="HK51" s="1" t="str">
        <f t="shared" si="313"/>
        <v>ND</v>
      </c>
      <c r="HL51" s="1" t="str">
        <f t="shared" si="314"/>
        <v>ND</v>
      </c>
      <c r="HM51" s="1" t="str">
        <f t="shared" si="315"/>
        <v>ND</v>
      </c>
      <c r="HN51" s="1" t="str">
        <f t="shared" si="316"/>
        <v>ND</v>
      </c>
      <c r="HO51" s="1" t="str">
        <f t="shared" si="317"/>
        <v>ND</v>
      </c>
      <c r="HP51" s="1" t="str">
        <f t="shared" si="318"/>
        <v>ND</v>
      </c>
      <c r="HQ51" s="1" t="str">
        <f t="shared" si="319"/>
        <v>ND</v>
      </c>
      <c r="HR51" s="1" t="str">
        <f t="shared" si="320"/>
        <v>ND</v>
      </c>
      <c r="HS51" s="1" t="str">
        <f t="shared" si="321"/>
        <v>ND</v>
      </c>
      <c r="HT51" s="1" t="str">
        <f t="shared" si="322"/>
        <v>ND</v>
      </c>
      <c r="HU51" s="1" t="str">
        <f t="shared" si="323"/>
        <v>ND</v>
      </c>
      <c r="HV51" s="1" t="str">
        <f t="shared" si="324"/>
        <v>ND</v>
      </c>
      <c r="HW51" s="1" t="str">
        <f t="shared" si="325"/>
        <v>ND</v>
      </c>
      <c r="HX51" s="1" t="str">
        <f t="shared" si="326"/>
        <v>ND</v>
      </c>
      <c r="HY51" s="1" t="str">
        <f t="shared" si="327"/>
        <v>ND</v>
      </c>
      <c r="HZ51" s="1" t="str">
        <f t="shared" si="328"/>
        <v>ND</v>
      </c>
      <c r="IA51" s="1" t="str">
        <f t="shared" si="329"/>
        <v>ND</v>
      </c>
      <c r="IB51" s="1" t="str">
        <f t="shared" si="330"/>
        <v>ND</v>
      </c>
      <c r="IC51" s="1" t="str">
        <f t="shared" si="331"/>
        <v>ND</v>
      </c>
      <c r="ID51" s="1" t="str">
        <f t="shared" si="332"/>
        <v>ND</v>
      </c>
      <c r="IE51" s="1" t="str">
        <f t="shared" si="333"/>
        <v>ND</v>
      </c>
      <c r="IF51" s="1" t="str">
        <f t="shared" si="334"/>
        <v>ND</v>
      </c>
      <c r="IG51" s="1" t="str">
        <f t="shared" si="335"/>
        <v>ND</v>
      </c>
      <c r="IH51" s="1" t="str">
        <f t="shared" si="336"/>
        <v>ND</v>
      </c>
      <c r="II51" s="1" t="str">
        <f t="shared" si="337"/>
        <v>ND</v>
      </c>
    </row>
    <row r="52" spans="3:243" x14ac:dyDescent="0.25">
      <c r="C52" t="s">
        <v>18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6.5</v>
      </c>
      <c r="G52" s="1">
        <f>IFERROR(VLOOKUP($C52,EQUIPOS[],UNIFICADO!G$9,0),"")</f>
        <v>13</v>
      </c>
      <c r="H52" s="1">
        <f>IFERROR(VLOOKUP($C52,EQUIPOS[],UNIFICADO!H$9,0),"")</f>
        <v>2</v>
      </c>
      <c r="I52" s="1">
        <f>IFERROR(VLOOKUP($C52,EQUIPOS[],UNIFICADO!I$9,0),"")</f>
        <v>5</v>
      </c>
      <c r="J52" s="1" t="str">
        <f>IFERROR(VLOOKUP($C52,EQUIPOS[],UNIFICADO!J$9,0),"")</f>
        <v>32GB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2.3/1.8</v>
      </c>
      <c r="N52" s="1">
        <f>IFERROR(VLOOKUP($C52,EQUIPOS[],UNIFICADO!N$9,0),"")</f>
        <v>2</v>
      </c>
      <c r="O52" s="1">
        <f>IFERROR(VLOOKUP($C52,EQUIPOS[],UNIFICADO!O$9,0),"")</f>
        <v>184</v>
      </c>
      <c r="P52" s="1">
        <f>IFERROR(VLOOKUP($C52,EQUIPOS[],UNIFICADO!P$9,0),"")</f>
        <v>16.399999999999999</v>
      </c>
      <c r="Q52" s="1">
        <f>IFERROR(VLOOKUP($C52,EQUIPOS[],UNIFICADO!Q$9,0),"")</f>
        <v>7.55</v>
      </c>
      <c r="R52" s="1">
        <f>IFERROR(VLOOKUP($C52,EQUIPOS[],UNIFICADO!R$9,0),"")</f>
        <v>0.85</v>
      </c>
      <c r="S52" s="1">
        <f>IFERROR(VLOOKUP($C52,EQUIPOS[],UNIFICADO!S$9,0),"")</f>
        <v>4000</v>
      </c>
      <c r="T52" s="1">
        <f>IFERROR(VLOOKUP($C52,EQUIPOS[],UNIFICADO!T$9,0),"")</f>
        <v>4</v>
      </c>
      <c r="U52" s="1">
        <f>VLOOKUP(UNIFICADA[[#This Row],[Equipo]],EQUIPOS[],19,0)</f>
        <v>42</v>
      </c>
      <c r="V52" s="1" t="str">
        <f t="shared" si="182"/>
        <v>ND</v>
      </c>
      <c r="W52" s="1" t="str">
        <f t="shared" si="183"/>
        <v>ND</v>
      </c>
      <c r="X52" s="1" t="str">
        <f t="shared" si="338"/>
        <v>ND</v>
      </c>
      <c r="Y52" s="1" t="str">
        <f t="shared" si="338"/>
        <v>ND</v>
      </c>
      <c r="Z52" s="1" t="str">
        <f t="shared" si="339"/>
        <v>ND</v>
      </c>
      <c r="AA52" s="1" t="str">
        <f t="shared" si="339"/>
        <v>ND</v>
      </c>
      <c r="AB52" s="1" t="str">
        <f t="shared" si="339"/>
        <v>ND</v>
      </c>
      <c r="AC52" s="1" t="str">
        <f t="shared" si="339"/>
        <v>ND</v>
      </c>
      <c r="AD52" s="1" t="str">
        <f t="shared" si="339"/>
        <v>ND</v>
      </c>
      <c r="AE52" s="1" t="str">
        <f t="shared" si="339"/>
        <v>ND</v>
      </c>
      <c r="AF52" s="1" t="str">
        <f t="shared" si="339"/>
        <v>ND</v>
      </c>
      <c r="AG52" s="1" t="str">
        <f t="shared" si="339"/>
        <v>ND</v>
      </c>
      <c r="AH52" s="1" t="str">
        <f t="shared" si="339"/>
        <v>ND</v>
      </c>
      <c r="AI52" s="1" t="str">
        <f t="shared" si="184"/>
        <v>ND</v>
      </c>
      <c r="AJ52" s="1" t="str">
        <f t="shared" si="185"/>
        <v>ND</v>
      </c>
      <c r="AK52" s="1" t="str">
        <f t="shared" si="186"/>
        <v>ND</v>
      </c>
      <c r="AL52" s="1" t="str">
        <f t="shared" si="187"/>
        <v>ND</v>
      </c>
      <c r="AM52" s="1" t="str">
        <f t="shared" si="188"/>
        <v>ND</v>
      </c>
      <c r="AN52" s="1" t="str">
        <f t="shared" si="189"/>
        <v>ND</v>
      </c>
      <c r="AO52" s="1" t="str">
        <f t="shared" si="190"/>
        <v>ND</v>
      </c>
      <c r="AP52" s="1" t="str">
        <f t="shared" si="191"/>
        <v>ND</v>
      </c>
      <c r="AQ52" s="1" t="str">
        <f t="shared" si="192"/>
        <v>ND</v>
      </c>
      <c r="AR52" s="1" t="str">
        <f t="shared" si="193"/>
        <v>ND</v>
      </c>
      <c r="AS52" s="1" t="str">
        <f t="shared" si="194"/>
        <v>ND</v>
      </c>
      <c r="AT52" s="1" t="str">
        <f t="shared" si="195"/>
        <v>ND</v>
      </c>
      <c r="AU52" s="1" t="str">
        <f t="shared" si="196"/>
        <v>ND</v>
      </c>
      <c r="AV52" s="1" t="str">
        <f t="shared" si="197"/>
        <v>ND</v>
      </c>
      <c r="AW52" s="1" t="str">
        <f t="shared" si="198"/>
        <v>ND</v>
      </c>
      <c r="AX52" s="1" t="str">
        <f t="shared" si="199"/>
        <v>ND</v>
      </c>
      <c r="AY52" s="1" t="str">
        <f t="shared" si="200"/>
        <v>ND</v>
      </c>
      <c r="AZ52" s="1" t="str">
        <f t="shared" si="201"/>
        <v>ND</v>
      </c>
      <c r="BA52" s="1" t="str">
        <f t="shared" si="202"/>
        <v>ND</v>
      </c>
      <c r="BB52" s="1" t="str">
        <f t="shared" si="203"/>
        <v>ND</v>
      </c>
      <c r="BC52" s="1" t="str">
        <f t="shared" si="204"/>
        <v>ND</v>
      </c>
      <c r="BD52" s="1" t="str">
        <f t="shared" si="205"/>
        <v>ND</v>
      </c>
      <c r="BE52" s="1" t="str">
        <f t="shared" si="206"/>
        <v>ND</v>
      </c>
      <c r="BF52" s="1" t="str">
        <f t="shared" si="207"/>
        <v>ND</v>
      </c>
      <c r="BG52" s="1" t="str">
        <f t="shared" si="208"/>
        <v>ND</v>
      </c>
      <c r="BH52" s="1" t="str">
        <f t="shared" si="209"/>
        <v>ND</v>
      </c>
      <c r="BI52" s="1" t="str">
        <f t="shared" si="210"/>
        <v>ND</v>
      </c>
      <c r="BJ52" s="1" t="str">
        <f t="shared" si="211"/>
        <v>ND</v>
      </c>
      <c r="BK52" s="1" t="str">
        <f t="shared" si="212"/>
        <v>ND</v>
      </c>
      <c r="BL52" s="1" t="str">
        <f t="shared" si="213"/>
        <v>ND</v>
      </c>
      <c r="BM52" s="1" t="str">
        <f t="shared" si="214"/>
        <v>ND</v>
      </c>
      <c r="BN52" s="1" t="str">
        <f t="shared" si="215"/>
        <v>ND</v>
      </c>
      <c r="BO52" s="1" t="str">
        <f t="shared" si="216"/>
        <v>ND</v>
      </c>
      <c r="BP52" s="1" t="str">
        <f t="shared" si="217"/>
        <v>ND</v>
      </c>
      <c r="BQ52" s="1" t="str">
        <f t="shared" si="218"/>
        <v>ND</v>
      </c>
      <c r="BR52" s="1" t="str">
        <f t="shared" si="219"/>
        <v>ND</v>
      </c>
      <c r="BS52" s="1" t="str">
        <f t="shared" si="220"/>
        <v>ND</v>
      </c>
      <c r="BT52" s="1" t="str">
        <f t="shared" si="221"/>
        <v>ND</v>
      </c>
      <c r="BU52" s="1" t="str">
        <f t="shared" si="222"/>
        <v>ND</v>
      </c>
      <c r="BV52" s="1" t="str">
        <f t="shared" si="223"/>
        <v>ND</v>
      </c>
      <c r="BW52" s="1" t="str">
        <f t="shared" si="224"/>
        <v>ND</v>
      </c>
      <c r="BX52" s="1" t="str">
        <f t="shared" si="225"/>
        <v>ND</v>
      </c>
      <c r="BY52" s="1" t="str">
        <f t="shared" si="226"/>
        <v>ND</v>
      </c>
      <c r="BZ52" s="1" t="str">
        <f t="shared" si="227"/>
        <v>ND</v>
      </c>
      <c r="CA52" s="1" t="str">
        <f t="shared" si="340"/>
        <v>ND</v>
      </c>
      <c r="CB52" s="1" t="str">
        <f t="shared" si="340"/>
        <v>ND</v>
      </c>
      <c r="CC52" s="1" t="str">
        <f t="shared" si="340"/>
        <v>ND</v>
      </c>
      <c r="CD52" s="1" t="str">
        <f t="shared" si="340"/>
        <v>ND</v>
      </c>
      <c r="CE52" s="1" t="str">
        <f t="shared" si="340"/>
        <v>ND</v>
      </c>
      <c r="CF52" s="1" t="str">
        <f t="shared" si="340"/>
        <v>ND</v>
      </c>
      <c r="CG52" s="1" t="str">
        <f t="shared" si="340"/>
        <v>ND</v>
      </c>
      <c r="CH52" s="1" t="str">
        <f t="shared" si="340"/>
        <v>ND</v>
      </c>
      <c r="CI52" s="1" t="str">
        <f t="shared" si="340"/>
        <v>ND</v>
      </c>
      <c r="CJ52" s="1" t="str">
        <f t="shared" si="340"/>
        <v>ND</v>
      </c>
      <c r="CK52" s="1" t="str">
        <f t="shared" si="340"/>
        <v>ND</v>
      </c>
      <c r="CL52" s="1" t="str">
        <f t="shared" si="341"/>
        <v>ND</v>
      </c>
      <c r="CM52" s="1" t="str">
        <f t="shared" si="341"/>
        <v>ND</v>
      </c>
      <c r="CN52" s="1" t="str">
        <f t="shared" si="341"/>
        <v>ND</v>
      </c>
      <c r="CO52" s="1" t="str">
        <f t="shared" si="341"/>
        <v>ND</v>
      </c>
      <c r="CP52" s="1" t="str">
        <f t="shared" si="341"/>
        <v>ND</v>
      </c>
      <c r="CQ52" s="1" t="str">
        <f t="shared" si="341"/>
        <v>ND</v>
      </c>
      <c r="CR52" s="1" t="str">
        <f t="shared" si="341"/>
        <v>ND</v>
      </c>
      <c r="CS52" s="1" t="str">
        <f t="shared" si="341"/>
        <v>ND</v>
      </c>
      <c r="CT52" s="1" t="str">
        <f t="shared" si="341"/>
        <v>ND</v>
      </c>
      <c r="CU52" s="1" t="str">
        <f t="shared" si="341"/>
        <v>ND</v>
      </c>
      <c r="CV52" s="1" t="str">
        <f t="shared" si="341"/>
        <v>ND</v>
      </c>
      <c r="CW52" s="1" t="str">
        <f t="shared" si="228"/>
        <v>ND</v>
      </c>
      <c r="CX52" s="1" t="str">
        <f t="shared" si="229"/>
        <v>ND</v>
      </c>
      <c r="CY52" s="1" t="str">
        <f t="shared" si="230"/>
        <v>ND</v>
      </c>
      <c r="CZ52" s="1" t="str">
        <f t="shared" si="231"/>
        <v>ND</v>
      </c>
      <c r="DA52" s="1" t="str">
        <f t="shared" si="232"/>
        <v>ND</v>
      </c>
      <c r="DB52" s="1" t="str">
        <f t="shared" si="233"/>
        <v>ND</v>
      </c>
      <c r="DC52" s="1" t="str">
        <f t="shared" si="234"/>
        <v>ND</v>
      </c>
      <c r="DD52" s="1" t="str">
        <f t="shared" si="235"/>
        <v>ND</v>
      </c>
      <c r="DE52" s="1" t="str">
        <f t="shared" si="236"/>
        <v>ND</v>
      </c>
      <c r="DF52" s="1" t="str">
        <f t="shared" si="237"/>
        <v>ND</v>
      </c>
      <c r="DG52" s="1" t="str">
        <f t="shared" si="238"/>
        <v>ND</v>
      </c>
      <c r="DH52" s="1" t="str">
        <f t="shared" si="239"/>
        <v>ND</v>
      </c>
      <c r="DI52" s="1" t="str">
        <f t="shared" si="240"/>
        <v>ND</v>
      </c>
      <c r="DJ52" s="1" t="str">
        <f t="shared" si="241"/>
        <v>ND</v>
      </c>
      <c r="DK52" s="1" t="str">
        <f t="shared" si="242"/>
        <v>ND</v>
      </c>
      <c r="DL52" s="1" t="str">
        <f t="shared" si="243"/>
        <v>ND</v>
      </c>
      <c r="DM52" s="1" t="str">
        <f t="shared" si="244"/>
        <v>ND</v>
      </c>
      <c r="DN52" s="1" t="str">
        <f t="shared" si="245"/>
        <v>ND</v>
      </c>
      <c r="DO52" s="1" t="str">
        <f t="shared" si="246"/>
        <v>ND</v>
      </c>
      <c r="DP52" s="1" t="str">
        <f t="shared" si="247"/>
        <v>ND</v>
      </c>
      <c r="DQ52" s="1" t="str">
        <f t="shared" si="248"/>
        <v>ND</v>
      </c>
      <c r="DR52" s="1" t="str">
        <f t="shared" si="249"/>
        <v>ND</v>
      </c>
      <c r="DS52" s="1" t="str">
        <f t="shared" si="250"/>
        <v>ND</v>
      </c>
      <c r="DT52" s="1" t="str">
        <f t="shared" si="251"/>
        <v>ND</v>
      </c>
      <c r="DU52" s="1" t="str">
        <f t="shared" si="252"/>
        <v>ND</v>
      </c>
      <c r="DV52" s="1" t="str">
        <f t="shared" si="253"/>
        <v>ND</v>
      </c>
      <c r="DW52" s="1" t="str">
        <f t="shared" si="254"/>
        <v>ND</v>
      </c>
      <c r="DX52" s="1" t="str">
        <f t="shared" si="255"/>
        <v>ND</v>
      </c>
      <c r="DY52" s="1" t="str">
        <f t="shared" si="256"/>
        <v>ND</v>
      </c>
      <c r="DZ52" s="1" t="str">
        <f t="shared" si="257"/>
        <v>ND</v>
      </c>
      <c r="EA52" s="1" t="str">
        <f t="shared" si="258"/>
        <v>ND</v>
      </c>
      <c r="EB52" s="1" t="str">
        <f t="shared" si="259"/>
        <v>ND</v>
      </c>
      <c r="EC52" s="1" t="str">
        <f t="shared" si="260"/>
        <v>ND</v>
      </c>
      <c r="ED52" s="1" t="str">
        <f t="shared" si="261"/>
        <v>ND</v>
      </c>
      <c r="EE52" s="1" t="str">
        <f t="shared" si="262"/>
        <v>ND</v>
      </c>
      <c r="EF52" s="1" t="str">
        <f t="shared" si="263"/>
        <v>ND</v>
      </c>
      <c r="EG52" s="1" t="str">
        <f t="shared" si="264"/>
        <v>ND</v>
      </c>
      <c r="EH52" s="1" t="str">
        <f t="shared" si="265"/>
        <v>ND</v>
      </c>
      <c r="EI52" s="1" t="str">
        <f t="shared" si="266"/>
        <v>ND</v>
      </c>
      <c r="EJ52" s="1" t="str">
        <f t="shared" si="267"/>
        <v>ND</v>
      </c>
      <c r="EK52" s="1" t="str">
        <f t="shared" si="268"/>
        <v>ND</v>
      </c>
      <c r="EL52" s="1" t="str">
        <f t="shared" si="269"/>
        <v>ND</v>
      </c>
      <c r="EM52" s="1" t="str">
        <f t="shared" si="270"/>
        <v>ND</v>
      </c>
      <c r="EN52" s="1" t="str">
        <f t="shared" si="271"/>
        <v>ND</v>
      </c>
      <c r="EO52" s="1" t="str">
        <f t="shared" si="342"/>
        <v>ND</v>
      </c>
      <c r="EP52" s="1" t="str">
        <f t="shared" si="342"/>
        <v>ND</v>
      </c>
      <c r="EQ52" s="1" t="str">
        <f t="shared" si="342"/>
        <v>ND</v>
      </c>
      <c r="ER52" s="1" t="str">
        <f t="shared" si="342"/>
        <v>ND</v>
      </c>
      <c r="ES52" s="1" t="str">
        <f t="shared" si="342"/>
        <v>ND</v>
      </c>
      <c r="ET52" s="1" t="str">
        <f t="shared" si="342"/>
        <v>ND</v>
      </c>
      <c r="EU52" s="1" t="str">
        <f t="shared" si="342"/>
        <v>ND</v>
      </c>
      <c r="EV52" s="1" t="str">
        <f t="shared" si="342"/>
        <v>ND</v>
      </c>
      <c r="EW52" s="1" t="str">
        <f t="shared" si="342"/>
        <v>ND</v>
      </c>
      <c r="EX52" s="1" t="str">
        <f t="shared" si="342"/>
        <v>ND</v>
      </c>
      <c r="EY52" s="1" t="str">
        <f t="shared" si="342"/>
        <v>ND</v>
      </c>
      <c r="EZ52" s="1" t="str">
        <f t="shared" si="343"/>
        <v>ND</v>
      </c>
      <c r="FA52" s="1" t="str">
        <f t="shared" si="343"/>
        <v>ND</v>
      </c>
      <c r="FB52" s="1" t="str">
        <f t="shared" si="343"/>
        <v>ND</v>
      </c>
      <c r="FC52" s="1" t="str">
        <f t="shared" si="343"/>
        <v>ND</v>
      </c>
      <c r="FD52" s="1" t="str">
        <f t="shared" si="343"/>
        <v>ND</v>
      </c>
      <c r="FE52" s="1" t="str">
        <f t="shared" si="343"/>
        <v>ND</v>
      </c>
      <c r="FF52" s="1" t="str">
        <f t="shared" si="343"/>
        <v>ND</v>
      </c>
      <c r="FG52" s="1" t="str">
        <f t="shared" si="343"/>
        <v>ND</v>
      </c>
      <c r="FH52" s="1" t="str">
        <f t="shared" si="343"/>
        <v>ND</v>
      </c>
      <c r="FI52" s="1" t="str">
        <f t="shared" si="343"/>
        <v>ND</v>
      </c>
      <c r="FJ52" s="1" t="str">
        <f t="shared" si="343"/>
        <v>ND</v>
      </c>
      <c r="FK52" s="1" t="str">
        <f t="shared" si="344"/>
        <v>ND</v>
      </c>
      <c r="FL52" s="1" t="str">
        <f t="shared" si="344"/>
        <v>ND</v>
      </c>
      <c r="FM52" s="1" t="str">
        <f t="shared" si="344"/>
        <v>ND</v>
      </c>
      <c r="FN52" s="1" t="str">
        <f t="shared" si="344"/>
        <v>ND</v>
      </c>
      <c r="FO52" s="1" t="str">
        <f t="shared" si="344"/>
        <v>ND</v>
      </c>
      <c r="FP52" s="1" t="str">
        <f t="shared" si="344"/>
        <v>ND</v>
      </c>
      <c r="FQ52" s="1" t="str">
        <f t="shared" si="344"/>
        <v>ND</v>
      </c>
      <c r="FR52" s="1" t="str">
        <f t="shared" si="344"/>
        <v>ND</v>
      </c>
      <c r="FS52" s="1" t="str">
        <f t="shared" si="344"/>
        <v>ND</v>
      </c>
      <c r="FT52" s="1" t="str">
        <f t="shared" si="344"/>
        <v>ND</v>
      </c>
      <c r="FU52" s="1" t="str">
        <f t="shared" si="344"/>
        <v>ND</v>
      </c>
      <c r="FV52" s="1" t="str">
        <f t="shared" si="272"/>
        <v>ND</v>
      </c>
      <c r="FW52" s="1" t="str">
        <f t="shared" si="273"/>
        <v>ND</v>
      </c>
      <c r="FX52" s="1" t="str">
        <f t="shared" si="274"/>
        <v>ND</v>
      </c>
      <c r="FY52" s="1" t="str">
        <f t="shared" si="275"/>
        <v>ND</v>
      </c>
      <c r="FZ52" s="1" t="str">
        <f t="shared" si="276"/>
        <v>ND</v>
      </c>
      <c r="GA52" s="1" t="str">
        <f t="shared" si="277"/>
        <v>ND</v>
      </c>
      <c r="GB52" s="1" t="str">
        <f t="shared" si="278"/>
        <v>ND</v>
      </c>
      <c r="GC52" s="1" t="str">
        <f t="shared" si="279"/>
        <v>ND</v>
      </c>
      <c r="GD52" s="1" t="str">
        <f t="shared" si="280"/>
        <v>ND</v>
      </c>
      <c r="GE52" s="1" t="str">
        <f t="shared" si="281"/>
        <v>ND</v>
      </c>
      <c r="GF52" s="1" t="str">
        <f t="shared" si="282"/>
        <v>ND</v>
      </c>
      <c r="GG52" s="1" t="str">
        <f t="shared" si="283"/>
        <v>ND</v>
      </c>
      <c r="GH52" s="1" t="str">
        <f t="shared" si="284"/>
        <v>ND</v>
      </c>
      <c r="GI52" s="1" t="str">
        <f t="shared" si="285"/>
        <v>ND</v>
      </c>
      <c r="GJ52" s="1" t="str">
        <f t="shared" si="286"/>
        <v>ND</v>
      </c>
      <c r="GK52" s="1" t="str">
        <f t="shared" si="287"/>
        <v>ND</v>
      </c>
      <c r="GL52" s="1" t="str">
        <f t="shared" si="288"/>
        <v>ND</v>
      </c>
      <c r="GM52" s="1" t="str">
        <f t="shared" si="289"/>
        <v>ND</v>
      </c>
      <c r="GN52" s="1" t="str">
        <f t="shared" si="290"/>
        <v>ND</v>
      </c>
      <c r="GO52" s="1" t="str">
        <f t="shared" si="291"/>
        <v>ND</v>
      </c>
      <c r="GP52" s="1" t="str">
        <f t="shared" si="292"/>
        <v>ND</v>
      </c>
      <c r="GQ52" s="1" t="str">
        <f t="shared" si="293"/>
        <v>ND</v>
      </c>
      <c r="GR52" s="1" t="str">
        <f t="shared" si="294"/>
        <v>ND</v>
      </c>
      <c r="GS52" s="1" t="str">
        <f t="shared" si="295"/>
        <v>ND</v>
      </c>
      <c r="GT52" s="1" t="str">
        <f t="shared" si="296"/>
        <v>ND</v>
      </c>
      <c r="GU52" s="1" t="str">
        <f t="shared" si="297"/>
        <v>ND</v>
      </c>
      <c r="GV52" s="1" t="str">
        <f t="shared" si="298"/>
        <v>ND</v>
      </c>
      <c r="GW52" s="1" t="str">
        <f t="shared" si="299"/>
        <v>ND</v>
      </c>
      <c r="GX52" s="1" t="str">
        <f t="shared" si="300"/>
        <v>ND</v>
      </c>
      <c r="GY52" s="1" t="str">
        <f t="shared" si="301"/>
        <v>ND</v>
      </c>
      <c r="GZ52" s="1" t="str">
        <f t="shared" si="302"/>
        <v>ND</v>
      </c>
      <c r="HA52" s="1" t="str">
        <f t="shared" si="303"/>
        <v>ND</v>
      </c>
      <c r="HB52" s="1" t="str">
        <f t="shared" si="304"/>
        <v>ND</v>
      </c>
      <c r="HC52" s="1" t="str">
        <f t="shared" si="305"/>
        <v>ND</v>
      </c>
      <c r="HD52" s="1" t="str">
        <f t="shared" si="306"/>
        <v>ND</v>
      </c>
      <c r="HE52" s="1" t="str">
        <f t="shared" si="307"/>
        <v>ND</v>
      </c>
      <c r="HF52" s="1" t="str">
        <f t="shared" si="308"/>
        <v>ND</v>
      </c>
      <c r="HG52" s="1" t="str">
        <f t="shared" si="309"/>
        <v>ND</v>
      </c>
      <c r="HH52" s="1" t="str">
        <f t="shared" si="310"/>
        <v>ND</v>
      </c>
      <c r="HI52" s="1" t="str">
        <f t="shared" si="311"/>
        <v>ND</v>
      </c>
      <c r="HJ52" s="1" t="str">
        <f t="shared" si="312"/>
        <v>ND</v>
      </c>
      <c r="HK52" s="1" t="str">
        <f t="shared" si="313"/>
        <v>ND</v>
      </c>
      <c r="HL52" s="1" t="str">
        <f t="shared" si="314"/>
        <v>ND</v>
      </c>
      <c r="HM52" s="1" t="str">
        <f t="shared" si="315"/>
        <v>ND</v>
      </c>
      <c r="HN52" s="1" t="str">
        <f t="shared" si="316"/>
        <v>ND</v>
      </c>
      <c r="HO52" s="1" t="str">
        <f t="shared" si="317"/>
        <v>ND</v>
      </c>
      <c r="HP52" s="1" t="str">
        <f t="shared" si="318"/>
        <v>ND</v>
      </c>
      <c r="HQ52" s="1" t="str">
        <f t="shared" si="319"/>
        <v>ND</v>
      </c>
      <c r="HR52" s="1" t="str">
        <f t="shared" si="320"/>
        <v>ND</v>
      </c>
      <c r="HS52" s="1" t="str">
        <f t="shared" si="321"/>
        <v>ND</v>
      </c>
      <c r="HT52" s="1" t="str">
        <f t="shared" si="322"/>
        <v>ND</v>
      </c>
      <c r="HU52" s="1" t="str">
        <f t="shared" si="323"/>
        <v>ND</v>
      </c>
      <c r="HV52" s="1" t="str">
        <f t="shared" si="324"/>
        <v>ND</v>
      </c>
      <c r="HW52" s="1" t="str">
        <f t="shared" si="325"/>
        <v>ND</v>
      </c>
      <c r="HX52" s="1" t="str">
        <f t="shared" si="326"/>
        <v>ND</v>
      </c>
      <c r="HY52" s="1" t="str">
        <f t="shared" si="327"/>
        <v>ND</v>
      </c>
      <c r="HZ52" s="1" t="str">
        <f t="shared" si="328"/>
        <v>ND</v>
      </c>
      <c r="IA52" s="1" t="str">
        <f t="shared" si="329"/>
        <v>ND</v>
      </c>
      <c r="IB52" s="1" t="str">
        <f t="shared" si="330"/>
        <v>ND</v>
      </c>
      <c r="IC52" s="1" t="str">
        <f t="shared" si="331"/>
        <v>ND</v>
      </c>
      <c r="ID52" s="1" t="str">
        <f t="shared" si="332"/>
        <v>ND</v>
      </c>
      <c r="IE52" s="1" t="str">
        <f t="shared" si="333"/>
        <v>ND</v>
      </c>
      <c r="IF52" s="1" t="str">
        <f t="shared" si="334"/>
        <v>ND</v>
      </c>
      <c r="IG52" s="1" t="str">
        <f t="shared" si="335"/>
        <v>ND</v>
      </c>
      <c r="IH52" s="1" t="str">
        <f t="shared" si="336"/>
        <v>ND</v>
      </c>
      <c r="II52" s="1" t="str">
        <f t="shared" si="337"/>
        <v>ND</v>
      </c>
    </row>
    <row r="53" spans="3:243" x14ac:dyDescent="0.25">
      <c r="C53" t="s">
        <v>594</v>
      </c>
      <c r="D53">
        <f>SUMIFS(DICCIONARIO[Cantidad],DICCIONARIO[Modelo],UNIFICADA[[#This Row],[Equipo]])</f>
        <v>39</v>
      </c>
      <c r="E53" s="1">
        <f>IFERROR(VLOOKUP($C53,EQUIPOS[],UNIFICADO!E$9,0),"")</f>
        <v>12</v>
      </c>
      <c r="F53" s="1" t="str">
        <f>IFERROR(VLOOKUP($C53,EQUIPOS[],UNIFICADO!F$9,0),"")</f>
        <v>6.5 LCD HD+ 90 Hz</v>
      </c>
      <c r="G53" s="1">
        <f>IFERROR(VLOOKUP($C53,EQUIPOS[],UNIFICADO!G$9,0),"")</f>
        <v>16</v>
      </c>
      <c r="H53" s="1">
        <f>IFERROR(VLOOKUP($C53,EQUIPOS[],UNIFICADO!H$9,0),"")</f>
        <v>2</v>
      </c>
      <c r="I53" s="1">
        <f>IFERROR(VLOOKUP($C53,EQUIPOS[],UNIFICADO!I$9,0),"")</f>
        <v>5</v>
      </c>
      <c r="J53" s="1" t="str">
        <f>IFERROR(VLOOKUP($C53,EQUIPOS[],UNIFICADO!J$9,0),"")</f>
        <v>64GB</v>
      </c>
      <c r="K53" s="1">
        <f>IFERROR(VLOOKUP($C53,EQUIPOS[],UNIFICADO!K$9,0),"")</f>
        <v>1024</v>
      </c>
      <c r="L53" s="1">
        <f>IFERROR(VLOOKUP($C53,EQUIPOS[],UNIFICADO!L$9,0),"")</f>
        <v>8</v>
      </c>
      <c r="M53" s="1" t="str">
        <f>IFERROR(VLOOKUP($C53,EQUIPOS[],UNIFICADO!M$9,0),"")</f>
        <v>Mdtk Helio G37</v>
      </c>
      <c r="N53" s="1">
        <f>IFERROR(VLOOKUP($C53,EQUIPOS[],UNIFICADO!N$9,0),"")</f>
        <v>4</v>
      </c>
      <c r="O53" s="1">
        <f>IFERROR(VLOOKUP($C53,EQUIPOS[],UNIFICADO!O$9,0),"")</f>
        <v>169</v>
      </c>
      <c r="P53" s="1">
        <f>IFERROR(VLOOKUP($C53,EQUIPOS[],UNIFICADO!P$9,0),"")</f>
        <v>16.399999999999999</v>
      </c>
      <c r="Q53" s="1">
        <f>IFERROR(VLOOKUP($C53,EQUIPOS[],UNIFICADO!Q$9,0),"")</f>
        <v>7.47</v>
      </c>
      <c r="R53" s="1">
        <f>IFERROR(VLOOKUP($C53,EQUIPOS[],UNIFICADO!R$9,0),"")</f>
        <v>0.8</v>
      </c>
      <c r="S53" s="1">
        <f>IFERROR(VLOOKUP($C53,EQUIPOS[],UNIFICADO!S$9,0),"")</f>
        <v>4020</v>
      </c>
      <c r="T53" s="1">
        <f>IFERROR(VLOOKUP($C53,EQUIPOS[],UNIFICADO!T$9,0),"")</f>
        <v>4</v>
      </c>
      <c r="U53" s="1">
        <f>VLOOKUP(UNIFICADA[[#This Row],[Equipo]],EQUIPOS[],19,0)</f>
        <v>43</v>
      </c>
      <c r="V53" s="1" t="str">
        <f t="shared" si="182"/>
        <v>ND</v>
      </c>
      <c r="W53" s="1" t="str">
        <f t="shared" si="183"/>
        <v>ND</v>
      </c>
      <c r="X53" s="1" t="str">
        <f t="shared" si="338"/>
        <v>ND</v>
      </c>
      <c r="Y53" s="1" t="str">
        <f t="shared" si="338"/>
        <v>ND</v>
      </c>
      <c r="Z53" s="1" t="str">
        <f t="shared" si="339"/>
        <v>ND</v>
      </c>
      <c r="AA53" s="1" t="str">
        <f t="shared" si="339"/>
        <v>ND</v>
      </c>
      <c r="AB53" s="1" t="str">
        <f t="shared" si="339"/>
        <v>ND</v>
      </c>
      <c r="AC53" s="1" t="str">
        <f t="shared" si="339"/>
        <v>ND</v>
      </c>
      <c r="AD53" s="1" t="str">
        <f t="shared" si="339"/>
        <v>ND</v>
      </c>
      <c r="AE53" s="1" t="str">
        <f t="shared" si="339"/>
        <v>ND</v>
      </c>
      <c r="AF53" s="1" t="str">
        <f t="shared" si="339"/>
        <v>ND</v>
      </c>
      <c r="AG53" s="1" t="str">
        <f t="shared" si="339"/>
        <v>ND</v>
      </c>
      <c r="AH53" s="1" t="str">
        <f t="shared" si="339"/>
        <v>ND</v>
      </c>
      <c r="AI53" s="1" t="str">
        <f t="shared" si="184"/>
        <v>ND</v>
      </c>
      <c r="AJ53" s="1" t="str">
        <f t="shared" si="185"/>
        <v>ND</v>
      </c>
      <c r="AK53" s="1" t="str">
        <f t="shared" si="186"/>
        <v>ND</v>
      </c>
      <c r="AL53" s="1" t="str">
        <f t="shared" si="187"/>
        <v>ND</v>
      </c>
      <c r="AM53" s="1" t="str">
        <f t="shared" si="188"/>
        <v>ND</v>
      </c>
      <c r="AN53" s="1" t="str">
        <f t="shared" si="189"/>
        <v>ND</v>
      </c>
      <c r="AO53" s="1" t="str">
        <f t="shared" si="190"/>
        <v>ND</v>
      </c>
      <c r="AP53" s="1" t="str">
        <f t="shared" si="191"/>
        <v>ND</v>
      </c>
      <c r="AQ53" s="1" t="str">
        <f t="shared" si="192"/>
        <v>ND</v>
      </c>
      <c r="AR53" s="1" t="str">
        <f t="shared" si="193"/>
        <v>ND</v>
      </c>
      <c r="AS53" s="1" t="str">
        <f t="shared" si="194"/>
        <v>ND</v>
      </c>
      <c r="AT53" s="1" t="str">
        <f t="shared" si="195"/>
        <v>ND</v>
      </c>
      <c r="AU53" s="1" t="str">
        <f t="shared" si="196"/>
        <v>ND</v>
      </c>
      <c r="AV53" s="1" t="str">
        <f t="shared" si="197"/>
        <v>ND</v>
      </c>
      <c r="AW53" s="1" t="str">
        <f t="shared" si="198"/>
        <v>ND</v>
      </c>
      <c r="AX53" s="1" t="str">
        <f t="shared" si="199"/>
        <v>ND</v>
      </c>
      <c r="AY53" s="1" t="str">
        <f t="shared" si="200"/>
        <v>ND</v>
      </c>
      <c r="AZ53" s="1" t="str">
        <f t="shared" si="201"/>
        <v>ND</v>
      </c>
      <c r="BA53" s="1" t="str">
        <f t="shared" si="202"/>
        <v>ND</v>
      </c>
      <c r="BB53" s="1" t="str">
        <f t="shared" si="203"/>
        <v>ND</v>
      </c>
      <c r="BC53" s="1" t="str">
        <f t="shared" si="204"/>
        <v>ND</v>
      </c>
      <c r="BD53" s="1" t="str">
        <f t="shared" si="205"/>
        <v>ND</v>
      </c>
      <c r="BE53" s="1" t="str">
        <f t="shared" si="206"/>
        <v>ND</v>
      </c>
      <c r="BF53" s="1" t="str">
        <f t="shared" si="207"/>
        <v>ND</v>
      </c>
      <c r="BG53" s="1" t="str">
        <f t="shared" si="208"/>
        <v>ND</v>
      </c>
      <c r="BH53" s="1" t="str">
        <f t="shared" si="209"/>
        <v>ND</v>
      </c>
      <c r="BI53" s="1" t="str">
        <f t="shared" si="210"/>
        <v>ND</v>
      </c>
      <c r="BJ53" s="1" t="str">
        <f t="shared" si="211"/>
        <v>ND</v>
      </c>
      <c r="BK53" s="1" t="str">
        <f t="shared" si="212"/>
        <v>ND</v>
      </c>
      <c r="BL53" s="1" t="str">
        <f t="shared" si="213"/>
        <v>ND</v>
      </c>
      <c r="BM53" s="1" t="str">
        <f t="shared" si="214"/>
        <v>ND</v>
      </c>
      <c r="BN53" s="1" t="str">
        <f t="shared" si="215"/>
        <v>ND</v>
      </c>
      <c r="BO53" s="1" t="str">
        <f t="shared" si="216"/>
        <v>ND</v>
      </c>
      <c r="BP53" s="1" t="str">
        <f t="shared" si="217"/>
        <v>ND</v>
      </c>
      <c r="BQ53" s="1" t="str">
        <f t="shared" si="218"/>
        <v>ND</v>
      </c>
      <c r="BR53" s="1" t="str">
        <f t="shared" si="219"/>
        <v>ND</v>
      </c>
      <c r="BS53" s="1" t="str">
        <f t="shared" si="220"/>
        <v>ND</v>
      </c>
      <c r="BT53" s="1" t="str">
        <f t="shared" si="221"/>
        <v>ND</v>
      </c>
      <c r="BU53" s="1" t="str">
        <f t="shared" si="222"/>
        <v>ND</v>
      </c>
      <c r="BV53" s="1" t="str">
        <f t="shared" si="223"/>
        <v>ND</v>
      </c>
      <c r="BW53" s="1" t="str">
        <f t="shared" si="224"/>
        <v>ND</v>
      </c>
      <c r="BX53" s="1" t="str">
        <f t="shared" si="225"/>
        <v>ND</v>
      </c>
      <c r="BY53" s="1" t="str">
        <f t="shared" si="226"/>
        <v>ND</v>
      </c>
      <c r="BZ53" s="1" t="str">
        <f t="shared" si="227"/>
        <v>ND</v>
      </c>
      <c r="CA53" s="1" t="str">
        <f t="shared" si="340"/>
        <v>ND</v>
      </c>
      <c r="CB53" s="1" t="str">
        <f t="shared" si="340"/>
        <v>ND</v>
      </c>
      <c r="CC53" s="1" t="str">
        <f t="shared" si="340"/>
        <v>ND</v>
      </c>
      <c r="CD53" s="1" t="str">
        <f t="shared" si="340"/>
        <v>ND</v>
      </c>
      <c r="CE53" s="1" t="str">
        <f t="shared" si="340"/>
        <v>ND</v>
      </c>
      <c r="CF53" s="1" t="str">
        <f t="shared" si="340"/>
        <v>ND</v>
      </c>
      <c r="CG53" s="1" t="str">
        <f t="shared" si="340"/>
        <v>ND</v>
      </c>
      <c r="CH53" s="1" t="str">
        <f t="shared" si="340"/>
        <v>ND</v>
      </c>
      <c r="CI53" s="1" t="str">
        <f t="shared" si="340"/>
        <v>ND</v>
      </c>
      <c r="CJ53" s="1" t="str">
        <f t="shared" si="340"/>
        <v>ND</v>
      </c>
      <c r="CK53" s="1" t="str">
        <f t="shared" si="340"/>
        <v>ND</v>
      </c>
      <c r="CL53" s="1" t="str">
        <f t="shared" si="341"/>
        <v>ND</v>
      </c>
      <c r="CM53" s="1" t="str">
        <f t="shared" si="341"/>
        <v>ND</v>
      </c>
      <c r="CN53" s="1" t="str">
        <f t="shared" si="341"/>
        <v>ND</v>
      </c>
      <c r="CO53" s="1" t="str">
        <f t="shared" si="341"/>
        <v>ND</v>
      </c>
      <c r="CP53" s="1" t="str">
        <f t="shared" si="341"/>
        <v>ND</v>
      </c>
      <c r="CQ53" s="1" t="str">
        <f t="shared" si="341"/>
        <v>ND</v>
      </c>
      <c r="CR53" s="1" t="str">
        <f t="shared" si="341"/>
        <v>ND</v>
      </c>
      <c r="CS53" s="1" t="str">
        <f t="shared" si="341"/>
        <v>ND</v>
      </c>
      <c r="CT53" s="1" t="str">
        <f t="shared" si="341"/>
        <v>ND</v>
      </c>
      <c r="CU53" s="1" t="str">
        <f t="shared" si="341"/>
        <v>ND</v>
      </c>
      <c r="CV53" s="1" t="str">
        <f t="shared" si="341"/>
        <v>ND</v>
      </c>
      <c r="CW53" s="1" t="str">
        <f t="shared" si="228"/>
        <v>ND</v>
      </c>
      <c r="CX53" s="1" t="str">
        <f t="shared" si="229"/>
        <v>ND</v>
      </c>
      <c r="CY53" s="1" t="str">
        <f t="shared" si="230"/>
        <v>ND</v>
      </c>
      <c r="CZ53" s="1" t="str">
        <f t="shared" si="231"/>
        <v>ND</v>
      </c>
      <c r="DA53" s="1" t="str">
        <f t="shared" si="232"/>
        <v>ND</v>
      </c>
      <c r="DB53" s="1" t="str">
        <f t="shared" si="233"/>
        <v>ND</v>
      </c>
      <c r="DC53" s="1" t="str">
        <f t="shared" si="234"/>
        <v>ND</v>
      </c>
      <c r="DD53" s="1" t="str">
        <f t="shared" si="235"/>
        <v>ND</v>
      </c>
      <c r="DE53" s="1" t="str">
        <f t="shared" si="236"/>
        <v>ND</v>
      </c>
      <c r="DF53" s="1" t="str">
        <f t="shared" si="237"/>
        <v>ND</v>
      </c>
      <c r="DG53" s="1" t="str">
        <f t="shared" si="238"/>
        <v>ND</v>
      </c>
      <c r="DH53" s="1" t="str">
        <f t="shared" si="239"/>
        <v>ND</v>
      </c>
      <c r="DI53" s="1" t="str">
        <f t="shared" si="240"/>
        <v>ND</v>
      </c>
      <c r="DJ53" s="1" t="str">
        <f t="shared" si="241"/>
        <v>ND</v>
      </c>
      <c r="DK53" s="1" t="str">
        <f t="shared" si="242"/>
        <v>ND</v>
      </c>
      <c r="DL53" s="1" t="str">
        <f t="shared" si="243"/>
        <v>ND</v>
      </c>
      <c r="DM53" s="1" t="str">
        <f t="shared" si="244"/>
        <v>ND</v>
      </c>
      <c r="DN53" s="1" t="str">
        <f t="shared" si="245"/>
        <v>ND</v>
      </c>
      <c r="DO53" s="1" t="str">
        <f t="shared" si="246"/>
        <v>ND</v>
      </c>
      <c r="DP53" s="1" t="str">
        <f t="shared" si="247"/>
        <v>ND</v>
      </c>
      <c r="DQ53" s="1" t="str">
        <f t="shared" si="248"/>
        <v>ND</v>
      </c>
      <c r="DR53" s="1" t="str">
        <f t="shared" si="249"/>
        <v>ND</v>
      </c>
      <c r="DS53" s="1" t="str">
        <f t="shared" si="250"/>
        <v>ND</v>
      </c>
      <c r="DT53" s="1" t="str">
        <f t="shared" si="251"/>
        <v>ND</v>
      </c>
      <c r="DU53" s="1" t="str">
        <f t="shared" si="252"/>
        <v>ND</v>
      </c>
      <c r="DV53" s="1" t="str">
        <f t="shared" si="253"/>
        <v>ND</v>
      </c>
      <c r="DW53" s="1" t="str">
        <f t="shared" si="254"/>
        <v>ND</v>
      </c>
      <c r="DX53" s="1" t="str">
        <f t="shared" si="255"/>
        <v>ND</v>
      </c>
      <c r="DY53" s="1" t="str">
        <f t="shared" si="256"/>
        <v>ND</v>
      </c>
      <c r="DZ53" s="1" t="str">
        <f t="shared" si="257"/>
        <v>ND</v>
      </c>
      <c r="EA53" s="1" t="str">
        <f t="shared" si="258"/>
        <v>ND</v>
      </c>
      <c r="EB53" s="1" t="str">
        <f t="shared" si="259"/>
        <v>ND</v>
      </c>
      <c r="EC53" s="1" t="str">
        <f t="shared" si="260"/>
        <v>ND</v>
      </c>
      <c r="ED53" s="1" t="str">
        <f t="shared" si="261"/>
        <v>ND</v>
      </c>
      <c r="EE53" s="1" t="str">
        <f t="shared" si="262"/>
        <v>ND</v>
      </c>
      <c r="EF53" s="1" t="str">
        <f t="shared" si="263"/>
        <v>ND</v>
      </c>
      <c r="EG53" s="1" t="str">
        <f t="shared" si="264"/>
        <v>ND</v>
      </c>
      <c r="EH53" s="1" t="str">
        <f t="shared" si="265"/>
        <v>ND</v>
      </c>
      <c r="EI53" s="1" t="str">
        <f t="shared" si="266"/>
        <v>ND</v>
      </c>
      <c r="EJ53" s="1" t="str">
        <f t="shared" si="267"/>
        <v>ND</v>
      </c>
      <c r="EK53" s="1" t="str">
        <f t="shared" si="268"/>
        <v>ND</v>
      </c>
      <c r="EL53" s="1" t="str">
        <f t="shared" si="269"/>
        <v>ND</v>
      </c>
      <c r="EM53" s="1" t="str">
        <f t="shared" si="270"/>
        <v>ND</v>
      </c>
      <c r="EN53" s="1" t="str">
        <f t="shared" si="271"/>
        <v>ND</v>
      </c>
      <c r="EO53" s="1" t="str">
        <f t="shared" si="342"/>
        <v>ND</v>
      </c>
      <c r="EP53" s="1" t="str">
        <f t="shared" si="342"/>
        <v>ND</v>
      </c>
      <c r="EQ53" s="1" t="str">
        <f t="shared" si="342"/>
        <v>ND</v>
      </c>
      <c r="ER53" s="1" t="str">
        <f t="shared" si="342"/>
        <v>ND</v>
      </c>
      <c r="ES53" s="1" t="str">
        <f t="shared" si="342"/>
        <v>ND</v>
      </c>
      <c r="ET53" s="1" t="str">
        <f t="shared" si="342"/>
        <v>ND</v>
      </c>
      <c r="EU53" s="1" t="str">
        <f t="shared" si="342"/>
        <v>ND</v>
      </c>
      <c r="EV53" s="1" t="str">
        <f t="shared" si="342"/>
        <v>ND</v>
      </c>
      <c r="EW53" s="1" t="str">
        <f t="shared" si="342"/>
        <v>ND</v>
      </c>
      <c r="EX53" s="1" t="str">
        <f t="shared" si="342"/>
        <v>ND</v>
      </c>
      <c r="EY53" s="1" t="str">
        <f t="shared" si="342"/>
        <v>ND</v>
      </c>
      <c r="EZ53" s="1" t="str">
        <f t="shared" si="343"/>
        <v>ND</v>
      </c>
      <c r="FA53" s="1" t="str">
        <f t="shared" si="343"/>
        <v>ND</v>
      </c>
      <c r="FB53" s="1" t="str">
        <f t="shared" si="343"/>
        <v>ND</v>
      </c>
      <c r="FC53" s="1" t="str">
        <f t="shared" si="343"/>
        <v>ND</v>
      </c>
      <c r="FD53" s="1" t="str">
        <f t="shared" si="343"/>
        <v>ND</v>
      </c>
      <c r="FE53" s="1" t="str">
        <f t="shared" si="343"/>
        <v>ND</v>
      </c>
      <c r="FF53" s="1" t="str">
        <f t="shared" si="343"/>
        <v>ND</v>
      </c>
      <c r="FG53" s="1" t="str">
        <f t="shared" si="343"/>
        <v>ND</v>
      </c>
      <c r="FH53" s="1" t="str">
        <f t="shared" si="343"/>
        <v>ND</v>
      </c>
      <c r="FI53" s="1" t="str">
        <f t="shared" si="343"/>
        <v>ND</v>
      </c>
      <c r="FJ53" s="1" t="str">
        <f t="shared" si="343"/>
        <v>ND</v>
      </c>
      <c r="FK53" s="1" t="str">
        <f t="shared" si="344"/>
        <v>ND</v>
      </c>
      <c r="FL53" s="1" t="str">
        <f t="shared" si="344"/>
        <v>ND</v>
      </c>
      <c r="FM53" s="1" t="str">
        <f t="shared" si="344"/>
        <v>ND</v>
      </c>
      <c r="FN53" s="1" t="str">
        <f t="shared" si="344"/>
        <v>ND</v>
      </c>
      <c r="FO53" s="1" t="str">
        <f t="shared" si="344"/>
        <v>ND</v>
      </c>
      <c r="FP53" s="1" t="str">
        <f t="shared" si="344"/>
        <v>ND</v>
      </c>
      <c r="FQ53" s="1" t="str">
        <f t="shared" si="344"/>
        <v>ND</v>
      </c>
      <c r="FR53" s="1" t="str">
        <f t="shared" si="344"/>
        <v>ND</v>
      </c>
      <c r="FS53" s="1" t="str">
        <f t="shared" si="344"/>
        <v>ND</v>
      </c>
      <c r="FT53" s="1" t="str">
        <f t="shared" si="344"/>
        <v>ND</v>
      </c>
      <c r="FU53" s="1" t="str">
        <f t="shared" si="344"/>
        <v>ND</v>
      </c>
      <c r="FV53" s="1" t="str">
        <f t="shared" si="272"/>
        <v>ND</v>
      </c>
      <c r="FW53" s="1" t="str">
        <f t="shared" si="273"/>
        <v>ND</v>
      </c>
      <c r="FX53" s="1" t="str">
        <f t="shared" si="274"/>
        <v>ND</v>
      </c>
      <c r="FY53" s="1" t="str">
        <f t="shared" si="275"/>
        <v>ND</v>
      </c>
      <c r="FZ53" s="1" t="str">
        <f t="shared" si="276"/>
        <v>ND</v>
      </c>
      <c r="GA53" s="1" t="str">
        <f t="shared" si="277"/>
        <v>ND</v>
      </c>
      <c r="GB53" s="1" t="str">
        <f t="shared" si="278"/>
        <v>ND</v>
      </c>
      <c r="GC53" s="1" t="str">
        <f t="shared" si="279"/>
        <v>ND</v>
      </c>
      <c r="GD53" s="1" t="str">
        <f t="shared" si="280"/>
        <v>ND</v>
      </c>
      <c r="GE53" s="1" t="str">
        <f t="shared" si="281"/>
        <v>ND</v>
      </c>
      <c r="GF53" s="1" t="str">
        <f t="shared" si="282"/>
        <v>ND</v>
      </c>
      <c r="GG53" s="1" t="str">
        <f t="shared" si="283"/>
        <v>ND</v>
      </c>
      <c r="GH53" s="1" t="str">
        <f t="shared" si="284"/>
        <v>ND</v>
      </c>
      <c r="GI53" s="1" t="str">
        <f t="shared" si="285"/>
        <v>ND</v>
      </c>
      <c r="GJ53" s="1" t="str">
        <f t="shared" si="286"/>
        <v>ND</v>
      </c>
      <c r="GK53" s="1" t="str">
        <f t="shared" si="287"/>
        <v>ND</v>
      </c>
      <c r="GL53" s="1" t="str">
        <f t="shared" si="288"/>
        <v>ND</v>
      </c>
      <c r="GM53" s="1" t="str">
        <f t="shared" si="289"/>
        <v>ND</v>
      </c>
      <c r="GN53" s="1" t="str">
        <f t="shared" si="290"/>
        <v>ND</v>
      </c>
      <c r="GO53" s="1" t="str">
        <f t="shared" si="291"/>
        <v>ND</v>
      </c>
      <c r="GP53" s="1" t="str">
        <f t="shared" si="292"/>
        <v>ND</v>
      </c>
      <c r="GQ53" s="1" t="str">
        <f t="shared" si="293"/>
        <v>ND</v>
      </c>
      <c r="GR53" s="1" t="str">
        <f t="shared" si="294"/>
        <v>ND</v>
      </c>
      <c r="GS53" s="1" t="str">
        <f t="shared" si="295"/>
        <v>ND</v>
      </c>
      <c r="GT53" s="1" t="str">
        <f t="shared" si="296"/>
        <v>ND</v>
      </c>
      <c r="GU53" s="1" t="str">
        <f t="shared" si="297"/>
        <v>ND</v>
      </c>
      <c r="GV53" s="1" t="str">
        <f t="shared" si="298"/>
        <v>ND</v>
      </c>
      <c r="GW53" s="1" t="str">
        <f t="shared" si="299"/>
        <v>ND</v>
      </c>
      <c r="GX53" s="1" t="str">
        <f t="shared" si="300"/>
        <v>ND</v>
      </c>
      <c r="GY53" s="1" t="str">
        <f t="shared" si="301"/>
        <v>ND</v>
      </c>
      <c r="GZ53" s="1" t="str">
        <f t="shared" si="302"/>
        <v>ND</v>
      </c>
      <c r="HA53" s="1" t="str">
        <f t="shared" si="303"/>
        <v>ND</v>
      </c>
      <c r="HB53" s="1" t="str">
        <f t="shared" si="304"/>
        <v>ND</v>
      </c>
      <c r="HC53" s="1" t="str">
        <f t="shared" si="305"/>
        <v>ND</v>
      </c>
      <c r="HD53" s="1" t="str">
        <f t="shared" si="306"/>
        <v>ND</v>
      </c>
      <c r="HE53" s="1" t="str">
        <f t="shared" si="307"/>
        <v>ND</v>
      </c>
      <c r="HF53" s="1" t="str">
        <f t="shared" si="308"/>
        <v>ND</v>
      </c>
      <c r="HG53" s="1" t="str">
        <f t="shared" si="309"/>
        <v>ND</v>
      </c>
      <c r="HH53" s="1" t="str">
        <f t="shared" si="310"/>
        <v>ND</v>
      </c>
      <c r="HI53" s="1" t="str">
        <f t="shared" si="311"/>
        <v>ND</v>
      </c>
      <c r="HJ53" s="1" t="str">
        <f t="shared" si="312"/>
        <v>ND</v>
      </c>
      <c r="HK53" s="1" t="str">
        <f t="shared" si="313"/>
        <v>ND</v>
      </c>
      <c r="HL53" s="1" t="str">
        <f t="shared" si="314"/>
        <v>ND</v>
      </c>
      <c r="HM53" s="1" t="str">
        <f t="shared" si="315"/>
        <v>ND</v>
      </c>
      <c r="HN53" s="1" t="str">
        <f t="shared" si="316"/>
        <v>ND</v>
      </c>
      <c r="HO53" s="1" t="str">
        <f t="shared" si="317"/>
        <v>ND</v>
      </c>
      <c r="HP53" s="1" t="str">
        <f t="shared" si="318"/>
        <v>ND</v>
      </c>
      <c r="HQ53" s="1" t="str">
        <f t="shared" si="319"/>
        <v>ND</v>
      </c>
      <c r="HR53" s="1" t="str">
        <f t="shared" si="320"/>
        <v>ND</v>
      </c>
      <c r="HS53" s="1" t="str">
        <f t="shared" si="321"/>
        <v>ND</v>
      </c>
      <c r="HT53" s="1" t="str">
        <f t="shared" si="322"/>
        <v>ND</v>
      </c>
      <c r="HU53" s="1" t="str">
        <f t="shared" si="323"/>
        <v>ND</v>
      </c>
      <c r="HV53" s="1" t="str">
        <f t="shared" si="324"/>
        <v>ND</v>
      </c>
      <c r="HW53" s="1" t="str">
        <f t="shared" si="325"/>
        <v>ND</v>
      </c>
      <c r="HX53" s="1" t="str">
        <f t="shared" si="326"/>
        <v>ND</v>
      </c>
      <c r="HY53" s="1" t="str">
        <f t="shared" si="327"/>
        <v>ND</v>
      </c>
      <c r="HZ53" s="1" t="str">
        <f t="shared" si="328"/>
        <v>ND</v>
      </c>
      <c r="IA53" s="1" t="str">
        <f t="shared" si="329"/>
        <v>ND</v>
      </c>
      <c r="IB53" s="1" t="str">
        <f t="shared" si="330"/>
        <v>ND</v>
      </c>
      <c r="IC53" s="1" t="str">
        <f t="shared" si="331"/>
        <v>ND</v>
      </c>
      <c r="ID53" s="1" t="str">
        <f t="shared" si="332"/>
        <v>ND</v>
      </c>
      <c r="IE53" s="1" t="str">
        <f t="shared" si="333"/>
        <v>ND</v>
      </c>
      <c r="IF53" s="1" t="str">
        <f t="shared" si="334"/>
        <v>ND</v>
      </c>
      <c r="IG53" s="1" t="str">
        <f t="shared" si="335"/>
        <v>ND</v>
      </c>
      <c r="IH53" s="1" t="str">
        <f t="shared" si="336"/>
        <v>ND</v>
      </c>
      <c r="II53" s="1" t="str">
        <f t="shared" si="337"/>
        <v>ND</v>
      </c>
    </row>
    <row r="54" spans="3:243" x14ac:dyDescent="0.25">
      <c r="C54" t="s">
        <v>46</v>
      </c>
      <c r="D54">
        <f>SUMIFS(DICCIONARIO[Cantidad],DICCIONARIO[Modelo],UNIFICADA[[#This Row],[Equipo]])</f>
        <v>20</v>
      </c>
      <c r="E54" s="1">
        <f>IFERROR(VLOOKUP($C54,EQUIPOS[],UNIFICADO!E$9,0),"")</f>
        <v>11</v>
      </c>
      <c r="F54" s="1">
        <f>IFERROR(VLOOKUP($C54,EQUIPOS[],UNIFICADO!F$9,0),"")</f>
        <v>6.5</v>
      </c>
      <c r="G54" s="1">
        <f>IFERROR(VLOOKUP($C54,EQUIPOS[],UNIFICADO!G$9,0),"")</f>
        <v>48</v>
      </c>
      <c r="H54" s="1">
        <f>IFERROR(VLOOKUP($C54,EQUIPOS[],UNIFICADO!H$9,0),"")</f>
        <v>3</v>
      </c>
      <c r="I54" s="1">
        <f>IFERROR(VLOOKUP($C54,EQUIPOS[],UNIFICADO!I$9,0),"")</f>
        <v>8</v>
      </c>
      <c r="J54" s="1" t="str">
        <f>IFERROR(VLOOKUP($C54,EQUIPOS[],UNIFICADO!J$9,0),"")</f>
        <v>32GB</v>
      </c>
      <c r="K54" s="1">
        <f>IFERROR(VLOOKUP($C54,EQUIPOS[],UNIFICADO!K$9,0),"")</f>
        <v>256</v>
      </c>
      <c r="L54" s="1">
        <f>IFERROR(VLOOKUP($C54,EQUIPOS[],UNIFICADO!L$9,0),"")</f>
        <v>8</v>
      </c>
      <c r="M54" s="1">
        <f>IFERROR(VLOOKUP($C54,EQUIPOS[],UNIFICADO!M$9,0),"")</f>
        <v>1.8</v>
      </c>
      <c r="N54" s="1">
        <f>IFERROR(VLOOKUP($C54,EQUIPOS[],UNIFICADO!N$9,0),"")</f>
        <v>2</v>
      </c>
      <c r="O54" s="1">
        <f>IFERROR(VLOOKUP($C54,EQUIPOS[],UNIFICADO!O$9,0),"")</f>
        <v>198</v>
      </c>
      <c r="P54" s="1">
        <f>IFERROR(VLOOKUP($C54,EQUIPOS[],UNIFICADO!P$9,0),"")</f>
        <v>16.5</v>
      </c>
      <c r="Q54" s="1">
        <f>IFERROR(VLOOKUP($C54,EQUIPOS[],UNIFICADO!Q$9,0),"")</f>
        <v>7.56</v>
      </c>
      <c r="R54" s="1">
        <f>IFERROR(VLOOKUP($C54,EQUIPOS[],UNIFICADO!R$9,0),"")</f>
        <v>0.91</v>
      </c>
      <c r="S54" s="1">
        <f>IFERROR(VLOOKUP($C54,EQUIPOS[],UNIFICADO!S$9,0),"")</f>
        <v>5000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82"/>
        <v>ND</v>
      </c>
      <c r="W54" s="1" t="str">
        <f t="shared" si="183"/>
        <v>ND</v>
      </c>
      <c r="X54" s="1" t="str">
        <f t="shared" si="338"/>
        <v>ND</v>
      </c>
      <c r="Y54" s="1" t="str">
        <f t="shared" si="338"/>
        <v>ND</v>
      </c>
      <c r="Z54" s="1" t="str">
        <f t="shared" si="339"/>
        <v>ND</v>
      </c>
      <c r="AA54" s="1" t="str">
        <f t="shared" si="339"/>
        <v>ND</v>
      </c>
      <c r="AB54" s="1" t="str">
        <f t="shared" si="339"/>
        <v>ND</v>
      </c>
      <c r="AC54" s="1" t="str">
        <f t="shared" si="339"/>
        <v>ND</v>
      </c>
      <c r="AD54" s="1" t="str">
        <f t="shared" si="339"/>
        <v>ND</v>
      </c>
      <c r="AE54" s="1" t="str">
        <f t="shared" si="339"/>
        <v>ND</v>
      </c>
      <c r="AF54" s="1" t="str">
        <f t="shared" si="339"/>
        <v>ND</v>
      </c>
      <c r="AG54" s="1" t="str">
        <f t="shared" si="339"/>
        <v>ND</v>
      </c>
      <c r="AH54" s="1" t="str">
        <f t="shared" si="339"/>
        <v>ND</v>
      </c>
      <c r="AI54" s="1" t="str">
        <f t="shared" si="184"/>
        <v>ND</v>
      </c>
      <c r="AJ54" s="1" t="str">
        <f t="shared" si="185"/>
        <v>ND</v>
      </c>
      <c r="AK54" s="1" t="str">
        <f t="shared" si="186"/>
        <v>ND</v>
      </c>
      <c r="AL54" s="1" t="str">
        <f t="shared" si="187"/>
        <v>ND</v>
      </c>
      <c r="AM54" s="1" t="str">
        <f t="shared" si="188"/>
        <v>ND</v>
      </c>
      <c r="AN54" s="1" t="str">
        <f t="shared" si="189"/>
        <v>ND</v>
      </c>
      <c r="AO54" s="1" t="str">
        <f t="shared" si="190"/>
        <v>ND</v>
      </c>
      <c r="AP54" s="1" t="str">
        <f t="shared" si="191"/>
        <v>ND</v>
      </c>
      <c r="AQ54" s="1" t="str">
        <f t="shared" si="192"/>
        <v>ND</v>
      </c>
      <c r="AR54" s="1" t="str">
        <f t="shared" si="193"/>
        <v>ND</v>
      </c>
      <c r="AS54" s="1" t="str">
        <f t="shared" si="194"/>
        <v>ND</v>
      </c>
      <c r="AT54" s="1" t="str">
        <f t="shared" si="195"/>
        <v>ND</v>
      </c>
      <c r="AU54" s="1" t="str">
        <f t="shared" si="196"/>
        <v>ND</v>
      </c>
      <c r="AV54" s="1" t="str">
        <f t="shared" si="197"/>
        <v>ND</v>
      </c>
      <c r="AW54" s="1" t="str">
        <f t="shared" si="198"/>
        <v>ND</v>
      </c>
      <c r="AX54" s="1" t="str">
        <f t="shared" si="199"/>
        <v>ND</v>
      </c>
      <c r="AY54" s="1" t="str">
        <f t="shared" si="200"/>
        <v>ND</v>
      </c>
      <c r="AZ54" s="1" t="str">
        <f t="shared" si="201"/>
        <v>ND</v>
      </c>
      <c r="BA54" s="1" t="str">
        <f t="shared" si="202"/>
        <v>ND</v>
      </c>
      <c r="BB54" s="1" t="str">
        <f t="shared" si="203"/>
        <v>ND</v>
      </c>
      <c r="BC54" s="1" t="str">
        <f t="shared" si="204"/>
        <v>ND</v>
      </c>
      <c r="BD54" s="1" t="str">
        <f t="shared" si="205"/>
        <v>ND</v>
      </c>
      <c r="BE54" s="1" t="str">
        <f t="shared" si="206"/>
        <v>ND</v>
      </c>
      <c r="BF54" s="1" t="str">
        <f t="shared" si="207"/>
        <v>ND</v>
      </c>
      <c r="BG54" s="1" t="str">
        <f t="shared" si="208"/>
        <v>ND</v>
      </c>
      <c r="BH54" s="1" t="str">
        <f t="shared" si="209"/>
        <v>ND</v>
      </c>
      <c r="BI54" s="1" t="str">
        <f t="shared" si="210"/>
        <v>ND</v>
      </c>
      <c r="BJ54" s="1" t="str">
        <f t="shared" si="211"/>
        <v>ND</v>
      </c>
      <c r="BK54" s="1" t="str">
        <f t="shared" si="212"/>
        <v>ND</v>
      </c>
      <c r="BL54" s="1" t="str">
        <f t="shared" si="213"/>
        <v>ND</v>
      </c>
      <c r="BM54" s="1" t="str">
        <f t="shared" si="214"/>
        <v>ND</v>
      </c>
      <c r="BN54" s="1" t="str">
        <f t="shared" si="215"/>
        <v>ND</v>
      </c>
      <c r="BO54" s="1" t="str">
        <f t="shared" si="216"/>
        <v>ND</v>
      </c>
      <c r="BP54" s="1" t="str">
        <f t="shared" si="217"/>
        <v>ND</v>
      </c>
      <c r="BQ54" s="1" t="str">
        <f t="shared" si="218"/>
        <v>ND</v>
      </c>
      <c r="BR54" s="1" t="str">
        <f t="shared" si="219"/>
        <v>ND</v>
      </c>
      <c r="BS54" s="1" t="str">
        <f t="shared" si="220"/>
        <v>ND</v>
      </c>
      <c r="BT54" s="1" t="str">
        <f t="shared" si="221"/>
        <v>ND</v>
      </c>
      <c r="BU54" s="1" t="str">
        <f t="shared" si="222"/>
        <v>ND</v>
      </c>
      <c r="BV54" s="1" t="str">
        <f t="shared" si="223"/>
        <v>ND</v>
      </c>
      <c r="BW54" s="1" t="str">
        <f t="shared" si="224"/>
        <v>ND</v>
      </c>
      <c r="BX54" s="1" t="str">
        <f t="shared" si="225"/>
        <v>ND</v>
      </c>
      <c r="BY54" s="1" t="str">
        <f t="shared" si="226"/>
        <v>ND</v>
      </c>
      <c r="BZ54" s="1" t="str">
        <f t="shared" si="227"/>
        <v>ND</v>
      </c>
      <c r="CA54" s="1" t="str">
        <f t="shared" si="340"/>
        <v>ND</v>
      </c>
      <c r="CB54" s="1" t="str">
        <f t="shared" si="340"/>
        <v>ND</v>
      </c>
      <c r="CC54" s="1" t="str">
        <f t="shared" si="340"/>
        <v>ND</v>
      </c>
      <c r="CD54" s="1" t="str">
        <f t="shared" si="340"/>
        <v>ND</v>
      </c>
      <c r="CE54" s="1" t="str">
        <f t="shared" si="340"/>
        <v>ND</v>
      </c>
      <c r="CF54" s="1" t="str">
        <f t="shared" si="340"/>
        <v>ND</v>
      </c>
      <c r="CG54" s="1" t="str">
        <f t="shared" si="340"/>
        <v>ND</v>
      </c>
      <c r="CH54" s="1" t="str">
        <f t="shared" si="340"/>
        <v>ND</v>
      </c>
      <c r="CI54" s="1" t="str">
        <f t="shared" si="340"/>
        <v>ND</v>
      </c>
      <c r="CJ54" s="1" t="str">
        <f t="shared" si="340"/>
        <v>ND</v>
      </c>
      <c r="CK54" s="1" t="str">
        <f t="shared" si="340"/>
        <v>ND</v>
      </c>
      <c r="CL54" s="1" t="str">
        <f t="shared" si="341"/>
        <v>ND</v>
      </c>
      <c r="CM54" s="1" t="str">
        <f t="shared" si="341"/>
        <v>ND</v>
      </c>
      <c r="CN54" s="1" t="str">
        <f t="shared" si="341"/>
        <v>ND</v>
      </c>
      <c r="CO54" s="1" t="str">
        <f t="shared" si="341"/>
        <v>ND</v>
      </c>
      <c r="CP54" s="1" t="str">
        <f t="shared" si="341"/>
        <v>ND</v>
      </c>
      <c r="CQ54" s="1" t="str">
        <f t="shared" si="341"/>
        <v>ND</v>
      </c>
      <c r="CR54" s="1" t="str">
        <f t="shared" si="341"/>
        <v>ND</v>
      </c>
      <c r="CS54" s="1" t="str">
        <f t="shared" si="341"/>
        <v>ND</v>
      </c>
      <c r="CT54" s="1" t="str">
        <f t="shared" si="341"/>
        <v>ND</v>
      </c>
      <c r="CU54" s="1" t="str">
        <f t="shared" si="341"/>
        <v>ND</v>
      </c>
      <c r="CV54" s="1" t="str">
        <f t="shared" si="341"/>
        <v>ND</v>
      </c>
      <c r="CW54" s="1" t="str">
        <f t="shared" si="228"/>
        <v>ND</v>
      </c>
      <c r="CX54" s="1" t="str">
        <f t="shared" si="229"/>
        <v>ND</v>
      </c>
      <c r="CY54" s="1" t="str">
        <f t="shared" si="230"/>
        <v>ND</v>
      </c>
      <c r="CZ54" s="1" t="str">
        <f t="shared" si="231"/>
        <v>ND</v>
      </c>
      <c r="DA54" s="1" t="str">
        <f t="shared" si="232"/>
        <v>ND</v>
      </c>
      <c r="DB54" s="1" t="str">
        <f t="shared" si="233"/>
        <v>ND</v>
      </c>
      <c r="DC54" s="1" t="str">
        <f t="shared" si="234"/>
        <v>ND</v>
      </c>
      <c r="DD54" s="1" t="str">
        <f t="shared" si="235"/>
        <v>ND</v>
      </c>
      <c r="DE54" s="1" t="str">
        <f t="shared" si="236"/>
        <v>ND</v>
      </c>
      <c r="DF54" s="1" t="str">
        <f t="shared" si="237"/>
        <v>ND</v>
      </c>
      <c r="DG54" s="1" t="str">
        <f t="shared" si="238"/>
        <v>ND</v>
      </c>
      <c r="DH54" s="1" t="str">
        <f t="shared" si="239"/>
        <v>ND</v>
      </c>
      <c r="DI54" s="1" t="str">
        <f t="shared" si="240"/>
        <v>ND</v>
      </c>
      <c r="DJ54" s="1" t="str">
        <f t="shared" si="241"/>
        <v>ND</v>
      </c>
      <c r="DK54" s="1" t="str">
        <f t="shared" si="242"/>
        <v>ND</v>
      </c>
      <c r="DL54" s="1" t="str">
        <f t="shared" si="243"/>
        <v>ND</v>
      </c>
      <c r="DM54" s="1" t="str">
        <f t="shared" si="244"/>
        <v>ND</v>
      </c>
      <c r="DN54" s="1" t="str">
        <f t="shared" si="245"/>
        <v>ND</v>
      </c>
      <c r="DO54" s="1" t="str">
        <f t="shared" si="246"/>
        <v>ND</v>
      </c>
      <c r="DP54" s="1" t="str">
        <f t="shared" si="247"/>
        <v>ND</v>
      </c>
      <c r="DQ54" s="1" t="str">
        <f t="shared" si="248"/>
        <v>ND</v>
      </c>
      <c r="DR54" s="1" t="str">
        <f t="shared" si="249"/>
        <v>ND</v>
      </c>
      <c r="DS54" s="1" t="str">
        <f t="shared" si="250"/>
        <v>ND</v>
      </c>
      <c r="DT54" s="1" t="str">
        <f t="shared" si="251"/>
        <v>ND</v>
      </c>
      <c r="DU54" s="1" t="str">
        <f t="shared" si="252"/>
        <v>ND</v>
      </c>
      <c r="DV54" s="1" t="str">
        <f t="shared" si="253"/>
        <v>ND</v>
      </c>
      <c r="DW54" s="1" t="str">
        <f t="shared" si="254"/>
        <v>ND</v>
      </c>
      <c r="DX54" s="1" t="str">
        <f t="shared" si="255"/>
        <v>ND</v>
      </c>
      <c r="DY54" s="1" t="str">
        <f t="shared" si="256"/>
        <v>ND</v>
      </c>
      <c r="DZ54" s="1" t="str">
        <f t="shared" si="257"/>
        <v>ND</v>
      </c>
      <c r="EA54" s="1" t="str">
        <f t="shared" si="258"/>
        <v>ND</v>
      </c>
      <c r="EB54" s="1" t="str">
        <f t="shared" si="259"/>
        <v>ND</v>
      </c>
      <c r="EC54" s="1" t="str">
        <f t="shared" si="260"/>
        <v>ND</v>
      </c>
      <c r="ED54" s="1" t="str">
        <f t="shared" si="261"/>
        <v>ND</v>
      </c>
      <c r="EE54" s="1" t="str">
        <f t="shared" si="262"/>
        <v>ND</v>
      </c>
      <c r="EF54" s="1" t="str">
        <f t="shared" si="263"/>
        <v>ND</v>
      </c>
      <c r="EG54" s="1" t="str">
        <f t="shared" si="264"/>
        <v>ND</v>
      </c>
      <c r="EH54" s="1" t="str">
        <f t="shared" si="265"/>
        <v>ND</v>
      </c>
      <c r="EI54" s="1" t="str">
        <f t="shared" si="266"/>
        <v>ND</v>
      </c>
      <c r="EJ54" s="1" t="str">
        <f t="shared" si="267"/>
        <v>ND</v>
      </c>
      <c r="EK54" s="1" t="str">
        <f t="shared" si="268"/>
        <v>ND</v>
      </c>
      <c r="EL54" s="1" t="str">
        <f t="shared" si="269"/>
        <v>ND</v>
      </c>
      <c r="EM54" s="1" t="str">
        <f t="shared" si="270"/>
        <v>ND</v>
      </c>
      <c r="EN54" s="1" t="str">
        <f t="shared" si="271"/>
        <v>ND</v>
      </c>
      <c r="EO54" s="1" t="str">
        <f t="shared" si="342"/>
        <v>ND</v>
      </c>
      <c r="EP54" s="1" t="str">
        <f t="shared" si="342"/>
        <v>ND</v>
      </c>
      <c r="EQ54" s="1" t="str">
        <f t="shared" si="342"/>
        <v>ND</v>
      </c>
      <c r="ER54" s="1" t="str">
        <f t="shared" si="342"/>
        <v>ND</v>
      </c>
      <c r="ES54" s="1" t="str">
        <f t="shared" si="342"/>
        <v>ND</v>
      </c>
      <c r="ET54" s="1" t="str">
        <f t="shared" si="342"/>
        <v>ND</v>
      </c>
      <c r="EU54" s="1" t="str">
        <f t="shared" si="342"/>
        <v>ND</v>
      </c>
      <c r="EV54" s="1" t="str">
        <f t="shared" si="342"/>
        <v>ND</v>
      </c>
      <c r="EW54" s="1" t="str">
        <f t="shared" si="342"/>
        <v>ND</v>
      </c>
      <c r="EX54" s="1" t="str">
        <f t="shared" si="342"/>
        <v>ND</v>
      </c>
      <c r="EY54" s="1" t="str">
        <f t="shared" si="342"/>
        <v>ND</v>
      </c>
      <c r="EZ54" s="1" t="str">
        <f t="shared" si="343"/>
        <v>ND</v>
      </c>
      <c r="FA54" s="1" t="str">
        <f t="shared" si="343"/>
        <v>ND</v>
      </c>
      <c r="FB54" s="1" t="str">
        <f t="shared" si="343"/>
        <v>ND</v>
      </c>
      <c r="FC54" s="1" t="str">
        <f t="shared" si="343"/>
        <v>ND</v>
      </c>
      <c r="FD54" s="1" t="str">
        <f t="shared" si="343"/>
        <v>ND</v>
      </c>
      <c r="FE54" s="1" t="str">
        <f t="shared" si="343"/>
        <v>ND</v>
      </c>
      <c r="FF54" s="1" t="str">
        <f t="shared" si="343"/>
        <v>ND</v>
      </c>
      <c r="FG54" s="1" t="str">
        <f t="shared" si="343"/>
        <v>ND</v>
      </c>
      <c r="FH54" s="1" t="str">
        <f t="shared" si="343"/>
        <v>ND</v>
      </c>
      <c r="FI54" s="1" t="str">
        <f t="shared" si="343"/>
        <v>ND</v>
      </c>
      <c r="FJ54" s="1" t="str">
        <f t="shared" si="343"/>
        <v>ND</v>
      </c>
      <c r="FK54" s="1" t="str">
        <f t="shared" si="344"/>
        <v>ND</v>
      </c>
      <c r="FL54" s="1" t="str">
        <f t="shared" si="344"/>
        <v>ND</v>
      </c>
      <c r="FM54" s="1" t="str">
        <f t="shared" si="344"/>
        <v>ND</v>
      </c>
      <c r="FN54" s="1" t="str">
        <f t="shared" si="344"/>
        <v>ND</v>
      </c>
      <c r="FO54" s="1" t="str">
        <f t="shared" si="344"/>
        <v>ND</v>
      </c>
      <c r="FP54" s="1" t="str">
        <f t="shared" si="344"/>
        <v>ND</v>
      </c>
      <c r="FQ54" s="1" t="str">
        <f t="shared" si="344"/>
        <v>ND</v>
      </c>
      <c r="FR54" s="1" t="str">
        <f t="shared" si="344"/>
        <v>ND</v>
      </c>
      <c r="FS54" s="1" t="str">
        <f t="shared" si="344"/>
        <v>ND</v>
      </c>
      <c r="FT54" s="1" t="str">
        <f t="shared" si="344"/>
        <v>ND</v>
      </c>
      <c r="FU54" s="1" t="str">
        <f t="shared" si="344"/>
        <v>ND</v>
      </c>
      <c r="FV54" s="1" t="str">
        <f t="shared" si="272"/>
        <v>ND</v>
      </c>
      <c r="FW54" s="1" t="str">
        <f t="shared" si="273"/>
        <v>ND</v>
      </c>
      <c r="FX54" s="1" t="str">
        <f t="shared" si="274"/>
        <v>ND</v>
      </c>
      <c r="FY54" s="1" t="str">
        <f t="shared" si="275"/>
        <v>ND</v>
      </c>
      <c r="FZ54" s="1" t="str">
        <f t="shared" si="276"/>
        <v>ND</v>
      </c>
      <c r="GA54" s="1" t="str">
        <f t="shared" si="277"/>
        <v>ND</v>
      </c>
      <c r="GB54" s="1" t="str">
        <f t="shared" si="278"/>
        <v>ND</v>
      </c>
      <c r="GC54" s="1" t="str">
        <f t="shared" si="279"/>
        <v>ND</v>
      </c>
      <c r="GD54" s="1" t="str">
        <f t="shared" si="280"/>
        <v>ND</v>
      </c>
      <c r="GE54" s="1" t="str">
        <f t="shared" si="281"/>
        <v>ND</v>
      </c>
      <c r="GF54" s="1" t="str">
        <f t="shared" si="282"/>
        <v>ND</v>
      </c>
      <c r="GG54" s="1" t="str">
        <f t="shared" si="283"/>
        <v>ND</v>
      </c>
      <c r="GH54" s="1" t="str">
        <f t="shared" si="284"/>
        <v>ND</v>
      </c>
      <c r="GI54" s="1" t="str">
        <f t="shared" si="285"/>
        <v>ND</v>
      </c>
      <c r="GJ54" s="1" t="str">
        <f t="shared" si="286"/>
        <v>ND</v>
      </c>
      <c r="GK54" s="1" t="str">
        <f t="shared" si="287"/>
        <v>ND</v>
      </c>
      <c r="GL54" s="1" t="str">
        <f t="shared" si="288"/>
        <v>ND</v>
      </c>
      <c r="GM54" s="1" t="str">
        <f t="shared" si="289"/>
        <v>ND</v>
      </c>
      <c r="GN54" s="1" t="str">
        <f t="shared" si="290"/>
        <v>ND</v>
      </c>
      <c r="GO54" s="1" t="str">
        <f t="shared" si="291"/>
        <v>ND</v>
      </c>
      <c r="GP54" s="1" t="str">
        <f t="shared" si="292"/>
        <v>ND</v>
      </c>
      <c r="GQ54" s="1" t="str">
        <f t="shared" si="293"/>
        <v>ND</v>
      </c>
      <c r="GR54" s="1" t="str">
        <f t="shared" si="294"/>
        <v>ND</v>
      </c>
      <c r="GS54" s="1" t="str">
        <f t="shared" si="295"/>
        <v>ND</v>
      </c>
      <c r="GT54" s="1" t="str">
        <f t="shared" si="296"/>
        <v>ND</v>
      </c>
      <c r="GU54" s="1" t="str">
        <f t="shared" si="297"/>
        <v>ND</v>
      </c>
      <c r="GV54" s="1" t="str">
        <f t="shared" si="298"/>
        <v>ND</v>
      </c>
      <c r="GW54" s="1" t="str">
        <f t="shared" si="299"/>
        <v>ND</v>
      </c>
      <c r="GX54" s="1" t="str">
        <f t="shared" si="300"/>
        <v>ND</v>
      </c>
      <c r="GY54" s="1" t="str">
        <f t="shared" si="301"/>
        <v>ND</v>
      </c>
      <c r="GZ54" s="1" t="str">
        <f t="shared" si="302"/>
        <v>ND</v>
      </c>
      <c r="HA54" s="1" t="str">
        <f t="shared" si="303"/>
        <v>ND</v>
      </c>
      <c r="HB54" s="1" t="str">
        <f t="shared" si="304"/>
        <v>ND</v>
      </c>
      <c r="HC54" s="1" t="str">
        <f t="shared" si="305"/>
        <v>ND</v>
      </c>
      <c r="HD54" s="1" t="str">
        <f t="shared" si="306"/>
        <v>ND</v>
      </c>
      <c r="HE54" s="1" t="str">
        <f t="shared" si="307"/>
        <v>ND</v>
      </c>
      <c r="HF54" s="1" t="str">
        <f t="shared" si="308"/>
        <v>ND</v>
      </c>
      <c r="HG54" s="1" t="str">
        <f t="shared" si="309"/>
        <v>ND</v>
      </c>
      <c r="HH54" s="1" t="str">
        <f t="shared" si="310"/>
        <v>ND</v>
      </c>
      <c r="HI54" s="1" t="str">
        <f t="shared" si="311"/>
        <v>ND</v>
      </c>
      <c r="HJ54" s="1" t="str">
        <f t="shared" si="312"/>
        <v>ND</v>
      </c>
      <c r="HK54" s="1" t="str">
        <f t="shared" si="313"/>
        <v>ND</v>
      </c>
      <c r="HL54" s="1" t="str">
        <f t="shared" si="314"/>
        <v>ND</v>
      </c>
      <c r="HM54" s="1" t="str">
        <f t="shared" si="315"/>
        <v>ND</v>
      </c>
      <c r="HN54" s="1" t="str">
        <f t="shared" si="316"/>
        <v>ND</v>
      </c>
      <c r="HO54" s="1" t="str">
        <f t="shared" si="317"/>
        <v>ND</v>
      </c>
      <c r="HP54" s="1" t="str">
        <f t="shared" si="318"/>
        <v>ND</v>
      </c>
      <c r="HQ54" s="1" t="str">
        <f t="shared" si="319"/>
        <v>ND</v>
      </c>
      <c r="HR54" s="1" t="str">
        <f t="shared" si="320"/>
        <v>ND</v>
      </c>
      <c r="HS54" s="1" t="str">
        <f t="shared" si="321"/>
        <v>ND</v>
      </c>
      <c r="HT54" s="1" t="str">
        <f t="shared" si="322"/>
        <v>ND</v>
      </c>
      <c r="HU54" s="1" t="str">
        <f t="shared" si="323"/>
        <v>ND</v>
      </c>
      <c r="HV54" s="1" t="str">
        <f t="shared" si="324"/>
        <v>ND</v>
      </c>
      <c r="HW54" s="1" t="str">
        <f t="shared" si="325"/>
        <v>ND</v>
      </c>
      <c r="HX54" s="1" t="str">
        <f t="shared" si="326"/>
        <v>ND</v>
      </c>
      <c r="HY54" s="1" t="str">
        <f t="shared" si="327"/>
        <v>ND</v>
      </c>
      <c r="HZ54" s="1" t="str">
        <f t="shared" si="328"/>
        <v>ND</v>
      </c>
      <c r="IA54" s="1" t="str">
        <f t="shared" si="329"/>
        <v>ND</v>
      </c>
      <c r="IB54" s="1" t="str">
        <f t="shared" si="330"/>
        <v>ND</v>
      </c>
      <c r="IC54" s="1" t="str">
        <f t="shared" si="331"/>
        <v>ND</v>
      </c>
      <c r="ID54" s="1" t="str">
        <f t="shared" si="332"/>
        <v>ND</v>
      </c>
      <c r="IE54" s="1" t="str">
        <f t="shared" si="333"/>
        <v>ND</v>
      </c>
      <c r="IF54" s="1" t="str">
        <f t="shared" si="334"/>
        <v>ND</v>
      </c>
      <c r="IG54" s="1" t="str">
        <f t="shared" si="335"/>
        <v>ND</v>
      </c>
      <c r="IH54" s="1" t="str">
        <f t="shared" si="336"/>
        <v>ND</v>
      </c>
      <c r="II54" s="1" t="str">
        <f t="shared" si="337"/>
        <v>ND</v>
      </c>
    </row>
    <row r="55" spans="3:243" x14ac:dyDescent="0.25">
      <c r="C55" t="s">
        <v>101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6.5</v>
      </c>
      <c r="G55" s="1">
        <f>IFERROR(VLOOKUP($C55,EQUIPOS[],UNIFICADO!G$9,0),"")</f>
        <v>16</v>
      </c>
      <c r="H55" s="1">
        <f>IFERROR(VLOOKUP($C55,EQUIPOS[],UNIFICADO!H$9,0),"")</f>
        <v>3</v>
      </c>
      <c r="I55" s="1">
        <f>IFERROR(VLOOKUP($C55,EQUIPOS[],UNIFICADO!I$9,0),"")</f>
        <v>8</v>
      </c>
      <c r="J55" s="1" t="str">
        <f>IFERROR(VLOOKUP($C55,EQUIPOS[],UNIFICADO!J$9,0),"")</f>
        <v>64GB</v>
      </c>
      <c r="K55" s="1">
        <f>IFERROR(VLOOKUP($C55,EQUIPOS[],UNIFICADO!K$9,0),"")</f>
        <v>256</v>
      </c>
      <c r="L55" s="1">
        <f>IFERROR(VLOOKUP($C55,EQUIPOS[],UNIFICADO!L$9,0),"")</f>
        <v>8</v>
      </c>
      <c r="M55" s="1" t="str">
        <f>IFERROR(VLOOKUP($C55,EQUIPOS[],UNIFICADO!M$9,0),"")</f>
        <v>1.6/1.6</v>
      </c>
      <c r="N55" s="1">
        <f>IFERROR(VLOOKUP($C55,EQUIPOS[],UNIFICADO!N$9,0),"")</f>
        <v>4</v>
      </c>
      <c r="O55" s="1">
        <f>IFERROR(VLOOKUP($C55,EQUIPOS[],UNIFICADO!O$9,0),"")</f>
        <v>184</v>
      </c>
      <c r="P55" s="1">
        <f>IFERROR(VLOOKUP($C55,EQUIPOS[],UNIFICADO!P$9,0),"")</f>
        <v>16.399999999999999</v>
      </c>
      <c r="Q55" s="1">
        <f>IFERROR(VLOOKUP($C55,EQUIPOS[],UNIFICADO!Q$9,0),"")</f>
        <v>7.5</v>
      </c>
      <c r="R55" s="1">
        <f>IFERROR(VLOOKUP($C55,EQUIPOS[],UNIFICADO!R$9,0),"")</f>
        <v>0.85</v>
      </c>
      <c r="S55" s="1">
        <f>IFERROR(VLOOKUP($C55,EQUIPOS[],UNIFICADO!S$9,0),"")</f>
        <v>5000</v>
      </c>
      <c r="T55" s="1">
        <f>IFERROR(VLOOKUP($C55,EQUIPOS[],UNIFICADO!T$9,0),"")</f>
        <v>4</v>
      </c>
      <c r="U55" s="1">
        <f>VLOOKUP(UNIFICADA[[#This Row],[Equipo]],EQUIPOS[],19,0)</f>
        <v>45</v>
      </c>
      <c r="V55" s="1" t="str">
        <f t="shared" si="182"/>
        <v>ND</v>
      </c>
      <c r="W55" s="1" t="str">
        <f t="shared" si="183"/>
        <v>ND</v>
      </c>
      <c r="X55" s="1" t="str">
        <f t="shared" si="338"/>
        <v>ND</v>
      </c>
      <c r="Y55" s="1" t="str">
        <f t="shared" si="338"/>
        <v>ND</v>
      </c>
      <c r="Z55" s="1" t="str">
        <f t="shared" si="339"/>
        <v>ND</v>
      </c>
      <c r="AA55" s="1" t="str">
        <f t="shared" si="339"/>
        <v>ND</v>
      </c>
      <c r="AB55" s="1" t="str">
        <f t="shared" si="339"/>
        <v>ND</v>
      </c>
      <c r="AC55" s="1" t="str">
        <f t="shared" si="339"/>
        <v>ND</v>
      </c>
      <c r="AD55" s="1" t="str">
        <f t="shared" si="339"/>
        <v>ND</v>
      </c>
      <c r="AE55" s="1" t="str">
        <f t="shared" si="339"/>
        <v>ND</v>
      </c>
      <c r="AF55" s="1" t="str">
        <f t="shared" si="339"/>
        <v>ND</v>
      </c>
      <c r="AG55" s="1" t="str">
        <f t="shared" si="339"/>
        <v>ND</v>
      </c>
      <c r="AH55" s="1" t="str">
        <f t="shared" si="339"/>
        <v>ND</v>
      </c>
      <c r="AI55" s="1" t="str">
        <f t="shared" si="184"/>
        <v>ND</v>
      </c>
      <c r="AJ55" s="1" t="str">
        <f t="shared" si="185"/>
        <v>ND</v>
      </c>
      <c r="AK55" s="1" t="str">
        <f t="shared" si="186"/>
        <v>ND</v>
      </c>
      <c r="AL55" s="1" t="str">
        <f t="shared" si="187"/>
        <v>ND</v>
      </c>
      <c r="AM55" s="1" t="str">
        <f t="shared" si="188"/>
        <v>ND</v>
      </c>
      <c r="AN55" s="1" t="str">
        <f t="shared" si="189"/>
        <v>ND</v>
      </c>
      <c r="AO55" s="1" t="str">
        <f t="shared" si="190"/>
        <v>ND</v>
      </c>
      <c r="AP55" s="1" t="str">
        <f t="shared" si="191"/>
        <v>ND</v>
      </c>
      <c r="AQ55" s="1" t="str">
        <f t="shared" si="192"/>
        <v>ND</v>
      </c>
      <c r="AR55" s="1" t="str">
        <f t="shared" si="193"/>
        <v>ND</v>
      </c>
      <c r="AS55" s="1" t="str">
        <f t="shared" si="194"/>
        <v>ND</v>
      </c>
      <c r="AT55" s="1" t="str">
        <f t="shared" si="195"/>
        <v>ND</v>
      </c>
      <c r="AU55" s="1" t="str">
        <f t="shared" si="196"/>
        <v>ND</v>
      </c>
      <c r="AV55" s="1" t="str">
        <f t="shared" si="197"/>
        <v>ND</v>
      </c>
      <c r="AW55" s="1" t="str">
        <f t="shared" si="198"/>
        <v>ND</v>
      </c>
      <c r="AX55" s="1" t="str">
        <f t="shared" si="199"/>
        <v>ND</v>
      </c>
      <c r="AY55" s="1" t="str">
        <f t="shared" si="200"/>
        <v>ND</v>
      </c>
      <c r="AZ55" s="1" t="str">
        <f t="shared" si="201"/>
        <v>ND</v>
      </c>
      <c r="BA55" s="1" t="str">
        <f t="shared" si="202"/>
        <v>ND</v>
      </c>
      <c r="BB55" s="1" t="str">
        <f t="shared" si="203"/>
        <v>ND</v>
      </c>
      <c r="BC55" s="1" t="str">
        <f t="shared" si="204"/>
        <v>ND</v>
      </c>
      <c r="BD55" s="1" t="str">
        <f t="shared" si="205"/>
        <v>ND</v>
      </c>
      <c r="BE55" s="1" t="str">
        <f t="shared" si="206"/>
        <v>ND</v>
      </c>
      <c r="BF55" s="1" t="str">
        <f t="shared" si="207"/>
        <v>ND</v>
      </c>
      <c r="BG55" s="1" t="str">
        <f t="shared" si="208"/>
        <v>ND</v>
      </c>
      <c r="BH55" s="1" t="str">
        <f t="shared" si="209"/>
        <v>ND</v>
      </c>
      <c r="BI55" s="1" t="str">
        <f t="shared" si="210"/>
        <v>ND</v>
      </c>
      <c r="BJ55" s="1" t="str">
        <f t="shared" si="211"/>
        <v>ND</v>
      </c>
      <c r="BK55" s="1" t="str">
        <f t="shared" si="212"/>
        <v>ND</v>
      </c>
      <c r="BL55" s="1" t="str">
        <f t="shared" si="213"/>
        <v>ND</v>
      </c>
      <c r="BM55" s="1" t="str">
        <f t="shared" si="214"/>
        <v>ND</v>
      </c>
      <c r="BN55" s="1" t="str">
        <f t="shared" si="215"/>
        <v>ND</v>
      </c>
      <c r="BO55" s="1" t="str">
        <f t="shared" si="216"/>
        <v>ND</v>
      </c>
      <c r="BP55" s="1" t="str">
        <f t="shared" si="217"/>
        <v>ND</v>
      </c>
      <c r="BQ55" s="1" t="str">
        <f t="shared" si="218"/>
        <v>ND</v>
      </c>
      <c r="BR55" s="1" t="str">
        <f t="shared" si="219"/>
        <v>ND</v>
      </c>
      <c r="BS55" s="1" t="str">
        <f t="shared" si="220"/>
        <v>ND</v>
      </c>
      <c r="BT55" s="1" t="str">
        <f t="shared" si="221"/>
        <v>ND</v>
      </c>
      <c r="BU55" s="1" t="str">
        <f t="shared" si="222"/>
        <v>ND</v>
      </c>
      <c r="BV55" s="1" t="str">
        <f t="shared" si="223"/>
        <v>ND</v>
      </c>
      <c r="BW55" s="1" t="str">
        <f t="shared" si="224"/>
        <v>ND</v>
      </c>
      <c r="BX55" s="1" t="str">
        <f t="shared" si="225"/>
        <v>ND</v>
      </c>
      <c r="BY55" s="1" t="str">
        <f t="shared" si="226"/>
        <v>ND</v>
      </c>
      <c r="BZ55" s="1" t="str">
        <f t="shared" si="227"/>
        <v>ND</v>
      </c>
      <c r="CA55" s="1" t="str">
        <f t="shared" si="340"/>
        <v>ND</v>
      </c>
      <c r="CB55" s="1" t="str">
        <f t="shared" si="340"/>
        <v>ND</v>
      </c>
      <c r="CC55" s="1" t="str">
        <f t="shared" si="340"/>
        <v>ND</v>
      </c>
      <c r="CD55" s="1" t="str">
        <f t="shared" si="340"/>
        <v>ND</v>
      </c>
      <c r="CE55" s="1" t="str">
        <f t="shared" si="340"/>
        <v>ND</v>
      </c>
      <c r="CF55" s="1" t="str">
        <f t="shared" si="340"/>
        <v>ND</v>
      </c>
      <c r="CG55" s="1" t="str">
        <f t="shared" si="340"/>
        <v>ND</v>
      </c>
      <c r="CH55" s="1" t="str">
        <f t="shared" si="340"/>
        <v>ND</v>
      </c>
      <c r="CI55" s="1" t="str">
        <f t="shared" si="340"/>
        <v>ND</v>
      </c>
      <c r="CJ55" s="1" t="str">
        <f t="shared" si="340"/>
        <v>ND</v>
      </c>
      <c r="CK55" s="1" t="str">
        <f t="shared" si="340"/>
        <v>ND</v>
      </c>
      <c r="CL55" s="1" t="str">
        <f t="shared" si="341"/>
        <v>ND</v>
      </c>
      <c r="CM55" s="1" t="str">
        <f t="shared" si="341"/>
        <v>ND</v>
      </c>
      <c r="CN55" s="1" t="str">
        <f t="shared" si="341"/>
        <v>ND</v>
      </c>
      <c r="CO55" s="1" t="str">
        <f t="shared" si="341"/>
        <v>ND</v>
      </c>
      <c r="CP55" s="1" t="str">
        <f t="shared" si="341"/>
        <v>ND</v>
      </c>
      <c r="CQ55" s="1" t="str">
        <f t="shared" si="341"/>
        <v>ND</v>
      </c>
      <c r="CR55" s="1" t="str">
        <f t="shared" si="341"/>
        <v>ND</v>
      </c>
      <c r="CS55" s="1" t="str">
        <f t="shared" si="341"/>
        <v>ND</v>
      </c>
      <c r="CT55" s="1" t="str">
        <f t="shared" si="341"/>
        <v>ND</v>
      </c>
      <c r="CU55" s="1" t="str">
        <f t="shared" si="341"/>
        <v>ND</v>
      </c>
      <c r="CV55" s="1" t="str">
        <f t="shared" si="341"/>
        <v>ND</v>
      </c>
      <c r="CW55" s="1" t="str">
        <f t="shared" si="228"/>
        <v>ND</v>
      </c>
      <c r="CX55" s="1" t="str">
        <f t="shared" si="229"/>
        <v>ND</v>
      </c>
      <c r="CY55" s="1" t="str">
        <f t="shared" si="230"/>
        <v>ND</v>
      </c>
      <c r="CZ55" s="1" t="str">
        <f t="shared" si="231"/>
        <v>ND</v>
      </c>
      <c r="DA55" s="1" t="str">
        <f t="shared" si="232"/>
        <v>ND</v>
      </c>
      <c r="DB55" s="1" t="str">
        <f t="shared" si="233"/>
        <v>ND</v>
      </c>
      <c r="DC55" s="1" t="str">
        <f t="shared" si="234"/>
        <v>ND</v>
      </c>
      <c r="DD55" s="1" t="str">
        <f t="shared" si="235"/>
        <v>ND</v>
      </c>
      <c r="DE55" s="1" t="str">
        <f t="shared" si="236"/>
        <v>ND</v>
      </c>
      <c r="DF55" s="1" t="str">
        <f t="shared" si="237"/>
        <v>ND</v>
      </c>
      <c r="DG55" s="1" t="str">
        <f t="shared" si="238"/>
        <v>ND</v>
      </c>
      <c r="DH55" s="1" t="str">
        <f t="shared" si="239"/>
        <v>ND</v>
      </c>
      <c r="DI55" s="1" t="str">
        <f t="shared" si="240"/>
        <v>ND</v>
      </c>
      <c r="DJ55" s="1" t="str">
        <f t="shared" si="241"/>
        <v>ND</v>
      </c>
      <c r="DK55" s="1" t="str">
        <f t="shared" si="242"/>
        <v>ND</v>
      </c>
      <c r="DL55" s="1" t="str">
        <f t="shared" si="243"/>
        <v>ND</v>
      </c>
      <c r="DM55" s="1" t="str">
        <f t="shared" si="244"/>
        <v>ND</v>
      </c>
      <c r="DN55" s="1" t="str">
        <f t="shared" si="245"/>
        <v>ND</v>
      </c>
      <c r="DO55" s="1" t="str">
        <f t="shared" si="246"/>
        <v>ND</v>
      </c>
      <c r="DP55" s="1" t="str">
        <f t="shared" si="247"/>
        <v>ND</v>
      </c>
      <c r="DQ55" s="1" t="str">
        <f t="shared" si="248"/>
        <v>ND</v>
      </c>
      <c r="DR55" s="1" t="str">
        <f t="shared" si="249"/>
        <v>ND</v>
      </c>
      <c r="DS55" s="1" t="str">
        <f t="shared" si="250"/>
        <v>ND</v>
      </c>
      <c r="DT55" s="1" t="str">
        <f t="shared" si="251"/>
        <v>ND</v>
      </c>
      <c r="DU55" s="1" t="str">
        <f t="shared" si="252"/>
        <v>ND</v>
      </c>
      <c r="DV55" s="1" t="str">
        <f t="shared" si="253"/>
        <v>ND</v>
      </c>
      <c r="DW55" s="1" t="str">
        <f t="shared" si="254"/>
        <v>ND</v>
      </c>
      <c r="DX55" s="1" t="str">
        <f t="shared" si="255"/>
        <v>ND</v>
      </c>
      <c r="DY55" s="1" t="str">
        <f t="shared" si="256"/>
        <v>ND</v>
      </c>
      <c r="DZ55" s="1" t="str">
        <f t="shared" si="257"/>
        <v>ND</v>
      </c>
      <c r="EA55" s="1" t="str">
        <f t="shared" si="258"/>
        <v>ND</v>
      </c>
      <c r="EB55" s="1" t="str">
        <f t="shared" si="259"/>
        <v>ND</v>
      </c>
      <c r="EC55" s="1" t="str">
        <f t="shared" si="260"/>
        <v>ND</v>
      </c>
      <c r="ED55" s="1" t="str">
        <f t="shared" si="261"/>
        <v>ND</v>
      </c>
      <c r="EE55" s="1" t="str">
        <f t="shared" si="262"/>
        <v>ND</v>
      </c>
      <c r="EF55" s="1" t="str">
        <f t="shared" si="263"/>
        <v>ND</v>
      </c>
      <c r="EG55" s="1" t="str">
        <f t="shared" si="264"/>
        <v>ND</v>
      </c>
      <c r="EH55" s="1" t="str">
        <f t="shared" si="265"/>
        <v>ND</v>
      </c>
      <c r="EI55" s="1" t="str">
        <f t="shared" si="266"/>
        <v>ND</v>
      </c>
      <c r="EJ55" s="1" t="str">
        <f t="shared" si="267"/>
        <v>ND</v>
      </c>
      <c r="EK55" s="1" t="str">
        <f t="shared" si="268"/>
        <v>ND</v>
      </c>
      <c r="EL55" s="1" t="str">
        <f t="shared" si="269"/>
        <v>ND</v>
      </c>
      <c r="EM55" s="1" t="str">
        <f t="shared" si="270"/>
        <v>ND</v>
      </c>
      <c r="EN55" s="1" t="str">
        <f t="shared" si="271"/>
        <v>ND</v>
      </c>
      <c r="EO55" s="1" t="str">
        <f t="shared" si="342"/>
        <v>ND</v>
      </c>
      <c r="EP55" s="1" t="str">
        <f t="shared" si="342"/>
        <v>ND</v>
      </c>
      <c r="EQ55" s="1" t="str">
        <f t="shared" si="342"/>
        <v>ND</v>
      </c>
      <c r="ER55" s="1" t="str">
        <f t="shared" si="342"/>
        <v>ND</v>
      </c>
      <c r="ES55" s="1" t="str">
        <f t="shared" si="342"/>
        <v>ND</v>
      </c>
      <c r="ET55" s="1" t="str">
        <f t="shared" si="342"/>
        <v>ND</v>
      </c>
      <c r="EU55" s="1" t="str">
        <f t="shared" si="342"/>
        <v>ND</v>
      </c>
      <c r="EV55" s="1" t="str">
        <f t="shared" si="342"/>
        <v>ND</v>
      </c>
      <c r="EW55" s="1" t="str">
        <f t="shared" si="342"/>
        <v>ND</v>
      </c>
      <c r="EX55" s="1" t="str">
        <f t="shared" si="342"/>
        <v>ND</v>
      </c>
      <c r="EY55" s="1" t="str">
        <f t="shared" si="342"/>
        <v>ND</v>
      </c>
      <c r="EZ55" s="1" t="str">
        <f t="shared" si="343"/>
        <v>ND</v>
      </c>
      <c r="FA55" s="1" t="str">
        <f t="shared" si="343"/>
        <v>ND</v>
      </c>
      <c r="FB55" s="1" t="str">
        <f t="shared" si="343"/>
        <v>ND</v>
      </c>
      <c r="FC55" s="1" t="str">
        <f t="shared" si="343"/>
        <v>ND</v>
      </c>
      <c r="FD55" s="1" t="str">
        <f t="shared" si="343"/>
        <v>ND</v>
      </c>
      <c r="FE55" s="1" t="str">
        <f t="shared" si="343"/>
        <v>ND</v>
      </c>
      <c r="FF55" s="1" t="str">
        <f t="shared" si="343"/>
        <v>ND</v>
      </c>
      <c r="FG55" s="1" t="str">
        <f t="shared" si="343"/>
        <v>ND</v>
      </c>
      <c r="FH55" s="1" t="str">
        <f t="shared" si="343"/>
        <v>ND</v>
      </c>
      <c r="FI55" s="1" t="str">
        <f t="shared" si="343"/>
        <v>ND</v>
      </c>
      <c r="FJ55" s="1" t="str">
        <f t="shared" si="343"/>
        <v>ND</v>
      </c>
      <c r="FK55" s="1" t="str">
        <f t="shared" si="344"/>
        <v>ND</v>
      </c>
      <c r="FL55" s="1" t="str">
        <f t="shared" si="344"/>
        <v>ND</v>
      </c>
      <c r="FM55" s="1" t="str">
        <f t="shared" si="344"/>
        <v>ND</v>
      </c>
      <c r="FN55" s="1" t="str">
        <f t="shared" si="344"/>
        <v>ND</v>
      </c>
      <c r="FO55" s="1" t="str">
        <f t="shared" si="344"/>
        <v>ND</v>
      </c>
      <c r="FP55" s="1" t="str">
        <f t="shared" si="344"/>
        <v>ND</v>
      </c>
      <c r="FQ55" s="1" t="str">
        <f t="shared" si="344"/>
        <v>ND</v>
      </c>
      <c r="FR55" s="1" t="str">
        <f t="shared" si="344"/>
        <v>ND</v>
      </c>
      <c r="FS55" s="1" t="str">
        <f t="shared" si="344"/>
        <v>ND</v>
      </c>
      <c r="FT55" s="1" t="str">
        <f t="shared" si="344"/>
        <v>ND</v>
      </c>
      <c r="FU55" s="1" t="str">
        <f t="shared" si="344"/>
        <v>ND</v>
      </c>
      <c r="FV55" s="1" t="str">
        <f t="shared" si="272"/>
        <v>ND</v>
      </c>
      <c r="FW55" s="1" t="str">
        <f t="shared" si="273"/>
        <v>ND</v>
      </c>
      <c r="FX55" s="1" t="str">
        <f t="shared" si="274"/>
        <v>ND</v>
      </c>
      <c r="FY55" s="1" t="str">
        <f t="shared" si="275"/>
        <v>ND</v>
      </c>
      <c r="FZ55" s="1" t="str">
        <f t="shared" si="276"/>
        <v>ND</v>
      </c>
      <c r="GA55" s="1" t="str">
        <f t="shared" si="277"/>
        <v>ND</v>
      </c>
      <c r="GB55" s="1" t="str">
        <f t="shared" si="278"/>
        <v>ND</v>
      </c>
      <c r="GC55" s="1" t="str">
        <f t="shared" si="279"/>
        <v>ND</v>
      </c>
      <c r="GD55" s="1" t="str">
        <f t="shared" si="280"/>
        <v>ND</v>
      </c>
      <c r="GE55" s="1" t="str">
        <f t="shared" si="281"/>
        <v>ND</v>
      </c>
      <c r="GF55" s="1" t="str">
        <f t="shared" si="282"/>
        <v>ND</v>
      </c>
      <c r="GG55" s="1" t="str">
        <f t="shared" si="283"/>
        <v>ND</v>
      </c>
      <c r="GH55" s="1" t="str">
        <f t="shared" si="284"/>
        <v>ND</v>
      </c>
      <c r="GI55" s="1" t="str">
        <f t="shared" si="285"/>
        <v>ND</v>
      </c>
      <c r="GJ55" s="1" t="str">
        <f t="shared" si="286"/>
        <v>ND</v>
      </c>
      <c r="GK55" s="1" t="str">
        <f t="shared" si="287"/>
        <v>ND</v>
      </c>
      <c r="GL55" s="1" t="str">
        <f t="shared" si="288"/>
        <v>ND</v>
      </c>
      <c r="GM55" s="1" t="str">
        <f t="shared" si="289"/>
        <v>ND</v>
      </c>
      <c r="GN55" s="1" t="str">
        <f t="shared" si="290"/>
        <v>ND</v>
      </c>
      <c r="GO55" s="1" t="str">
        <f t="shared" si="291"/>
        <v>ND</v>
      </c>
      <c r="GP55" s="1" t="str">
        <f t="shared" si="292"/>
        <v>ND</v>
      </c>
      <c r="GQ55" s="1" t="str">
        <f t="shared" si="293"/>
        <v>ND</v>
      </c>
      <c r="GR55" s="1" t="str">
        <f t="shared" si="294"/>
        <v>ND</v>
      </c>
      <c r="GS55" s="1" t="str">
        <f t="shared" si="295"/>
        <v>ND</v>
      </c>
      <c r="GT55" s="1" t="str">
        <f t="shared" si="296"/>
        <v>ND</v>
      </c>
      <c r="GU55" s="1" t="str">
        <f t="shared" si="297"/>
        <v>ND</v>
      </c>
      <c r="GV55" s="1" t="str">
        <f t="shared" si="298"/>
        <v>ND</v>
      </c>
      <c r="GW55" s="1" t="str">
        <f t="shared" si="299"/>
        <v>ND</v>
      </c>
      <c r="GX55" s="1" t="str">
        <f t="shared" si="300"/>
        <v>ND</v>
      </c>
      <c r="GY55" s="1" t="str">
        <f t="shared" si="301"/>
        <v>ND</v>
      </c>
      <c r="GZ55" s="1" t="str">
        <f t="shared" si="302"/>
        <v>ND</v>
      </c>
      <c r="HA55" s="1" t="str">
        <f t="shared" si="303"/>
        <v>ND</v>
      </c>
      <c r="HB55" s="1" t="str">
        <f t="shared" si="304"/>
        <v>ND</v>
      </c>
      <c r="HC55" s="1" t="str">
        <f t="shared" si="305"/>
        <v>ND</v>
      </c>
      <c r="HD55" s="1" t="str">
        <f t="shared" si="306"/>
        <v>ND</v>
      </c>
      <c r="HE55" s="1" t="str">
        <f t="shared" si="307"/>
        <v>ND</v>
      </c>
      <c r="HF55" s="1" t="str">
        <f t="shared" si="308"/>
        <v>ND</v>
      </c>
      <c r="HG55" s="1" t="str">
        <f t="shared" si="309"/>
        <v>ND</v>
      </c>
      <c r="HH55" s="1" t="str">
        <f t="shared" si="310"/>
        <v>ND</v>
      </c>
      <c r="HI55" s="1" t="str">
        <f t="shared" si="311"/>
        <v>ND</v>
      </c>
      <c r="HJ55" s="1" t="str">
        <f t="shared" si="312"/>
        <v>ND</v>
      </c>
      <c r="HK55" s="1" t="str">
        <f t="shared" si="313"/>
        <v>ND</v>
      </c>
      <c r="HL55" s="1" t="str">
        <f t="shared" si="314"/>
        <v>ND</v>
      </c>
      <c r="HM55" s="1" t="str">
        <f t="shared" si="315"/>
        <v>ND</v>
      </c>
      <c r="HN55" s="1" t="str">
        <f t="shared" si="316"/>
        <v>ND</v>
      </c>
      <c r="HO55" s="1" t="str">
        <f t="shared" si="317"/>
        <v>ND</v>
      </c>
      <c r="HP55" s="1" t="str">
        <f t="shared" si="318"/>
        <v>ND</v>
      </c>
      <c r="HQ55" s="1" t="str">
        <f t="shared" si="319"/>
        <v>ND</v>
      </c>
      <c r="HR55" s="1" t="str">
        <f t="shared" si="320"/>
        <v>ND</v>
      </c>
      <c r="HS55" s="1" t="str">
        <f t="shared" si="321"/>
        <v>ND</v>
      </c>
      <c r="HT55" s="1" t="str">
        <f t="shared" si="322"/>
        <v>ND</v>
      </c>
      <c r="HU55" s="1" t="str">
        <f t="shared" si="323"/>
        <v>ND</v>
      </c>
      <c r="HV55" s="1" t="str">
        <f t="shared" si="324"/>
        <v>ND</v>
      </c>
      <c r="HW55" s="1" t="str">
        <f t="shared" si="325"/>
        <v>ND</v>
      </c>
      <c r="HX55" s="1" t="str">
        <f t="shared" si="326"/>
        <v>ND</v>
      </c>
      <c r="HY55" s="1" t="str">
        <f t="shared" si="327"/>
        <v>ND</v>
      </c>
      <c r="HZ55" s="1" t="str">
        <f t="shared" si="328"/>
        <v>ND</v>
      </c>
      <c r="IA55" s="1" t="str">
        <f t="shared" si="329"/>
        <v>ND</v>
      </c>
      <c r="IB55" s="1" t="str">
        <f t="shared" si="330"/>
        <v>ND</v>
      </c>
      <c r="IC55" s="1" t="str">
        <f t="shared" si="331"/>
        <v>ND</v>
      </c>
      <c r="ID55" s="1" t="str">
        <f t="shared" si="332"/>
        <v>ND</v>
      </c>
      <c r="IE55" s="1" t="str">
        <f t="shared" si="333"/>
        <v>ND</v>
      </c>
      <c r="IF55" s="1" t="str">
        <f t="shared" si="334"/>
        <v>ND</v>
      </c>
      <c r="IG55" s="1" t="str">
        <f t="shared" si="335"/>
        <v>ND</v>
      </c>
      <c r="IH55" s="1" t="str">
        <f t="shared" si="336"/>
        <v>ND</v>
      </c>
      <c r="II55" s="1" t="str">
        <f t="shared" si="337"/>
        <v>ND</v>
      </c>
    </row>
    <row r="56" spans="3:243" x14ac:dyDescent="0.25">
      <c r="C56" t="s">
        <v>19</v>
      </c>
      <c r="D56">
        <f>SUMIFS(DICCIONARIO[Cantidad],DICCIONARIO[Modelo],UNIFICADA[[#This Row],[Equipo]])</f>
        <v>0</v>
      </c>
      <c r="E56" s="1">
        <f>IFERROR(VLOOKUP($C56,EQUIPOS[],UNIFICADO!E$9,0),"")</f>
        <v>11</v>
      </c>
      <c r="F56" s="1">
        <f>IFERROR(VLOOKUP($C56,EQUIPOS[],UNIFICADO!F$9,0),"")</f>
        <v>6.7</v>
      </c>
      <c r="G56" s="1">
        <f>IFERROR(VLOOKUP($C56,EQUIPOS[],UNIFICADO!G$9,0),"")</f>
        <v>108</v>
      </c>
      <c r="H56" s="1">
        <f>IFERROR(VLOOKUP($C56,EQUIPOS[],UNIFICADO!H$9,0),"")</f>
        <v>3</v>
      </c>
      <c r="I56" s="1">
        <f>IFERROR(VLOOKUP($C56,EQUIPOS[],UNIFICADO!I$9,0),"")</f>
        <v>32</v>
      </c>
      <c r="J56" s="1" t="str">
        <f>IFERROR(VLOOKUP($C56,EQUIPOS[],UNIFICADO!J$9,0),"")</f>
        <v>128GB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>
        <f>IFERROR(VLOOKUP($C56,EQUIPOS[],UNIFICADO!M$9,0),"")</f>
        <v>2</v>
      </c>
      <c r="N56" s="1">
        <f>IFERROR(VLOOKUP($C56,EQUIPOS[],UNIFICADO!N$9,0),"")</f>
        <v>6</v>
      </c>
      <c r="O56" s="1">
        <f>IFERROR(VLOOKUP($C56,EQUIPOS[],UNIFICADO!O$9,0),"")</f>
        <v>185</v>
      </c>
      <c r="P56" s="1">
        <f>IFERROR(VLOOKUP($C56,EQUIPOS[],UNIFICADO!P$9,0),"")</f>
        <v>16.5</v>
      </c>
      <c r="Q56" s="1">
        <f>IFERROR(VLOOKUP($C56,EQUIPOS[],UNIFICADO!Q$9,0),"")</f>
        <v>7.6</v>
      </c>
      <c r="R56" s="1">
        <f>IFERROR(VLOOKUP($C56,EQUIPOS[],UNIFICADO!R$9,0),"")</f>
        <v>0.83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82"/>
        <v>ND</v>
      </c>
      <c r="W56" s="1" t="str">
        <f t="shared" si="183"/>
        <v>ND</v>
      </c>
      <c r="X56" s="1" t="str">
        <f t="shared" si="338"/>
        <v>ND</v>
      </c>
      <c r="Y56" s="1" t="str">
        <f t="shared" si="338"/>
        <v>ND</v>
      </c>
      <c r="Z56" s="1" t="str">
        <f t="shared" si="339"/>
        <v>ND</v>
      </c>
      <c r="AA56" s="1" t="str">
        <f t="shared" si="339"/>
        <v>ND</v>
      </c>
      <c r="AB56" s="1" t="str">
        <f t="shared" si="339"/>
        <v>ND</v>
      </c>
      <c r="AC56" s="1" t="str">
        <f t="shared" si="339"/>
        <v>ND</v>
      </c>
      <c r="AD56" s="1" t="str">
        <f t="shared" si="339"/>
        <v>ND</v>
      </c>
      <c r="AE56" s="1" t="str">
        <f t="shared" si="339"/>
        <v>ND</v>
      </c>
      <c r="AF56" s="1" t="str">
        <f t="shared" si="339"/>
        <v>ND</v>
      </c>
      <c r="AG56" s="1" t="str">
        <f t="shared" si="339"/>
        <v>ND</v>
      </c>
      <c r="AH56" s="1" t="str">
        <f t="shared" si="339"/>
        <v>ND</v>
      </c>
      <c r="AI56" s="1" t="str">
        <f t="shared" si="184"/>
        <v>ND</v>
      </c>
      <c r="AJ56" s="1" t="str">
        <f t="shared" si="185"/>
        <v>ND</v>
      </c>
      <c r="AK56" s="1" t="str">
        <f t="shared" si="186"/>
        <v>ND</v>
      </c>
      <c r="AL56" s="1" t="str">
        <f t="shared" si="187"/>
        <v>ND</v>
      </c>
      <c r="AM56" s="1" t="str">
        <f t="shared" si="188"/>
        <v>ND</v>
      </c>
      <c r="AN56" s="1" t="str">
        <f t="shared" si="189"/>
        <v>ND</v>
      </c>
      <c r="AO56" s="1" t="str">
        <f t="shared" si="190"/>
        <v>ND</v>
      </c>
      <c r="AP56" s="1" t="str">
        <f t="shared" si="191"/>
        <v>ND</v>
      </c>
      <c r="AQ56" s="1" t="str">
        <f t="shared" si="192"/>
        <v>ND</v>
      </c>
      <c r="AR56" s="1" t="str">
        <f t="shared" si="193"/>
        <v>ND</v>
      </c>
      <c r="AS56" s="1" t="str">
        <f t="shared" si="194"/>
        <v>ND</v>
      </c>
      <c r="AT56" s="1" t="str">
        <f t="shared" si="195"/>
        <v>ND</v>
      </c>
      <c r="AU56" s="1" t="str">
        <f t="shared" si="196"/>
        <v>ND</v>
      </c>
      <c r="AV56" s="1" t="str">
        <f t="shared" si="197"/>
        <v>ND</v>
      </c>
      <c r="AW56" s="1" t="str">
        <f t="shared" si="198"/>
        <v>ND</v>
      </c>
      <c r="AX56" s="1" t="str">
        <f t="shared" si="199"/>
        <v>ND</v>
      </c>
      <c r="AY56" s="1" t="str">
        <f t="shared" si="200"/>
        <v>ND</v>
      </c>
      <c r="AZ56" s="1" t="str">
        <f t="shared" si="201"/>
        <v>ND</v>
      </c>
      <c r="BA56" s="1" t="str">
        <f t="shared" si="202"/>
        <v>ND</v>
      </c>
      <c r="BB56" s="1" t="str">
        <f t="shared" si="203"/>
        <v>ND</v>
      </c>
      <c r="BC56" s="1" t="str">
        <f t="shared" si="204"/>
        <v>ND</v>
      </c>
      <c r="BD56" s="1" t="str">
        <f t="shared" si="205"/>
        <v>ND</v>
      </c>
      <c r="BE56" s="1" t="str">
        <f t="shared" si="206"/>
        <v>ND</v>
      </c>
      <c r="BF56" s="1" t="str">
        <f t="shared" si="207"/>
        <v>ND</v>
      </c>
      <c r="BG56" s="1" t="str">
        <f t="shared" si="208"/>
        <v>ND</v>
      </c>
      <c r="BH56" s="1" t="str">
        <f t="shared" si="209"/>
        <v>ND</v>
      </c>
      <c r="BI56" s="1" t="str">
        <f t="shared" si="210"/>
        <v>ND</v>
      </c>
      <c r="BJ56" s="1" t="str">
        <f t="shared" si="211"/>
        <v>ND</v>
      </c>
      <c r="BK56" s="1" t="str">
        <f t="shared" si="212"/>
        <v>ND</v>
      </c>
      <c r="BL56" s="1" t="str">
        <f t="shared" si="213"/>
        <v>ND</v>
      </c>
      <c r="BM56" s="1" t="str">
        <f t="shared" si="214"/>
        <v>ND</v>
      </c>
      <c r="BN56" s="1" t="str">
        <f t="shared" si="215"/>
        <v>ND</v>
      </c>
      <c r="BO56" s="1" t="str">
        <f t="shared" si="216"/>
        <v>ND</v>
      </c>
      <c r="BP56" s="1" t="str">
        <f t="shared" si="217"/>
        <v>ND</v>
      </c>
      <c r="BQ56" s="1" t="str">
        <f t="shared" si="218"/>
        <v>ND</v>
      </c>
      <c r="BR56" s="1" t="str">
        <f t="shared" si="219"/>
        <v>ND</v>
      </c>
      <c r="BS56" s="1" t="str">
        <f t="shared" si="220"/>
        <v>ND</v>
      </c>
      <c r="BT56" s="1" t="str">
        <f t="shared" si="221"/>
        <v>ND</v>
      </c>
      <c r="BU56" s="1" t="str">
        <f t="shared" si="222"/>
        <v>ND</v>
      </c>
      <c r="BV56" s="1" t="str">
        <f t="shared" si="223"/>
        <v>ND</v>
      </c>
      <c r="BW56" s="1" t="str">
        <f t="shared" si="224"/>
        <v>ND</v>
      </c>
      <c r="BX56" s="1" t="str">
        <f t="shared" si="225"/>
        <v>ND</v>
      </c>
      <c r="BY56" s="1" t="str">
        <f t="shared" si="226"/>
        <v>ND</v>
      </c>
      <c r="BZ56" s="1" t="str">
        <f t="shared" si="227"/>
        <v>ND</v>
      </c>
      <c r="CA56" s="1" t="str">
        <f t="shared" si="340"/>
        <v>ND</v>
      </c>
      <c r="CB56" s="1" t="str">
        <f t="shared" si="340"/>
        <v>ND</v>
      </c>
      <c r="CC56" s="1" t="str">
        <f t="shared" si="340"/>
        <v>ND</v>
      </c>
      <c r="CD56" s="1" t="str">
        <f t="shared" si="340"/>
        <v>ND</v>
      </c>
      <c r="CE56" s="1" t="str">
        <f t="shared" si="340"/>
        <v>ND</v>
      </c>
      <c r="CF56" s="1" t="str">
        <f t="shared" si="340"/>
        <v>ND</v>
      </c>
      <c r="CG56" s="1" t="str">
        <f t="shared" si="340"/>
        <v>ND</v>
      </c>
      <c r="CH56" s="1" t="str">
        <f t="shared" si="340"/>
        <v>ND</v>
      </c>
      <c r="CI56" s="1" t="str">
        <f t="shared" si="340"/>
        <v>ND</v>
      </c>
      <c r="CJ56" s="1" t="str">
        <f t="shared" si="340"/>
        <v>ND</v>
      </c>
      <c r="CK56" s="1" t="str">
        <f t="shared" si="340"/>
        <v>ND</v>
      </c>
      <c r="CL56" s="1" t="str">
        <f t="shared" si="341"/>
        <v>ND</v>
      </c>
      <c r="CM56" s="1" t="str">
        <f t="shared" si="341"/>
        <v>ND</v>
      </c>
      <c r="CN56" s="1" t="str">
        <f t="shared" si="341"/>
        <v>ND</v>
      </c>
      <c r="CO56" s="1" t="str">
        <f t="shared" si="341"/>
        <v>ND</v>
      </c>
      <c r="CP56" s="1" t="str">
        <f t="shared" si="341"/>
        <v>ND</v>
      </c>
      <c r="CQ56" s="1" t="str">
        <f t="shared" si="341"/>
        <v>ND</v>
      </c>
      <c r="CR56" s="1" t="str">
        <f t="shared" si="341"/>
        <v>ND</v>
      </c>
      <c r="CS56" s="1" t="str">
        <f t="shared" si="341"/>
        <v>ND</v>
      </c>
      <c r="CT56" s="1" t="str">
        <f t="shared" si="341"/>
        <v>ND</v>
      </c>
      <c r="CU56" s="1" t="str">
        <f t="shared" si="341"/>
        <v>ND</v>
      </c>
      <c r="CV56" s="1" t="str">
        <f t="shared" si="341"/>
        <v>ND</v>
      </c>
      <c r="CW56" s="1" t="str">
        <f t="shared" si="228"/>
        <v>ND</v>
      </c>
      <c r="CX56" s="1" t="str">
        <f t="shared" si="229"/>
        <v>ND</v>
      </c>
      <c r="CY56" s="1" t="str">
        <f t="shared" si="230"/>
        <v>ND</v>
      </c>
      <c r="CZ56" s="1" t="str">
        <f t="shared" si="231"/>
        <v>ND</v>
      </c>
      <c r="DA56" s="1" t="str">
        <f t="shared" si="232"/>
        <v>ND</v>
      </c>
      <c r="DB56" s="1" t="str">
        <f t="shared" si="233"/>
        <v>ND</v>
      </c>
      <c r="DC56" s="1" t="str">
        <f t="shared" si="234"/>
        <v>ND</v>
      </c>
      <c r="DD56" s="1" t="str">
        <f t="shared" si="235"/>
        <v>ND</v>
      </c>
      <c r="DE56" s="1" t="str">
        <f t="shared" si="236"/>
        <v>ND</v>
      </c>
      <c r="DF56" s="1" t="str">
        <f t="shared" si="237"/>
        <v>ND</v>
      </c>
      <c r="DG56" s="1" t="str">
        <f t="shared" si="238"/>
        <v>ND</v>
      </c>
      <c r="DH56" s="1" t="str">
        <f t="shared" si="239"/>
        <v>ND</v>
      </c>
      <c r="DI56" s="1" t="str">
        <f t="shared" si="240"/>
        <v>ND</v>
      </c>
      <c r="DJ56" s="1" t="str">
        <f t="shared" si="241"/>
        <v>ND</v>
      </c>
      <c r="DK56" s="1" t="str">
        <f t="shared" si="242"/>
        <v>ND</v>
      </c>
      <c r="DL56" s="1" t="str">
        <f t="shared" si="243"/>
        <v>ND</v>
      </c>
      <c r="DM56" s="1" t="str">
        <f t="shared" si="244"/>
        <v>ND</v>
      </c>
      <c r="DN56" s="1" t="str">
        <f t="shared" si="245"/>
        <v>ND</v>
      </c>
      <c r="DO56" s="1" t="str">
        <f t="shared" si="246"/>
        <v>ND</v>
      </c>
      <c r="DP56" s="1" t="str">
        <f t="shared" si="247"/>
        <v>ND</v>
      </c>
      <c r="DQ56" s="1" t="str">
        <f t="shared" si="248"/>
        <v>ND</v>
      </c>
      <c r="DR56" s="1" t="str">
        <f t="shared" si="249"/>
        <v>ND</v>
      </c>
      <c r="DS56" s="1" t="str">
        <f t="shared" si="250"/>
        <v>ND</v>
      </c>
      <c r="DT56" s="1" t="str">
        <f t="shared" si="251"/>
        <v>ND</v>
      </c>
      <c r="DU56" s="1" t="str">
        <f t="shared" si="252"/>
        <v>ND</v>
      </c>
      <c r="DV56" s="1" t="str">
        <f t="shared" si="253"/>
        <v>ND</v>
      </c>
      <c r="DW56" s="1" t="str">
        <f t="shared" si="254"/>
        <v>ND</v>
      </c>
      <c r="DX56" s="1" t="str">
        <f t="shared" si="255"/>
        <v>ND</v>
      </c>
      <c r="DY56" s="1" t="str">
        <f t="shared" si="256"/>
        <v>ND</v>
      </c>
      <c r="DZ56" s="1" t="str">
        <f t="shared" si="257"/>
        <v>ND</v>
      </c>
      <c r="EA56" s="1" t="str">
        <f t="shared" si="258"/>
        <v>ND</v>
      </c>
      <c r="EB56" s="1" t="str">
        <f t="shared" si="259"/>
        <v>ND</v>
      </c>
      <c r="EC56" s="1" t="str">
        <f t="shared" si="260"/>
        <v>ND</v>
      </c>
      <c r="ED56" s="1" t="str">
        <f t="shared" si="261"/>
        <v>ND</v>
      </c>
      <c r="EE56" s="1" t="str">
        <f t="shared" si="262"/>
        <v>ND</v>
      </c>
      <c r="EF56" s="1" t="str">
        <f t="shared" si="263"/>
        <v>ND</v>
      </c>
      <c r="EG56" s="1" t="str">
        <f t="shared" si="264"/>
        <v>ND</v>
      </c>
      <c r="EH56" s="1" t="str">
        <f t="shared" si="265"/>
        <v>ND</v>
      </c>
      <c r="EI56" s="1" t="str">
        <f t="shared" si="266"/>
        <v>ND</v>
      </c>
      <c r="EJ56" s="1" t="str">
        <f t="shared" si="267"/>
        <v>ND</v>
      </c>
      <c r="EK56" s="1" t="str">
        <f t="shared" si="268"/>
        <v>ND</v>
      </c>
      <c r="EL56" s="1" t="str">
        <f t="shared" si="269"/>
        <v>ND</v>
      </c>
      <c r="EM56" s="1" t="str">
        <f t="shared" si="270"/>
        <v>ND</v>
      </c>
      <c r="EN56" s="1" t="str">
        <f t="shared" si="271"/>
        <v>ND</v>
      </c>
      <c r="EO56" s="1" t="str">
        <f t="shared" si="342"/>
        <v>ND</v>
      </c>
      <c r="EP56" s="1" t="str">
        <f t="shared" si="342"/>
        <v>ND</v>
      </c>
      <c r="EQ56" s="1" t="str">
        <f t="shared" si="342"/>
        <v>ND</v>
      </c>
      <c r="ER56" s="1" t="str">
        <f t="shared" si="342"/>
        <v>ND</v>
      </c>
      <c r="ES56" s="1" t="str">
        <f t="shared" si="342"/>
        <v>ND</v>
      </c>
      <c r="ET56" s="1" t="str">
        <f t="shared" si="342"/>
        <v>ND</v>
      </c>
      <c r="EU56" s="1" t="str">
        <f t="shared" si="342"/>
        <v>ND</v>
      </c>
      <c r="EV56" s="1" t="str">
        <f t="shared" si="342"/>
        <v>ND</v>
      </c>
      <c r="EW56" s="1" t="str">
        <f t="shared" si="342"/>
        <v>ND</v>
      </c>
      <c r="EX56" s="1" t="str">
        <f t="shared" si="342"/>
        <v>ND</v>
      </c>
      <c r="EY56" s="1" t="str">
        <f t="shared" si="342"/>
        <v>ND</v>
      </c>
      <c r="EZ56" s="1" t="str">
        <f t="shared" si="343"/>
        <v>ND</v>
      </c>
      <c r="FA56" s="1" t="str">
        <f t="shared" si="343"/>
        <v>ND</v>
      </c>
      <c r="FB56" s="1" t="str">
        <f t="shared" si="343"/>
        <v>ND</v>
      </c>
      <c r="FC56" s="1" t="str">
        <f t="shared" si="343"/>
        <v>ND</v>
      </c>
      <c r="FD56" s="1" t="str">
        <f t="shared" si="343"/>
        <v>ND</v>
      </c>
      <c r="FE56" s="1" t="str">
        <f t="shared" si="343"/>
        <v>ND</v>
      </c>
      <c r="FF56" s="1" t="str">
        <f t="shared" si="343"/>
        <v>ND</v>
      </c>
      <c r="FG56" s="1" t="str">
        <f t="shared" si="343"/>
        <v>ND</v>
      </c>
      <c r="FH56" s="1" t="str">
        <f t="shared" si="343"/>
        <v>ND</v>
      </c>
      <c r="FI56" s="1" t="str">
        <f t="shared" si="343"/>
        <v>ND</v>
      </c>
      <c r="FJ56" s="1" t="str">
        <f t="shared" si="343"/>
        <v>ND</v>
      </c>
      <c r="FK56" s="1" t="str">
        <f t="shared" si="344"/>
        <v>ND</v>
      </c>
      <c r="FL56" s="1" t="str">
        <f t="shared" si="344"/>
        <v>ND</v>
      </c>
      <c r="FM56" s="1" t="str">
        <f t="shared" si="344"/>
        <v>ND</v>
      </c>
      <c r="FN56" s="1" t="str">
        <f t="shared" si="344"/>
        <v>ND</v>
      </c>
      <c r="FO56" s="1" t="str">
        <f t="shared" si="344"/>
        <v>ND</v>
      </c>
      <c r="FP56" s="1" t="str">
        <f t="shared" si="344"/>
        <v>ND</v>
      </c>
      <c r="FQ56" s="1" t="str">
        <f t="shared" si="344"/>
        <v>ND</v>
      </c>
      <c r="FR56" s="1" t="str">
        <f t="shared" si="344"/>
        <v>ND</v>
      </c>
      <c r="FS56" s="1" t="str">
        <f t="shared" si="344"/>
        <v>ND</v>
      </c>
      <c r="FT56" s="1" t="str">
        <f t="shared" si="344"/>
        <v>ND</v>
      </c>
      <c r="FU56" s="1" t="str">
        <f t="shared" si="344"/>
        <v>ND</v>
      </c>
      <c r="FV56" s="1" t="str">
        <f t="shared" si="272"/>
        <v>ND</v>
      </c>
      <c r="FW56" s="1" t="str">
        <f t="shared" si="273"/>
        <v>ND</v>
      </c>
      <c r="FX56" s="1" t="str">
        <f t="shared" si="274"/>
        <v>ND</v>
      </c>
      <c r="FY56" s="1" t="str">
        <f t="shared" si="275"/>
        <v>ND</v>
      </c>
      <c r="FZ56" s="1" t="str">
        <f t="shared" si="276"/>
        <v>ND</v>
      </c>
      <c r="GA56" s="1" t="str">
        <f t="shared" si="277"/>
        <v>ND</v>
      </c>
      <c r="GB56" s="1" t="str">
        <f t="shared" si="278"/>
        <v>ND</v>
      </c>
      <c r="GC56" s="1" t="str">
        <f t="shared" si="279"/>
        <v>ND</v>
      </c>
      <c r="GD56" s="1" t="str">
        <f t="shared" si="280"/>
        <v>ND</v>
      </c>
      <c r="GE56" s="1" t="str">
        <f t="shared" si="281"/>
        <v>ND</v>
      </c>
      <c r="GF56" s="1" t="str">
        <f t="shared" si="282"/>
        <v>ND</v>
      </c>
      <c r="GG56" s="1" t="str">
        <f t="shared" si="283"/>
        <v>ND</v>
      </c>
      <c r="GH56" s="1" t="str">
        <f t="shared" si="284"/>
        <v>ND</v>
      </c>
      <c r="GI56" s="1" t="str">
        <f t="shared" si="285"/>
        <v>ND</v>
      </c>
      <c r="GJ56" s="1" t="str">
        <f t="shared" si="286"/>
        <v>ND</v>
      </c>
      <c r="GK56" s="1" t="str">
        <f t="shared" si="287"/>
        <v>ND</v>
      </c>
      <c r="GL56" s="1" t="str">
        <f t="shared" si="288"/>
        <v>ND</v>
      </c>
      <c r="GM56" s="1" t="str">
        <f t="shared" si="289"/>
        <v>ND</v>
      </c>
      <c r="GN56" s="1" t="str">
        <f t="shared" si="290"/>
        <v>ND</v>
      </c>
      <c r="GO56" s="1" t="str">
        <f t="shared" si="291"/>
        <v>ND</v>
      </c>
      <c r="GP56" s="1" t="str">
        <f t="shared" si="292"/>
        <v>ND</v>
      </c>
      <c r="GQ56" s="1" t="str">
        <f t="shared" si="293"/>
        <v>ND</v>
      </c>
      <c r="GR56" s="1" t="str">
        <f t="shared" si="294"/>
        <v>ND</v>
      </c>
      <c r="GS56" s="1" t="str">
        <f t="shared" si="295"/>
        <v>ND</v>
      </c>
      <c r="GT56" s="1" t="str">
        <f t="shared" si="296"/>
        <v>ND</v>
      </c>
      <c r="GU56" s="1" t="str">
        <f t="shared" si="297"/>
        <v>ND</v>
      </c>
      <c r="GV56" s="1" t="str">
        <f t="shared" si="298"/>
        <v>ND</v>
      </c>
      <c r="GW56" s="1" t="str">
        <f t="shared" si="299"/>
        <v>ND</v>
      </c>
      <c r="GX56" s="1" t="str">
        <f t="shared" si="300"/>
        <v>ND</v>
      </c>
      <c r="GY56" s="1" t="str">
        <f t="shared" si="301"/>
        <v>ND</v>
      </c>
      <c r="GZ56" s="1" t="str">
        <f t="shared" si="302"/>
        <v>ND</v>
      </c>
      <c r="HA56" s="1" t="str">
        <f t="shared" si="303"/>
        <v>ND</v>
      </c>
      <c r="HB56" s="1" t="str">
        <f t="shared" si="304"/>
        <v>ND</v>
      </c>
      <c r="HC56" s="1" t="str">
        <f t="shared" si="305"/>
        <v>ND</v>
      </c>
      <c r="HD56" s="1" t="str">
        <f t="shared" si="306"/>
        <v>ND</v>
      </c>
      <c r="HE56" s="1" t="str">
        <f t="shared" si="307"/>
        <v>ND</v>
      </c>
      <c r="HF56" s="1" t="str">
        <f t="shared" si="308"/>
        <v>ND</v>
      </c>
      <c r="HG56" s="1" t="str">
        <f t="shared" si="309"/>
        <v>ND</v>
      </c>
      <c r="HH56" s="1" t="str">
        <f t="shared" si="310"/>
        <v>ND</v>
      </c>
      <c r="HI56" s="1" t="str">
        <f t="shared" si="311"/>
        <v>ND</v>
      </c>
      <c r="HJ56" s="1" t="str">
        <f t="shared" si="312"/>
        <v>ND</v>
      </c>
      <c r="HK56" s="1" t="str">
        <f t="shared" si="313"/>
        <v>ND</v>
      </c>
      <c r="HL56" s="1" t="str">
        <f t="shared" si="314"/>
        <v>ND</v>
      </c>
      <c r="HM56" s="1" t="str">
        <f t="shared" si="315"/>
        <v>ND</v>
      </c>
      <c r="HN56" s="1" t="str">
        <f t="shared" si="316"/>
        <v>ND</v>
      </c>
      <c r="HO56" s="1" t="str">
        <f t="shared" si="317"/>
        <v>ND</v>
      </c>
      <c r="HP56" s="1" t="str">
        <f t="shared" si="318"/>
        <v>ND</v>
      </c>
      <c r="HQ56" s="1" t="str">
        <f t="shared" si="319"/>
        <v>ND</v>
      </c>
      <c r="HR56" s="1" t="str">
        <f t="shared" si="320"/>
        <v>ND</v>
      </c>
      <c r="HS56" s="1" t="str">
        <f t="shared" si="321"/>
        <v>ND</v>
      </c>
      <c r="HT56" s="1" t="str">
        <f t="shared" si="322"/>
        <v>ND</v>
      </c>
      <c r="HU56" s="1" t="str">
        <f t="shared" si="323"/>
        <v>ND</v>
      </c>
      <c r="HV56" s="1" t="str">
        <f t="shared" si="324"/>
        <v>ND</v>
      </c>
      <c r="HW56" s="1" t="str">
        <f t="shared" si="325"/>
        <v>ND</v>
      </c>
      <c r="HX56" s="1" t="str">
        <f t="shared" si="326"/>
        <v>ND</v>
      </c>
      <c r="HY56" s="1" t="str">
        <f t="shared" si="327"/>
        <v>ND</v>
      </c>
      <c r="HZ56" s="1" t="str">
        <f t="shared" si="328"/>
        <v>ND</v>
      </c>
      <c r="IA56" s="1" t="str">
        <f t="shared" si="329"/>
        <v>ND</v>
      </c>
      <c r="IB56" s="1" t="str">
        <f t="shared" si="330"/>
        <v>ND</v>
      </c>
      <c r="IC56" s="1" t="str">
        <f t="shared" si="331"/>
        <v>ND</v>
      </c>
      <c r="ID56" s="1" t="str">
        <f t="shared" si="332"/>
        <v>ND</v>
      </c>
      <c r="IE56" s="1" t="str">
        <f t="shared" si="333"/>
        <v>ND</v>
      </c>
      <c r="IF56" s="1" t="str">
        <f t="shared" si="334"/>
        <v>ND</v>
      </c>
      <c r="IG56" s="1" t="str">
        <f t="shared" si="335"/>
        <v>ND</v>
      </c>
      <c r="IH56" s="1" t="str">
        <f t="shared" si="336"/>
        <v>ND</v>
      </c>
      <c r="II56" s="1" t="str">
        <f t="shared" si="337"/>
        <v>ND</v>
      </c>
    </row>
    <row r="57" spans="3:243" x14ac:dyDescent="0.25">
      <c r="C57" t="s">
        <v>128</v>
      </c>
      <c r="D57">
        <f>SUMIFS(DICCIONARIO[Cantidad],DICCIONARIO[Modelo],UNIFICADA[[#This Row],[Equipo]])</f>
        <v>0</v>
      </c>
      <c r="E57" s="1">
        <f>IFERROR(VLOOKUP($C57,EQUIPOS[],UNIFICADO!E$9,0),"")</f>
        <v>12</v>
      </c>
      <c r="F57" s="1">
        <f>IFERROR(VLOOKUP($C57,EQUIPOS[],UNIFICADO!F$9,0),"")</f>
        <v>6.7</v>
      </c>
      <c r="G57" s="1">
        <f>IFERROR(VLOOKUP($C57,EQUIPOS[],UNIFICADO!G$9,0),"")</f>
        <v>50</v>
      </c>
      <c r="H57" s="1">
        <f>IFERROR(VLOOKUP($C57,EQUIPOS[],UNIFICADO!H$9,0),"")</f>
        <v>3</v>
      </c>
      <c r="I57" s="1">
        <f>IFERROR(VLOOKUP($C57,EQUIPOS[],UNIFICADO!I$9,0),"")</f>
        <v>60</v>
      </c>
      <c r="J57" s="1" t="str">
        <f>IFERROR(VLOOKUP($C57,EQUIPOS[],UNIFICADO!J$9,0),"")</f>
        <v>256GB</v>
      </c>
      <c r="K57" s="1">
        <f>IFERROR(VLOOKUP($C57,EQUIPOS[],UNIFICADO!K$9,0),"")</f>
        <v>0</v>
      </c>
      <c r="L57" s="1">
        <f>IFERROR(VLOOKUP($C57,EQUIPOS[],UNIFICADO!L$9,0),"")</f>
        <v>8</v>
      </c>
      <c r="M57" s="1" t="str">
        <f>IFERROR(VLOOKUP($C57,EQUIPOS[],UNIFICADO!M$9,0),"")</f>
        <v>3.0/2.5/1.8</v>
      </c>
      <c r="N57" s="1">
        <f>IFERROR(VLOOKUP($C57,EQUIPOS[],UNIFICADO!N$9,0),"")</f>
        <v>12</v>
      </c>
      <c r="O57" s="1">
        <f>IFERROR(VLOOKUP($C57,EQUIPOS[],UNIFICADO!O$9,0),"")</f>
        <v>196</v>
      </c>
      <c r="P57" s="1">
        <f>IFERROR(VLOOKUP($C57,EQUIPOS[],UNIFICADO!P$9,0),"")</f>
        <v>16.3</v>
      </c>
      <c r="Q57" s="1">
        <f>IFERROR(VLOOKUP($C57,EQUIPOS[],UNIFICADO!Q$9,0),"")</f>
        <v>7.6</v>
      </c>
      <c r="R57" s="1">
        <f>IFERROR(VLOOKUP($C57,EQUIPOS[],UNIFICADO!R$9,0),"")</f>
        <v>0.88</v>
      </c>
      <c r="S57" s="1">
        <f>IFERROR(VLOOKUP($C57,EQUIPOS[],UNIFICADO!S$9,0),"")</f>
        <v>4800</v>
      </c>
      <c r="T57" s="1">
        <f>IFERROR(VLOOKUP($C57,EQUIPOS[],UNIFICADO!T$9,0),"")</f>
        <v>5</v>
      </c>
      <c r="U57" s="1">
        <f>VLOOKUP(UNIFICADA[[#This Row],[Equipo]],EQUIPOS[],19,0)</f>
        <v>47</v>
      </c>
      <c r="V57" s="1" t="str">
        <f t="shared" si="182"/>
        <v>ND</v>
      </c>
      <c r="W57" s="1" t="str">
        <f t="shared" si="183"/>
        <v>ND</v>
      </c>
      <c r="X57" s="1" t="str">
        <f t="shared" si="338"/>
        <v>ND</v>
      </c>
      <c r="Y57" s="1" t="str">
        <f t="shared" si="338"/>
        <v>ND</v>
      </c>
      <c r="Z57" s="1" t="str">
        <f t="shared" si="339"/>
        <v>ND</v>
      </c>
      <c r="AA57" s="1" t="str">
        <f t="shared" si="339"/>
        <v>ND</v>
      </c>
      <c r="AB57" s="1" t="str">
        <f t="shared" si="339"/>
        <v>ND</v>
      </c>
      <c r="AC57" s="1" t="str">
        <f t="shared" si="339"/>
        <v>ND</v>
      </c>
      <c r="AD57" s="1" t="str">
        <f t="shared" si="339"/>
        <v>ND</v>
      </c>
      <c r="AE57" s="1" t="str">
        <f t="shared" si="339"/>
        <v>ND</v>
      </c>
      <c r="AF57" s="1" t="str">
        <f t="shared" si="339"/>
        <v>ND</v>
      </c>
      <c r="AG57" s="1" t="str">
        <f t="shared" si="339"/>
        <v>ND</v>
      </c>
      <c r="AH57" s="1" t="str">
        <f t="shared" si="339"/>
        <v>ND</v>
      </c>
      <c r="AI57" s="1" t="str">
        <f t="shared" si="184"/>
        <v>ND</v>
      </c>
      <c r="AJ57" s="1" t="str">
        <f t="shared" si="185"/>
        <v>ND</v>
      </c>
      <c r="AK57" s="1" t="str">
        <f t="shared" si="186"/>
        <v>ND</v>
      </c>
      <c r="AL57" s="1" t="str">
        <f t="shared" si="187"/>
        <v>ND</v>
      </c>
      <c r="AM57" s="1" t="str">
        <f t="shared" si="188"/>
        <v>ND</v>
      </c>
      <c r="AN57" s="1" t="str">
        <f t="shared" si="189"/>
        <v>ND</v>
      </c>
      <c r="AO57" s="1" t="str">
        <f t="shared" si="190"/>
        <v>ND</v>
      </c>
      <c r="AP57" s="1" t="str">
        <f t="shared" si="191"/>
        <v>ND</v>
      </c>
      <c r="AQ57" s="1" t="str">
        <f t="shared" si="192"/>
        <v>ND</v>
      </c>
      <c r="AR57" s="1" t="str">
        <f t="shared" si="193"/>
        <v>ND</v>
      </c>
      <c r="AS57" s="1" t="str">
        <f t="shared" si="194"/>
        <v>ND</v>
      </c>
      <c r="AT57" s="1" t="str">
        <f t="shared" si="195"/>
        <v>ND</v>
      </c>
      <c r="AU57" s="1" t="str">
        <f t="shared" si="196"/>
        <v>ND</v>
      </c>
      <c r="AV57" s="1" t="str">
        <f t="shared" si="197"/>
        <v>ND</v>
      </c>
      <c r="AW57" s="1" t="str">
        <f t="shared" si="198"/>
        <v>ND</v>
      </c>
      <c r="AX57" s="1" t="str">
        <f t="shared" si="199"/>
        <v>ND</v>
      </c>
      <c r="AY57" s="1" t="str">
        <f t="shared" si="200"/>
        <v>ND</v>
      </c>
      <c r="AZ57" s="1" t="str">
        <f t="shared" si="201"/>
        <v>ND</v>
      </c>
      <c r="BA57" s="1" t="str">
        <f t="shared" si="202"/>
        <v>ND</v>
      </c>
      <c r="BB57" s="1" t="str">
        <f t="shared" si="203"/>
        <v>ND</v>
      </c>
      <c r="BC57" s="1" t="str">
        <f t="shared" si="204"/>
        <v>ND</v>
      </c>
      <c r="BD57" s="1" t="str">
        <f t="shared" si="205"/>
        <v>ND</v>
      </c>
      <c r="BE57" s="1" t="str">
        <f t="shared" si="206"/>
        <v>ND</v>
      </c>
      <c r="BF57" s="1" t="str">
        <f t="shared" si="207"/>
        <v>ND</v>
      </c>
      <c r="BG57" s="1" t="str">
        <f t="shared" si="208"/>
        <v>ND</v>
      </c>
      <c r="BH57" s="1" t="str">
        <f t="shared" si="209"/>
        <v>ND</v>
      </c>
      <c r="BI57" s="1" t="str">
        <f t="shared" si="210"/>
        <v>ND</v>
      </c>
      <c r="BJ57" s="1" t="str">
        <f t="shared" si="211"/>
        <v>ND</v>
      </c>
      <c r="BK57" s="1" t="str">
        <f t="shared" si="212"/>
        <v>ND</v>
      </c>
      <c r="BL57" s="1" t="str">
        <f t="shared" si="213"/>
        <v>ND</v>
      </c>
      <c r="BM57" s="1" t="str">
        <f t="shared" si="214"/>
        <v>ND</v>
      </c>
      <c r="BN57" s="1" t="str">
        <f t="shared" si="215"/>
        <v>ND</v>
      </c>
      <c r="BO57" s="1" t="str">
        <f t="shared" si="216"/>
        <v>ND</v>
      </c>
      <c r="BP57" s="1" t="str">
        <f t="shared" si="217"/>
        <v>ND</v>
      </c>
      <c r="BQ57" s="1" t="str">
        <f t="shared" si="218"/>
        <v>ND</v>
      </c>
      <c r="BR57" s="1" t="str">
        <f t="shared" si="219"/>
        <v>ND</v>
      </c>
      <c r="BS57" s="1" t="str">
        <f t="shared" si="220"/>
        <v>ND</v>
      </c>
      <c r="BT57" s="1" t="str">
        <f t="shared" si="221"/>
        <v>ND</v>
      </c>
      <c r="BU57" s="1" t="str">
        <f t="shared" si="222"/>
        <v>ND</v>
      </c>
      <c r="BV57" s="1" t="str">
        <f t="shared" si="223"/>
        <v>ND</v>
      </c>
      <c r="BW57" s="1" t="str">
        <f t="shared" si="224"/>
        <v>ND</v>
      </c>
      <c r="BX57" s="1" t="str">
        <f t="shared" si="225"/>
        <v>ND</v>
      </c>
      <c r="BY57" s="1" t="str">
        <f t="shared" si="226"/>
        <v>ND</v>
      </c>
      <c r="BZ57" s="1" t="str">
        <f t="shared" si="227"/>
        <v>ND</v>
      </c>
      <c r="CA57" s="1" t="str">
        <f t="shared" si="340"/>
        <v>ND</v>
      </c>
      <c r="CB57" s="1" t="str">
        <f t="shared" si="340"/>
        <v>ND</v>
      </c>
      <c r="CC57" s="1" t="str">
        <f t="shared" si="340"/>
        <v>ND</v>
      </c>
      <c r="CD57" s="1" t="str">
        <f t="shared" si="340"/>
        <v>ND</v>
      </c>
      <c r="CE57" s="1" t="str">
        <f t="shared" si="340"/>
        <v>ND</v>
      </c>
      <c r="CF57" s="1" t="str">
        <f t="shared" si="340"/>
        <v>ND</v>
      </c>
      <c r="CG57" s="1" t="str">
        <f t="shared" si="340"/>
        <v>ND</v>
      </c>
      <c r="CH57" s="1" t="str">
        <f t="shared" si="340"/>
        <v>ND</v>
      </c>
      <c r="CI57" s="1" t="str">
        <f t="shared" si="340"/>
        <v>ND</v>
      </c>
      <c r="CJ57" s="1" t="str">
        <f t="shared" si="340"/>
        <v>ND</v>
      </c>
      <c r="CK57" s="1" t="str">
        <f t="shared" si="340"/>
        <v>ND</v>
      </c>
      <c r="CL57" s="1" t="str">
        <f t="shared" si="341"/>
        <v>ND</v>
      </c>
      <c r="CM57" s="1" t="str">
        <f t="shared" si="341"/>
        <v>ND</v>
      </c>
      <c r="CN57" s="1" t="str">
        <f t="shared" si="341"/>
        <v>ND</v>
      </c>
      <c r="CO57" s="1" t="str">
        <f t="shared" si="341"/>
        <v>ND</v>
      </c>
      <c r="CP57" s="1" t="str">
        <f t="shared" si="341"/>
        <v>ND</v>
      </c>
      <c r="CQ57" s="1" t="str">
        <f t="shared" si="341"/>
        <v>ND</v>
      </c>
      <c r="CR57" s="1" t="str">
        <f t="shared" si="341"/>
        <v>ND</v>
      </c>
      <c r="CS57" s="1" t="str">
        <f t="shared" si="341"/>
        <v>ND</v>
      </c>
      <c r="CT57" s="1" t="str">
        <f t="shared" si="341"/>
        <v>ND</v>
      </c>
      <c r="CU57" s="1" t="str">
        <f t="shared" si="341"/>
        <v>ND</v>
      </c>
      <c r="CV57" s="1" t="str">
        <f t="shared" si="341"/>
        <v>ND</v>
      </c>
      <c r="CW57" s="1" t="str">
        <f t="shared" si="228"/>
        <v>ND</v>
      </c>
      <c r="CX57" s="1" t="str">
        <f t="shared" si="229"/>
        <v>ND</v>
      </c>
      <c r="CY57" s="1" t="str">
        <f t="shared" si="230"/>
        <v>ND</v>
      </c>
      <c r="CZ57" s="1" t="str">
        <f t="shared" si="231"/>
        <v>ND</v>
      </c>
      <c r="DA57" s="1" t="str">
        <f t="shared" si="232"/>
        <v>ND</v>
      </c>
      <c r="DB57" s="1" t="str">
        <f t="shared" si="233"/>
        <v>ND</v>
      </c>
      <c r="DC57" s="1" t="str">
        <f t="shared" si="234"/>
        <v>ND</v>
      </c>
      <c r="DD57" s="1" t="str">
        <f t="shared" si="235"/>
        <v>ND</v>
      </c>
      <c r="DE57" s="1" t="str">
        <f t="shared" si="236"/>
        <v>ND</v>
      </c>
      <c r="DF57" s="1" t="str">
        <f t="shared" si="237"/>
        <v>ND</v>
      </c>
      <c r="DG57" s="1" t="str">
        <f t="shared" si="238"/>
        <v>ND</v>
      </c>
      <c r="DH57" s="1" t="str">
        <f t="shared" si="239"/>
        <v>ND</v>
      </c>
      <c r="DI57" s="1" t="str">
        <f t="shared" si="240"/>
        <v>ND</v>
      </c>
      <c r="DJ57" s="1" t="str">
        <f t="shared" si="241"/>
        <v>ND</v>
      </c>
      <c r="DK57" s="1" t="str">
        <f t="shared" si="242"/>
        <v>ND</v>
      </c>
      <c r="DL57" s="1" t="str">
        <f t="shared" si="243"/>
        <v>ND</v>
      </c>
      <c r="DM57" s="1" t="str">
        <f t="shared" si="244"/>
        <v>ND</v>
      </c>
      <c r="DN57" s="1" t="str">
        <f t="shared" si="245"/>
        <v>ND</v>
      </c>
      <c r="DO57" s="1" t="str">
        <f t="shared" si="246"/>
        <v>ND</v>
      </c>
      <c r="DP57" s="1" t="str">
        <f t="shared" si="247"/>
        <v>ND</v>
      </c>
      <c r="DQ57" s="1" t="str">
        <f t="shared" si="248"/>
        <v>ND</v>
      </c>
      <c r="DR57" s="1" t="str">
        <f t="shared" si="249"/>
        <v>ND</v>
      </c>
      <c r="DS57" s="1" t="str">
        <f t="shared" si="250"/>
        <v>ND</v>
      </c>
      <c r="DT57" s="1" t="str">
        <f t="shared" si="251"/>
        <v>ND</v>
      </c>
      <c r="DU57" s="1" t="str">
        <f t="shared" si="252"/>
        <v>ND</v>
      </c>
      <c r="DV57" s="1" t="str">
        <f t="shared" si="253"/>
        <v>ND</v>
      </c>
      <c r="DW57" s="1" t="str">
        <f t="shared" si="254"/>
        <v>ND</v>
      </c>
      <c r="DX57" s="1" t="str">
        <f t="shared" si="255"/>
        <v>ND</v>
      </c>
      <c r="DY57" s="1" t="str">
        <f t="shared" si="256"/>
        <v>ND</v>
      </c>
      <c r="DZ57" s="1" t="str">
        <f t="shared" si="257"/>
        <v>ND</v>
      </c>
      <c r="EA57" s="1" t="str">
        <f t="shared" si="258"/>
        <v>ND</v>
      </c>
      <c r="EB57" s="1" t="str">
        <f t="shared" si="259"/>
        <v>ND</v>
      </c>
      <c r="EC57" s="1" t="str">
        <f t="shared" si="260"/>
        <v>ND</v>
      </c>
      <c r="ED57" s="1" t="str">
        <f t="shared" si="261"/>
        <v>ND</v>
      </c>
      <c r="EE57" s="1" t="str">
        <f t="shared" si="262"/>
        <v>ND</v>
      </c>
      <c r="EF57" s="1" t="str">
        <f t="shared" si="263"/>
        <v>ND</v>
      </c>
      <c r="EG57" s="1" t="str">
        <f t="shared" si="264"/>
        <v>ND</v>
      </c>
      <c r="EH57" s="1" t="str">
        <f t="shared" si="265"/>
        <v>ND</v>
      </c>
      <c r="EI57" s="1" t="str">
        <f t="shared" si="266"/>
        <v>ND</v>
      </c>
      <c r="EJ57" s="1" t="str">
        <f t="shared" si="267"/>
        <v>ND</v>
      </c>
      <c r="EK57" s="1" t="str">
        <f t="shared" si="268"/>
        <v>ND</v>
      </c>
      <c r="EL57" s="1" t="str">
        <f t="shared" si="269"/>
        <v>ND</v>
      </c>
      <c r="EM57" s="1" t="str">
        <f t="shared" si="270"/>
        <v>ND</v>
      </c>
      <c r="EN57" s="1" t="str">
        <f t="shared" si="271"/>
        <v>ND</v>
      </c>
      <c r="EO57" s="1" t="str">
        <f t="shared" si="342"/>
        <v>ND</v>
      </c>
      <c r="EP57" s="1" t="str">
        <f t="shared" si="342"/>
        <v>ND</v>
      </c>
      <c r="EQ57" s="1" t="str">
        <f t="shared" si="342"/>
        <v>ND</v>
      </c>
      <c r="ER57" s="1" t="str">
        <f t="shared" si="342"/>
        <v>ND</v>
      </c>
      <c r="ES57" s="1" t="str">
        <f t="shared" si="342"/>
        <v>ND</v>
      </c>
      <c r="ET57" s="1" t="str">
        <f t="shared" si="342"/>
        <v>ND</v>
      </c>
      <c r="EU57" s="1" t="str">
        <f t="shared" si="342"/>
        <v>ND</v>
      </c>
      <c r="EV57" s="1" t="str">
        <f t="shared" si="342"/>
        <v>ND</v>
      </c>
      <c r="EW57" s="1" t="str">
        <f t="shared" si="342"/>
        <v>ND</v>
      </c>
      <c r="EX57" s="1" t="str">
        <f t="shared" si="342"/>
        <v>ND</v>
      </c>
      <c r="EY57" s="1" t="str">
        <f t="shared" si="342"/>
        <v>ND</v>
      </c>
      <c r="EZ57" s="1" t="str">
        <f t="shared" si="343"/>
        <v>ND</v>
      </c>
      <c r="FA57" s="1" t="str">
        <f t="shared" si="343"/>
        <v>ND</v>
      </c>
      <c r="FB57" s="1" t="str">
        <f t="shared" si="343"/>
        <v>ND</v>
      </c>
      <c r="FC57" s="1" t="str">
        <f t="shared" si="343"/>
        <v>ND</v>
      </c>
      <c r="FD57" s="1" t="str">
        <f t="shared" si="343"/>
        <v>ND</v>
      </c>
      <c r="FE57" s="1" t="str">
        <f t="shared" si="343"/>
        <v>ND</v>
      </c>
      <c r="FF57" s="1" t="str">
        <f t="shared" si="343"/>
        <v>ND</v>
      </c>
      <c r="FG57" s="1" t="str">
        <f t="shared" si="343"/>
        <v>ND</v>
      </c>
      <c r="FH57" s="1" t="str">
        <f t="shared" si="343"/>
        <v>ND</v>
      </c>
      <c r="FI57" s="1" t="str">
        <f t="shared" si="343"/>
        <v>ND</v>
      </c>
      <c r="FJ57" s="1" t="str">
        <f t="shared" si="343"/>
        <v>ND</v>
      </c>
      <c r="FK57" s="1" t="str">
        <f t="shared" si="344"/>
        <v>ND</v>
      </c>
      <c r="FL57" s="1" t="str">
        <f t="shared" si="344"/>
        <v>ND</v>
      </c>
      <c r="FM57" s="1" t="str">
        <f t="shared" si="344"/>
        <v>ND</v>
      </c>
      <c r="FN57" s="1" t="str">
        <f t="shared" si="344"/>
        <v>ND</v>
      </c>
      <c r="FO57" s="1" t="str">
        <f t="shared" si="344"/>
        <v>ND</v>
      </c>
      <c r="FP57" s="1" t="str">
        <f t="shared" si="344"/>
        <v>ND</v>
      </c>
      <c r="FQ57" s="1" t="str">
        <f t="shared" si="344"/>
        <v>ND</v>
      </c>
      <c r="FR57" s="1" t="str">
        <f t="shared" si="344"/>
        <v>ND</v>
      </c>
      <c r="FS57" s="1" t="str">
        <f t="shared" si="344"/>
        <v>ND</v>
      </c>
      <c r="FT57" s="1" t="str">
        <f t="shared" si="344"/>
        <v>ND</v>
      </c>
      <c r="FU57" s="1" t="str">
        <f t="shared" si="344"/>
        <v>ND</v>
      </c>
      <c r="FV57" s="1" t="str">
        <f t="shared" si="272"/>
        <v>ND</v>
      </c>
      <c r="FW57" s="1" t="str">
        <f t="shared" si="273"/>
        <v>ND</v>
      </c>
      <c r="FX57" s="1" t="str">
        <f t="shared" si="274"/>
        <v>ND</v>
      </c>
      <c r="FY57" s="1" t="str">
        <f t="shared" si="275"/>
        <v>ND</v>
      </c>
      <c r="FZ57" s="1" t="str">
        <f t="shared" si="276"/>
        <v>ND</v>
      </c>
      <c r="GA57" s="1" t="str">
        <f t="shared" si="277"/>
        <v>ND</v>
      </c>
      <c r="GB57" s="1" t="str">
        <f t="shared" si="278"/>
        <v>ND</v>
      </c>
      <c r="GC57" s="1" t="str">
        <f t="shared" si="279"/>
        <v>ND</v>
      </c>
      <c r="GD57" s="1" t="str">
        <f t="shared" si="280"/>
        <v>ND</v>
      </c>
      <c r="GE57" s="1" t="str">
        <f t="shared" si="281"/>
        <v>ND</v>
      </c>
      <c r="GF57" s="1" t="str">
        <f t="shared" si="282"/>
        <v>ND</v>
      </c>
      <c r="GG57" s="1" t="str">
        <f t="shared" si="283"/>
        <v>ND</v>
      </c>
      <c r="GH57" s="1" t="str">
        <f t="shared" si="284"/>
        <v>ND</v>
      </c>
      <c r="GI57" s="1" t="str">
        <f t="shared" si="285"/>
        <v>ND</v>
      </c>
      <c r="GJ57" s="1" t="str">
        <f t="shared" si="286"/>
        <v>ND</v>
      </c>
      <c r="GK57" s="1" t="str">
        <f t="shared" si="287"/>
        <v>ND</v>
      </c>
      <c r="GL57" s="1" t="str">
        <f t="shared" si="288"/>
        <v>ND</v>
      </c>
      <c r="GM57" s="1" t="str">
        <f t="shared" si="289"/>
        <v>ND</v>
      </c>
      <c r="GN57" s="1" t="str">
        <f t="shared" si="290"/>
        <v>ND</v>
      </c>
      <c r="GO57" s="1" t="str">
        <f t="shared" si="291"/>
        <v>ND</v>
      </c>
      <c r="GP57" s="1" t="str">
        <f t="shared" si="292"/>
        <v>ND</v>
      </c>
      <c r="GQ57" s="1" t="str">
        <f t="shared" si="293"/>
        <v>ND</v>
      </c>
      <c r="GR57" s="1" t="str">
        <f t="shared" si="294"/>
        <v>ND</v>
      </c>
      <c r="GS57" s="1" t="str">
        <f t="shared" si="295"/>
        <v>ND</v>
      </c>
      <c r="GT57" s="1" t="str">
        <f t="shared" si="296"/>
        <v>ND</v>
      </c>
      <c r="GU57" s="1" t="str">
        <f t="shared" si="297"/>
        <v>ND</v>
      </c>
      <c r="GV57" s="1" t="str">
        <f t="shared" si="298"/>
        <v>ND</v>
      </c>
      <c r="GW57" s="1" t="str">
        <f t="shared" si="299"/>
        <v>ND</v>
      </c>
      <c r="GX57" s="1" t="str">
        <f t="shared" si="300"/>
        <v>ND</v>
      </c>
      <c r="GY57" s="1" t="str">
        <f t="shared" si="301"/>
        <v>ND</v>
      </c>
      <c r="GZ57" s="1" t="str">
        <f t="shared" si="302"/>
        <v>ND</v>
      </c>
      <c r="HA57" s="1" t="str">
        <f t="shared" si="303"/>
        <v>ND</v>
      </c>
      <c r="HB57" s="1" t="str">
        <f t="shared" si="304"/>
        <v>ND</v>
      </c>
      <c r="HC57" s="1" t="str">
        <f t="shared" si="305"/>
        <v>ND</v>
      </c>
      <c r="HD57" s="1" t="str">
        <f t="shared" si="306"/>
        <v>ND</v>
      </c>
      <c r="HE57" s="1" t="str">
        <f t="shared" si="307"/>
        <v>ND</v>
      </c>
      <c r="HF57" s="1" t="str">
        <f t="shared" si="308"/>
        <v>ND</v>
      </c>
      <c r="HG57" s="1" t="str">
        <f t="shared" si="309"/>
        <v>ND</v>
      </c>
      <c r="HH57" s="1" t="str">
        <f t="shared" si="310"/>
        <v>ND</v>
      </c>
      <c r="HI57" s="1" t="str">
        <f t="shared" si="311"/>
        <v>ND</v>
      </c>
      <c r="HJ57" s="1" t="str">
        <f t="shared" si="312"/>
        <v>ND</v>
      </c>
      <c r="HK57" s="1" t="str">
        <f t="shared" si="313"/>
        <v>ND</v>
      </c>
      <c r="HL57" s="1" t="str">
        <f t="shared" si="314"/>
        <v>ND</v>
      </c>
      <c r="HM57" s="1" t="str">
        <f t="shared" si="315"/>
        <v>ND</v>
      </c>
      <c r="HN57" s="1" t="str">
        <f t="shared" si="316"/>
        <v>ND</v>
      </c>
      <c r="HO57" s="1" t="str">
        <f t="shared" si="317"/>
        <v>ND</v>
      </c>
      <c r="HP57" s="1" t="str">
        <f t="shared" si="318"/>
        <v>ND</v>
      </c>
      <c r="HQ57" s="1" t="str">
        <f t="shared" si="319"/>
        <v>ND</v>
      </c>
      <c r="HR57" s="1" t="str">
        <f t="shared" si="320"/>
        <v>ND</v>
      </c>
      <c r="HS57" s="1" t="str">
        <f t="shared" si="321"/>
        <v>ND</v>
      </c>
      <c r="HT57" s="1" t="str">
        <f t="shared" si="322"/>
        <v>ND</v>
      </c>
      <c r="HU57" s="1" t="str">
        <f t="shared" si="323"/>
        <v>ND</v>
      </c>
      <c r="HV57" s="1" t="str">
        <f t="shared" si="324"/>
        <v>ND</v>
      </c>
      <c r="HW57" s="1" t="str">
        <f t="shared" si="325"/>
        <v>ND</v>
      </c>
      <c r="HX57" s="1" t="str">
        <f t="shared" si="326"/>
        <v>ND</v>
      </c>
      <c r="HY57" s="1" t="str">
        <f t="shared" si="327"/>
        <v>ND</v>
      </c>
      <c r="HZ57" s="1" t="str">
        <f t="shared" si="328"/>
        <v>ND</v>
      </c>
      <c r="IA57" s="1" t="str">
        <f t="shared" si="329"/>
        <v>ND</v>
      </c>
      <c r="IB57" s="1" t="str">
        <f t="shared" si="330"/>
        <v>ND</v>
      </c>
      <c r="IC57" s="1" t="str">
        <f t="shared" si="331"/>
        <v>ND</v>
      </c>
      <c r="ID57" s="1" t="str">
        <f t="shared" si="332"/>
        <v>ND</v>
      </c>
      <c r="IE57" s="1" t="str">
        <f t="shared" si="333"/>
        <v>ND</v>
      </c>
      <c r="IF57" s="1" t="str">
        <f t="shared" si="334"/>
        <v>ND</v>
      </c>
      <c r="IG57" s="1" t="str">
        <f t="shared" si="335"/>
        <v>ND</v>
      </c>
      <c r="IH57" s="1" t="str">
        <f t="shared" si="336"/>
        <v>ND</v>
      </c>
      <c r="II57" s="1" t="str">
        <f t="shared" si="337"/>
        <v>ND</v>
      </c>
    </row>
    <row r="58" spans="3:243" x14ac:dyDescent="0.25">
      <c r="C58" t="s">
        <v>129</v>
      </c>
      <c r="D58">
        <f>SUMIFS(DICCIONARIO[Cantidad],DICCIONARIO[Modelo],UNIFICADA[[#This Row],[Equipo]])</f>
        <v>0</v>
      </c>
      <c r="E58" s="1">
        <f>IFERROR(VLOOKUP($C58,EQUIPOS[],UNIFICADO!E$9,0),"")</f>
        <v>12</v>
      </c>
      <c r="F58" s="1" t="str">
        <f>IFERROR(VLOOKUP($C58,EQUIPOS[],UNIFICADO!F$9,0),"")</f>
        <v>6.28 FullHD 120Hz</v>
      </c>
      <c r="G58" s="1">
        <f>IFERROR(VLOOKUP($C58,EQUIPOS[],UNIFICADO!G$9,0),"")</f>
        <v>64</v>
      </c>
      <c r="H58" s="1">
        <f>IFERROR(VLOOKUP($C58,EQUIPOS[],UNIFICADO!H$9,0),"")</f>
        <v>2</v>
      </c>
      <c r="I58" s="1">
        <f>IFERROR(VLOOKUP($C58,EQUIPOS[],UNIFICADO!I$9,0),"")</f>
        <v>32</v>
      </c>
      <c r="J58" s="1" t="str">
        <f>IFERROR(VLOOKUP($C58,EQUIPOS[],UNIFICADO!J$9,0),"")</f>
        <v>128GB</v>
      </c>
      <c r="K58" s="1">
        <f>IFERROR(VLOOKUP($C58,EQUIPOS[],UNIFICADO!K$9,0),"")</f>
        <v>0</v>
      </c>
      <c r="L58" s="1">
        <f>IFERROR(VLOOKUP($C58,EQUIPOS[],UNIFICADO!L$9,0),"")</f>
        <v>8</v>
      </c>
      <c r="M58" s="1" t="str">
        <f>IFERROR(VLOOKUP($C58,EQUIPOS[],UNIFICADO!M$9,0),"")</f>
        <v>Snapdragon 695</v>
      </c>
      <c r="N58" s="1">
        <f>IFERROR(VLOOKUP($C58,EQUIPOS[],UNIFICADO!N$9,0),"")</f>
        <v>8</v>
      </c>
      <c r="O58" s="1">
        <f>IFERROR(VLOOKUP($C58,EQUIPOS[],UNIFICADO!O$9,0),"")</f>
        <v>155</v>
      </c>
      <c r="P58" s="1">
        <f>IFERROR(VLOOKUP($C58,EQUIPOS[],UNIFICADO!P$9,0),"")</f>
        <v>15.3</v>
      </c>
      <c r="Q58" s="1">
        <f>IFERROR(VLOOKUP($C58,EQUIPOS[],UNIFICADO!Q$9,0),"")</f>
        <v>7.12</v>
      </c>
      <c r="R58" s="1">
        <f>IFERROR(VLOOKUP($C58,EQUIPOS[],UNIFICADO!R$9,0),"")</f>
        <v>0.78</v>
      </c>
      <c r="S58" s="1">
        <f>IFERROR(VLOOKUP($C58,EQUIPOS[],UNIFICADO!S$9,0),"")</f>
        <v>4020</v>
      </c>
      <c r="T58" s="1">
        <f>IFERROR(VLOOKUP($C58,EQUIPOS[],UNIFICADO!T$9,0),"")</f>
        <v>5</v>
      </c>
      <c r="U58" s="1">
        <f>VLOOKUP(UNIFICADA[[#This Row],[Equipo]],EQUIPOS[],19,0)</f>
        <v>48</v>
      </c>
      <c r="V58" s="1" t="str">
        <f t="shared" si="182"/>
        <v>ND</v>
      </c>
      <c r="W58" s="1" t="str">
        <f t="shared" si="183"/>
        <v>ND</v>
      </c>
      <c r="X58" s="1" t="str">
        <f t="shared" si="338"/>
        <v>ND</v>
      </c>
      <c r="Y58" s="1" t="str">
        <f t="shared" si="338"/>
        <v>ND</v>
      </c>
      <c r="Z58" s="1" t="str">
        <f t="shared" si="339"/>
        <v>ND</v>
      </c>
      <c r="AA58" s="1" t="str">
        <f t="shared" si="339"/>
        <v>ND</v>
      </c>
      <c r="AB58" s="1" t="str">
        <f t="shared" si="339"/>
        <v>ND</v>
      </c>
      <c r="AC58" s="1" t="str">
        <f t="shared" si="339"/>
        <v>ND</v>
      </c>
      <c r="AD58" s="1" t="str">
        <f t="shared" si="339"/>
        <v>ND</v>
      </c>
      <c r="AE58" s="1" t="str">
        <f t="shared" si="339"/>
        <v>ND</v>
      </c>
      <c r="AF58" s="1" t="str">
        <f t="shared" si="339"/>
        <v>ND</v>
      </c>
      <c r="AG58" s="1" t="str">
        <f t="shared" si="339"/>
        <v>ND</v>
      </c>
      <c r="AH58" s="1" t="str">
        <f t="shared" si="339"/>
        <v>ND</v>
      </c>
      <c r="AI58" s="1" t="str">
        <f t="shared" si="184"/>
        <v>ND</v>
      </c>
      <c r="AJ58" s="1" t="str">
        <f t="shared" si="185"/>
        <v>ND</v>
      </c>
      <c r="AK58" s="1" t="str">
        <f t="shared" si="186"/>
        <v>ND</v>
      </c>
      <c r="AL58" s="1" t="str">
        <f t="shared" si="187"/>
        <v>ND</v>
      </c>
      <c r="AM58" s="1" t="str">
        <f t="shared" si="188"/>
        <v>ND</v>
      </c>
      <c r="AN58" s="1" t="str">
        <f t="shared" si="189"/>
        <v>ND</v>
      </c>
      <c r="AO58" s="1" t="str">
        <f t="shared" si="190"/>
        <v>ND</v>
      </c>
      <c r="AP58" s="1" t="str">
        <f t="shared" si="191"/>
        <v>ND</v>
      </c>
      <c r="AQ58" s="1" t="str">
        <f t="shared" si="192"/>
        <v>ND</v>
      </c>
      <c r="AR58" s="1" t="str">
        <f t="shared" si="193"/>
        <v>ND</v>
      </c>
      <c r="AS58" s="1" t="str">
        <f t="shared" si="194"/>
        <v>ND</v>
      </c>
      <c r="AT58" s="1" t="str">
        <f t="shared" si="195"/>
        <v>ND</v>
      </c>
      <c r="AU58" s="1" t="str">
        <f t="shared" si="196"/>
        <v>ND</v>
      </c>
      <c r="AV58" s="1" t="str">
        <f t="shared" si="197"/>
        <v>ND</v>
      </c>
      <c r="AW58" s="1" t="str">
        <f t="shared" si="198"/>
        <v>ND</v>
      </c>
      <c r="AX58" s="1" t="str">
        <f t="shared" si="199"/>
        <v>ND</v>
      </c>
      <c r="AY58" s="1" t="str">
        <f t="shared" si="200"/>
        <v>ND</v>
      </c>
      <c r="AZ58" s="1" t="str">
        <f t="shared" si="201"/>
        <v>ND</v>
      </c>
      <c r="BA58" s="1" t="str">
        <f t="shared" si="202"/>
        <v>ND</v>
      </c>
      <c r="BB58" s="1" t="str">
        <f t="shared" si="203"/>
        <v>ND</v>
      </c>
      <c r="BC58" s="1" t="str">
        <f t="shared" si="204"/>
        <v>ND</v>
      </c>
      <c r="BD58" s="1" t="str">
        <f t="shared" si="205"/>
        <v>ND</v>
      </c>
      <c r="BE58" s="1" t="str">
        <f t="shared" si="206"/>
        <v>ND</v>
      </c>
      <c r="BF58" s="1" t="str">
        <f t="shared" si="207"/>
        <v>ND</v>
      </c>
      <c r="BG58" s="1" t="str">
        <f t="shared" si="208"/>
        <v>ND</v>
      </c>
      <c r="BH58" s="1" t="str">
        <f t="shared" si="209"/>
        <v>ND</v>
      </c>
      <c r="BI58" s="1" t="str">
        <f t="shared" si="210"/>
        <v>ND</v>
      </c>
      <c r="BJ58" s="1" t="str">
        <f t="shared" si="211"/>
        <v>ND</v>
      </c>
      <c r="BK58" s="1" t="str">
        <f t="shared" si="212"/>
        <v>ND</v>
      </c>
      <c r="BL58" s="1" t="str">
        <f t="shared" si="213"/>
        <v>ND</v>
      </c>
      <c r="BM58" s="1" t="str">
        <f t="shared" si="214"/>
        <v>ND</v>
      </c>
      <c r="BN58" s="1" t="str">
        <f t="shared" si="215"/>
        <v>ND</v>
      </c>
      <c r="BO58" s="1" t="str">
        <f t="shared" si="216"/>
        <v>ND</v>
      </c>
      <c r="BP58" s="1" t="str">
        <f t="shared" si="217"/>
        <v>ND</v>
      </c>
      <c r="BQ58" s="1" t="str">
        <f t="shared" si="218"/>
        <v>ND</v>
      </c>
      <c r="BR58" s="1" t="str">
        <f t="shared" si="219"/>
        <v>ND</v>
      </c>
      <c r="BS58" s="1" t="str">
        <f t="shared" si="220"/>
        <v>ND</v>
      </c>
      <c r="BT58" s="1" t="str">
        <f t="shared" si="221"/>
        <v>ND</v>
      </c>
      <c r="BU58" s="1" t="str">
        <f t="shared" si="222"/>
        <v>ND</v>
      </c>
      <c r="BV58" s="1" t="str">
        <f t="shared" si="223"/>
        <v>ND</v>
      </c>
      <c r="BW58" s="1" t="str">
        <f t="shared" si="224"/>
        <v>ND</v>
      </c>
      <c r="BX58" s="1" t="str">
        <f t="shared" si="225"/>
        <v>ND</v>
      </c>
      <c r="BY58" s="1" t="str">
        <f t="shared" si="226"/>
        <v>ND</v>
      </c>
      <c r="BZ58" s="1" t="str">
        <f t="shared" si="227"/>
        <v>ND</v>
      </c>
      <c r="CA58" s="1" t="str">
        <f t="shared" si="340"/>
        <v>ND</v>
      </c>
      <c r="CB58" s="1" t="str">
        <f t="shared" si="340"/>
        <v>ND</v>
      </c>
      <c r="CC58" s="1" t="str">
        <f t="shared" si="340"/>
        <v>ND</v>
      </c>
      <c r="CD58" s="1" t="str">
        <f t="shared" si="340"/>
        <v>ND</v>
      </c>
      <c r="CE58" s="1" t="str">
        <f t="shared" si="340"/>
        <v>ND</v>
      </c>
      <c r="CF58" s="1" t="str">
        <f t="shared" si="340"/>
        <v>ND</v>
      </c>
      <c r="CG58" s="1" t="str">
        <f t="shared" si="340"/>
        <v>ND</v>
      </c>
      <c r="CH58" s="1" t="str">
        <f t="shared" si="340"/>
        <v>ND</v>
      </c>
      <c r="CI58" s="1" t="str">
        <f t="shared" si="340"/>
        <v>ND</v>
      </c>
      <c r="CJ58" s="1" t="str">
        <f t="shared" si="340"/>
        <v>ND</v>
      </c>
      <c r="CK58" s="1" t="str">
        <f t="shared" si="340"/>
        <v>ND</v>
      </c>
      <c r="CL58" s="1" t="str">
        <f t="shared" si="341"/>
        <v>ND</v>
      </c>
      <c r="CM58" s="1" t="str">
        <f t="shared" si="341"/>
        <v>ND</v>
      </c>
      <c r="CN58" s="1" t="str">
        <f t="shared" si="341"/>
        <v>ND</v>
      </c>
      <c r="CO58" s="1" t="str">
        <f t="shared" si="341"/>
        <v>ND</v>
      </c>
      <c r="CP58" s="1" t="str">
        <f t="shared" si="341"/>
        <v>ND</v>
      </c>
      <c r="CQ58" s="1" t="str">
        <f t="shared" si="341"/>
        <v>ND</v>
      </c>
      <c r="CR58" s="1" t="str">
        <f t="shared" si="341"/>
        <v>ND</v>
      </c>
      <c r="CS58" s="1" t="str">
        <f t="shared" si="341"/>
        <v>ND</v>
      </c>
      <c r="CT58" s="1" t="str">
        <f t="shared" si="341"/>
        <v>ND</v>
      </c>
      <c r="CU58" s="1" t="str">
        <f t="shared" si="341"/>
        <v>ND</v>
      </c>
      <c r="CV58" s="1" t="str">
        <f t="shared" si="341"/>
        <v>ND</v>
      </c>
      <c r="CW58" s="1" t="str">
        <f t="shared" si="228"/>
        <v>ND</v>
      </c>
      <c r="CX58" s="1" t="str">
        <f t="shared" si="229"/>
        <v>ND</v>
      </c>
      <c r="CY58" s="1" t="str">
        <f t="shared" si="230"/>
        <v>ND</v>
      </c>
      <c r="CZ58" s="1" t="str">
        <f t="shared" si="231"/>
        <v>ND</v>
      </c>
      <c r="DA58" s="1" t="str">
        <f t="shared" si="232"/>
        <v>ND</v>
      </c>
      <c r="DB58" s="1" t="str">
        <f t="shared" si="233"/>
        <v>ND</v>
      </c>
      <c r="DC58" s="1" t="str">
        <f t="shared" si="234"/>
        <v>ND</v>
      </c>
      <c r="DD58" s="1" t="str">
        <f t="shared" si="235"/>
        <v>ND</v>
      </c>
      <c r="DE58" s="1" t="str">
        <f t="shared" si="236"/>
        <v>ND</v>
      </c>
      <c r="DF58" s="1" t="str">
        <f t="shared" si="237"/>
        <v>ND</v>
      </c>
      <c r="DG58" s="1" t="str">
        <f t="shared" si="238"/>
        <v>ND</v>
      </c>
      <c r="DH58" s="1" t="str">
        <f t="shared" si="239"/>
        <v>ND</v>
      </c>
      <c r="DI58" s="1" t="str">
        <f t="shared" si="240"/>
        <v>ND</v>
      </c>
      <c r="DJ58" s="1" t="str">
        <f t="shared" si="241"/>
        <v>ND</v>
      </c>
      <c r="DK58" s="1" t="str">
        <f t="shared" si="242"/>
        <v>ND</v>
      </c>
      <c r="DL58" s="1" t="str">
        <f t="shared" si="243"/>
        <v>ND</v>
      </c>
      <c r="DM58" s="1" t="str">
        <f t="shared" si="244"/>
        <v>ND</v>
      </c>
      <c r="DN58" s="1" t="str">
        <f t="shared" si="245"/>
        <v>ND</v>
      </c>
      <c r="DO58" s="1" t="str">
        <f t="shared" si="246"/>
        <v>ND</v>
      </c>
      <c r="DP58" s="1" t="str">
        <f t="shared" si="247"/>
        <v>ND</v>
      </c>
      <c r="DQ58" s="1" t="str">
        <f t="shared" si="248"/>
        <v>ND</v>
      </c>
      <c r="DR58" s="1" t="str">
        <f t="shared" si="249"/>
        <v>ND</v>
      </c>
      <c r="DS58" s="1" t="str">
        <f t="shared" si="250"/>
        <v>ND</v>
      </c>
      <c r="DT58" s="1" t="str">
        <f t="shared" si="251"/>
        <v>ND</v>
      </c>
      <c r="DU58" s="1" t="str">
        <f t="shared" si="252"/>
        <v>ND</v>
      </c>
      <c r="DV58" s="1" t="str">
        <f t="shared" si="253"/>
        <v>ND</v>
      </c>
      <c r="DW58" s="1" t="str">
        <f t="shared" si="254"/>
        <v>ND</v>
      </c>
      <c r="DX58" s="1" t="str">
        <f t="shared" si="255"/>
        <v>ND</v>
      </c>
      <c r="DY58" s="1" t="str">
        <f t="shared" si="256"/>
        <v>ND</v>
      </c>
      <c r="DZ58" s="1" t="str">
        <f t="shared" si="257"/>
        <v>ND</v>
      </c>
      <c r="EA58" s="1" t="str">
        <f t="shared" si="258"/>
        <v>ND</v>
      </c>
      <c r="EB58" s="1" t="str">
        <f t="shared" si="259"/>
        <v>ND</v>
      </c>
      <c r="EC58" s="1" t="str">
        <f t="shared" si="260"/>
        <v>ND</v>
      </c>
      <c r="ED58" s="1" t="str">
        <f t="shared" si="261"/>
        <v>ND</v>
      </c>
      <c r="EE58" s="1" t="str">
        <f t="shared" si="262"/>
        <v>ND</v>
      </c>
      <c r="EF58" s="1" t="str">
        <f t="shared" si="263"/>
        <v>ND</v>
      </c>
      <c r="EG58" s="1" t="str">
        <f t="shared" si="264"/>
        <v>ND</v>
      </c>
      <c r="EH58" s="1" t="str">
        <f t="shared" si="265"/>
        <v>ND</v>
      </c>
      <c r="EI58" s="1" t="str">
        <f t="shared" si="266"/>
        <v>ND</v>
      </c>
      <c r="EJ58" s="1" t="str">
        <f t="shared" si="267"/>
        <v>ND</v>
      </c>
      <c r="EK58" s="1" t="str">
        <f t="shared" si="268"/>
        <v>ND</v>
      </c>
      <c r="EL58" s="1" t="str">
        <f t="shared" si="269"/>
        <v>ND</v>
      </c>
      <c r="EM58" s="1" t="str">
        <f t="shared" si="270"/>
        <v>ND</v>
      </c>
      <c r="EN58" s="1" t="str">
        <f t="shared" si="271"/>
        <v>ND</v>
      </c>
      <c r="EO58" s="1" t="str">
        <f t="shared" si="342"/>
        <v>ND</v>
      </c>
      <c r="EP58" s="1" t="str">
        <f t="shared" si="342"/>
        <v>ND</v>
      </c>
      <c r="EQ58" s="1" t="str">
        <f t="shared" si="342"/>
        <v>ND</v>
      </c>
      <c r="ER58" s="1" t="str">
        <f t="shared" si="342"/>
        <v>ND</v>
      </c>
      <c r="ES58" s="1" t="str">
        <f t="shared" si="342"/>
        <v>ND</v>
      </c>
      <c r="ET58" s="1" t="str">
        <f t="shared" si="342"/>
        <v>ND</v>
      </c>
      <c r="EU58" s="1" t="str">
        <f t="shared" si="342"/>
        <v>ND</v>
      </c>
      <c r="EV58" s="1" t="str">
        <f t="shared" si="342"/>
        <v>ND</v>
      </c>
      <c r="EW58" s="1" t="str">
        <f t="shared" si="342"/>
        <v>ND</v>
      </c>
      <c r="EX58" s="1" t="str">
        <f t="shared" si="342"/>
        <v>ND</v>
      </c>
      <c r="EY58" s="1" t="str">
        <f t="shared" si="342"/>
        <v>ND</v>
      </c>
      <c r="EZ58" s="1" t="str">
        <f t="shared" si="343"/>
        <v>ND</v>
      </c>
      <c r="FA58" s="1" t="str">
        <f t="shared" si="343"/>
        <v>ND</v>
      </c>
      <c r="FB58" s="1" t="str">
        <f t="shared" si="343"/>
        <v>ND</v>
      </c>
      <c r="FC58" s="1" t="str">
        <f t="shared" si="343"/>
        <v>ND</v>
      </c>
      <c r="FD58" s="1" t="str">
        <f t="shared" si="343"/>
        <v>ND</v>
      </c>
      <c r="FE58" s="1" t="str">
        <f t="shared" si="343"/>
        <v>ND</v>
      </c>
      <c r="FF58" s="1" t="str">
        <f t="shared" si="343"/>
        <v>ND</v>
      </c>
      <c r="FG58" s="1" t="str">
        <f t="shared" si="343"/>
        <v>ND</v>
      </c>
      <c r="FH58" s="1" t="str">
        <f t="shared" si="343"/>
        <v>ND</v>
      </c>
      <c r="FI58" s="1" t="str">
        <f t="shared" si="343"/>
        <v>ND</v>
      </c>
      <c r="FJ58" s="1" t="str">
        <f t="shared" si="343"/>
        <v>ND</v>
      </c>
      <c r="FK58" s="1" t="str">
        <f t="shared" si="344"/>
        <v>ND</v>
      </c>
      <c r="FL58" s="1" t="str">
        <f t="shared" si="344"/>
        <v>ND</v>
      </c>
      <c r="FM58" s="1" t="str">
        <f t="shared" si="344"/>
        <v>ND</v>
      </c>
      <c r="FN58" s="1" t="str">
        <f t="shared" si="344"/>
        <v>ND</v>
      </c>
      <c r="FO58" s="1" t="str">
        <f t="shared" si="344"/>
        <v>ND</v>
      </c>
      <c r="FP58" s="1" t="str">
        <f t="shared" si="344"/>
        <v>ND</v>
      </c>
      <c r="FQ58" s="1" t="str">
        <f t="shared" si="344"/>
        <v>ND</v>
      </c>
      <c r="FR58" s="1" t="str">
        <f t="shared" si="344"/>
        <v>ND</v>
      </c>
      <c r="FS58" s="1" t="str">
        <f t="shared" si="344"/>
        <v>ND</v>
      </c>
      <c r="FT58" s="1" t="str">
        <f t="shared" si="344"/>
        <v>ND</v>
      </c>
      <c r="FU58" s="1" t="str">
        <f t="shared" si="344"/>
        <v>ND</v>
      </c>
      <c r="FV58" s="1" t="str">
        <f t="shared" si="272"/>
        <v>ND</v>
      </c>
      <c r="FW58" s="1" t="str">
        <f t="shared" si="273"/>
        <v>ND</v>
      </c>
      <c r="FX58" s="1" t="str">
        <f t="shared" si="274"/>
        <v>ND</v>
      </c>
      <c r="FY58" s="1" t="str">
        <f t="shared" si="275"/>
        <v>ND</v>
      </c>
      <c r="FZ58" s="1" t="str">
        <f t="shared" si="276"/>
        <v>ND</v>
      </c>
      <c r="GA58" s="1" t="str">
        <f t="shared" si="277"/>
        <v>ND</v>
      </c>
      <c r="GB58" s="1" t="str">
        <f t="shared" si="278"/>
        <v>ND</v>
      </c>
      <c r="GC58" s="1" t="str">
        <f t="shared" si="279"/>
        <v>ND</v>
      </c>
      <c r="GD58" s="1" t="str">
        <f t="shared" si="280"/>
        <v>ND</v>
      </c>
      <c r="GE58" s="1" t="str">
        <f t="shared" si="281"/>
        <v>ND</v>
      </c>
      <c r="GF58" s="1" t="str">
        <f t="shared" si="282"/>
        <v>ND</v>
      </c>
      <c r="GG58" s="1" t="str">
        <f t="shared" si="283"/>
        <v>ND</v>
      </c>
      <c r="GH58" s="1" t="str">
        <f t="shared" si="284"/>
        <v>ND</v>
      </c>
      <c r="GI58" s="1" t="str">
        <f t="shared" si="285"/>
        <v>ND</v>
      </c>
      <c r="GJ58" s="1" t="str">
        <f t="shared" si="286"/>
        <v>ND</v>
      </c>
      <c r="GK58" s="1" t="str">
        <f t="shared" si="287"/>
        <v>ND</v>
      </c>
      <c r="GL58" s="1" t="str">
        <f t="shared" si="288"/>
        <v>ND</v>
      </c>
      <c r="GM58" s="1" t="str">
        <f t="shared" si="289"/>
        <v>ND</v>
      </c>
      <c r="GN58" s="1" t="str">
        <f t="shared" si="290"/>
        <v>ND</v>
      </c>
      <c r="GO58" s="1" t="str">
        <f t="shared" si="291"/>
        <v>ND</v>
      </c>
      <c r="GP58" s="1" t="str">
        <f t="shared" si="292"/>
        <v>ND</v>
      </c>
      <c r="GQ58" s="1" t="str">
        <f t="shared" si="293"/>
        <v>ND</v>
      </c>
      <c r="GR58" s="1" t="str">
        <f t="shared" si="294"/>
        <v>ND</v>
      </c>
      <c r="GS58" s="1" t="str">
        <f t="shared" si="295"/>
        <v>ND</v>
      </c>
      <c r="GT58" s="1" t="str">
        <f t="shared" si="296"/>
        <v>ND</v>
      </c>
      <c r="GU58" s="1" t="str">
        <f t="shared" si="297"/>
        <v>ND</v>
      </c>
      <c r="GV58" s="1" t="str">
        <f t="shared" si="298"/>
        <v>ND</v>
      </c>
      <c r="GW58" s="1" t="str">
        <f t="shared" si="299"/>
        <v>ND</v>
      </c>
      <c r="GX58" s="1" t="str">
        <f t="shared" si="300"/>
        <v>ND</v>
      </c>
      <c r="GY58" s="1" t="str">
        <f t="shared" si="301"/>
        <v>ND</v>
      </c>
      <c r="GZ58" s="1" t="str">
        <f t="shared" si="302"/>
        <v>ND</v>
      </c>
      <c r="HA58" s="1" t="str">
        <f t="shared" si="303"/>
        <v>ND</v>
      </c>
      <c r="HB58" s="1" t="str">
        <f t="shared" si="304"/>
        <v>ND</v>
      </c>
      <c r="HC58" s="1" t="str">
        <f t="shared" si="305"/>
        <v>ND</v>
      </c>
      <c r="HD58" s="1" t="str">
        <f t="shared" si="306"/>
        <v>ND</v>
      </c>
      <c r="HE58" s="1" t="str">
        <f t="shared" si="307"/>
        <v>ND</v>
      </c>
      <c r="HF58" s="1" t="str">
        <f t="shared" si="308"/>
        <v>ND</v>
      </c>
      <c r="HG58" s="1" t="str">
        <f t="shared" si="309"/>
        <v>ND</v>
      </c>
      <c r="HH58" s="1" t="str">
        <f t="shared" si="310"/>
        <v>ND</v>
      </c>
      <c r="HI58" s="1" t="str">
        <f t="shared" si="311"/>
        <v>ND</v>
      </c>
      <c r="HJ58" s="1" t="str">
        <f t="shared" si="312"/>
        <v>ND</v>
      </c>
      <c r="HK58" s="1" t="str">
        <f t="shared" si="313"/>
        <v>ND</v>
      </c>
      <c r="HL58" s="1" t="str">
        <f t="shared" si="314"/>
        <v>ND</v>
      </c>
      <c r="HM58" s="1" t="str">
        <f t="shared" si="315"/>
        <v>ND</v>
      </c>
      <c r="HN58" s="1" t="str">
        <f t="shared" si="316"/>
        <v>ND</v>
      </c>
      <c r="HO58" s="1" t="str">
        <f t="shared" si="317"/>
        <v>ND</v>
      </c>
      <c r="HP58" s="1" t="str">
        <f t="shared" si="318"/>
        <v>ND</v>
      </c>
      <c r="HQ58" s="1" t="str">
        <f t="shared" si="319"/>
        <v>ND</v>
      </c>
      <c r="HR58" s="1" t="str">
        <f t="shared" si="320"/>
        <v>ND</v>
      </c>
      <c r="HS58" s="1" t="str">
        <f t="shared" si="321"/>
        <v>ND</v>
      </c>
      <c r="HT58" s="1" t="str">
        <f t="shared" si="322"/>
        <v>ND</v>
      </c>
      <c r="HU58" s="1" t="str">
        <f t="shared" si="323"/>
        <v>ND</v>
      </c>
      <c r="HV58" s="1" t="str">
        <f t="shared" si="324"/>
        <v>ND</v>
      </c>
      <c r="HW58" s="1" t="str">
        <f t="shared" si="325"/>
        <v>ND</v>
      </c>
      <c r="HX58" s="1" t="str">
        <f t="shared" si="326"/>
        <v>ND</v>
      </c>
      <c r="HY58" s="1" t="str">
        <f t="shared" si="327"/>
        <v>ND</v>
      </c>
      <c r="HZ58" s="1" t="str">
        <f t="shared" si="328"/>
        <v>ND</v>
      </c>
      <c r="IA58" s="1" t="str">
        <f t="shared" si="329"/>
        <v>ND</v>
      </c>
      <c r="IB58" s="1" t="str">
        <f t="shared" si="330"/>
        <v>ND</v>
      </c>
      <c r="IC58" s="1" t="str">
        <f t="shared" si="331"/>
        <v>ND</v>
      </c>
      <c r="ID58" s="1" t="str">
        <f t="shared" si="332"/>
        <v>ND</v>
      </c>
      <c r="IE58" s="1" t="str">
        <f t="shared" si="333"/>
        <v>ND</v>
      </c>
      <c r="IF58" s="1" t="str">
        <f t="shared" si="334"/>
        <v>ND</v>
      </c>
      <c r="IG58" s="1" t="str">
        <f t="shared" si="335"/>
        <v>ND</v>
      </c>
      <c r="IH58" s="1" t="str">
        <f t="shared" si="336"/>
        <v>ND</v>
      </c>
      <c r="II58" s="1" t="str">
        <f t="shared" si="337"/>
        <v>ND</v>
      </c>
    </row>
    <row r="59" spans="3:243" x14ac:dyDescent="0.25">
      <c r="C59" t="s">
        <v>988</v>
      </c>
      <c r="D59">
        <f>SUMIFS(DICCIONARIO[Cantidad],DICCIONARIO[Modelo],UNIFICADA[[#This Row],[Equipo]])</f>
        <v>183</v>
      </c>
      <c r="E59" s="1">
        <f>IFERROR(VLOOKUP($C59,EQUIPOS[],UNIFICADO!E$9,0),"")</f>
        <v>13</v>
      </c>
      <c r="F59" s="1" t="str">
        <f>IFERROR(VLOOKUP($C59,EQUIPOS[],UNIFICADO!F$9,0),"")</f>
        <v>6.5 LCD HD+ 90Hz</v>
      </c>
      <c r="G59" s="1" t="str">
        <f>IFERROR(VLOOKUP($C59,EQUIPOS[],UNIFICADO!G$9,0),"")</f>
        <v>50 Mpx f/1.8</v>
      </c>
      <c r="H59" s="1">
        <f>IFERROR(VLOOKUP($C59,EQUIPOS[],UNIFICADO!H$9,0),"")</f>
        <v>3</v>
      </c>
      <c r="I59" s="1" t="str">
        <f>IFERROR(VLOOKUP($C59,EQUIPOS[],UNIFICADO!I$9,0),"")</f>
        <v>16Mpx f/1.8</v>
      </c>
      <c r="J59" s="1" t="str">
        <f>IFERROR(VLOOKUP($C59,EQUIPOS[],UNIFICADO!J$9,0),"")</f>
        <v>128GB</v>
      </c>
      <c r="K59" s="1">
        <f>IFERROR(VLOOKUP($C59,EQUIPOS[],UNIFICADO!K$9,0),"")</f>
        <v>512</v>
      </c>
      <c r="L59" s="1">
        <f>IFERROR(VLOOKUP($C59,EQUIPOS[],UNIFICADO!L$9,0),"")</f>
        <v>8</v>
      </c>
      <c r="M59" s="1" t="str">
        <f>IFERROR(VLOOKUP($C59,EQUIPOS[],UNIFICADO!M$9,0),"")</f>
        <v>Mdtk Helio G85</v>
      </c>
      <c r="N59" s="1">
        <f>IFERROR(VLOOKUP($C59,EQUIPOS[],UNIFICADO!N$9,0),"")</f>
        <v>4</v>
      </c>
      <c r="O59" s="1">
        <f>IFERROR(VLOOKUP($C59,EQUIPOS[],UNIFICADO!O$9,0),"")</f>
        <v>184</v>
      </c>
      <c r="P59" s="1">
        <f>IFERROR(VLOOKUP($C59,EQUIPOS[],UNIFICADO!P$9,0),"")</f>
        <v>16.3</v>
      </c>
      <c r="Q59" s="1" t="str">
        <f>IFERROR(VLOOKUP($C59,EQUIPOS[],UNIFICADO!Q$9,0),"")</f>
        <v>7..47</v>
      </c>
      <c r="R59" s="1">
        <f>IFERROR(VLOOKUP($C59,EQUIPOS[],UNIFICADO!R$9,0),"")</f>
        <v>0.82</v>
      </c>
      <c r="S59" s="1" t="str">
        <f>IFERROR(VLOOKUP($C59,EQUIPOS[],UNIFICADO!S$9,0),"")</f>
        <v>5000 30W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82"/>
        <v>ND</v>
      </c>
      <c r="W59" s="1" t="str">
        <f t="shared" si="183"/>
        <v>ND</v>
      </c>
      <c r="X59" s="1" t="str">
        <f t="shared" si="338"/>
        <v>ND</v>
      </c>
      <c r="Y59" s="1" t="str">
        <f t="shared" si="338"/>
        <v>ND</v>
      </c>
      <c r="Z59" s="1" t="str">
        <f t="shared" si="339"/>
        <v>ND</v>
      </c>
      <c r="AA59" s="1" t="str">
        <f t="shared" si="339"/>
        <v>ND</v>
      </c>
      <c r="AB59" s="1" t="str">
        <f t="shared" si="339"/>
        <v>ND</v>
      </c>
      <c r="AC59" s="1" t="str">
        <f t="shared" si="339"/>
        <v>ND</v>
      </c>
      <c r="AD59" s="1" t="str">
        <f t="shared" si="339"/>
        <v>ND</v>
      </c>
      <c r="AE59" s="1" t="str">
        <f t="shared" si="339"/>
        <v>ND</v>
      </c>
      <c r="AF59" s="1" t="str">
        <f t="shared" si="339"/>
        <v>ND</v>
      </c>
      <c r="AG59" s="1" t="str">
        <f t="shared" si="339"/>
        <v>ND</v>
      </c>
      <c r="AH59" s="1" t="str">
        <f t="shared" si="339"/>
        <v>ND</v>
      </c>
      <c r="AI59" s="1" t="str">
        <f t="shared" si="184"/>
        <v>ND</v>
      </c>
      <c r="AJ59" s="1" t="str">
        <f t="shared" si="185"/>
        <v>ND</v>
      </c>
      <c r="AK59" s="1" t="str">
        <f t="shared" si="186"/>
        <v>ND</v>
      </c>
      <c r="AL59" s="1" t="str">
        <f t="shared" si="187"/>
        <v>ND</v>
      </c>
      <c r="AM59" s="1" t="str">
        <f t="shared" si="188"/>
        <v>ND</v>
      </c>
      <c r="AN59" s="1" t="str">
        <f t="shared" si="189"/>
        <v>ND</v>
      </c>
      <c r="AO59" s="1" t="str">
        <f t="shared" si="190"/>
        <v>ND</v>
      </c>
      <c r="AP59" s="1" t="str">
        <f t="shared" si="191"/>
        <v>ND</v>
      </c>
      <c r="AQ59" s="1" t="str">
        <f t="shared" si="192"/>
        <v>ND</v>
      </c>
      <c r="AR59" s="1" t="str">
        <f t="shared" si="193"/>
        <v>ND</v>
      </c>
      <c r="AS59" s="1" t="str">
        <f t="shared" si="194"/>
        <v>ND</v>
      </c>
      <c r="AT59" s="1" t="str">
        <f t="shared" si="195"/>
        <v>ND</v>
      </c>
      <c r="AU59" s="1" t="str">
        <f t="shared" si="196"/>
        <v>ND</v>
      </c>
      <c r="AV59" s="1" t="str">
        <f t="shared" si="197"/>
        <v>ND</v>
      </c>
      <c r="AW59" s="1" t="str">
        <f t="shared" si="198"/>
        <v>ND</v>
      </c>
      <c r="AX59" s="1" t="str">
        <f t="shared" si="199"/>
        <v>ND</v>
      </c>
      <c r="AY59" s="1" t="str">
        <f t="shared" si="200"/>
        <v>ND</v>
      </c>
      <c r="AZ59" s="1" t="str">
        <f t="shared" si="201"/>
        <v>ND</v>
      </c>
      <c r="BA59" s="1" t="str">
        <f t="shared" si="202"/>
        <v>ND</v>
      </c>
      <c r="BB59" s="1" t="str">
        <f t="shared" si="203"/>
        <v>ND</v>
      </c>
      <c r="BC59" s="1" t="str">
        <f t="shared" si="204"/>
        <v>ND</v>
      </c>
      <c r="BD59" s="1" t="str">
        <f t="shared" si="205"/>
        <v>ND</v>
      </c>
      <c r="BE59" s="1" t="str">
        <f t="shared" si="206"/>
        <v>ND</v>
      </c>
      <c r="BF59" s="1" t="str">
        <f t="shared" si="207"/>
        <v>ND</v>
      </c>
      <c r="BG59" s="1" t="str">
        <f t="shared" si="208"/>
        <v>ND</v>
      </c>
      <c r="BH59" s="1" t="str">
        <f t="shared" si="209"/>
        <v>ND</v>
      </c>
      <c r="BI59" s="1" t="str">
        <f t="shared" si="210"/>
        <v>ND</v>
      </c>
      <c r="BJ59" s="1" t="str">
        <f t="shared" si="211"/>
        <v>ND</v>
      </c>
      <c r="BK59" s="1" t="str">
        <f t="shared" si="212"/>
        <v>ND</v>
      </c>
      <c r="BL59" s="1" t="str">
        <f t="shared" si="213"/>
        <v>ND</v>
      </c>
      <c r="BM59" s="1" t="str">
        <f t="shared" si="214"/>
        <v>ND</v>
      </c>
      <c r="BN59" s="1" t="str">
        <f t="shared" si="215"/>
        <v>ND</v>
      </c>
      <c r="BO59" s="1" t="str">
        <f t="shared" si="216"/>
        <v>ND</v>
      </c>
      <c r="BP59" s="1" t="str">
        <f t="shared" si="217"/>
        <v>ND</v>
      </c>
      <c r="BQ59" s="1" t="str">
        <f t="shared" si="218"/>
        <v>ND</v>
      </c>
      <c r="BR59" s="1" t="str">
        <f t="shared" si="219"/>
        <v>ND</v>
      </c>
      <c r="BS59" s="1" t="str">
        <f t="shared" si="220"/>
        <v>ND</v>
      </c>
      <c r="BT59" s="1" t="str">
        <f t="shared" si="221"/>
        <v>ND</v>
      </c>
      <c r="BU59" s="1" t="str">
        <f t="shared" si="222"/>
        <v>ND</v>
      </c>
      <c r="BV59" s="1" t="str">
        <f t="shared" si="223"/>
        <v>ND</v>
      </c>
      <c r="BW59" s="1" t="str">
        <f t="shared" si="224"/>
        <v>ND</v>
      </c>
      <c r="BX59" s="1" t="str">
        <f t="shared" si="225"/>
        <v>ND</v>
      </c>
      <c r="BY59" s="1" t="str">
        <f t="shared" si="226"/>
        <v>ND</v>
      </c>
      <c r="BZ59" s="1" t="str">
        <f t="shared" si="227"/>
        <v>ND</v>
      </c>
      <c r="CA59" s="1" t="str">
        <f t="shared" si="340"/>
        <v>ND</v>
      </c>
      <c r="CB59" s="1" t="str">
        <f t="shared" si="340"/>
        <v>ND</v>
      </c>
      <c r="CC59" s="1" t="str">
        <f t="shared" si="340"/>
        <v>ND</v>
      </c>
      <c r="CD59" s="1" t="str">
        <f t="shared" si="340"/>
        <v>ND</v>
      </c>
      <c r="CE59" s="1" t="str">
        <f t="shared" si="340"/>
        <v>ND</v>
      </c>
      <c r="CF59" s="1" t="str">
        <f t="shared" si="340"/>
        <v>ND</v>
      </c>
      <c r="CG59" s="1" t="str">
        <f t="shared" si="340"/>
        <v>ND</v>
      </c>
      <c r="CH59" s="1" t="str">
        <f t="shared" si="340"/>
        <v>ND</v>
      </c>
      <c r="CI59" s="1" t="str">
        <f t="shared" si="340"/>
        <v>ND</v>
      </c>
      <c r="CJ59" s="1" t="str">
        <f t="shared" si="340"/>
        <v>ND</v>
      </c>
      <c r="CK59" s="1" t="str">
        <f t="shared" si="340"/>
        <v>ND</v>
      </c>
      <c r="CL59" s="1" t="str">
        <f t="shared" si="341"/>
        <v>ND</v>
      </c>
      <c r="CM59" s="1" t="str">
        <f t="shared" si="341"/>
        <v>ND</v>
      </c>
      <c r="CN59" s="1" t="str">
        <f t="shared" si="341"/>
        <v>ND</v>
      </c>
      <c r="CO59" s="1" t="str">
        <f t="shared" si="341"/>
        <v>ND</v>
      </c>
      <c r="CP59" s="1" t="str">
        <f t="shared" si="341"/>
        <v>ND</v>
      </c>
      <c r="CQ59" s="1" t="str">
        <f t="shared" si="341"/>
        <v>ND</v>
      </c>
      <c r="CR59" s="1" t="str">
        <f t="shared" si="341"/>
        <v>ND</v>
      </c>
      <c r="CS59" s="1" t="str">
        <f t="shared" si="341"/>
        <v>ND</v>
      </c>
      <c r="CT59" s="1" t="str">
        <f t="shared" si="341"/>
        <v>ND</v>
      </c>
      <c r="CU59" s="1" t="str">
        <f t="shared" si="341"/>
        <v>ND</v>
      </c>
      <c r="CV59" s="1" t="str">
        <f t="shared" si="341"/>
        <v>ND</v>
      </c>
      <c r="CW59" s="1" t="str">
        <f t="shared" si="228"/>
        <v>ND</v>
      </c>
      <c r="CX59" s="1" t="str">
        <f t="shared" si="229"/>
        <v>ND</v>
      </c>
      <c r="CY59" s="1" t="str">
        <f t="shared" si="230"/>
        <v>ND</v>
      </c>
      <c r="CZ59" s="1" t="str">
        <f t="shared" si="231"/>
        <v>ND</v>
      </c>
      <c r="DA59" s="1" t="str">
        <f t="shared" si="232"/>
        <v>ND</v>
      </c>
      <c r="DB59" s="1" t="str">
        <f t="shared" si="233"/>
        <v>ND</v>
      </c>
      <c r="DC59" s="1" t="str">
        <f t="shared" si="234"/>
        <v>ND</v>
      </c>
      <c r="DD59" s="1" t="str">
        <f t="shared" si="235"/>
        <v>ND</v>
      </c>
      <c r="DE59" s="1" t="str">
        <f t="shared" si="236"/>
        <v>ND</v>
      </c>
      <c r="DF59" s="1" t="str">
        <f t="shared" si="237"/>
        <v>ND</v>
      </c>
      <c r="DG59" s="1" t="str">
        <f t="shared" si="238"/>
        <v>ND</v>
      </c>
      <c r="DH59" s="1" t="str">
        <f t="shared" si="239"/>
        <v>ND</v>
      </c>
      <c r="DI59" s="1" t="str">
        <f t="shared" si="240"/>
        <v>ND</v>
      </c>
      <c r="DJ59" s="1" t="str">
        <f t="shared" si="241"/>
        <v>ND</v>
      </c>
      <c r="DK59" s="1" t="str">
        <f t="shared" si="242"/>
        <v>ND</v>
      </c>
      <c r="DL59" s="1" t="str">
        <f t="shared" si="243"/>
        <v>ND</v>
      </c>
      <c r="DM59" s="1" t="str">
        <f t="shared" si="244"/>
        <v>ND</v>
      </c>
      <c r="DN59" s="1" t="str">
        <f t="shared" si="245"/>
        <v>ND</v>
      </c>
      <c r="DO59" s="1" t="str">
        <f t="shared" si="246"/>
        <v>ND</v>
      </c>
      <c r="DP59" s="1" t="str">
        <f t="shared" si="247"/>
        <v>ND</v>
      </c>
      <c r="DQ59" s="1" t="str">
        <f t="shared" si="248"/>
        <v>ND</v>
      </c>
      <c r="DR59" s="1" t="str">
        <f t="shared" si="249"/>
        <v>ND</v>
      </c>
      <c r="DS59" s="1" t="str">
        <f t="shared" si="250"/>
        <v>ND</v>
      </c>
      <c r="DT59" s="1" t="str">
        <f t="shared" si="251"/>
        <v>ND</v>
      </c>
      <c r="DU59" s="1" t="str">
        <f t="shared" si="252"/>
        <v>ND</v>
      </c>
      <c r="DV59" s="1" t="str">
        <f t="shared" si="253"/>
        <v>ND</v>
      </c>
      <c r="DW59" s="1" t="str">
        <f t="shared" si="254"/>
        <v>ND</v>
      </c>
      <c r="DX59" s="1" t="str">
        <f t="shared" si="255"/>
        <v>ND</v>
      </c>
      <c r="DY59" s="1" t="str">
        <f t="shared" si="256"/>
        <v>ND</v>
      </c>
      <c r="DZ59" s="1" t="str">
        <f t="shared" si="257"/>
        <v>ND</v>
      </c>
      <c r="EA59" s="1" t="str">
        <f t="shared" si="258"/>
        <v>ND</v>
      </c>
      <c r="EB59" s="1" t="str">
        <f t="shared" si="259"/>
        <v>ND</v>
      </c>
      <c r="EC59" s="1" t="str">
        <f t="shared" si="260"/>
        <v>ND</v>
      </c>
      <c r="ED59" s="1" t="str">
        <f t="shared" si="261"/>
        <v>ND</v>
      </c>
      <c r="EE59" s="1" t="str">
        <f t="shared" si="262"/>
        <v>ND</v>
      </c>
      <c r="EF59" s="1" t="str">
        <f t="shared" si="263"/>
        <v>ND</v>
      </c>
      <c r="EG59" s="1" t="str">
        <f t="shared" si="264"/>
        <v>ND</v>
      </c>
      <c r="EH59" s="1" t="str">
        <f t="shared" si="265"/>
        <v>ND</v>
      </c>
      <c r="EI59" s="1" t="str">
        <f t="shared" si="266"/>
        <v>ND</v>
      </c>
      <c r="EJ59" s="1" t="str">
        <f t="shared" si="267"/>
        <v>ND</v>
      </c>
      <c r="EK59" s="1" t="str">
        <f t="shared" si="268"/>
        <v>ND</v>
      </c>
      <c r="EL59" s="1" t="str">
        <f t="shared" si="269"/>
        <v>ND</v>
      </c>
      <c r="EM59" s="1" t="str">
        <f t="shared" si="270"/>
        <v>ND</v>
      </c>
      <c r="EN59" s="1" t="str">
        <f t="shared" si="271"/>
        <v>ND</v>
      </c>
      <c r="EO59" s="1" t="str">
        <f t="shared" si="342"/>
        <v>ND</v>
      </c>
      <c r="EP59" s="1" t="str">
        <f t="shared" si="342"/>
        <v>ND</v>
      </c>
      <c r="EQ59" s="1" t="str">
        <f t="shared" si="342"/>
        <v>ND</v>
      </c>
      <c r="ER59" s="1" t="str">
        <f t="shared" si="342"/>
        <v>ND</v>
      </c>
      <c r="ES59" s="1" t="str">
        <f t="shared" si="342"/>
        <v>ND</v>
      </c>
      <c r="ET59" s="1" t="str">
        <f t="shared" si="342"/>
        <v>ND</v>
      </c>
      <c r="EU59" s="1" t="str">
        <f t="shared" si="342"/>
        <v>ND</v>
      </c>
      <c r="EV59" s="1" t="str">
        <f t="shared" si="342"/>
        <v>ND</v>
      </c>
      <c r="EW59" s="1" t="str">
        <f t="shared" si="342"/>
        <v>ND</v>
      </c>
      <c r="EX59" s="1" t="str">
        <f t="shared" si="342"/>
        <v>ND</v>
      </c>
      <c r="EY59" s="1" t="str">
        <f t="shared" si="342"/>
        <v>ND</v>
      </c>
      <c r="EZ59" s="1" t="str">
        <f t="shared" si="343"/>
        <v>ND</v>
      </c>
      <c r="FA59" s="1" t="str">
        <f t="shared" si="343"/>
        <v>ND</v>
      </c>
      <c r="FB59" s="1" t="str">
        <f t="shared" si="343"/>
        <v>ND</v>
      </c>
      <c r="FC59" s="1" t="str">
        <f t="shared" si="343"/>
        <v>ND</v>
      </c>
      <c r="FD59" s="1" t="str">
        <f t="shared" si="343"/>
        <v>ND</v>
      </c>
      <c r="FE59" s="1" t="str">
        <f t="shared" si="343"/>
        <v>ND</v>
      </c>
      <c r="FF59" s="1" t="str">
        <f t="shared" si="343"/>
        <v>ND</v>
      </c>
      <c r="FG59" s="1" t="str">
        <f t="shared" si="343"/>
        <v>ND</v>
      </c>
      <c r="FH59" s="1" t="str">
        <f t="shared" si="343"/>
        <v>ND</v>
      </c>
      <c r="FI59" s="1" t="str">
        <f t="shared" si="343"/>
        <v>ND</v>
      </c>
      <c r="FJ59" s="1" t="str">
        <f t="shared" si="343"/>
        <v>ND</v>
      </c>
      <c r="FK59" s="1" t="str">
        <f t="shared" si="344"/>
        <v>ND</v>
      </c>
      <c r="FL59" s="1" t="str">
        <f t="shared" si="344"/>
        <v>ND</v>
      </c>
      <c r="FM59" s="1" t="str">
        <f t="shared" si="344"/>
        <v>ND</v>
      </c>
      <c r="FN59" s="1" t="str">
        <f t="shared" si="344"/>
        <v>ND</v>
      </c>
      <c r="FO59" s="1" t="str">
        <f t="shared" si="344"/>
        <v>ND</v>
      </c>
      <c r="FP59" s="1" t="str">
        <f t="shared" si="344"/>
        <v>ND</v>
      </c>
      <c r="FQ59" s="1" t="str">
        <f t="shared" si="344"/>
        <v>ND</v>
      </c>
      <c r="FR59" s="1" t="str">
        <f t="shared" si="344"/>
        <v>ND</v>
      </c>
      <c r="FS59" s="1" t="str">
        <f t="shared" si="344"/>
        <v>ND</v>
      </c>
      <c r="FT59" s="1" t="str">
        <f t="shared" si="344"/>
        <v>ND</v>
      </c>
      <c r="FU59" s="1" t="str">
        <f t="shared" si="344"/>
        <v>ND</v>
      </c>
      <c r="FV59" s="1" t="str">
        <f t="shared" si="272"/>
        <v>ND</v>
      </c>
      <c r="FW59" s="1" t="str">
        <f t="shared" si="273"/>
        <v>ND</v>
      </c>
      <c r="FX59" s="1" t="str">
        <f t="shared" si="274"/>
        <v>ND</v>
      </c>
      <c r="FY59" s="1" t="str">
        <f t="shared" si="275"/>
        <v>ND</v>
      </c>
      <c r="FZ59" s="1" t="str">
        <f t="shared" si="276"/>
        <v>ND</v>
      </c>
      <c r="GA59" s="1" t="str">
        <f t="shared" si="277"/>
        <v>ND</v>
      </c>
      <c r="GB59" s="1" t="str">
        <f t="shared" si="278"/>
        <v>ND</v>
      </c>
      <c r="GC59" s="1" t="str">
        <f t="shared" si="279"/>
        <v>ND</v>
      </c>
      <c r="GD59" s="1" t="str">
        <f t="shared" si="280"/>
        <v>ND</v>
      </c>
      <c r="GE59" s="1" t="str">
        <f t="shared" si="281"/>
        <v>ND</v>
      </c>
      <c r="GF59" s="1" t="str">
        <f t="shared" si="282"/>
        <v>ND</v>
      </c>
      <c r="GG59" s="1" t="str">
        <f t="shared" si="283"/>
        <v>ND</v>
      </c>
      <c r="GH59" s="1" t="str">
        <f t="shared" si="284"/>
        <v>ND</v>
      </c>
      <c r="GI59" s="1" t="str">
        <f t="shared" si="285"/>
        <v>ND</v>
      </c>
      <c r="GJ59" s="1" t="str">
        <f t="shared" si="286"/>
        <v>ND</v>
      </c>
      <c r="GK59" s="1" t="str">
        <f t="shared" si="287"/>
        <v>ND</v>
      </c>
      <c r="GL59" s="1" t="str">
        <f t="shared" si="288"/>
        <v>ND</v>
      </c>
      <c r="GM59" s="1" t="str">
        <f t="shared" si="289"/>
        <v>ND</v>
      </c>
      <c r="GN59" s="1" t="str">
        <f t="shared" si="290"/>
        <v>ND</v>
      </c>
      <c r="GO59" s="1" t="str">
        <f t="shared" si="291"/>
        <v>ND</v>
      </c>
      <c r="GP59" s="1" t="str">
        <f t="shared" si="292"/>
        <v>ND</v>
      </c>
      <c r="GQ59" s="1" t="str">
        <f t="shared" si="293"/>
        <v>ND</v>
      </c>
      <c r="GR59" s="1" t="str">
        <f t="shared" si="294"/>
        <v>ND</v>
      </c>
      <c r="GS59" s="1" t="str">
        <f t="shared" si="295"/>
        <v>ND</v>
      </c>
      <c r="GT59" s="1" t="str">
        <f t="shared" si="296"/>
        <v>ND</v>
      </c>
      <c r="GU59" s="1" t="str">
        <f t="shared" si="297"/>
        <v>ND</v>
      </c>
      <c r="GV59" s="1" t="str">
        <f t="shared" si="298"/>
        <v>ND</v>
      </c>
      <c r="GW59" s="1" t="str">
        <f t="shared" si="299"/>
        <v>ND</v>
      </c>
      <c r="GX59" s="1" t="str">
        <f t="shared" si="300"/>
        <v>ND</v>
      </c>
      <c r="GY59" s="1" t="str">
        <f t="shared" si="301"/>
        <v>ND</v>
      </c>
      <c r="GZ59" s="1" t="str">
        <f t="shared" si="302"/>
        <v>ND</v>
      </c>
      <c r="HA59" s="1" t="str">
        <f t="shared" si="303"/>
        <v>ND</v>
      </c>
      <c r="HB59" s="1" t="str">
        <f t="shared" si="304"/>
        <v>ND</v>
      </c>
      <c r="HC59" s="1" t="str">
        <f t="shared" si="305"/>
        <v>ND</v>
      </c>
      <c r="HD59" s="1" t="str">
        <f t="shared" si="306"/>
        <v>ND</v>
      </c>
      <c r="HE59" s="1" t="str">
        <f t="shared" si="307"/>
        <v>ND</v>
      </c>
      <c r="HF59" s="1" t="str">
        <f t="shared" si="308"/>
        <v>ND</v>
      </c>
      <c r="HG59" s="1" t="str">
        <f t="shared" si="309"/>
        <v>ND</v>
      </c>
      <c r="HH59" s="1" t="str">
        <f t="shared" si="310"/>
        <v>ND</v>
      </c>
      <c r="HI59" s="1" t="str">
        <f t="shared" si="311"/>
        <v>ND</v>
      </c>
      <c r="HJ59" s="1" t="str">
        <f t="shared" si="312"/>
        <v>ND</v>
      </c>
      <c r="HK59" s="1" t="str">
        <f t="shared" si="313"/>
        <v>ND</v>
      </c>
      <c r="HL59" s="1" t="str">
        <f t="shared" si="314"/>
        <v>ND</v>
      </c>
      <c r="HM59" s="1" t="str">
        <f t="shared" si="315"/>
        <v>ND</v>
      </c>
      <c r="HN59" s="1" t="str">
        <f t="shared" si="316"/>
        <v>ND</v>
      </c>
      <c r="HO59" s="1" t="str">
        <f t="shared" si="317"/>
        <v>ND</v>
      </c>
      <c r="HP59" s="1" t="str">
        <f t="shared" si="318"/>
        <v>ND</v>
      </c>
      <c r="HQ59" s="1" t="str">
        <f t="shared" si="319"/>
        <v>ND</v>
      </c>
      <c r="HR59" s="1" t="str">
        <f t="shared" si="320"/>
        <v>ND</v>
      </c>
      <c r="HS59" s="1" t="str">
        <f t="shared" si="321"/>
        <v>ND</v>
      </c>
      <c r="HT59" s="1" t="str">
        <f t="shared" si="322"/>
        <v>ND</v>
      </c>
      <c r="HU59" s="1" t="str">
        <f t="shared" si="323"/>
        <v>ND</v>
      </c>
      <c r="HV59" s="1" t="str">
        <f t="shared" si="324"/>
        <v>ND</v>
      </c>
      <c r="HW59" s="1" t="str">
        <f t="shared" si="325"/>
        <v>ND</v>
      </c>
      <c r="HX59" s="1" t="str">
        <f t="shared" si="326"/>
        <v>ND</v>
      </c>
      <c r="HY59" s="1" t="str">
        <f t="shared" si="327"/>
        <v>ND</v>
      </c>
      <c r="HZ59" s="1" t="str">
        <f t="shared" si="328"/>
        <v>ND</v>
      </c>
      <c r="IA59" s="1" t="str">
        <f t="shared" si="329"/>
        <v>ND</v>
      </c>
      <c r="IB59" s="1" t="str">
        <f t="shared" si="330"/>
        <v>ND</v>
      </c>
      <c r="IC59" s="1" t="str">
        <f t="shared" si="331"/>
        <v>ND</v>
      </c>
      <c r="ID59" s="1" t="str">
        <f t="shared" si="332"/>
        <v>ND</v>
      </c>
      <c r="IE59" s="1" t="str">
        <f t="shared" si="333"/>
        <v>ND</v>
      </c>
      <c r="IF59" s="1" t="str">
        <f t="shared" si="334"/>
        <v>ND</v>
      </c>
      <c r="IG59" s="1" t="str">
        <f t="shared" si="335"/>
        <v>ND</v>
      </c>
      <c r="IH59" s="1" t="str">
        <f t="shared" si="336"/>
        <v>ND</v>
      </c>
      <c r="II59" s="1" t="str">
        <f t="shared" si="337"/>
        <v>ND</v>
      </c>
    </row>
    <row r="60" spans="3:243" x14ac:dyDescent="0.25">
      <c r="C60" t="s">
        <v>51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6.4</v>
      </c>
      <c r="G60" s="1">
        <f>IFERROR(VLOOKUP($C60,EQUIPOS[],UNIFICADO!G$9,0),"")</f>
        <v>50</v>
      </c>
      <c r="H60" s="1">
        <f>IFERROR(VLOOKUP($C60,EQUIPOS[],UNIFICADO!H$9,0),"")</f>
        <v>3</v>
      </c>
      <c r="I60" s="1">
        <f>IFERROR(VLOOKUP($C60,EQUIPOS[],UNIFICADO!I$9,0),"")</f>
        <v>13</v>
      </c>
      <c r="J60" s="1" t="str">
        <f>IFERROR(VLOOKUP($C60,EQUIPOS[],UNIFICADO!J$9,0),"")</f>
        <v>128GB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2.0/1.8</v>
      </c>
      <c r="N60" s="1">
        <f>IFERROR(VLOOKUP($C60,EQUIPOS[],UNIFICADO!N$9,0),"")</f>
        <v>4</v>
      </c>
      <c r="O60" s="1">
        <f>IFERROR(VLOOKUP($C60,EQUIPOS[],UNIFICADO!O$9,0),"")</f>
        <v>181</v>
      </c>
      <c r="P60" s="1">
        <f>IFERROR(VLOOKUP($C60,EQUIPOS[],UNIFICADO!P$9,0),"")</f>
        <v>16.100000000000001</v>
      </c>
      <c r="Q60" s="1">
        <f>IFERROR(VLOOKUP($C60,EQUIPOS[],UNIFICADO!Q$9,0),"")</f>
        <v>7.39</v>
      </c>
      <c r="R60" s="1">
        <f>IFERROR(VLOOKUP($C60,EQUIPOS[],UNIFICADO!R$9,0),"")</f>
        <v>0.86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82"/>
        <v>ND</v>
      </c>
      <c r="W60" s="1" t="str">
        <f t="shared" si="183"/>
        <v>ND</v>
      </c>
      <c r="X60" s="1" t="str">
        <f t="shared" si="338"/>
        <v>ND</v>
      </c>
      <c r="Y60" s="1" t="str">
        <f t="shared" si="338"/>
        <v>ND</v>
      </c>
      <c r="Z60" s="1" t="str">
        <f t="shared" si="339"/>
        <v>ND</v>
      </c>
      <c r="AA60" s="1" t="str">
        <f t="shared" si="339"/>
        <v>ND</v>
      </c>
      <c r="AB60" s="1" t="str">
        <f t="shared" si="339"/>
        <v>ND</v>
      </c>
      <c r="AC60" s="1" t="str">
        <f t="shared" si="339"/>
        <v>ND</v>
      </c>
      <c r="AD60" s="1" t="str">
        <f t="shared" si="339"/>
        <v>ND</v>
      </c>
      <c r="AE60" s="1" t="str">
        <f t="shared" si="339"/>
        <v>ND</v>
      </c>
      <c r="AF60" s="1" t="str">
        <f t="shared" si="339"/>
        <v>ND</v>
      </c>
      <c r="AG60" s="1" t="str">
        <f t="shared" si="339"/>
        <v>ND</v>
      </c>
      <c r="AH60" s="1" t="str">
        <f t="shared" si="339"/>
        <v>ND</v>
      </c>
      <c r="AI60" s="1" t="str">
        <f t="shared" si="184"/>
        <v>ND</v>
      </c>
      <c r="AJ60" s="1" t="str">
        <f t="shared" si="185"/>
        <v>ND</v>
      </c>
      <c r="AK60" s="1" t="str">
        <f t="shared" si="186"/>
        <v>ND</v>
      </c>
      <c r="AL60" s="1" t="str">
        <f t="shared" si="187"/>
        <v>ND</v>
      </c>
      <c r="AM60" s="1" t="str">
        <f t="shared" si="188"/>
        <v>ND</v>
      </c>
      <c r="AN60" s="1" t="str">
        <f t="shared" si="189"/>
        <v>ND</v>
      </c>
      <c r="AO60" s="1" t="str">
        <f t="shared" si="190"/>
        <v>ND</v>
      </c>
      <c r="AP60" s="1" t="str">
        <f t="shared" si="191"/>
        <v>ND</v>
      </c>
      <c r="AQ60" s="1" t="str">
        <f t="shared" si="192"/>
        <v>ND</v>
      </c>
      <c r="AR60" s="1" t="str">
        <f t="shared" si="193"/>
        <v>ND</v>
      </c>
      <c r="AS60" s="1" t="str">
        <f t="shared" si="194"/>
        <v>ND</v>
      </c>
      <c r="AT60" s="1" t="str">
        <f t="shared" si="195"/>
        <v>ND</v>
      </c>
      <c r="AU60" s="1" t="str">
        <f t="shared" si="196"/>
        <v>ND</v>
      </c>
      <c r="AV60" s="1" t="str">
        <f t="shared" si="197"/>
        <v>ND</v>
      </c>
      <c r="AW60" s="1" t="str">
        <f t="shared" si="198"/>
        <v>ND</v>
      </c>
      <c r="AX60" s="1" t="str">
        <f t="shared" si="199"/>
        <v>ND</v>
      </c>
      <c r="AY60" s="1" t="str">
        <f t="shared" si="200"/>
        <v>ND</v>
      </c>
      <c r="AZ60" s="1" t="str">
        <f t="shared" si="201"/>
        <v>ND</v>
      </c>
      <c r="BA60" s="1" t="str">
        <f t="shared" si="202"/>
        <v>ND</v>
      </c>
      <c r="BB60" s="1" t="str">
        <f t="shared" si="203"/>
        <v>ND</v>
      </c>
      <c r="BC60" s="1" t="str">
        <f t="shared" si="204"/>
        <v>ND</v>
      </c>
      <c r="BD60" s="1" t="str">
        <f t="shared" si="205"/>
        <v>ND</v>
      </c>
      <c r="BE60" s="1" t="str">
        <f t="shared" si="206"/>
        <v>ND</v>
      </c>
      <c r="BF60" s="1" t="str">
        <f t="shared" si="207"/>
        <v>ND</v>
      </c>
      <c r="BG60" s="1" t="str">
        <f t="shared" si="208"/>
        <v>ND</v>
      </c>
      <c r="BH60" s="1" t="str">
        <f t="shared" si="209"/>
        <v>ND</v>
      </c>
      <c r="BI60" s="1" t="str">
        <f t="shared" si="210"/>
        <v>ND</v>
      </c>
      <c r="BJ60" s="1" t="str">
        <f t="shared" si="211"/>
        <v>ND</v>
      </c>
      <c r="BK60" s="1" t="str">
        <f t="shared" si="212"/>
        <v>ND</v>
      </c>
      <c r="BL60" s="1" t="str">
        <f t="shared" si="213"/>
        <v>ND</v>
      </c>
      <c r="BM60" s="1" t="str">
        <f t="shared" si="214"/>
        <v>ND</v>
      </c>
      <c r="BN60" s="1" t="str">
        <f t="shared" si="215"/>
        <v>ND</v>
      </c>
      <c r="BO60" s="1" t="str">
        <f t="shared" si="216"/>
        <v>ND</v>
      </c>
      <c r="BP60" s="1" t="str">
        <f t="shared" si="217"/>
        <v>ND</v>
      </c>
      <c r="BQ60" s="1" t="str">
        <f t="shared" si="218"/>
        <v>ND</v>
      </c>
      <c r="BR60" s="1" t="str">
        <f t="shared" si="219"/>
        <v>ND</v>
      </c>
      <c r="BS60" s="1" t="str">
        <f t="shared" si="220"/>
        <v>ND</v>
      </c>
      <c r="BT60" s="1" t="str">
        <f t="shared" si="221"/>
        <v>ND</v>
      </c>
      <c r="BU60" s="1" t="str">
        <f t="shared" si="222"/>
        <v>ND</v>
      </c>
      <c r="BV60" s="1" t="str">
        <f t="shared" si="223"/>
        <v>ND</v>
      </c>
      <c r="BW60" s="1" t="str">
        <f t="shared" si="224"/>
        <v>ND</v>
      </c>
      <c r="BX60" s="1" t="str">
        <f t="shared" si="225"/>
        <v>ND</v>
      </c>
      <c r="BY60" s="1" t="str">
        <f t="shared" si="226"/>
        <v>ND</v>
      </c>
      <c r="BZ60" s="1" t="str">
        <f t="shared" si="227"/>
        <v>ND</v>
      </c>
      <c r="CA60" s="1" t="str">
        <f t="shared" si="340"/>
        <v>ND</v>
      </c>
      <c r="CB60" s="1" t="str">
        <f t="shared" si="340"/>
        <v>ND</v>
      </c>
      <c r="CC60" s="1" t="str">
        <f t="shared" si="340"/>
        <v>ND</v>
      </c>
      <c r="CD60" s="1" t="str">
        <f t="shared" si="340"/>
        <v>ND</v>
      </c>
      <c r="CE60" s="1" t="str">
        <f t="shared" si="340"/>
        <v>ND</v>
      </c>
      <c r="CF60" s="1" t="str">
        <f t="shared" si="340"/>
        <v>ND</v>
      </c>
      <c r="CG60" s="1" t="str">
        <f t="shared" si="340"/>
        <v>ND</v>
      </c>
      <c r="CH60" s="1" t="str">
        <f t="shared" si="340"/>
        <v>ND</v>
      </c>
      <c r="CI60" s="1" t="str">
        <f t="shared" si="340"/>
        <v>ND</v>
      </c>
      <c r="CJ60" s="1" t="str">
        <f t="shared" si="340"/>
        <v>ND</v>
      </c>
      <c r="CK60" s="1" t="str">
        <f t="shared" si="340"/>
        <v>ND</v>
      </c>
      <c r="CL60" s="1" t="str">
        <f t="shared" si="341"/>
        <v>ND</v>
      </c>
      <c r="CM60" s="1" t="str">
        <f t="shared" si="341"/>
        <v>ND</v>
      </c>
      <c r="CN60" s="1" t="str">
        <f t="shared" si="341"/>
        <v>ND</v>
      </c>
      <c r="CO60" s="1" t="str">
        <f t="shared" si="341"/>
        <v>ND</v>
      </c>
      <c r="CP60" s="1" t="str">
        <f t="shared" si="341"/>
        <v>ND</v>
      </c>
      <c r="CQ60" s="1" t="str">
        <f t="shared" si="341"/>
        <v>ND</v>
      </c>
      <c r="CR60" s="1" t="str">
        <f t="shared" si="341"/>
        <v>ND</v>
      </c>
      <c r="CS60" s="1" t="str">
        <f t="shared" si="341"/>
        <v>ND</v>
      </c>
      <c r="CT60" s="1" t="str">
        <f t="shared" si="341"/>
        <v>ND</v>
      </c>
      <c r="CU60" s="1" t="str">
        <f t="shared" si="341"/>
        <v>ND</v>
      </c>
      <c r="CV60" s="1" t="str">
        <f t="shared" si="341"/>
        <v>ND</v>
      </c>
      <c r="CW60" s="1" t="str">
        <f t="shared" si="228"/>
        <v>ND</v>
      </c>
      <c r="CX60" s="1" t="str">
        <f t="shared" si="229"/>
        <v>ND</v>
      </c>
      <c r="CY60" s="1" t="str">
        <f t="shared" si="230"/>
        <v>ND</v>
      </c>
      <c r="CZ60" s="1" t="str">
        <f t="shared" si="231"/>
        <v>ND</v>
      </c>
      <c r="DA60" s="1" t="str">
        <f t="shared" si="232"/>
        <v>ND</v>
      </c>
      <c r="DB60" s="1" t="str">
        <f t="shared" si="233"/>
        <v>ND</v>
      </c>
      <c r="DC60" s="1" t="str">
        <f t="shared" si="234"/>
        <v>ND</v>
      </c>
      <c r="DD60" s="1" t="str">
        <f t="shared" si="235"/>
        <v>ND</v>
      </c>
      <c r="DE60" s="1" t="str">
        <f t="shared" si="236"/>
        <v>ND</v>
      </c>
      <c r="DF60" s="1" t="str">
        <f t="shared" si="237"/>
        <v>ND</v>
      </c>
      <c r="DG60" s="1" t="str">
        <f t="shared" si="238"/>
        <v>ND</v>
      </c>
      <c r="DH60" s="1" t="str">
        <f t="shared" si="239"/>
        <v>ND</v>
      </c>
      <c r="DI60" s="1" t="str">
        <f t="shared" si="240"/>
        <v>ND</v>
      </c>
      <c r="DJ60" s="1" t="str">
        <f t="shared" si="241"/>
        <v>ND</v>
      </c>
      <c r="DK60" s="1" t="str">
        <f t="shared" si="242"/>
        <v>ND</v>
      </c>
      <c r="DL60" s="1" t="str">
        <f t="shared" si="243"/>
        <v>ND</v>
      </c>
      <c r="DM60" s="1" t="str">
        <f t="shared" si="244"/>
        <v>ND</v>
      </c>
      <c r="DN60" s="1" t="str">
        <f t="shared" si="245"/>
        <v>ND</v>
      </c>
      <c r="DO60" s="1" t="str">
        <f t="shared" si="246"/>
        <v>ND</v>
      </c>
      <c r="DP60" s="1" t="str">
        <f t="shared" si="247"/>
        <v>ND</v>
      </c>
      <c r="DQ60" s="1" t="str">
        <f t="shared" si="248"/>
        <v>ND</v>
      </c>
      <c r="DR60" s="1" t="str">
        <f t="shared" si="249"/>
        <v>ND</v>
      </c>
      <c r="DS60" s="1" t="str">
        <f t="shared" si="250"/>
        <v>ND</v>
      </c>
      <c r="DT60" s="1" t="str">
        <f t="shared" si="251"/>
        <v>ND</v>
      </c>
      <c r="DU60" s="1" t="str">
        <f t="shared" si="252"/>
        <v>ND</v>
      </c>
      <c r="DV60" s="1" t="str">
        <f t="shared" si="253"/>
        <v>ND</v>
      </c>
      <c r="DW60" s="1" t="str">
        <f t="shared" si="254"/>
        <v>ND</v>
      </c>
      <c r="DX60" s="1" t="str">
        <f t="shared" si="255"/>
        <v>ND</v>
      </c>
      <c r="DY60" s="1" t="str">
        <f t="shared" si="256"/>
        <v>ND</v>
      </c>
      <c r="DZ60" s="1" t="str">
        <f t="shared" si="257"/>
        <v>ND</v>
      </c>
      <c r="EA60" s="1" t="str">
        <f t="shared" si="258"/>
        <v>ND</v>
      </c>
      <c r="EB60" s="1" t="str">
        <f t="shared" si="259"/>
        <v>ND</v>
      </c>
      <c r="EC60" s="1" t="str">
        <f t="shared" si="260"/>
        <v>ND</v>
      </c>
      <c r="ED60" s="1" t="str">
        <f t="shared" si="261"/>
        <v>ND</v>
      </c>
      <c r="EE60" s="1" t="str">
        <f t="shared" si="262"/>
        <v>ND</v>
      </c>
      <c r="EF60" s="1" t="str">
        <f t="shared" si="263"/>
        <v>ND</v>
      </c>
      <c r="EG60" s="1" t="str">
        <f t="shared" si="264"/>
        <v>ND</v>
      </c>
      <c r="EH60" s="1" t="str">
        <f t="shared" si="265"/>
        <v>ND</v>
      </c>
      <c r="EI60" s="1" t="str">
        <f t="shared" si="266"/>
        <v>ND</v>
      </c>
      <c r="EJ60" s="1" t="str">
        <f t="shared" si="267"/>
        <v>ND</v>
      </c>
      <c r="EK60" s="1" t="str">
        <f t="shared" si="268"/>
        <v>ND</v>
      </c>
      <c r="EL60" s="1" t="str">
        <f t="shared" si="269"/>
        <v>ND</v>
      </c>
      <c r="EM60" s="1" t="str">
        <f t="shared" si="270"/>
        <v>ND</v>
      </c>
      <c r="EN60" s="1" t="str">
        <f t="shared" si="271"/>
        <v>ND</v>
      </c>
      <c r="EO60" s="1" t="str">
        <f t="shared" si="342"/>
        <v>ND</v>
      </c>
      <c r="EP60" s="1" t="str">
        <f t="shared" si="342"/>
        <v>ND</v>
      </c>
      <c r="EQ60" s="1" t="str">
        <f t="shared" si="342"/>
        <v>ND</v>
      </c>
      <c r="ER60" s="1" t="str">
        <f t="shared" si="342"/>
        <v>ND</v>
      </c>
      <c r="ES60" s="1" t="str">
        <f t="shared" si="342"/>
        <v>ND</v>
      </c>
      <c r="ET60" s="1" t="str">
        <f t="shared" si="342"/>
        <v>ND</v>
      </c>
      <c r="EU60" s="1" t="str">
        <f t="shared" si="342"/>
        <v>ND</v>
      </c>
      <c r="EV60" s="1" t="str">
        <f t="shared" si="342"/>
        <v>ND</v>
      </c>
      <c r="EW60" s="1" t="str">
        <f t="shared" si="342"/>
        <v>ND</v>
      </c>
      <c r="EX60" s="1" t="str">
        <f t="shared" si="342"/>
        <v>ND</v>
      </c>
      <c r="EY60" s="1" t="str">
        <f t="shared" si="342"/>
        <v>ND</v>
      </c>
      <c r="EZ60" s="1" t="str">
        <f t="shared" si="343"/>
        <v>ND</v>
      </c>
      <c r="FA60" s="1" t="str">
        <f t="shared" si="343"/>
        <v>ND</v>
      </c>
      <c r="FB60" s="1" t="str">
        <f t="shared" si="343"/>
        <v>ND</v>
      </c>
      <c r="FC60" s="1" t="str">
        <f t="shared" si="343"/>
        <v>ND</v>
      </c>
      <c r="FD60" s="1" t="str">
        <f t="shared" si="343"/>
        <v>ND</v>
      </c>
      <c r="FE60" s="1" t="str">
        <f t="shared" si="343"/>
        <v>ND</v>
      </c>
      <c r="FF60" s="1" t="str">
        <f t="shared" si="343"/>
        <v>ND</v>
      </c>
      <c r="FG60" s="1" t="str">
        <f t="shared" si="343"/>
        <v>ND</v>
      </c>
      <c r="FH60" s="1" t="str">
        <f t="shared" si="343"/>
        <v>ND</v>
      </c>
      <c r="FI60" s="1" t="str">
        <f t="shared" si="343"/>
        <v>ND</v>
      </c>
      <c r="FJ60" s="1" t="str">
        <f t="shared" si="343"/>
        <v>ND</v>
      </c>
      <c r="FK60" s="1" t="str">
        <f t="shared" si="344"/>
        <v>ND</v>
      </c>
      <c r="FL60" s="1" t="str">
        <f t="shared" si="344"/>
        <v>ND</v>
      </c>
      <c r="FM60" s="1" t="str">
        <f t="shared" si="344"/>
        <v>ND</v>
      </c>
      <c r="FN60" s="1" t="str">
        <f t="shared" si="344"/>
        <v>ND</v>
      </c>
      <c r="FO60" s="1" t="str">
        <f t="shared" si="344"/>
        <v>ND</v>
      </c>
      <c r="FP60" s="1" t="str">
        <f t="shared" si="344"/>
        <v>ND</v>
      </c>
      <c r="FQ60" s="1" t="str">
        <f t="shared" si="344"/>
        <v>ND</v>
      </c>
      <c r="FR60" s="1" t="str">
        <f t="shared" si="344"/>
        <v>ND</v>
      </c>
      <c r="FS60" s="1" t="str">
        <f t="shared" si="344"/>
        <v>ND</v>
      </c>
      <c r="FT60" s="1" t="str">
        <f t="shared" si="344"/>
        <v>ND</v>
      </c>
      <c r="FU60" s="1" t="str">
        <f t="shared" si="344"/>
        <v>ND</v>
      </c>
      <c r="FV60" s="1" t="str">
        <f t="shared" si="272"/>
        <v>ND</v>
      </c>
      <c r="FW60" s="1" t="str">
        <f t="shared" si="273"/>
        <v>ND</v>
      </c>
      <c r="FX60" s="1" t="str">
        <f t="shared" si="274"/>
        <v>ND</v>
      </c>
      <c r="FY60" s="1" t="str">
        <f t="shared" si="275"/>
        <v>ND</v>
      </c>
      <c r="FZ60" s="1" t="str">
        <f t="shared" si="276"/>
        <v>ND</v>
      </c>
      <c r="GA60" s="1" t="str">
        <f t="shared" si="277"/>
        <v>ND</v>
      </c>
      <c r="GB60" s="1" t="str">
        <f t="shared" si="278"/>
        <v>ND</v>
      </c>
      <c r="GC60" s="1" t="str">
        <f t="shared" si="279"/>
        <v>ND</v>
      </c>
      <c r="GD60" s="1" t="str">
        <f t="shared" si="280"/>
        <v>ND</v>
      </c>
      <c r="GE60" s="1" t="str">
        <f t="shared" si="281"/>
        <v>ND</v>
      </c>
      <c r="GF60" s="1" t="str">
        <f t="shared" si="282"/>
        <v>ND</v>
      </c>
      <c r="GG60" s="1" t="str">
        <f t="shared" si="283"/>
        <v>ND</v>
      </c>
      <c r="GH60" s="1" t="str">
        <f t="shared" si="284"/>
        <v>ND</v>
      </c>
      <c r="GI60" s="1" t="str">
        <f t="shared" si="285"/>
        <v>ND</v>
      </c>
      <c r="GJ60" s="1" t="str">
        <f t="shared" si="286"/>
        <v>ND</v>
      </c>
      <c r="GK60" s="1" t="str">
        <f t="shared" si="287"/>
        <v>ND</v>
      </c>
      <c r="GL60" s="1" t="str">
        <f t="shared" si="288"/>
        <v>ND</v>
      </c>
      <c r="GM60" s="1" t="str">
        <f t="shared" si="289"/>
        <v>ND</v>
      </c>
      <c r="GN60" s="1" t="str">
        <f t="shared" si="290"/>
        <v>ND</v>
      </c>
      <c r="GO60" s="1" t="str">
        <f t="shared" si="291"/>
        <v>ND</v>
      </c>
      <c r="GP60" s="1" t="str">
        <f t="shared" si="292"/>
        <v>ND</v>
      </c>
      <c r="GQ60" s="1" t="str">
        <f t="shared" si="293"/>
        <v>ND</v>
      </c>
      <c r="GR60" s="1" t="str">
        <f t="shared" si="294"/>
        <v>ND</v>
      </c>
      <c r="GS60" s="1" t="str">
        <f t="shared" si="295"/>
        <v>ND</v>
      </c>
      <c r="GT60" s="1" t="str">
        <f t="shared" si="296"/>
        <v>ND</v>
      </c>
      <c r="GU60" s="1" t="str">
        <f t="shared" si="297"/>
        <v>ND</v>
      </c>
      <c r="GV60" s="1" t="str">
        <f t="shared" si="298"/>
        <v>ND</v>
      </c>
      <c r="GW60" s="1" t="str">
        <f t="shared" si="299"/>
        <v>ND</v>
      </c>
      <c r="GX60" s="1" t="str">
        <f t="shared" si="300"/>
        <v>ND</v>
      </c>
      <c r="GY60" s="1" t="str">
        <f t="shared" si="301"/>
        <v>ND</v>
      </c>
      <c r="GZ60" s="1" t="str">
        <f t="shared" si="302"/>
        <v>ND</v>
      </c>
      <c r="HA60" s="1" t="str">
        <f t="shared" si="303"/>
        <v>ND</v>
      </c>
      <c r="HB60" s="1" t="str">
        <f t="shared" si="304"/>
        <v>ND</v>
      </c>
      <c r="HC60" s="1" t="str">
        <f t="shared" si="305"/>
        <v>ND</v>
      </c>
      <c r="HD60" s="1" t="str">
        <f t="shared" si="306"/>
        <v>ND</v>
      </c>
      <c r="HE60" s="1" t="str">
        <f t="shared" si="307"/>
        <v>ND</v>
      </c>
      <c r="HF60" s="1" t="str">
        <f t="shared" si="308"/>
        <v>ND</v>
      </c>
      <c r="HG60" s="1" t="str">
        <f t="shared" si="309"/>
        <v>ND</v>
      </c>
      <c r="HH60" s="1" t="str">
        <f t="shared" si="310"/>
        <v>ND</v>
      </c>
      <c r="HI60" s="1" t="str">
        <f t="shared" si="311"/>
        <v>ND</v>
      </c>
      <c r="HJ60" s="1" t="str">
        <f t="shared" si="312"/>
        <v>ND</v>
      </c>
      <c r="HK60" s="1" t="str">
        <f t="shared" si="313"/>
        <v>ND</v>
      </c>
      <c r="HL60" s="1" t="str">
        <f t="shared" si="314"/>
        <v>ND</v>
      </c>
      <c r="HM60" s="1" t="str">
        <f t="shared" si="315"/>
        <v>ND</v>
      </c>
      <c r="HN60" s="1" t="str">
        <f t="shared" si="316"/>
        <v>ND</v>
      </c>
      <c r="HO60" s="1" t="str">
        <f t="shared" si="317"/>
        <v>ND</v>
      </c>
      <c r="HP60" s="1" t="str">
        <f t="shared" si="318"/>
        <v>ND</v>
      </c>
      <c r="HQ60" s="1" t="str">
        <f t="shared" si="319"/>
        <v>ND</v>
      </c>
      <c r="HR60" s="1" t="str">
        <f t="shared" si="320"/>
        <v>ND</v>
      </c>
      <c r="HS60" s="1" t="str">
        <f t="shared" si="321"/>
        <v>ND</v>
      </c>
      <c r="HT60" s="1" t="str">
        <f t="shared" si="322"/>
        <v>ND</v>
      </c>
      <c r="HU60" s="1" t="str">
        <f t="shared" si="323"/>
        <v>ND</v>
      </c>
      <c r="HV60" s="1" t="str">
        <f t="shared" si="324"/>
        <v>ND</v>
      </c>
      <c r="HW60" s="1" t="str">
        <f t="shared" si="325"/>
        <v>ND</v>
      </c>
      <c r="HX60" s="1" t="str">
        <f t="shared" si="326"/>
        <v>ND</v>
      </c>
      <c r="HY60" s="1" t="str">
        <f t="shared" si="327"/>
        <v>ND</v>
      </c>
      <c r="HZ60" s="1" t="str">
        <f t="shared" si="328"/>
        <v>ND</v>
      </c>
      <c r="IA60" s="1" t="str">
        <f t="shared" si="329"/>
        <v>ND</v>
      </c>
      <c r="IB60" s="1" t="str">
        <f t="shared" si="330"/>
        <v>ND</v>
      </c>
      <c r="IC60" s="1" t="str">
        <f t="shared" si="331"/>
        <v>ND</v>
      </c>
      <c r="ID60" s="1" t="str">
        <f t="shared" si="332"/>
        <v>ND</v>
      </c>
      <c r="IE60" s="1" t="str">
        <f t="shared" si="333"/>
        <v>ND</v>
      </c>
      <c r="IF60" s="1" t="str">
        <f t="shared" si="334"/>
        <v>ND</v>
      </c>
      <c r="IG60" s="1" t="str">
        <f t="shared" si="335"/>
        <v>ND</v>
      </c>
      <c r="IH60" s="1" t="str">
        <f t="shared" si="336"/>
        <v>ND</v>
      </c>
      <c r="II60" s="1" t="str">
        <f t="shared" si="337"/>
        <v>ND</v>
      </c>
    </row>
    <row r="61" spans="3:243" x14ac:dyDescent="0.25">
      <c r="C61" t="s">
        <v>20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48</v>
      </c>
      <c r="H61" s="1">
        <f>IFERROR(VLOOKUP($C61,EQUIPOS[],UNIFICADO!H$9,0),"")</f>
        <v>3</v>
      </c>
      <c r="I61" s="1">
        <f>IFERROR(VLOOKUP($C61,EQUIPOS[],UNIFICADO!I$9,0),"")</f>
        <v>13</v>
      </c>
      <c r="J61" s="1" t="str">
        <f>IFERROR(VLOOKUP($C61,EQUIPOS[],UNIFICADO!J$9,0),"")</f>
        <v>128GB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2.0/1.8</v>
      </c>
      <c r="N61" s="1">
        <f>IFERROR(VLOOKUP($C61,EQUIPOS[],UNIFICADO!N$9,0),"")</f>
        <v>4</v>
      </c>
      <c r="O61" s="1">
        <f>IFERROR(VLOOKUP($C61,EQUIPOS[],UNIFICADO!O$9,0),"")</f>
        <v>192</v>
      </c>
      <c r="P61" s="1">
        <f>IFERROR(VLOOKUP($C61,EQUIPOS[],UNIFICADO!P$9,0),"")</f>
        <v>16.399999999999999</v>
      </c>
      <c r="Q61" s="1">
        <f>IFERROR(VLOOKUP($C61,EQUIPOS[],UNIFICADO!Q$9,0),"")</f>
        <v>7.49</v>
      </c>
      <c r="R61" s="1">
        <f>IFERROR(VLOOKUP($C61,EQUIPOS[],UNIFICADO!R$9,0),"")</f>
        <v>0.9</v>
      </c>
      <c r="S61" s="1">
        <f>IFERROR(VLOOKUP($C61,EQUIPOS[],UNIFICADO!S$9,0),"")</f>
        <v>5000</v>
      </c>
      <c r="T61" s="1">
        <f>IFERROR(VLOOKUP($C61,EQUIPOS[],UNIFICADO!T$9,0),"")</f>
        <v>5</v>
      </c>
      <c r="U61" s="1">
        <f>VLOOKUP(UNIFICADA[[#This Row],[Equipo]],EQUIPOS[],19,0)</f>
        <v>51</v>
      </c>
      <c r="V61" s="1" t="str">
        <f t="shared" si="182"/>
        <v>ND</v>
      </c>
      <c r="W61" s="1" t="str">
        <f t="shared" si="183"/>
        <v>ND</v>
      </c>
      <c r="X61" s="1" t="str">
        <f t="shared" si="338"/>
        <v>ND</v>
      </c>
      <c r="Y61" s="1" t="str">
        <f t="shared" si="338"/>
        <v>ND</v>
      </c>
      <c r="Z61" s="1" t="str">
        <f t="shared" ref="Z61:AH70" si="345">IFERROR(IF(Z$9="ND","ND",VLOOKUP($C61,AC,Z$9,0)),"ND")</f>
        <v>ND</v>
      </c>
      <c r="AA61" s="1" t="str">
        <f t="shared" si="345"/>
        <v>ND</v>
      </c>
      <c r="AB61" s="1" t="str">
        <f t="shared" si="345"/>
        <v>ND</v>
      </c>
      <c r="AC61" s="1" t="str">
        <f t="shared" si="345"/>
        <v>ND</v>
      </c>
      <c r="AD61" s="1" t="str">
        <f t="shared" si="345"/>
        <v>ND</v>
      </c>
      <c r="AE61" s="1" t="str">
        <f t="shared" si="345"/>
        <v>ND</v>
      </c>
      <c r="AF61" s="1" t="str">
        <f t="shared" si="345"/>
        <v>ND</v>
      </c>
      <c r="AG61" s="1" t="str">
        <f t="shared" si="345"/>
        <v>ND</v>
      </c>
      <c r="AH61" s="1" t="str">
        <f t="shared" si="345"/>
        <v>ND</v>
      </c>
      <c r="AI61" s="1" t="str">
        <f t="shared" si="184"/>
        <v>ND</v>
      </c>
      <c r="AJ61" s="1" t="str">
        <f t="shared" si="185"/>
        <v>ND</v>
      </c>
      <c r="AK61" s="1" t="str">
        <f t="shared" si="186"/>
        <v>ND</v>
      </c>
      <c r="AL61" s="1" t="str">
        <f t="shared" si="187"/>
        <v>ND</v>
      </c>
      <c r="AM61" s="1" t="str">
        <f t="shared" si="188"/>
        <v>ND</v>
      </c>
      <c r="AN61" s="1" t="str">
        <f t="shared" si="189"/>
        <v>ND</v>
      </c>
      <c r="AO61" s="1" t="str">
        <f t="shared" si="190"/>
        <v>ND</v>
      </c>
      <c r="AP61" s="1" t="str">
        <f t="shared" si="191"/>
        <v>ND</v>
      </c>
      <c r="AQ61" s="1" t="str">
        <f t="shared" si="192"/>
        <v>ND</v>
      </c>
      <c r="AR61" s="1" t="str">
        <f t="shared" si="193"/>
        <v>ND</v>
      </c>
      <c r="AS61" s="1" t="str">
        <f t="shared" si="194"/>
        <v>ND</v>
      </c>
      <c r="AT61" s="1" t="str">
        <f t="shared" si="195"/>
        <v>ND</v>
      </c>
      <c r="AU61" s="1" t="str">
        <f t="shared" si="196"/>
        <v>ND</v>
      </c>
      <c r="AV61" s="1" t="str">
        <f t="shared" si="197"/>
        <v>ND</v>
      </c>
      <c r="AW61" s="1" t="str">
        <f t="shared" si="198"/>
        <v>ND</v>
      </c>
      <c r="AX61" s="1" t="str">
        <f t="shared" si="199"/>
        <v>ND</v>
      </c>
      <c r="AY61" s="1" t="str">
        <f t="shared" si="200"/>
        <v>ND</v>
      </c>
      <c r="AZ61" s="1" t="str">
        <f t="shared" si="201"/>
        <v>ND</v>
      </c>
      <c r="BA61" s="1" t="str">
        <f t="shared" si="202"/>
        <v>ND</v>
      </c>
      <c r="BB61" s="1" t="str">
        <f t="shared" si="203"/>
        <v>ND</v>
      </c>
      <c r="BC61" s="1" t="str">
        <f t="shared" si="204"/>
        <v>ND</v>
      </c>
      <c r="BD61" s="1" t="str">
        <f t="shared" si="205"/>
        <v>ND</v>
      </c>
      <c r="BE61" s="1" t="str">
        <f t="shared" si="206"/>
        <v>ND</v>
      </c>
      <c r="BF61" s="1" t="str">
        <f t="shared" si="207"/>
        <v>ND</v>
      </c>
      <c r="BG61" s="1" t="str">
        <f t="shared" si="208"/>
        <v>ND</v>
      </c>
      <c r="BH61" s="1" t="str">
        <f t="shared" si="209"/>
        <v>ND</v>
      </c>
      <c r="BI61" s="1" t="str">
        <f t="shared" si="210"/>
        <v>ND</v>
      </c>
      <c r="BJ61" s="1" t="str">
        <f t="shared" si="211"/>
        <v>ND</v>
      </c>
      <c r="BK61" s="1" t="str">
        <f t="shared" si="212"/>
        <v>ND</v>
      </c>
      <c r="BL61" s="1" t="str">
        <f t="shared" si="213"/>
        <v>ND</v>
      </c>
      <c r="BM61" s="1" t="str">
        <f t="shared" si="214"/>
        <v>ND</v>
      </c>
      <c r="BN61" s="1" t="str">
        <f t="shared" si="215"/>
        <v>ND</v>
      </c>
      <c r="BO61" s="1" t="str">
        <f t="shared" si="216"/>
        <v>ND</v>
      </c>
      <c r="BP61" s="1" t="str">
        <f t="shared" si="217"/>
        <v>ND</v>
      </c>
      <c r="BQ61" s="1" t="str">
        <f t="shared" si="218"/>
        <v>ND</v>
      </c>
      <c r="BR61" s="1" t="str">
        <f t="shared" si="219"/>
        <v>ND</v>
      </c>
      <c r="BS61" s="1" t="str">
        <f t="shared" si="220"/>
        <v>ND</v>
      </c>
      <c r="BT61" s="1" t="str">
        <f t="shared" si="221"/>
        <v>ND</v>
      </c>
      <c r="BU61" s="1" t="str">
        <f t="shared" si="222"/>
        <v>ND</v>
      </c>
      <c r="BV61" s="1" t="str">
        <f t="shared" si="223"/>
        <v>ND</v>
      </c>
      <c r="BW61" s="1" t="str">
        <f t="shared" si="224"/>
        <v>ND</v>
      </c>
      <c r="BX61" s="1" t="str">
        <f t="shared" si="225"/>
        <v>ND</v>
      </c>
      <c r="BY61" s="1" t="str">
        <f t="shared" si="226"/>
        <v>ND</v>
      </c>
      <c r="BZ61" s="1" t="str">
        <f t="shared" si="227"/>
        <v>ND</v>
      </c>
      <c r="CA61" s="1" t="str">
        <f t="shared" ref="CA61:CK70" si="346">IFERROR(IF(CA$9="ND","ND",VLOOKUP($C61,FULLC,CA$9,0)),"ND")</f>
        <v>ND</v>
      </c>
      <c r="CB61" s="1" t="str">
        <f t="shared" si="346"/>
        <v>ND</v>
      </c>
      <c r="CC61" s="1" t="str">
        <f t="shared" si="346"/>
        <v>ND</v>
      </c>
      <c r="CD61" s="1" t="str">
        <f t="shared" si="346"/>
        <v>ND</v>
      </c>
      <c r="CE61" s="1" t="str">
        <f t="shared" si="346"/>
        <v>ND</v>
      </c>
      <c r="CF61" s="1" t="str">
        <f t="shared" si="346"/>
        <v>ND</v>
      </c>
      <c r="CG61" s="1" t="str">
        <f t="shared" si="346"/>
        <v>ND</v>
      </c>
      <c r="CH61" s="1" t="str">
        <f t="shared" si="346"/>
        <v>ND</v>
      </c>
      <c r="CI61" s="1" t="str">
        <f t="shared" si="346"/>
        <v>ND</v>
      </c>
      <c r="CJ61" s="1" t="str">
        <f t="shared" si="346"/>
        <v>ND</v>
      </c>
      <c r="CK61" s="1" t="str">
        <f t="shared" si="346"/>
        <v>ND</v>
      </c>
      <c r="CL61" s="1" t="str">
        <f t="shared" ref="CL61:CV70" si="347">IFERROR(IF(CL$9="ND","ND",VLOOKUP($C61,LINA,CL$9,0)),"ND")</f>
        <v>ND</v>
      </c>
      <c r="CM61" s="1" t="str">
        <f t="shared" si="347"/>
        <v>ND</v>
      </c>
      <c r="CN61" s="1" t="str">
        <f t="shared" si="347"/>
        <v>ND</v>
      </c>
      <c r="CO61" s="1" t="str">
        <f t="shared" si="347"/>
        <v>ND</v>
      </c>
      <c r="CP61" s="1" t="str">
        <f t="shared" si="347"/>
        <v>ND</v>
      </c>
      <c r="CQ61" s="1" t="str">
        <f t="shared" si="347"/>
        <v>ND</v>
      </c>
      <c r="CR61" s="1" t="str">
        <f t="shared" si="347"/>
        <v>ND</v>
      </c>
      <c r="CS61" s="1" t="str">
        <f t="shared" si="347"/>
        <v>ND</v>
      </c>
      <c r="CT61" s="1" t="str">
        <f t="shared" si="347"/>
        <v>ND</v>
      </c>
      <c r="CU61" s="1" t="str">
        <f t="shared" si="347"/>
        <v>ND</v>
      </c>
      <c r="CV61" s="1" t="str">
        <f t="shared" si="347"/>
        <v>ND</v>
      </c>
      <c r="CW61" s="1" t="str">
        <f t="shared" si="228"/>
        <v>ND</v>
      </c>
      <c r="CX61" s="1" t="str">
        <f t="shared" si="229"/>
        <v>ND</v>
      </c>
      <c r="CY61" s="1" t="str">
        <f t="shared" si="230"/>
        <v>ND</v>
      </c>
      <c r="CZ61" s="1" t="str">
        <f t="shared" si="231"/>
        <v>ND</v>
      </c>
      <c r="DA61" s="1" t="str">
        <f t="shared" si="232"/>
        <v>ND</v>
      </c>
      <c r="DB61" s="1" t="str">
        <f t="shared" si="233"/>
        <v>ND</v>
      </c>
      <c r="DC61" s="1" t="str">
        <f t="shared" si="234"/>
        <v>ND</v>
      </c>
      <c r="DD61" s="1" t="str">
        <f t="shared" si="235"/>
        <v>ND</v>
      </c>
      <c r="DE61" s="1" t="str">
        <f t="shared" si="236"/>
        <v>ND</v>
      </c>
      <c r="DF61" s="1" t="str">
        <f t="shared" si="237"/>
        <v>ND</v>
      </c>
      <c r="DG61" s="1" t="str">
        <f t="shared" si="238"/>
        <v>ND</v>
      </c>
      <c r="DH61" s="1" t="str">
        <f t="shared" si="239"/>
        <v>ND</v>
      </c>
      <c r="DI61" s="1" t="str">
        <f t="shared" si="240"/>
        <v>ND</v>
      </c>
      <c r="DJ61" s="1" t="str">
        <f t="shared" si="241"/>
        <v>ND</v>
      </c>
      <c r="DK61" s="1" t="str">
        <f t="shared" si="242"/>
        <v>ND</v>
      </c>
      <c r="DL61" s="1" t="str">
        <f t="shared" si="243"/>
        <v>ND</v>
      </c>
      <c r="DM61" s="1" t="str">
        <f t="shared" si="244"/>
        <v>ND</v>
      </c>
      <c r="DN61" s="1" t="str">
        <f t="shared" si="245"/>
        <v>ND</v>
      </c>
      <c r="DO61" s="1" t="str">
        <f t="shared" si="246"/>
        <v>ND</v>
      </c>
      <c r="DP61" s="1" t="str">
        <f t="shared" si="247"/>
        <v>ND</v>
      </c>
      <c r="DQ61" s="1" t="str">
        <f t="shared" si="248"/>
        <v>ND</v>
      </c>
      <c r="DR61" s="1" t="str">
        <f t="shared" si="249"/>
        <v>ND</v>
      </c>
      <c r="DS61" s="1" t="str">
        <f t="shared" si="250"/>
        <v>ND</v>
      </c>
      <c r="DT61" s="1" t="str">
        <f t="shared" si="251"/>
        <v>ND</v>
      </c>
      <c r="DU61" s="1" t="str">
        <f t="shared" si="252"/>
        <v>ND</v>
      </c>
      <c r="DV61" s="1" t="str">
        <f t="shared" si="253"/>
        <v>ND</v>
      </c>
      <c r="DW61" s="1" t="str">
        <f t="shared" si="254"/>
        <v>ND</v>
      </c>
      <c r="DX61" s="1" t="str">
        <f t="shared" si="255"/>
        <v>ND</v>
      </c>
      <c r="DY61" s="1" t="str">
        <f t="shared" si="256"/>
        <v>ND</v>
      </c>
      <c r="DZ61" s="1" t="str">
        <f t="shared" si="257"/>
        <v>ND</v>
      </c>
      <c r="EA61" s="1" t="str">
        <f t="shared" si="258"/>
        <v>ND</v>
      </c>
      <c r="EB61" s="1" t="str">
        <f t="shared" si="259"/>
        <v>ND</v>
      </c>
      <c r="EC61" s="1" t="str">
        <f t="shared" si="260"/>
        <v>ND</v>
      </c>
      <c r="ED61" s="1" t="str">
        <f t="shared" si="261"/>
        <v>ND</v>
      </c>
      <c r="EE61" s="1" t="str">
        <f t="shared" si="262"/>
        <v>ND</v>
      </c>
      <c r="EF61" s="1" t="str">
        <f t="shared" si="263"/>
        <v>ND</v>
      </c>
      <c r="EG61" s="1" t="str">
        <f t="shared" si="264"/>
        <v>ND</v>
      </c>
      <c r="EH61" s="1" t="str">
        <f t="shared" si="265"/>
        <v>ND</v>
      </c>
      <c r="EI61" s="1" t="str">
        <f t="shared" si="266"/>
        <v>ND</v>
      </c>
      <c r="EJ61" s="1" t="str">
        <f t="shared" si="267"/>
        <v>ND</v>
      </c>
      <c r="EK61" s="1" t="str">
        <f t="shared" si="268"/>
        <v>ND</v>
      </c>
      <c r="EL61" s="1" t="str">
        <f t="shared" si="269"/>
        <v>ND</v>
      </c>
      <c r="EM61" s="1" t="str">
        <f t="shared" si="270"/>
        <v>ND</v>
      </c>
      <c r="EN61" s="1" t="str">
        <f t="shared" si="271"/>
        <v>ND</v>
      </c>
      <c r="EO61" s="1" t="str">
        <f t="shared" ref="EO61:EY70" si="348">IFERROR(IF(EO$9="ND","ND",VLOOKUP($C61,PAR,EO$9,0)),"ND")</f>
        <v>ND</v>
      </c>
      <c r="EP61" s="1" t="str">
        <f t="shared" si="348"/>
        <v>ND</v>
      </c>
      <c r="EQ61" s="1" t="str">
        <f t="shared" si="348"/>
        <v>ND</v>
      </c>
      <c r="ER61" s="1" t="str">
        <f t="shared" si="348"/>
        <v>ND</v>
      </c>
      <c r="ES61" s="1" t="str">
        <f t="shared" si="348"/>
        <v>ND</v>
      </c>
      <c r="ET61" s="1" t="str">
        <f t="shared" si="348"/>
        <v>ND</v>
      </c>
      <c r="EU61" s="1" t="str">
        <f t="shared" si="348"/>
        <v>ND</v>
      </c>
      <c r="EV61" s="1" t="str">
        <f t="shared" si="348"/>
        <v>ND</v>
      </c>
      <c r="EW61" s="1" t="str">
        <f t="shared" si="348"/>
        <v>ND</v>
      </c>
      <c r="EX61" s="1" t="str">
        <f t="shared" si="348"/>
        <v>ND</v>
      </c>
      <c r="EY61" s="1" t="str">
        <f t="shared" si="348"/>
        <v>ND</v>
      </c>
      <c r="EZ61" s="1" t="str">
        <f t="shared" ref="EZ61:FJ70" si="349">IFERROR(IF(EZ$9="ND","ND",VLOOKUP($C61,PE,EZ$9,0)),"ND")</f>
        <v>ND</v>
      </c>
      <c r="FA61" s="1" t="str">
        <f t="shared" si="349"/>
        <v>ND</v>
      </c>
      <c r="FB61" s="1" t="str">
        <f t="shared" si="349"/>
        <v>ND</v>
      </c>
      <c r="FC61" s="1" t="str">
        <f t="shared" si="349"/>
        <v>ND</v>
      </c>
      <c r="FD61" s="1" t="str">
        <f t="shared" si="349"/>
        <v>ND</v>
      </c>
      <c r="FE61" s="1" t="str">
        <f t="shared" si="349"/>
        <v>ND</v>
      </c>
      <c r="FF61" s="1" t="str">
        <f t="shared" si="349"/>
        <v>ND</v>
      </c>
      <c r="FG61" s="1" t="str">
        <f t="shared" si="349"/>
        <v>ND</v>
      </c>
      <c r="FH61" s="1" t="str">
        <f t="shared" si="349"/>
        <v>ND</v>
      </c>
      <c r="FI61" s="1" t="str">
        <f t="shared" si="349"/>
        <v>ND</v>
      </c>
      <c r="FJ61" s="1" t="str">
        <f t="shared" si="349"/>
        <v>ND</v>
      </c>
      <c r="FK61" s="1" t="str">
        <f t="shared" ref="FK61:FU70" si="350">IFERROR(IF(FK$9="ND","ND",VLOOKUP($C61,RE,FK$9,0)),"ND")</f>
        <v>ND</v>
      </c>
      <c r="FL61" s="1" t="str">
        <f t="shared" si="350"/>
        <v>ND</v>
      </c>
      <c r="FM61" s="1" t="str">
        <f t="shared" si="350"/>
        <v>ND</v>
      </c>
      <c r="FN61" s="1" t="str">
        <f t="shared" si="350"/>
        <v>ND</v>
      </c>
      <c r="FO61" s="1" t="str">
        <f t="shared" si="350"/>
        <v>ND</v>
      </c>
      <c r="FP61" s="1" t="str">
        <f t="shared" si="350"/>
        <v>ND</v>
      </c>
      <c r="FQ61" s="1" t="str">
        <f t="shared" si="350"/>
        <v>ND</v>
      </c>
      <c r="FR61" s="1" t="str">
        <f t="shared" si="350"/>
        <v>ND</v>
      </c>
      <c r="FS61" s="1" t="str">
        <f t="shared" si="350"/>
        <v>ND</v>
      </c>
      <c r="FT61" s="1" t="str">
        <f t="shared" si="350"/>
        <v>ND</v>
      </c>
      <c r="FU61" s="1" t="str">
        <f t="shared" si="350"/>
        <v>ND</v>
      </c>
      <c r="FV61" s="1" t="str">
        <f t="shared" si="272"/>
        <v>ND</v>
      </c>
      <c r="FW61" s="1" t="str">
        <f t="shared" si="273"/>
        <v>ND</v>
      </c>
      <c r="FX61" s="1" t="str">
        <f t="shared" si="274"/>
        <v>ND</v>
      </c>
      <c r="FY61" s="1" t="str">
        <f t="shared" si="275"/>
        <v>ND</v>
      </c>
      <c r="FZ61" s="1" t="str">
        <f t="shared" si="276"/>
        <v>ND</v>
      </c>
      <c r="GA61" s="1" t="str">
        <f t="shared" si="277"/>
        <v>ND</v>
      </c>
      <c r="GB61" s="1" t="str">
        <f t="shared" si="278"/>
        <v>ND</v>
      </c>
      <c r="GC61" s="1" t="str">
        <f t="shared" si="279"/>
        <v>ND</v>
      </c>
      <c r="GD61" s="1" t="str">
        <f t="shared" si="280"/>
        <v>ND</v>
      </c>
      <c r="GE61" s="1" t="str">
        <f t="shared" si="281"/>
        <v>ND</v>
      </c>
      <c r="GF61" s="1" t="str">
        <f t="shared" si="282"/>
        <v>ND</v>
      </c>
      <c r="GG61" s="1" t="str">
        <f t="shared" si="283"/>
        <v>ND</v>
      </c>
      <c r="GH61" s="1" t="str">
        <f t="shared" si="284"/>
        <v>ND</v>
      </c>
      <c r="GI61" s="1" t="str">
        <f t="shared" si="285"/>
        <v>ND</v>
      </c>
      <c r="GJ61" s="1" t="str">
        <f t="shared" si="286"/>
        <v>ND</v>
      </c>
      <c r="GK61" s="1" t="str">
        <f t="shared" si="287"/>
        <v>ND</v>
      </c>
      <c r="GL61" s="1" t="str">
        <f t="shared" si="288"/>
        <v>ND</v>
      </c>
      <c r="GM61" s="1" t="str">
        <f t="shared" si="289"/>
        <v>ND</v>
      </c>
      <c r="GN61" s="1" t="str">
        <f t="shared" si="290"/>
        <v>ND</v>
      </c>
      <c r="GO61" s="1" t="str">
        <f t="shared" si="291"/>
        <v>ND</v>
      </c>
      <c r="GP61" s="1" t="str">
        <f t="shared" si="292"/>
        <v>ND</v>
      </c>
      <c r="GQ61" s="1" t="str">
        <f t="shared" si="293"/>
        <v>ND</v>
      </c>
      <c r="GR61" s="1" t="str">
        <f t="shared" si="294"/>
        <v>ND</v>
      </c>
      <c r="GS61" s="1" t="str">
        <f t="shared" si="295"/>
        <v>ND</v>
      </c>
      <c r="GT61" s="1" t="str">
        <f t="shared" si="296"/>
        <v>ND</v>
      </c>
      <c r="GU61" s="1" t="str">
        <f t="shared" si="297"/>
        <v>ND</v>
      </c>
      <c r="GV61" s="1" t="str">
        <f t="shared" si="298"/>
        <v>ND</v>
      </c>
      <c r="GW61" s="1" t="str">
        <f t="shared" si="299"/>
        <v>ND</v>
      </c>
      <c r="GX61" s="1" t="str">
        <f t="shared" si="300"/>
        <v>ND</v>
      </c>
      <c r="GY61" s="1" t="str">
        <f t="shared" si="301"/>
        <v>ND</v>
      </c>
      <c r="GZ61" s="1" t="str">
        <f t="shared" si="302"/>
        <v>ND</v>
      </c>
      <c r="HA61" s="1" t="str">
        <f t="shared" si="303"/>
        <v>ND</v>
      </c>
      <c r="HB61" s="1" t="str">
        <f t="shared" si="304"/>
        <v>ND</v>
      </c>
      <c r="HC61" s="1" t="str">
        <f t="shared" si="305"/>
        <v>ND</v>
      </c>
      <c r="HD61" s="1" t="str">
        <f t="shared" si="306"/>
        <v>ND</v>
      </c>
      <c r="HE61" s="1" t="str">
        <f t="shared" si="307"/>
        <v>ND</v>
      </c>
      <c r="HF61" s="1" t="str">
        <f t="shared" si="308"/>
        <v>ND</v>
      </c>
      <c r="HG61" s="1" t="str">
        <f t="shared" si="309"/>
        <v>ND</v>
      </c>
      <c r="HH61" s="1" t="str">
        <f t="shared" si="310"/>
        <v>ND</v>
      </c>
      <c r="HI61" s="1" t="str">
        <f t="shared" si="311"/>
        <v>ND</v>
      </c>
      <c r="HJ61" s="1" t="str">
        <f t="shared" si="312"/>
        <v>ND</v>
      </c>
      <c r="HK61" s="1" t="str">
        <f t="shared" si="313"/>
        <v>ND</v>
      </c>
      <c r="HL61" s="1" t="str">
        <f t="shared" si="314"/>
        <v>ND</v>
      </c>
      <c r="HM61" s="1" t="str">
        <f t="shared" si="315"/>
        <v>ND</v>
      </c>
      <c r="HN61" s="1" t="str">
        <f t="shared" si="316"/>
        <v>ND</v>
      </c>
      <c r="HO61" s="1" t="str">
        <f t="shared" si="317"/>
        <v>ND</v>
      </c>
      <c r="HP61" s="1" t="str">
        <f t="shared" si="318"/>
        <v>ND</v>
      </c>
      <c r="HQ61" s="1" t="str">
        <f t="shared" si="319"/>
        <v>ND</v>
      </c>
      <c r="HR61" s="1" t="str">
        <f t="shared" si="320"/>
        <v>ND</v>
      </c>
      <c r="HS61" s="1" t="str">
        <f t="shared" si="321"/>
        <v>ND</v>
      </c>
      <c r="HT61" s="1" t="str">
        <f t="shared" si="322"/>
        <v>ND</v>
      </c>
      <c r="HU61" s="1" t="str">
        <f t="shared" si="323"/>
        <v>ND</v>
      </c>
      <c r="HV61" s="1" t="str">
        <f t="shared" si="324"/>
        <v>ND</v>
      </c>
      <c r="HW61" s="1" t="str">
        <f t="shared" si="325"/>
        <v>ND</v>
      </c>
      <c r="HX61" s="1" t="str">
        <f t="shared" si="326"/>
        <v>ND</v>
      </c>
      <c r="HY61" s="1" t="str">
        <f t="shared" si="327"/>
        <v>ND</v>
      </c>
      <c r="HZ61" s="1" t="str">
        <f t="shared" si="328"/>
        <v>ND</v>
      </c>
      <c r="IA61" s="1" t="str">
        <f t="shared" si="329"/>
        <v>ND</v>
      </c>
      <c r="IB61" s="1" t="str">
        <f t="shared" si="330"/>
        <v>ND</v>
      </c>
      <c r="IC61" s="1" t="str">
        <f t="shared" si="331"/>
        <v>ND</v>
      </c>
      <c r="ID61" s="1" t="str">
        <f t="shared" si="332"/>
        <v>ND</v>
      </c>
      <c r="IE61" s="1" t="str">
        <f t="shared" si="333"/>
        <v>ND</v>
      </c>
      <c r="IF61" s="1" t="str">
        <f t="shared" si="334"/>
        <v>ND</v>
      </c>
      <c r="IG61" s="1" t="str">
        <f t="shared" si="335"/>
        <v>ND</v>
      </c>
      <c r="IH61" s="1" t="str">
        <f t="shared" si="336"/>
        <v>ND</v>
      </c>
      <c r="II61" s="1" t="str">
        <f t="shared" si="337"/>
        <v>ND</v>
      </c>
    </row>
    <row r="62" spans="3:243" x14ac:dyDescent="0.25">
      <c r="C62" t="s">
        <v>54</v>
      </c>
      <c r="D62">
        <f>SUMIFS(DICCIONARIO[Cantidad],DICCIONARIO[Modelo],UNIFICADA[[#This Row],[Equipo]])</f>
        <v>0</v>
      </c>
      <c r="E62" s="1">
        <f>IFERROR(VLOOKUP($C62,EQUIPOS[],UNIFICADO!E$9,0),"")</f>
        <v>11</v>
      </c>
      <c r="F62" s="1">
        <f>IFERROR(VLOOKUP($C62,EQUIPOS[],UNIFICADO!F$9,0),"")</f>
        <v>6.8</v>
      </c>
      <c r="G62" s="1">
        <f>IFERROR(VLOOKUP($C62,EQUIPOS[],UNIFICADO!G$9,0),"")</f>
        <v>50</v>
      </c>
      <c r="H62" s="1">
        <f>IFERROR(VLOOKUP($C62,EQUIPOS[],UNIFICADO!H$9,0),"")</f>
        <v>3</v>
      </c>
      <c r="I62" s="1">
        <f>IFERROR(VLOOKUP($C62,EQUIPOS[],UNIFICADO!I$9,0),"")</f>
        <v>13</v>
      </c>
      <c r="J62" s="1" t="str">
        <f>IFERROR(VLOOKUP($C62,EQUIPOS[],UNIFICADO!J$9,0),"")</f>
        <v>128GB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2.2/1.8</v>
      </c>
      <c r="N62" s="1">
        <f>IFERROR(VLOOKUP($C62,EQUIPOS[],UNIFICADO!N$9,0),"")</f>
        <v>4</v>
      </c>
      <c r="O62" s="1">
        <f>IFERROR(VLOOKUP($C62,EQUIPOS[],UNIFICADO!O$9,0),"")</f>
        <v>208</v>
      </c>
      <c r="P62" s="1">
        <f>IFERROR(VLOOKUP($C62,EQUIPOS[],UNIFICADO!P$9,0),"")</f>
        <v>17</v>
      </c>
      <c r="Q62" s="1">
        <f>IFERROR(VLOOKUP($C62,EQUIPOS[],UNIFICADO!Q$9,0),"")</f>
        <v>7.65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5</v>
      </c>
      <c r="U62" s="1">
        <f>VLOOKUP(UNIFICADA[[#This Row],[Equipo]],EQUIPOS[],19,0)</f>
        <v>52</v>
      </c>
      <c r="V62" s="1" t="str">
        <f t="shared" si="182"/>
        <v>ND</v>
      </c>
      <c r="W62" s="1" t="str">
        <f t="shared" si="183"/>
        <v>ND</v>
      </c>
      <c r="X62" s="1" t="str">
        <f t="shared" si="338"/>
        <v>ND</v>
      </c>
      <c r="Y62" s="1" t="str">
        <f t="shared" si="338"/>
        <v>ND</v>
      </c>
      <c r="Z62" s="1" t="str">
        <f t="shared" si="345"/>
        <v>ND</v>
      </c>
      <c r="AA62" s="1" t="str">
        <f t="shared" si="345"/>
        <v>ND</v>
      </c>
      <c r="AB62" s="1" t="str">
        <f t="shared" si="345"/>
        <v>ND</v>
      </c>
      <c r="AC62" s="1" t="str">
        <f t="shared" si="345"/>
        <v>ND</v>
      </c>
      <c r="AD62" s="1" t="str">
        <f t="shared" si="345"/>
        <v>ND</v>
      </c>
      <c r="AE62" s="1" t="str">
        <f t="shared" si="345"/>
        <v>ND</v>
      </c>
      <c r="AF62" s="1" t="str">
        <f t="shared" si="345"/>
        <v>ND</v>
      </c>
      <c r="AG62" s="1" t="str">
        <f t="shared" si="345"/>
        <v>ND</v>
      </c>
      <c r="AH62" s="1" t="str">
        <f t="shared" si="345"/>
        <v>ND</v>
      </c>
      <c r="AI62" s="1" t="str">
        <f t="shared" si="184"/>
        <v>ND</v>
      </c>
      <c r="AJ62" s="1" t="str">
        <f t="shared" si="185"/>
        <v>ND</v>
      </c>
      <c r="AK62" s="1" t="str">
        <f t="shared" si="186"/>
        <v>ND</v>
      </c>
      <c r="AL62" s="1" t="str">
        <f t="shared" si="187"/>
        <v>ND</v>
      </c>
      <c r="AM62" s="1" t="str">
        <f t="shared" si="188"/>
        <v>ND</v>
      </c>
      <c r="AN62" s="1" t="str">
        <f t="shared" si="189"/>
        <v>ND</v>
      </c>
      <c r="AO62" s="1" t="str">
        <f t="shared" si="190"/>
        <v>ND</v>
      </c>
      <c r="AP62" s="1" t="str">
        <f t="shared" si="191"/>
        <v>ND</v>
      </c>
      <c r="AQ62" s="1" t="str">
        <f t="shared" si="192"/>
        <v>ND</v>
      </c>
      <c r="AR62" s="1" t="str">
        <f t="shared" si="193"/>
        <v>ND</v>
      </c>
      <c r="AS62" s="1" t="str">
        <f t="shared" si="194"/>
        <v>ND</v>
      </c>
      <c r="AT62" s="1" t="str">
        <f t="shared" si="195"/>
        <v>ND</v>
      </c>
      <c r="AU62" s="1" t="str">
        <f t="shared" si="196"/>
        <v>ND</v>
      </c>
      <c r="AV62" s="1" t="str">
        <f t="shared" si="197"/>
        <v>ND</v>
      </c>
      <c r="AW62" s="1" t="str">
        <f t="shared" si="198"/>
        <v>ND</v>
      </c>
      <c r="AX62" s="1" t="str">
        <f t="shared" si="199"/>
        <v>ND</v>
      </c>
      <c r="AY62" s="1" t="str">
        <f t="shared" si="200"/>
        <v>ND</v>
      </c>
      <c r="AZ62" s="1" t="str">
        <f t="shared" si="201"/>
        <v>ND</v>
      </c>
      <c r="BA62" s="1" t="str">
        <f t="shared" si="202"/>
        <v>ND</v>
      </c>
      <c r="BB62" s="1" t="str">
        <f t="shared" si="203"/>
        <v>ND</v>
      </c>
      <c r="BC62" s="1" t="str">
        <f t="shared" si="204"/>
        <v>ND</v>
      </c>
      <c r="BD62" s="1" t="str">
        <f t="shared" si="205"/>
        <v>ND</v>
      </c>
      <c r="BE62" s="1" t="str">
        <f t="shared" si="206"/>
        <v>ND</v>
      </c>
      <c r="BF62" s="1" t="str">
        <f t="shared" si="207"/>
        <v>ND</v>
      </c>
      <c r="BG62" s="1" t="str">
        <f t="shared" si="208"/>
        <v>ND</v>
      </c>
      <c r="BH62" s="1" t="str">
        <f t="shared" si="209"/>
        <v>ND</v>
      </c>
      <c r="BI62" s="1" t="str">
        <f t="shared" si="210"/>
        <v>ND</v>
      </c>
      <c r="BJ62" s="1" t="str">
        <f t="shared" si="211"/>
        <v>ND</v>
      </c>
      <c r="BK62" s="1" t="str">
        <f t="shared" si="212"/>
        <v>ND</v>
      </c>
      <c r="BL62" s="1" t="str">
        <f t="shared" si="213"/>
        <v>ND</v>
      </c>
      <c r="BM62" s="1" t="str">
        <f t="shared" si="214"/>
        <v>ND</v>
      </c>
      <c r="BN62" s="1" t="str">
        <f t="shared" si="215"/>
        <v>ND</v>
      </c>
      <c r="BO62" s="1" t="str">
        <f t="shared" si="216"/>
        <v>ND</v>
      </c>
      <c r="BP62" s="1" t="str">
        <f t="shared" si="217"/>
        <v>ND</v>
      </c>
      <c r="BQ62" s="1" t="str">
        <f t="shared" si="218"/>
        <v>ND</v>
      </c>
      <c r="BR62" s="1" t="str">
        <f t="shared" si="219"/>
        <v>ND</v>
      </c>
      <c r="BS62" s="1" t="str">
        <f t="shared" si="220"/>
        <v>ND</v>
      </c>
      <c r="BT62" s="1" t="str">
        <f t="shared" si="221"/>
        <v>ND</v>
      </c>
      <c r="BU62" s="1" t="str">
        <f t="shared" si="222"/>
        <v>ND</v>
      </c>
      <c r="BV62" s="1" t="str">
        <f t="shared" si="223"/>
        <v>ND</v>
      </c>
      <c r="BW62" s="1" t="str">
        <f t="shared" si="224"/>
        <v>ND</v>
      </c>
      <c r="BX62" s="1" t="str">
        <f t="shared" si="225"/>
        <v>ND</v>
      </c>
      <c r="BY62" s="1" t="str">
        <f t="shared" si="226"/>
        <v>ND</v>
      </c>
      <c r="BZ62" s="1" t="str">
        <f t="shared" si="227"/>
        <v>ND</v>
      </c>
      <c r="CA62" s="1" t="str">
        <f t="shared" si="346"/>
        <v>ND</v>
      </c>
      <c r="CB62" s="1" t="str">
        <f t="shared" si="346"/>
        <v>ND</v>
      </c>
      <c r="CC62" s="1" t="str">
        <f t="shared" si="346"/>
        <v>ND</v>
      </c>
      <c r="CD62" s="1" t="str">
        <f t="shared" si="346"/>
        <v>ND</v>
      </c>
      <c r="CE62" s="1" t="str">
        <f t="shared" si="346"/>
        <v>ND</v>
      </c>
      <c r="CF62" s="1" t="str">
        <f t="shared" si="346"/>
        <v>ND</v>
      </c>
      <c r="CG62" s="1" t="str">
        <f t="shared" si="346"/>
        <v>ND</v>
      </c>
      <c r="CH62" s="1" t="str">
        <f t="shared" si="346"/>
        <v>ND</v>
      </c>
      <c r="CI62" s="1" t="str">
        <f t="shared" si="346"/>
        <v>ND</v>
      </c>
      <c r="CJ62" s="1" t="str">
        <f t="shared" si="346"/>
        <v>ND</v>
      </c>
      <c r="CK62" s="1" t="str">
        <f t="shared" si="346"/>
        <v>ND</v>
      </c>
      <c r="CL62" s="1" t="str">
        <f t="shared" si="347"/>
        <v>ND</v>
      </c>
      <c r="CM62" s="1" t="str">
        <f t="shared" si="347"/>
        <v>ND</v>
      </c>
      <c r="CN62" s="1" t="str">
        <f t="shared" si="347"/>
        <v>ND</v>
      </c>
      <c r="CO62" s="1" t="str">
        <f t="shared" si="347"/>
        <v>ND</v>
      </c>
      <c r="CP62" s="1" t="str">
        <f t="shared" si="347"/>
        <v>ND</v>
      </c>
      <c r="CQ62" s="1" t="str">
        <f t="shared" si="347"/>
        <v>ND</v>
      </c>
      <c r="CR62" s="1" t="str">
        <f t="shared" si="347"/>
        <v>ND</v>
      </c>
      <c r="CS62" s="1" t="str">
        <f t="shared" si="347"/>
        <v>ND</v>
      </c>
      <c r="CT62" s="1" t="str">
        <f t="shared" si="347"/>
        <v>ND</v>
      </c>
      <c r="CU62" s="1" t="str">
        <f t="shared" si="347"/>
        <v>ND</v>
      </c>
      <c r="CV62" s="1" t="str">
        <f t="shared" si="347"/>
        <v>ND</v>
      </c>
      <c r="CW62" s="1" t="str">
        <f t="shared" si="228"/>
        <v>ND</v>
      </c>
      <c r="CX62" s="1" t="str">
        <f t="shared" si="229"/>
        <v>ND</v>
      </c>
      <c r="CY62" s="1" t="str">
        <f t="shared" si="230"/>
        <v>ND</v>
      </c>
      <c r="CZ62" s="1" t="str">
        <f t="shared" si="231"/>
        <v>ND</v>
      </c>
      <c r="DA62" s="1" t="str">
        <f t="shared" si="232"/>
        <v>ND</v>
      </c>
      <c r="DB62" s="1" t="str">
        <f t="shared" si="233"/>
        <v>ND</v>
      </c>
      <c r="DC62" s="1" t="str">
        <f t="shared" si="234"/>
        <v>ND</v>
      </c>
      <c r="DD62" s="1" t="str">
        <f t="shared" si="235"/>
        <v>ND</v>
      </c>
      <c r="DE62" s="1" t="str">
        <f t="shared" si="236"/>
        <v>ND</v>
      </c>
      <c r="DF62" s="1" t="str">
        <f t="shared" si="237"/>
        <v>ND</v>
      </c>
      <c r="DG62" s="1" t="str">
        <f t="shared" si="238"/>
        <v>ND</v>
      </c>
      <c r="DH62" s="1" t="str">
        <f t="shared" si="239"/>
        <v>ND</v>
      </c>
      <c r="DI62" s="1" t="str">
        <f t="shared" si="240"/>
        <v>ND</v>
      </c>
      <c r="DJ62" s="1" t="str">
        <f t="shared" si="241"/>
        <v>ND</v>
      </c>
      <c r="DK62" s="1" t="str">
        <f t="shared" si="242"/>
        <v>ND</v>
      </c>
      <c r="DL62" s="1" t="str">
        <f t="shared" si="243"/>
        <v>ND</v>
      </c>
      <c r="DM62" s="1" t="str">
        <f t="shared" si="244"/>
        <v>ND</v>
      </c>
      <c r="DN62" s="1" t="str">
        <f t="shared" si="245"/>
        <v>ND</v>
      </c>
      <c r="DO62" s="1" t="str">
        <f t="shared" si="246"/>
        <v>ND</v>
      </c>
      <c r="DP62" s="1" t="str">
        <f t="shared" si="247"/>
        <v>ND</v>
      </c>
      <c r="DQ62" s="1" t="str">
        <f t="shared" si="248"/>
        <v>ND</v>
      </c>
      <c r="DR62" s="1" t="str">
        <f t="shared" si="249"/>
        <v>ND</v>
      </c>
      <c r="DS62" s="1" t="str">
        <f t="shared" si="250"/>
        <v>ND</v>
      </c>
      <c r="DT62" s="1" t="str">
        <f t="shared" si="251"/>
        <v>ND</v>
      </c>
      <c r="DU62" s="1" t="str">
        <f t="shared" si="252"/>
        <v>ND</v>
      </c>
      <c r="DV62" s="1" t="str">
        <f t="shared" si="253"/>
        <v>ND</v>
      </c>
      <c r="DW62" s="1" t="str">
        <f t="shared" si="254"/>
        <v>ND</v>
      </c>
      <c r="DX62" s="1" t="str">
        <f t="shared" si="255"/>
        <v>ND</v>
      </c>
      <c r="DY62" s="1" t="str">
        <f t="shared" si="256"/>
        <v>ND</v>
      </c>
      <c r="DZ62" s="1" t="str">
        <f t="shared" si="257"/>
        <v>ND</v>
      </c>
      <c r="EA62" s="1" t="str">
        <f t="shared" si="258"/>
        <v>ND</v>
      </c>
      <c r="EB62" s="1" t="str">
        <f t="shared" si="259"/>
        <v>ND</v>
      </c>
      <c r="EC62" s="1" t="str">
        <f t="shared" si="260"/>
        <v>ND</v>
      </c>
      <c r="ED62" s="1" t="str">
        <f t="shared" si="261"/>
        <v>ND</v>
      </c>
      <c r="EE62" s="1" t="str">
        <f t="shared" si="262"/>
        <v>ND</v>
      </c>
      <c r="EF62" s="1" t="str">
        <f t="shared" si="263"/>
        <v>ND</v>
      </c>
      <c r="EG62" s="1" t="str">
        <f t="shared" si="264"/>
        <v>ND</v>
      </c>
      <c r="EH62" s="1" t="str">
        <f t="shared" si="265"/>
        <v>ND</v>
      </c>
      <c r="EI62" s="1" t="str">
        <f t="shared" si="266"/>
        <v>ND</v>
      </c>
      <c r="EJ62" s="1" t="str">
        <f t="shared" si="267"/>
        <v>ND</v>
      </c>
      <c r="EK62" s="1" t="str">
        <f t="shared" si="268"/>
        <v>ND</v>
      </c>
      <c r="EL62" s="1" t="str">
        <f t="shared" si="269"/>
        <v>ND</v>
      </c>
      <c r="EM62" s="1" t="str">
        <f t="shared" si="270"/>
        <v>ND</v>
      </c>
      <c r="EN62" s="1" t="str">
        <f t="shared" si="271"/>
        <v>ND</v>
      </c>
      <c r="EO62" s="1" t="str">
        <f t="shared" si="348"/>
        <v>ND</v>
      </c>
      <c r="EP62" s="1" t="str">
        <f t="shared" si="348"/>
        <v>ND</v>
      </c>
      <c r="EQ62" s="1" t="str">
        <f t="shared" si="348"/>
        <v>ND</v>
      </c>
      <c r="ER62" s="1" t="str">
        <f t="shared" si="348"/>
        <v>ND</v>
      </c>
      <c r="ES62" s="1" t="str">
        <f t="shared" si="348"/>
        <v>ND</v>
      </c>
      <c r="ET62" s="1" t="str">
        <f t="shared" si="348"/>
        <v>ND</v>
      </c>
      <c r="EU62" s="1" t="str">
        <f t="shared" si="348"/>
        <v>ND</v>
      </c>
      <c r="EV62" s="1" t="str">
        <f t="shared" si="348"/>
        <v>ND</v>
      </c>
      <c r="EW62" s="1" t="str">
        <f t="shared" si="348"/>
        <v>ND</v>
      </c>
      <c r="EX62" s="1" t="str">
        <f t="shared" si="348"/>
        <v>ND</v>
      </c>
      <c r="EY62" s="1" t="str">
        <f t="shared" si="348"/>
        <v>ND</v>
      </c>
      <c r="EZ62" s="1" t="str">
        <f t="shared" si="349"/>
        <v>ND</v>
      </c>
      <c r="FA62" s="1" t="str">
        <f t="shared" si="349"/>
        <v>ND</v>
      </c>
      <c r="FB62" s="1" t="str">
        <f t="shared" si="349"/>
        <v>ND</v>
      </c>
      <c r="FC62" s="1" t="str">
        <f t="shared" si="349"/>
        <v>ND</v>
      </c>
      <c r="FD62" s="1" t="str">
        <f t="shared" si="349"/>
        <v>ND</v>
      </c>
      <c r="FE62" s="1" t="str">
        <f t="shared" si="349"/>
        <v>ND</v>
      </c>
      <c r="FF62" s="1" t="str">
        <f t="shared" si="349"/>
        <v>ND</v>
      </c>
      <c r="FG62" s="1" t="str">
        <f t="shared" si="349"/>
        <v>ND</v>
      </c>
      <c r="FH62" s="1" t="str">
        <f t="shared" si="349"/>
        <v>ND</v>
      </c>
      <c r="FI62" s="1" t="str">
        <f t="shared" si="349"/>
        <v>ND</v>
      </c>
      <c r="FJ62" s="1" t="str">
        <f t="shared" si="349"/>
        <v>ND</v>
      </c>
      <c r="FK62" s="1" t="str">
        <f t="shared" si="350"/>
        <v>ND</v>
      </c>
      <c r="FL62" s="1" t="str">
        <f t="shared" si="350"/>
        <v>ND</v>
      </c>
      <c r="FM62" s="1" t="str">
        <f t="shared" si="350"/>
        <v>ND</v>
      </c>
      <c r="FN62" s="1" t="str">
        <f t="shared" si="350"/>
        <v>ND</v>
      </c>
      <c r="FO62" s="1" t="str">
        <f t="shared" si="350"/>
        <v>ND</v>
      </c>
      <c r="FP62" s="1" t="str">
        <f t="shared" si="350"/>
        <v>ND</v>
      </c>
      <c r="FQ62" s="1" t="str">
        <f t="shared" si="350"/>
        <v>ND</v>
      </c>
      <c r="FR62" s="1" t="str">
        <f t="shared" si="350"/>
        <v>ND</v>
      </c>
      <c r="FS62" s="1" t="str">
        <f t="shared" si="350"/>
        <v>ND</v>
      </c>
      <c r="FT62" s="1" t="str">
        <f t="shared" si="350"/>
        <v>ND</v>
      </c>
      <c r="FU62" s="1" t="str">
        <f t="shared" si="350"/>
        <v>ND</v>
      </c>
      <c r="FV62" s="1" t="str">
        <f t="shared" si="272"/>
        <v>ND</v>
      </c>
      <c r="FW62" s="1" t="str">
        <f t="shared" si="273"/>
        <v>ND</v>
      </c>
      <c r="FX62" s="1" t="str">
        <f t="shared" si="274"/>
        <v>ND</v>
      </c>
      <c r="FY62" s="1" t="str">
        <f t="shared" si="275"/>
        <v>ND</v>
      </c>
      <c r="FZ62" s="1" t="str">
        <f t="shared" si="276"/>
        <v>ND</v>
      </c>
      <c r="GA62" s="1" t="str">
        <f t="shared" si="277"/>
        <v>ND</v>
      </c>
      <c r="GB62" s="1" t="str">
        <f t="shared" si="278"/>
        <v>ND</v>
      </c>
      <c r="GC62" s="1" t="str">
        <f t="shared" si="279"/>
        <v>ND</v>
      </c>
      <c r="GD62" s="1" t="str">
        <f t="shared" si="280"/>
        <v>ND</v>
      </c>
      <c r="GE62" s="1" t="str">
        <f t="shared" si="281"/>
        <v>ND</v>
      </c>
      <c r="GF62" s="1" t="str">
        <f t="shared" si="282"/>
        <v>ND</v>
      </c>
      <c r="GG62" s="1" t="str">
        <f t="shared" si="283"/>
        <v>ND</v>
      </c>
      <c r="GH62" s="1" t="str">
        <f t="shared" si="284"/>
        <v>ND</v>
      </c>
      <c r="GI62" s="1" t="str">
        <f t="shared" si="285"/>
        <v>ND</v>
      </c>
      <c r="GJ62" s="1" t="str">
        <f t="shared" si="286"/>
        <v>ND</v>
      </c>
      <c r="GK62" s="1" t="str">
        <f t="shared" si="287"/>
        <v>ND</v>
      </c>
      <c r="GL62" s="1" t="str">
        <f t="shared" si="288"/>
        <v>ND</v>
      </c>
      <c r="GM62" s="1" t="str">
        <f t="shared" si="289"/>
        <v>ND</v>
      </c>
      <c r="GN62" s="1" t="str">
        <f t="shared" si="290"/>
        <v>ND</v>
      </c>
      <c r="GO62" s="1" t="str">
        <f t="shared" si="291"/>
        <v>ND</v>
      </c>
      <c r="GP62" s="1" t="str">
        <f t="shared" si="292"/>
        <v>ND</v>
      </c>
      <c r="GQ62" s="1" t="str">
        <f t="shared" si="293"/>
        <v>ND</v>
      </c>
      <c r="GR62" s="1" t="str">
        <f t="shared" si="294"/>
        <v>ND</v>
      </c>
      <c r="GS62" s="1" t="str">
        <f t="shared" si="295"/>
        <v>ND</v>
      </c>
      <c r="GT62" s="1" t="str">
        <f t="shared" si="296"/>
        <v>ND</v>
      </c>
      <c r="GU62" s="1" t="str">
        <f t="shared" si="297"/>
        <v>ND</v>
      </c>
      <c r="GV62" s="1" t="str">
        <f t="shared" si="298"/>
        <v>ND</v>
      </c>
      <c r="GW62" s="1" t="str">
        <f t="shared" si="299"/>
        <v>ND</v>
      </c>
      <c r="GX62" s="1" t="str">
        <f t="shared" si="300"/>
        <v>ND</v>
      </c>
      <c r="GY62" s="1" t="str">
        <f t="shared" si="301"/>
        <v>ND</v>
      </c>
      <c r="GZ62" s="1" t="str">
        <f t="shared" si="302"/>
        <v>ND</v>
      </c>
      <c r="HA62" s="1" t="str">
        <f t="shared" si="303"/>
        <v>ND</v>
      </c>
      <c r="HB62" s="1" t="str">
        <f t="shared" si="304"/>
        <v>ND</v>
      </c>
      <c r="HC62" s="1" t="str">
        <f t="shared" si="305"/>
        <v>ND</v>
      </c>
      <c r="HD62" s="1" t="str">
        <f t="shared" si="306"/>
        <v>ND</v>
      </c>
      <c r="HE62" s="1" t="str">
        <f t="shared" si="307"/>
        <v>ND</v>
      </c>
      <c r="HF62" s="1" t="str">
        <f t="shared" si="308"/>
        <v>ND</v>
      </c>
      <c r="HG62" s="1" t="str">
        <f t="shared" si="309"/>
        <v>ND</v>
      </c>
      <c r="HH62" s="1" t="str">
        <f t="shared" si="310"/>
        <v>ND</v>
      </c>
      <c r="HI62" s="1" t="str">
        <f t="shared" si="311"/>
        <v>ND</v>
      </c>
      <c r="HJ62" s="1" t="str">
        <f t="shared" si="312"/>
        <v>ND</v>
      </c>
      <c r="HK62" s="1" t="str">
        <f t="shared" si="313"/>
        <v>ND</v>
      </c>
      <c r="HL62" s="1" t="str">
        <f t="shared" si="314"/>
        <v>ND</v>
      </c>
      <c r="HM62" s="1" t="str">
        <f t="shared" si="315"/>
        <v>ND</v>
      </c>
      <c r="HN62" s="1" t="str">
        <f t="shared" si="316"/>
        <v>ND</v>
      </c>
      <c r="HO62" s="1" t="str">
        <f t="shared" si="317"/>
        <v>ND</v>
      </c>
      <c r="HP62" s="1" t="str">
        <f t="shared" si="318"/>
        <v>ND</v>
      </c>
      <c r="HQ62" s="1" t="str">
        <f t="shared" si="319"/>
        <v>ND</v>
      </c>
      <c r="HR62" s="1" t="str">
        <f t="shared" si="320"/>
        <v>ND</v>
      </c>
      <c r="HS62" s="1" t="str">
        <f t="shared" si="321"/>
        <v>ND</v>
      </c>
      <c r="HT62" s="1" t="str">
        <f t="shared" si="322"/>
        <v>ND</v>
      </c>
      <c r="HU62" s="1" t="str">
        <f t="shared" si="323"/>
        <v>ND</v>
      </c>
      <c r="HV62" s="1" t="str">
        <f t="shared" si="324"/>
        <v>ND</v>
      </c>
      <c r="HW62" s="1" t="str">
        <f t="shared" si="325"/>
        <v>ND</v>
      </c>
      <c r="HX62" s="1" t="str">
        <f t="shared" si="326"/>
        <v>ND</v>
      </c>
      <c r="HY62" s="1" t="str">
        <f t="shared" si="327"/>
        <v>ND</v>
      </c>
      <c r="HZ62" s="1" t="str">
        <f t="shared" si="328"/>
        <v>ND</v>
      </c>
      <c r="IA62" s="1" t="str">
        <f t="shared" si="329"/>
        <v>ND</v>
      </c>
      <c r="IB62" s="1" t="str">
        <f t="shared" si="330"/>
        <v>ND</v>
      </c>
      <c r="IC62" s="1" t="str">
        <f t="shared" si="331"/>
        <v>ND</v>
      </c>
      <c r="ID62" s="1" t="str">
        <f t="shared" si="332"/>
        <v>ND</v>
      </c>
      <c r="IE62" s="1" t="str">
        <f t="shared" si="333"/>
        <v>ND</v>
      </c>
      <c r="IF62" s="1" t="str">
        <f t="shared" si="334"/>
        <v>ND</v>
      </c>
      <c r="IG62" s="1" t="str">
        <f t="shared" si="335"/>
        <v>ND</v>
      </c>
      <c r="IH62" s="1" t="str">
        <f t="shared" si="336"/>
        <v>ND</v>
      </c>
      <c r="II62" s="1" t="str">
        <f t="shared" si="337"/>
        <v>ND</v>
      </c>
    </row>
    <row r="63" spans="3:243" x14ac:dyDescent="0.25">
      <c r="C63" t="s">
        <v>1145</v>
      </c>
      <c r="D63">
        <f>SUMIFS(DICCIONARIO[Cantidad],DICCIONARIO[Modelo],UNIFICADA[[#This Row],[Equipo]])</f>
        <v>1</v>
      </c>
      <c r="E63" s="1">
        <f>IFERROR(VLOOKUP($C63,EQUIPOS[],UNIFICADO!E$9,0),"")</f>
        <v>13</v>
      </c>
      <c r="F63" s="1" t="str">
        <f>IFERROR(VLOOKUP($C63,EQUIPOS[],UNIFICADO!F$9,0),"")</f>
        <v>6.5 LCD HD+ 120Hz</v>
      </c>
      <c r="G63" s="1">
        <f>IFERROR(VLOOKUP($C63,EQUIPOS[],UNIFICADO!G$9,0),"")</f>
        <v>50</v>
      </c>
      <c r="H63" s="1">
        <f>IFERROR(VLOOKUP($C63,EQUIPOS[],UNIFICADO!H$9,0),"")</f>
        <v>2</v>
      </c>
      <c r="I63" s="1">
        <f>IFERROR(VLOOKUP($C63,EQUIPOS[],UNIFICADO!I$9,0),"")</f>
        <v>8</v>
      </c>
      <c r="J63" s="1" t="str">
        <f>IFERROR(VLOOKUP($C63,EQUIPOS[],UNIFICADO!J$9,0),"")</f>
        <v>128GB</v>
      </c>
      <c r="K63" s="1">
        <f>IFERROR(VLOOKUP($C63,EQUIPOS[],UNIFICADO!K$9,0),"")</f>
        <v>0</v>
      </c>
      <c r="L63" s="1">
        <f>IFERROR(VLOOKUP($C63,EQUIPOS[],UNIFICADO!L$9,0),"")</f>
        <v>8</v>
      </c>
      <c r="M63" s="1" t="str">
        <f>IFERROR(VLOOKUP($C63,EQUIPOS[],UNIFICADO!M$9,0),"")</f>
        <v>Snapdragon 480+</v>
      </c>
      <c r="N63" s="1">
        <f>IFERROR(VLOOKUP($C63,EQUIPOS[],UNIFICADO!N$9,0),"")</f>
        <v>6</v>
      </c>
      <c r="O63" s="1">
        <f>IFERROR(VLOOKUP($C63,EQUIPOS[],UNIFICADO!O$9,0),"")</f>
        <v>183</v>
      </c>
      <c r="P63" s="1">
        <f>IFERROR(VLOOKUP($C63,EQUIPOS[],UNIFICADO!P$9,0),"")</f>
        <v>16.3</v>
      </c>
      <c r="Q63" s="1">
        <f>IFERROR(VLOOKUP($C63,EQUIPOS[],UNIFICADO!Q$9,0),"")</f>
        <v>7.47</v>
      </c>
      <c r="R63" s="1">
        <f>IFERROR(VLOOKUP($C63,EQUIPOS[],UNIFICADO!R$9,0),"")</f>
        <v>0.82</v>
      </c>
      <c r="S63" s="1" t="str">
        <f>IFERROR(VLOOKUP($C63,EQUIPOS[],UNIFICADO!S$9,0),"")</f>
        <v>5000 10W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82"/>
        <v>ND</v>
      </c>
      <c r="W63" s="1" t="str">
        <f t="shared" si="183"/>
        <v>ND</v>
      </c>
      <c r="X63" s="1" t="str">
        <f t="shared" si="338"/>
        <v>ND</v>
      </c>
      <c r="Y63" s="1" t="str">
        <f t="shared" si="338"/>
        <v>ND</v>
      </c>
      <c r="Z63" s="1" t="str">
        <f t="shared" si="345"/>
        <v>ND</v>
      </c>
      <c r="AA63" s="1" t="str">
        <f t="shared" si="345"/>
        <v>ND</v>
      </c>
      <c r="AB63" s="1" t="str">
        <f t="shared" si="345"/>
        <v>ND</v>
      </c>
      <c r="AC63" s="1" t="str">
        <f t="shared" si="345"/>
        <v>ND</v>
      </c>
      <c r="AD63" s="1" t="str">
        <f t="shared" si="345"/>
        <v>ND</v>
      </c>
      <c r="AE63" s="1" t="str">
        <f t="shared" si="345"/>
        <v>ND</v>
      </c>
      <c r="AF63" s="1" t="str">
        <f t="shared" si="345"/>
        <v>ND</v>
      </c>
      <c r="AG63" s="1" t="str">
        <f t="shared" si="345"/>
        <v>ND</v>
      </c>
      <c r="AH63" s="1" t="str">
        <f t="shared" si="345"/>
        <v>ND</v>
      </c>
      <c r="AI63" s="1" t="str">
        <f t="shared" si="184"/>
        <v>ND</v>
      </c>
      <c r="AJ63" s="1" t="str">
        <f t="shared" si="185"/>
        <v>ND</v>
      </c>
      <c r="AK63" s="1" t="str">
        <f t="shared" si="186"/>
        <v>ND</v>
      </c>
      <c r="AL63" s="1" t="str">
        <f t="shared" si="187"/>
        <v>ND</v>
      </c>
      <c r="AM63" s="1" t="str">
        <f t="shared" si="188"/>
        <v>ND</v>
      </c>
      <c r="AN63" s="1" t="str">
        <f t="shared" si="189"/>
        <v>ND</v>
      </c>
      <c r="AO63" s="1" t="str">
        <f t="shared" si="190"/>
        <v>ND</v>
      </c>
      <c r="AP63" s="1" t="str">
        <f t="shared" si="191"/>
        <v>ND</v>
      </c>
      <c r="AQ63" s="1" t="str">
        <f t="shared" si="192"/>
        <v>ND</v>
      </c>
      <c r="AR63" s="1" t="str">
        <f t="shared" si="193"/>
        <v>ND</v>
      </c>
      <c r="AS63" s="1" t="str">
        <f t="shared" si="194"/>
        <v>ND</v>
      </c>
      <c r="AT63" s="1" t="str">
        <f t="shared" si="195"/>
        <v>ND</v>
      </c>
      <c r="AU63" s="1" t="str">
        <f t="shared" si="196"/>
        <v>ND</v>
      </c>
      <c r="AV63" s="1" t="str">
        <f t="shared" si="197"/>
        <v>ND</v>
      </c>
      <c r="AW63" s="1" t="str">
        <f t="shared" si="198"/>
        <v>ND</v>
      </c>
      <c r="AX63" s="1" t="str">
        <f t="shared" si="199"/>
        <v>ND</v>
      </c>
      <c r="AY63" s="1" t="str">
        <f t="shared" si="200"/>
        <v>ND</v>
      </c>
      <c r="AZ63" s="1" t="str">
        <f t="shared" si="201"/>
        <v>ND</v>
      </c>
      <c r="BA63" s="1" t="str">
        <f t="shared" si="202"/>
        <v>ND</v>
      </c>
      <c r="BB63" s="1" t="str">
        <f t="shared" si="203"/>
        <v>ND</v>
      </c>
      <c r="BC63" s="1" t="str">
        <f t="shared" si="204"/>
        <v>ND</v>
      </c>
      <c r="BD63" s="1" t="str">
        <f t="shared" si="205"/>
        <v>ND</v>
      </c>
      <c r="BE63" s="1" t="str">
        <f t="shared" si="206"/>
        <v>ND</v>
      </c>
      <c r="BF63" s="1" t="str">
        <f t="shared" si="207"/>
        <v>ND</v>
      </c>
      <c r="BG63" s="1" t="str">
        <f t="shared" si="208"/>
        <v>ND</v>
      </c>
      <c r="BH63" s="1" t="str">
        <f t="shared" si="209"/>
        <v>ND</v>
      </c>
      <c r="BI63" s="1" t="str">
        <f t="shared" si="210"/>
        <v>ND</v>
      </c>
      <c r="BJ63" s="1" t="str">
        <f t="shared" si="211"/>
        <v>ND</v>
      </c>
      <c r="BK63" s="1" t="str">
        <f t="shared" si="212"/>
        <v>ND</v>
      </c>
      <c r="BL63" s="1" t="str">
        <f t="shared" si="213"/>
        <v>ND</v>
      </c>
      <c r="BM63" s="1" t="str">
        <f t="shared" si="214"/>
        <v>ND</v>
      </c>
      <c r="BN63" s="1" t="str">
        <f t="shared" si="215"/>
        <v>ND</v>
      </c>
      <c r="BO63" s="1" t="str">
        <f t="shared" si="216"/>
        <v>ND</v>
      </c>
      <c r="BP63" s="1" t="str">
        <f t="shared" si="217"/>
        <v>ND</v>
      </c>
      <c r="BQ63" s="1" t="str">
        <f t="shared" si="218"/>
        <v>ND</v>
      </c>
      <c r="BR63" s="1" t="str">
        <f t="shared" si="219"/>
        <v>ND</v>
      </c>
      <c r="BS63" s="1" t="str">
        <f t="shared" si="220"/>
        <v>ND</v>
      </c>
      <c r="BT63" s="1" t="str">
        <f t="shared" si="221"/>
        <v>ND</v>
      </c>
      <c r="BU63" s="1" t="str">
        <f t="shared" si="222"/>
        <v>ND</v>
      </c>
      <c r="BV63" s="1" t="str">
        <f t="shared" si="223"/>
        <v>ND</v>
      </c>
      <c r="BW63" s="1" t="str">
        <f t="shared" si="224"/>
        <v>ND</v>
      </c>
      <c r="BX63" s="1" t="str">
        <f t="shared" si="225"/>
        <v>ND</v>
      </c>
      <c r="BY63" s="1" t="str">
        <f t="shared" si="226"/>
        <v>ND</v>
      </c>
      <c r="BZ63" s="1" t="str">
        <f t="shared" si="227"/>
        <v>ND</v>
      </c>
      <c r="CA63" s="1" t="str">
        <f t="shared" si="346"/>
        <v>ND</v>
      </c>
      <c r="CB63" s="1" t="str">
        <f t="shared" si="346"/>
        <v>ND</v>
      </c>
      <c r="CC63" s="1" t="str">
        <f t="shared" si="346"/>
        <v>ND</v>
      </c>
      <c r="CD63" s="1" t="str">
        <f t="shared" si="346"/>
        <v>ND</v>
      </c>
      <c r="CE63" s="1" t="str">
        <f t="shared" si="346"/>
        <v>ND</v>
      </c>
      <c r="CF63" s="1" t="str">
        <f t="shared" si="346"/>
        <v>ND</v>
      </c>
      <c r="CG63" s="1" t="str">
        <f t="shared" si="346"/>
        <v>ND</v>
      </c>
      <c r="CH63" s="1" t="str">
        <f t="shared" si="346"/>
        <v>ND</v>
      </c>
      <c r="CI63" s="1" t="str">
        <f t="shared" si="346"/>
        <v>ND</v>
      </c>
      <c r="CJ63" s="1" t="str">
        <f t="shared" si="346"/>
        <v>ND</v>
      </c>
      <c r="CK63" s="1" t="str">
        <f t="shared" si="346"/>
        <v>ND</v>
      </c>
      <c r="CL63" s="1" t="str">
        <f t="shared" si="347"/>
        <v>ND</v>
      </c>
      <c r="CM63" s="1" t="str">
        <f t="shared" si="347"/>
        <v>ND</v>
      </c>
      <c r="CN63" s="1" t="str">
        <f t="shared" si="347"/>
        <v>ND</v>
      </c>
      <c r="CO63" s="1" t="str">
        <f t="shared" si="347"/>
        <v>ND</v>
      </c>
      <c r="CP63" s="1" t="str">
        <f t="shared" si="347"/>
        <v>ND</v>
      </c>
      <c r="CQ63" s="1" t="str">
        <f t="shared" si="347"/>
        <v>ND</v>
      </c>
      <c r="CR63" s="1" t="str">
        <f t="shared" si="347"/>
        <v>ND</v>
      </c>
      <c r="CS63" s="1" t="str">
        <f t="shared" si="347"/>
        <v>ND</v>
      </c>
      <c r="CT63" s="1" t="str">
        <f t="shared" si="347"/>
        <v>ND</v>
      </c>
      <c r="CU63" s="1" t="str">
        <f t="shared" si="347"/>
        <v>ND</v>
      </c>
      <c r="CV63" s="1" t="str">
        <f t="shared" si="347"/>
        <v>ND</v>
      </c>
      <c r="CW63" s="1" t="str">
        <f t="shared" si="228"/>
        <v>ND</v>
      </c>
      <c r="CX63" s="1" t="str">
        <f t="shared" si="229"/>
        <v>ND</v>
      </c>
      <c r="CY63" s="1" t="str">
        <f t="shared" si="230"/>
        <v>ND</v>
      </c>
      <c r="CZ63" s="1" t="str">
        <f t="shared" si="231"/>
        <v>ND</v>
      </c>
      <c r="DA63" s="1" t="str">
        <f t="shared" si="232"/>
        <v>ND</v>
      </c>
      <c r="DB63" s="1" t="str">
        <f t="shared" si="233"/>
        <v>ND</v>
      </c>
      <c r="DC63" s="1" t="str">
        <f t="shared" si="234"/>
        <v>ND</v>
      </c>
      <c r="DD63" s="1" t="str">
        <f t="shared" si="235"/>
        <v>ND</v>
      </c>
      <c r="DE63" s="1" t="str">
        <f t="shared" si="236"/>
        <v>ND</v>
      </c>
      <c r="DF63" s="1" t="str">
        <f t="shared" si="237"/>
        <v>ND</v>
      </c>
      <c r="DG63" s="1" t="str">
        <f t="shared" si="238"/>
        <v>ND</v>
      </c>
      <c r="DH63" s="1" t="str">
        <f t="shared" si="239"/>
        <v>ND</v>
      </c>
      <c r="DI63" s="1" t="str">
        <f t="shared" si="240"/>
        <v>ND</v>
      </c>
      <c r="DJ63" s="1" t="str">
        <f t="shared" si="241"/>
        <v>ND</v>
      </c>
      <c r="DK63" s="1" t="str">
        <f t="shared" si="242"/>
        <v>ND</v>
      </c>
      <c r="DL63" s="1" t="str">
        <f t="shared" si="243"/>
        <v>ND</v>
      </c>
      <c r="DM63" s="1" t="str">
        <f t="shared" si="244"/>
        <v>ND</v>
      </c>
      <c r="DN63" s="1" t="str">
        <f t="shared" si="245"/>
        <v>ND</v>
      </c>
      <c r="DO63" s="1" t="str">
        <f t="shared" si="246"/>
        <v>ND</v>
      </c>
      <c r="DP63" s="1" t="str">
        <f t="shared" si="247"/>
        <v>ND</v>
      </c>
      <c r="DQ63" s="1" t="str">
        <f t="shared" si="248"/>
        <v>ND</v>
      </c>
      <c r="DR63" s="1" t="str">
        <f t="shared" si="249"/>
        <v>ND</v>
      </c>
      <c r="DS63" s="1" t="str">
        <f t="shared" si="250"/>
        <v>ND</v>
      </c>
      <c r="DT63" s="1" t="str">
        <f t="shared" si="251"/>
        <v>ND</v>
      </c>
      <c r="DU63" s="1" t="str">
        <f t="shared" si="252"/>
        <v>ND</v>
      </c>
      <c r="DV63" s="1" t="str">
        <f t="shared" si="253"/>
        <v>ND</v>
      </c>
      <c r="DW63" s="1" t="str">
        <f t="shared" si="254"/>
        <v>ND</v>
      </c>
      <c r="DX63" s="1" t="str">
        <f t="shared" si="255"/>
        <v>ND</v>
      </c>
      <c r="DY63" s="1" t="str">
        <f t="shared" si="256"/>
        <v>ND</v>
      </c>
      <c r="DZ63" s="1" t="str">
        <f t="shared" si="257"/>
        <v>ND</v>
      </c>
      <c r="EA63" s="1" t="str">
        <f t="shared" si="258"/>
        <v>ND</v>
      </c>
      <c r="EB63" s="1" t="str">
        <f t="shared" si="259"/>
        <v>ND</v>
      </c>
      <c r="EC63" s="1" t="str">
        <f t="shared" si="260"/>
        <v>ND</v>
      </c>
      <c r="ED63" s="1" t="str">
        <f t="shared" si="261"/>
        <v>ND</v>
      </c>
      <c r="EE63" s="1" t="str">
        <f t="shared" si="262"/>
        <v>ND</v>
      </c>
      <c r="EF63" s="1" t="str">
        <f t="shared" si="263"/>
        <v>ND</v>
      </c>
      <c r="EG63" s="1" t="str">
        <f t="shared" si="264"/>
        <v>ND</v>
      </c>
      <c r="EH63" s="1" t="str">
        <f t="shared" si="265"/>
        <v>ND</v>
      </c>
      <c r="EI63" s="1" t="str">
        <f t="shared" si="266"/>
        <v>ND</v>
      </c>
      <c r="EJ63" s="1" t="str">
        <f t="shared" si="267"/>
        <v>ND</v>
      </c>
      <c r="EK63" s="1" t="str">
        <f t="shared" si="268"/>
        <v>ND</v>
      </c>
      <c r="EL63" s="1" t="str">
        <f t="shared" si="269"/>
        <v>ND</v>
      </c>
      <c r="EM63" s="1" t="str">
        <f t="shared" si="270"/>
        <v>ND</v>
      </c>
      <c r="EN63" s="1" t="str">
        <f t="shared" si="271"/>
        <v>ND</v>
      </c>
      <c r="EO63" s="1" t="str">
        <f t="shared" si="348"/>
        <v>ND</v>
      </c>
      <c r="EP63" s="1" t="str">
        <f t="shared" si="348"/>
        <v>ND</v>
      </c>
      <c r="EQ63" s="1" t="str">
        <f t="shared" si="348"/>
        <v>ND</v>
      </c>
      <c r="ER63" s="1" t="str">
        <f t="shared" si="348"/>
        <v>ND</v>
      </c>
      <c r="ES63" s="1" t="str">
        <f t="shared" si="348"/>
        <v>ND</v>
      </c>
      <c r="ET63" s="1" t="str">
        <f t="shared" si="348"/>
        <v>ND</v>
      </c>
      <c r="EU63" s="1" t="str">
        <f t="shared" si="348"/>
        <v>ND</v>
      </c>
      <c r="EV63" s="1" t="str">
        <f t="shared" si="348"/>
        <v>ND</v>
      </c>
      <c r="EW63" s="1" t="str">
        <f t="shared" si="348"/>
        <v>ND</v>
      </c>
      <c r="EX63" s="1" t="str">
        <f t="shared" si="348"/>
        <v>ND</v>
      </c>
      <c r="EY63" s="1" t="str">
        <f t="shared" si="348"/>
        <v>ND</v>
      </c>
      <c r="EZ63" s="1" t="str">
        <f t="shared" si="349"/>
        <v>ND</v>
      </c>
      <c r="FA63" s="1" t="str">
        <f t="shared" si="349"/>
        <v>ND</v>
      </c>
      <c r="FB63" s="1" t="str">
        <f t="shared" si="349"/>
        <v>ND</v>
      </c>
      <c r="FC63" s="1" t="str">
        <f t="shared" si="349"/>
        <v>ND</v>
      </c>
      <c r="FD63" s="1" t="str">
        <f t="shared" si="349"/>
        <v>ND</v>
      </c>
      <c r="FE63" s="1" t="str">
        <f t="shared" si="349"/>
        <v>ND</v>
      </c>
      <c r="FF63" s="1" t="str">
        <f t="shared" si="349"/>
        <v>ND</v>
      </c>
      <c r="FG63" s="1" t="str">
        <f t="shared" si="349"/>
        <v>ND</v>
      </c>
      <c r="FH63" s="1" t="str">
        <f t="shared" si="349"/>
        <v>ND</v>
      </c>
      <c r="FI63" s="1" t="str">
        <f t="shared" si="349"/>
        <v>ND</v>
      </c>
      <c r="FJ63" s="1" t="str">
        <f t="shared" si="349"/>
        <v>ND</v>
      </c>
      <c r="FK63" s="1" t="str">
        <f t="shared" si="350"/>
        <v>ND</v>
      </c>
      <c r="FL63" s="1" t="str">
        <f t="shared" si="350"/>
        <v>ND</v>
      </c>
      <c r="FM63" s="1" t="str">
        <f t="shared" si="350"/>
        <v>ND</v>
      </c>
      <c r="FN63" s="1" t="str">
        <f t="shared" si="350"/>
        <v>ND</v>
      </c>
      <c r="FO63" s="1" t="str">
        <f t="shared" si="350"/>
        <v>ND</v>
      </c>
      <c r="FP63" s="1" t="str">
        <f t="shared" si="350"/>
        <v>ND</v>
      </c>
      <c r="FQ63" s="1" t="str">
        <f t="shared" si="350"/>
        <v>ND</v>
      </c>
      <c r="FR63" s="1" t="str">
        <f t="shared" si="350"/>
        <v>ND</v>
      </c>
      <c r="FS63" s="1" t="str">
        <f t="shared" si="350"/>
        <v>ND</v>
      </c>
      <c r="FT63" s="1" t="str">
        <f t="shared" si="350"/>
        <v>ND</v>
      </c>
      <c r="FU63" s="1" t="str">
        <f t="shared" si="350"/>
        <v>ND</v>
      </c>
      <c r="FV63" s="1" t="str">
        <f t="shared" si="272"/>
        <v>ND</v>
      </c>
      <c r="FW63" s="1" t="str">
        <f t="shared" si="273"/>
        <v>ND</v>
      </c>
      <c r="FX63" s="1" t="str">
        <f t="shared" si="274"/>
        <v>ND</v>
      </c>
      <c r="FY63" s="1" t="str">
        <f t="shared" si="275"/>
        <v>ND</v>
      </c>
      <c r="FZ63" s="1" t="str">
        <f t="shared" si="276"/>
        <v>ND</v>
      </c>
      <c r="GA63" s="1" t="str">
        <f t="shared" si="277"/>
        <v>ND</v>
      </c>
      <c r="GB63" s="1" t="str">
        <f t="shared" si="278"/>
        <v>ND</v>
      </c>
      <c r="GC63" s="1" t="str">
        <f t="shared" si="279"/>
        <v>ND</v>
      </c>
      <c r="GD63" s="1" t="str">
        <f t="shared" si="280"/>
        <v>ND</v>
      </c>
      <c r="GE63" s="1" t="str">
        <f t="shared" si="281"/>
        <v>ND</v>
      </c>
      <c r="GF63" s="1" t="str">
        <f t="shared" si="282"/>
        <v>ND</v>
      </c>
      <c r="GG63" s="1" t="str">
        <f t="shared" si="283"/>
        <v>ND</v>
      </c>
      <c r="GH63" s="1" t="str">
        <f t="shared" si="284"/>
        <v>ND</v>
      </c>
      <c r="GI63" s="1" t="str">
        <f t="shared" si="285"/>
        <v>ND</v>
      </c>
      <c r="GJ63" s="1" t="str">
        <f t="shared" si="286"/>
        <v>ND</v>
      </c>
      <c r="GK63" s="1" t="str">
        <f t="shared" si="287"/>
        <v>ND</v>
      </c>
      <c r="GL63" s="1" t="str">
        <f t="shared" si="288"/>
        <v>ND</v>
      </c>
      <c r="GM63" s="1" t="str">
        <f t="shared" si="289"/>
        <v>ND</v>
      </c>
      <c r="GN63" s="1" t="str">
        <f t="shared" si="290"/>
        <v>ND</v>
      </c>
      <c r="GO63" s="1" t="str">
        <f t="shared" si="291"/>
        <v>ND</v>
      </c>
      <c r="GP63" s="1" t="str">
        <f t="shared" si="292"/>
        <v>ND</v>
      </c>
      <c r="GQ63" s="1" t="str">
        <f t="shared" si="293"/>
        <v>ND</v>
      </c>
      <c r="GR63" s="1" t="str">
        <f t="shared" si="294"/>
        <v>ND</v>
      </c>
      <c r="GS63" s="1" t="str">
        <f t="shared" si="295"/>
        <v>ND</v>
      </c>
      <c r="GT63" s="1" t="str">
        <f t="shared" si="296"/>
        <v>ND</v>
      </c>
      <c r="GU63" s="1" t="str">
        <f t="shared" si="297"/>
        <v>ND</v>
      </c>
      <c r="GV63" s="1" t="str">
        <f t="shared" si="298"/>
        <v>ND</v>
      </c>
      <c r="GW63" s="1" t="str">
        <f t="shared" si="299"/>
        <v>ND</v>
      </c>
      <c r="GX63" s="1" t="str">
        <f t="shared" si="300"/>
        <v>ND</v>
      </c>
      <c r="GY63" s="1" t="str">
        <f t="shared" si="301"/>
        <v>ND</v>
      </c>
      <c r="GZ63" s="1" t="str">
        <f t="shared" si="302"/>
        <v>ND</v>
      </c>
      <c r="HA63" s="1" t="str">
        <f t="shared" si="303"/>
        <v>ND</v>
      </c>
      <c r="HB63" s="1" t="str">
        <f t="shared" si="304"/>
        <v>ND</v>
      </c>
      <c r="HC63" s="1" t="str">
        <f t="shared" si="305"/>
        <v>ND</v>
      </c>
      <c r="HD63" s="1" t="str">
        <f t="shared" si="306"/>
        <v>ND</v>
      </c>
      <c r="HE63" s="1" t="str">
        <f t="shared" si="307"/>
        <v>ND</v>
      </c>
      <c r="HF63" s="1" t="str">
        <f t="shared" si="308"/>
        <v>ND</v>
      </c>
      <c r="HG63" s="1" t="str">
        <f t="shared" si="309"/>
        <v>ND</v>
      </c>
      <c r="HH63" s="1" t="str">
        <f t="shared" si="310"/>
        <v>ND</v>
      </c>
      <c r="HI63" s="1" t="str">
        <f t="shared" si="311"/>
        <v>ND</v>
      </c>
      <c r="HJ63" s="1" t="str">
        <f t="shared" si="312"/>
        <v>ND</v>
      </c>
      <c r="HK63" s="1" t="str">
        <f t="shared" si="313"/>
        <v>ND</v>
      </c>
      <c r="HL63" s="1" t="str">
        <f t="shared" si="314"/>
        <v>ND</v>
      </c>
      <c r="HM63" s="1" t="str">
        <f t="shared" si="315"/>
        <v>ND</v>
      </c>
      <c r="HN63" s="1" t="str">
        <f t="shared" si="316"/>
        <v>ND</v>
      </c>
      <c r="HO63" s="1" t="str">
        <f t="shared" si="317"/>
        <v>ND</v>
      </c>
      <c r="HP63" s="1" t="str">
        <f t="shared" si="318"/>
        <v>ND</v>
      </c>
      <c r="HQ63" s="1" t="str">
        <f t="shared" si="319"/>
        <v>ND</v>
      </c>
      <c r="HR63" s="1" t="str">
        <f t="shared" si="320"/>
        <v>ND</v>
      </c>
      <c r="HS63" s="1" t="str">
        <f t="shared" si="321"/>
        <v>ND</v>
      </c>
      <c r="HT63" s="1" t="str">
        <f t="shared" si="322"/>
        <v>ND</v>
      </c>
      <c r="HU63" s="1" t="str">
        <f t="shared" si="323"/>
        <v>ND</v>
      </c>
      <c r="HV63" s="1" t="str">
        <f t="shared" si="324"/>
        <v>ND</v>
      </c>
      <c r="HW63" s="1" t="str">
        <f t="shared" si="325"/>
        <v>ND</v>
      </c>
      <c r="HX63" s="1" t="str">
        <f t="shared" si="326"/>
        <v>ND</v>
      </c>
      <c r="HY63" s="1" t="str">
        <f t="shared" si="327"/>
        <v>ND</v>
      </c>
      <c r="HZ63" s="1" t="str">
        <f t="shared" si="328"/>
        <v>ND</v>
      </c>
      <c r="IA63" s="1" t="str">
        <f t="shared" si="329"/>
        <v>ND</v>
      </c>
      <c r="IB63" s="1" t="str">
        <f t="shared" si="330"/>
        <v>ND</v>
      </c>
      <c r="IC63" s="1" t="str">
        <f t="shared" si="331"/>
        <v>ND</v>
      </c>
      <c r="ID63" s="1" t="str">
        <f t="shared" si="332"/>
        <v>ND</v>
      </c>
      <c r="IE63" s="1" t="str">
        <f t="shared" si="333"/>
        <v>ND</v>
      </c>
      <c r="IF63" s="1" t="str">
        <f t="shared" si="334"/>
        <v>ND</v>
      </c>
      <c r="IG63" s="1" t="str">
        <f t="shared" si="335"/>
        <v>ND</v>
      </c>
      <c r="IH63" s="1" t="str">
        <f t="shared" si="336"/>
        <v>ND</v>
      </c>
      <c r="II63" s="1" t="str">
        <f t="shared" si="337"/>
        <v>ND</v>
      </c>
    </row>
    <row r="64" spans="3:243" x14ac:dyDescent="0.25">
      <c r="C64" t="s">
        <v>21</v>
      </c>
      <c r="D64">
        <f>SUMIFS(DICCIONARIO[Cantidad],DICCIONARIO[Modelo],UNIFICADA[[#This Row],[Equipo]])</f>
        <v>0</v>
      </c>
      <c r="E64" s="1">
        <f>IFERROR(VLOOKUP($C64,EQUIPOS[],UNIFICADO!E$9,0),"")</f>
        <v>11</v>
      </c>
      <c r="F64" s="1">
        <f>IFERROR(VLOOKUP($C64,EQUIPOS[],UNIFICADO!F$9,0),"")</f>
        <v>6.8</v>
      </c>
      <c r="G64" s="1">
        <f>IFERROR(VLOOKUP($C64,EQUIPOS[],UNIFICADO!G$9,0),"")</f>
        <v>64</v>
      </c>
      <c r="H64" s="1">
        <f>IFERROR(VLOOKUP($C64,EQUIPOS[],UNIFICADO!H$9,0),"")</f>
        <v>4</v>
      </c>
      <c r="I64" s="1">
        <f>IFERROR(VLOOKUP($C64,EQUIPOS[],UNIFICADO!I$9,0),"")</f>
        <v>16</v>
      </c>
      <c r="J64" s="1" t="str">
        <f>IFERROR(VLOOKUP($C64,EQUIPOS[],UNIFICADO!J$9,0),"")</f>
        <v>128GB</v>
      </c>
      <c r="K64" s="1">
        <f>IFERROR(VLOOKUP($C64,EQUIPOS[],UNIFICADO!K$9,0),"")</f>
        <v>256</v>
      </c>
      <c r="L64" s="1">
        <f>IFERROR(VLOOKUP($C64,EQUIPOS[],UNIFICADO!L$9,0),"")</f>
        <v>8</v>
      </c>
      <c r="M64" s="1" t="str">
        <f>IFERROR(VLOOKUP($C64,EQUIPOS[],UNIFICADO!M$9,0),"")</f>
        <v>2.05/2</v>
      </c>
      <c r="N64" s="1">
        <f>IFERROR(VLOOKUP($C64,EQUIPOS[],UNIFICADO!N$9,0),"")</f>
        <v>6</v>
      </c>
      <c r="O64" s="1">
        <f>IFERROR(VLOOKUP($C64,EQUIPOS[],UNIFICADO!O$9,0),"")</f>
        <v>212</v>
      </c>
      <c r="P64" s="1">
        <f>IFERROR(VLOOKUP($C64,EQUIPOS[],UNIFICADO!P$9,0),"")</f>
        <v>16.899999999999999</v>
      </c>
      <c r="Q64" s="1">
        <f>IFERROR(VLOOKUP($C64,EQUIPOS[],UNIFICADO!Q$9,0),"")</f>
        <v>7.59</v>
      </c>
      <c r="R64" s="1">
        <f>IFERROR(VLOOKUP($C64,EQUIPOS[],UNIFICADO!R$9,0),"")</f>
        <v>0.96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82"/>
        <v>ND</v>
      </c>
      <c r="W64" s="1" t="str">
        <f t="shared" si="183"/>
        <v>ND</v>
      </c>
      <c r="X64" s="1" t="str">
        <f t="shared" si="338"/>
        <v>ND</v>
      </c>
      <c r="Y64" s="1" t="str">
        <f t="shared" si="338"/>
        <v>ND</v>
      </c>
      <c r="Z64" s="1" t="str">
        <f t="shared" si="345"/>
        <v>ND</v>
      </c>
      <c r="AA64" s="1" t="str">
        <f t="shared" si="345"/>
        <v>ND</v>
      </c>
      <c r="AB64" s="1" t="str">
        <f t="shared" si="345"/>
        <v>ND</v>
      </c>
      <c r="AC64" s="1" t="str">
        <f t="shared" si="345"/>
        <v>ND</v>
      </c>
      <c r="AD64" s="1" t="str">
        <f t="shared" si="345"/>
        <v>ND</v>
      </c>
      <c r="AE64" s="1" t="str">
        <f t="shared" si="345"/>
        <v>ND</v>
      </c>
      <c r="AF64" s="1" t="str">
        <f t="shared" si="345"/>
        <v>ND</v>
      </c>
      <c r="AG64" s="1" t="str">
        <f t="shared" si="345"/>
        <v>ND</v>
      </c>
      <c r="AH64" s="1" t="str">
        <f t="shared" si="345"/>
        <v>ND</v>
      </c>
      <c r="AI64" s="1" t="str">
        <f t="shared" si="184"/>
        <v>ND</v>
      </c>
      <c r="AJ64" s="1" t="str">
        <f t="shared" si="185"/>
        <v>ND</v>
      </c>
      <c r="AK64" s="1" t="str">
        <f t="shared" si="186"/>
        <v>ND</v>
      </c>
      <c r="AL64" s="1" t="str">
        <f t="shared" si="187"/>
        <v>ND</v>
      </c>
      <c r="AM64" s="1" t="str">
        <f t="shared" si="188"/>
        <v>ND</v>
      </c>
      <c r="AN64" s="1" t="str">
        <f t="shared" si="189"/>
        <v>ND</v>
      </c>
      <c r="AO64" s="1" t="str">
        <f t="shared" si="190"/>
        <v>ND</v>
      </c>
      <c r="AP64" s="1" t="str">
        <f t="shared" si="191"/>
        <v>ND</v>
      </c>
      <c r="AQ64" s="1" t="str">
        <f t="shared" si="192"/>
        <v>ND</v>
      </c>
      <c r="AR64" s="1" t="str">
        <f t="shared" si="193"/>
        <v>ND</v>
      </c>
      <c r="AS64" s="1" t="str">
        <f t="shared" si="194"/>
        <v>ND</v>
      </c>
      <c r="AT64" s="1" t="str">
        <f t="shared" si="195"/>
        <v>ND</v>
      </c>
      <c r="AU64" s="1" t="str">
        <f t="shared" si="196"/>
        <v>ND</v>
      </c>
      <c r="AV64" s="1" t="str">
        <f t="shared" si="197"/>
        <v>ND</v>
      </c>
      <c r="AW64" s="1" t="str">
        <f t="shared" si="198"/>
        <v>ND</v>
      </c>
      <c r="AX64" s="1" t="str">
        <f t="shared" si="199"/>
        <v>ND</v>
      </c>
      <c r="AY64" s="1" t="str">
        <f t="shared" si="200"/>
        <v>ND</v>
      </c>
      <c r="AZ64" s="1" t="str">
        <f t="shared" si="201"/>
        <v>ND</v>
      </c>
      <c r="BA64" s="1" t="str">
        <f t="shared" si="202"/>
        <v>ND</v>
      </c>
      <c r="BB64" s="1" t="str">
        <f t="shared" si="203"/>
        <v>ND</v>
      </c>
      <c r="BC64" s="1" t="str">
        <f t="shared" si="204"/>
        <v>ND</v>
      </c>
      <c r="BD64" s="1" t="str">
        <f t="shared" si="205"/>
        <v>ND</v>
      </c>
      <c r="BE64" s="1" t="str">
        <f t="shared" si="206"/>
        <v>ND</v>
      </c>
      <c r="BF64" s="1" t="str">
        <f t="shared" si="207"/>
        <v>ND</v>
      </c>
      <c r="BG64" s="1" t="str">
        <f t="shared" si="208"/>
        <v>ND</v>
      </c>
      <c r="BH64" s="1" t="str">
        <f t="shared" si="209"/>
        <v>ND</v>
      </c>
      <c r="BI64" s="1" t="str">
        <f t="shared" si="210"/>
        <v>ND</v>
      </c>
      <c r="BJ64" s="1" t="str">
        <f t="shared" si="211"/>
        <v>ND</v>
      </c>
      <c r="BK64" s="1" t="str">
        <f t="shared" si="212"/>
        <v>ND</v>
      </c>
      <c r="BL64" s="1" t="str">
        <f t="shared" si="213"/>
        <v>ND</v>
      </c>
      <c r="BM64" s="1" t="str">
        <f t="shared" si="214"/>
        <v>ND</v>
      </c>
      <c r="BN64" s="1" t="str">
        <f t="shared" si="215"/>
        <v>ND</v>
      </c>
      <c r="BO64" s="1" t="str">
        <f t="shared" si="216"/>
        <v>ND</v>
      </c>
      <c r="BP64" s="1" t="str">
        <f t="shared" si="217"/>
        <v>ND</v>
      </c>
      <c r="BQ64" s="1" t="str">
        <f t="shared" si="218"/>
        <v>ND</v>
      </c>
      <c r="BR64" s="1" t="str">
        <f t="shared" si="219"/>
        <v>ND</v>
      </c>
      <c r="BS64" s="1" t="str">
        <f t="shared" si="220"/>
        <v>ND</v>
      </c>
      <c r="BT64" s="1" t="str">
        <f t="shared" si="221"/>
        <v>ND</v>
      </c>
      <c r="BU64" s="1" t="str">
        <f t="shared" si="222"/>
        <v>ND</v>
      </c>
      <c r="BV64" s="1" t="str">
        <f t="shared" si="223"/>
        <v>ND</v>
      </c>
      <c r="BW64" s="1" t="str">
        <f t="shared" si="224"/>
        <v>ND</v>
      </c>
      <c r="BX64" s="1" t="str">
        <f t="shared" si="225"/>
        <v>ND</v>
      </c>
      <c r="BY64" s="1" t="str">
        <f t="shared" si="226"/>
        <v>ND</v>
      </c>
      <c r="BZ64" s="1" t="str">
        <f t="shared" si="227"/>
        <v>ND</v>
      </c>
      <c r="CA64" s="1" t="str">
        <f t="shared" si="346"/>
        <v>ND</v>
      </c>
      <c r="CB64" s="1" t="str">
        <f t="shared" si="346"/>
        <v>ND</v>
      </c>
      <c r="CC64" s="1" t="str">
        <f t="shared" si="346"/>
        <v>ND</v>
      </c>
      <c r="CD64" s="1" t="str">
        <f t="shared" si="346"/>
        <v>ND</v>
      </c>
      <c r="CE64" s="1" t="str">
        <f t="shared" si="346"/>
        <v>ND</v>
      </c>
      <c r="CF64" s="1" t="str">
        <f t="shared" si="346"/>
        <v>ND</v>
      </c>
      <c r="CG64" s="1" t="str">
        <f t="shared" si="346"/>
        <v>ND</v>
      </c>
      <c r="CH64" s="1" t="str">
        <f t="shared" si="346"/>
        <v>ND</v>
      </c>
      <c r="CI64" s="1" t="str">
        <f t="shared" si="346"/>
        <v>ND</v>
      </c>
      <c r="CJ64" s="1" t="str">
        <f t="shared" si="346"/>
        <v>ND</v>
      </c>
      <c r="CK64" s="1" t="str">
        <f t="shared" si="346"/>
        <v>ND</v>
      </c>
      <c r="CL64" s="1" t="str">
        <f t="shared" si="347"/>
        <v>ND</v>
      </c>
      <c r="CM64" s="1" t="str">
        <f t="shared" si="347"/>
        <v>ND</v>
      </c>
      <c r="CN64" s="1" t="str">
        <f t="shared" si="347"/>
        <v>ND</v>
      </c>
      <c r="CO64" s="1" t="str">
        <f t="shared" si="347"/>
        <v>ND</v>
      </c>
      <c r="CP64" s="1" t="str">
        <f t="shared" si="347"/>
        <v>ND</v>
      </c>
      <c r="CQ64" s="1" t="str">
        <f t="shared" si="347"/>
        <v>ND</v>
      </c>
      <c r="CR64" s="1" t="str">
        <f t="shared" si="347"/>
        <v>ND</v>
      </c>
      <c r="CS64" s="1" t="str">
        <f t="shared" si="347"/>
        <v>ND</v>
      </c>
      <c r="CT64" s="1" t="str">
        <f t="shared" si="347"/>
        <v>ND</v>
      </c>
      <c r="CU64" s="1" t="str">
        <f t="shared" si="347"/>
        <v>ND</v>
      </c>
      <c r="CV64" s="1" t="str">
        <f t="shared" si="347"/>
        <v>ND</v>
      </c>
      <c r="CW64" s="1" t="str">
        <f t="shared" si="228"/>
        <v>ND</v>
      </c>
      <c r="CX64" s="1" t="str">
        <f t="shared" si="229"/>
        <v>ND</v>
      </c>
      <c r="CY64" s="1" t="str">
        <f t="shared" si="230"/>
        <v>ND</v>
      </c>
      <c r="CZ64" s="1" t="str">
        <f t="shared" si="231"/>
        <v>ND</v>
      </c>
      <c r="DA64" s="1" t="str">
        <f t="shared" si="232"/>
        <v>ND</v>
      </c>
      <c r="DB64" s="1" t="str">
        <f t="shared" si="233"/>
        <v>ND</v>
      </c>
      <c r="DC64" s="1" t="str">
        <f t="shared" si="234"/>
        <v>ND</v>
      </c>
      <c r="DD64" s="1" t="str">
        <f t="shared" si="235"/>
        <v>ND</v>
      </c>
      <c r="DE64" s="1" t="str">
        <f t="shared" si="236"/>
        <v>ND</v>
      </c>
      <c r="DF64" s="1" t="str">
        <f t="shared" si="237"/>
        <v>ND</v>
      </c>
      <c r="DG64" s="1" t="str">
        <f t="shared" si="238"/>
        <v>ND</v>
      </c>
      <c r="DH64" s="1" t="str">
        <f t="shared" si="239"/>
        <v>ND</v>
      </c>
      <c r="DI64" s="1" t="str">
        <f t="shared" si="240"/>
        <v>ND</v>
      </c>
      <c r="DJ64" s="1" t="str">
        <f t="shared" si="241"/>
        <v>ND</v>
      </c>
      <c r="DK64" s="1" t="str">
        <f t="shared" si="242"/>
        <v>ND</v>
      </c>
      <c r="DL64" s="1" t="str">
        <f t="shared" si="243"/>
        <v>ND</v>
      </c>
      <c r="DM64" s="1" t="str">
        <f t="shared" si="244"/>
        <v>ND</v>
      </c>
      <c r="DN64" s="1" t="str">
        <f t="shared" si="245"/>
        <v>ND</v>
      </c>
      <c r="DO64" s="1" t="str">
        <f t="shared" si="246"/>
        <v>ND</v>
      </c>
      <c r="DP64" s="1" t="str">
        <f t="shared" si="247"/>
        <v>ND</v>
      </c>
      <c r="DQ64" s="1" t="str">
        <f t="shared" si="248"/>
        <v>ND</v>
      </c>
      <c r="DR64" s="1" t="str">
        <f t="shared" si="249"/>
        <v>ND</v>
      </c>
      <c r="DS64" s="1" t="str">
        <f t="shared" si="250"/>
        <v>ND</v>
      </c>
      <c r="DT64" s="1" t="str">
        <f t="shared" si="251"/>
        <v>ND</v>
      </c>
      <c r="DU64" s="1" t="str">
        <f t="shared" si="252"/>
        <v>ND</v>
      </c>
      <c r="DV64" s="1" t="str">
        <f t="shared" si="253"/>
        <v>ND</v>
      </c>
      <c r="DW64" s="1" t="str">
        <f t="shared" si="254"/>
        <v>ND</v>
      </c>
      <c r="DX64" s="1" t="str">
        <f t="shared" si="255"/>
        <v>ND</v>
      </c>
      <c r="DY64" s="1" t="str">
        <f t="shared" si="256"/>
        <v>ND</v>
      </c>
      <c r="DZ64" s="1" t="str">
        <f t="shared" si="257"/>
        <v>ND</v>
      </c>
      <c r="EA64" s="1" t="str">
        <f t="shared" si="258"/>
        <v>ND</v>
      </c>
      <c r="EB64" s="1" t="str">
        <f t="shared" si="259"/>
        <v>ND</v>
      </c>
      <c r="EC64" s="1" t="str">
        <f t="shared" si="260"/>
        <v>ND</v>
      </c>
      <c r="ED64" s="1" t="str">
        <f t="shared" si="261"/>
        <v>ND</v>
      </c>
      <c r="EE64" s="1" t="str">
        <f t="shared" si="262"/>
        <v>ND</v>
      </c>
      <c r="EF64" s="1" t="str">
        <f t="shared" si="263"/>
        <v>ND</v>
      </c>
      <c r="EG64" s="1" t="str">
        <f t="shared" si="264"/>
        <v>ND</v>
      </c>
      <c r="EH64" s="1" t="str">
        <f t="shared" si="265"/>
        <v>ND</v>
      </c>
      <c r="EI64" s="1" t="str">
        <f t="shared" si="266"/>
        <v>ND</v>
      </c>
      <c r="EJ64" s="1" t="str">
        <f t="shared" si="267"/>
        <v>ND</v>
      </c>
      <c r="EK64" s="1" t="str">
        <f t="shared" si="268"/>
        <v>ND</v>
      </c>
      <c r="EL64" s="1" t="str">
        <f t="shared" si="269"/>
        <v>ND</v>
      </c>
      <c r="EM64" s="1" t="str">
        <f t="shared" si="270"/>
        <v>ND</v>
      </c>
      <c r="EN64" s="1" t="str">
        <f t="shared" si="271"/>
        <v>ND</v>
      </c>
      <c r="EO64" s="1" t="str">
        <f t="shared" si="348"/>
        <v>ND</v>
      </c>
      <c r="EP64" s="1" t="str">
        <f t="shared" si="348"/>
        <v>ND</v>
      </c>
      <c r="EQ64" s="1" t="str">
        <f t="shared" si="348"/>
        <v>ND</v>
      </c>
      <c r="ER64" s="1" t="str">
        <f t="shared" si="348"/>
        <v>ND</v>
      </c>
      <c r="ES64" s="1" t="str">
        <f t="shared" si="348"/>
        <v>ND</v>
      </c>
      <c r="ET64" s="1" t="str">
        <f t="shared" si="348"/>
        <v>ND</v>
      </c>
      <c r="EU64" s="1" t="str">
        <f t="shared" si="348"/>
        <v>ND</v>
      </c>
      <c r="EV64" s="1" t="str">
        <f t="shared" si="348"/>
        <v>ND</v>
      </c>
      <c r="EW64" s="1" t="str">
        <f t="shared" si="348"/>
        <v>ND</v>
      </c>
      <c r="EX64" s="1" t="str">
        <f t="shared" si="348"/>
        <v>ND</v>
      </c>
      <c r="EY64" s="1" t="str">
        <f t="shared" si="348"/>
        <v>ND</v>
      </c>
      <c r="EZ64" s="1" t="str">
        <f t="shared" si="349"/>
        <v>ND</v>
      </c>
      <c r="FA64" s="1" t="str">
        <f t="shared" si="349"/>
        <v>ND</v>
      </c>
      <c r="FB64" s="1" t="str">
        <f t="shared" si="349"/>
        <v>ND</v>
      </c>
      <c r="FC64" s="1" t="str">
        <f t="shared" si="349"/>
        <v>ND</v>
      </c>
      <c r="FD64" s="1" t="str">
        <f t="shared" si="349"/>
        <v>ND</v>
      </c>
      <c r="FE64" s="1" t="str">
        <f t="shared" si="349"/>
        <v>ND</v>
      </c>
      <c r="FF64" s="1" t="str">
        <f t="shared" si="349"/>
        <v>ND</v>
      </c>
      <c r="FG64" s="1" t="str">
        <f t="shared" si="349"/>
        <v>ND</v>
      </c>
      <c r="FH64" s="1" t="str">
        <f t="shared" si="349"/>
        <v>ND</v>
      </c>
      <c r="FI64" s="1" t="str">
        <f t="shared" si="349"/>
        <v>ND</v>
      </c>
      <c r="FJ64" s="1" t="str">
        <f t="shared" si="349"/>
        <v>ND</v>
      </c>
      <c r="FK64" s="1" t="str">
        <f t="shared" si="350"/>
        <v>ND</v>
      </c>
      <c r="FL64" s="1" t="str">
        <f t="shared" si="350"/>
        <v>ND</v>
      </c>
      <c r="FM64" s="1" t="str">
        <f t="shared" si="350"/>
        <v>ND</v>
      </c>
      <c r="FN64" s="1" t="str">
        <f t="shared" si="350"/>
        <v>ND</v>
      </c>
      <c r="FO64" s="1" t="str">
        <f t="shared" si="350"/>
        <v>ND</v>
      </c>
      <c r="FP64" s="1" t="str">
        <f t="shared" si="350"/>
        <v>ND</v>
      </c>
      <c r="FQ64" s="1" t="str">
        <f t="shared" si="350"/>
        <v>ND</v>
      </c>
      <c r="FR64" s="1" t="str">
        <f t="shared" si="350"/>
        <v>ND</v>
      </c>
      <c r="FS64" s="1" t="str">
        <f t="shared" si="350"/>
        <v>ND</v>
      </c>
      <c r="FT64" s="1" t="str">
        <f t="shared" si="350"/>
        <v>ND</v>
      </c>
      <c r="FU64" s="1" t="str">
        <f t="shared" si="350"/>
        <v>ND</v>
      </c>
      <c r="FV64" s="1" t="str">
        <f t="shared" si="272"/>
        <v>ND</v>
      </c>
      <c r="FW64" s="1" t="str">
        <f t="shared" si="273"/>
        <v>ND</v>
      </c>
      <c r="FX64" s="1" t="str">
        <f t="shared" si="274"/>
        <v>ND</v>
      </c>
      <c r="FY64" s="1" t="str">
        <f t="shared" si="275"/>
        <v>ND</v>
      </c>
      <c r="FZ64" s="1" t="str">
        <f t="shared" si="276"/>
        <v>ND</v>
      </c>
      <c r="GA64" s="1" t="str">
        <f t="shared" si="277"/>
        <v>ND</v>
      </c>
      <c r="GB64" s="1" t="str">
        <f t="shared" si="278"/>
        <v>ND</v>
      </c>
      <c r="GC64" s="1" t="str">
        <f t="shared" si="279"/>
        <v>ND</v>
      </c>
      <c r="GD64" s="1" t="str">
        <f t="shared" si="280"/>
        <v>ND</v>
      </c>
      <c r="GE64" s="1" t="str">
        <f t="shared" si="281"/>
        <v>ND</v>
      </c>
      <c r="GF64" s="1" t="str">
        <f t="shared" si="282"/>
        <v>ND</v>
      </c>
      <c r="GG64" s="1" t="str">
        <f t="shared" si="283"/>
        <v>ND</v>
      </c>
      <c r="GH64" s="1" t="str">
        <f t="shared" si="284"/>
        <v>ND</v>
      </c>
      <c r="GI64" s="1" t="str">
        <f t="shared" si="285"/>
        <v>ND</v>
      </c>
      <c r="GJ64" s="1" t="str">
        <f t="shared" si="286"/>
        <v>ND</v>
      </c>
      <c r="GK64" s="1" t="str">
        <f t="shared" si="287"/>
        <v>ND</v>
      </c>
      <c r="GL64" s="1" t="str">
        <f t="shared" si="288"/>
        <v>ND</v>
      </c>
      <c r="GM64" s="1" t="str">
        <f t="shared" si="289"/>
        <v>ND</v>
      </c>
      <c r="GN64" s="1" t="str">
        <f t="shared" si="290"/>
        <v>ND</v>
      </c>
      <c r="GO64" s="1" t="str">
        <f t="shared" si="291"/>
        <v>ND</v>
      </c>
      <c r="GP64" s="1" t="str">
        <f t="shared" si="292"/>
        <v>ND</v>
      </c>
      <c r="GQ64" s="1" t="str">
        <f t="shared" si="293"/>
        <v>ND</v>
      </c>
      <c r="GR64" s="1" t="str">
        <f t="shared" si="294"/>
        <v>ND</v>
      </c>
      <c r="GS64" s="1" t="str">
        <f t="shared" si="295"/>
        <v>ND</v>
      </c>
      <c r="GT64" s="1" t="str">
        <f t="shared" si="296"/>
        <v>ND</v>
      </c>
      <c r="GU64" s="1" t="str">
        <f t="shared" si="297"/>
        <v>ND</v>
      </c>
      <c r="GV64" s="1" t="str">
        <f t="shared" si="298"/>
        <v>ND</v>
      </c>
      <c r="GW64" s="1" t="str">
        <f t="shared" si="299"/>
        <v>ND</v>
      </c>
      <c r="GX64" s="1" t="str">
        <f t="shared" si="300"/>
        <v>ND</v>
      </c>
      <c r="GY64" s="1" t="str">
        <f t="shared" si="301"/>
        <v>ND</v>
      </c>
      <c r="GZ64" s="1" t="str">
        <f t="shared" si="302"/>
        <v>ND</v>
      </c>
      <c r="HA64" s="1" t="str">
        <f t="shared" si="303"/>
        <v>ND</v>
      </c>
      <c r="HB64" s="1" t="str">
        <f t="shared" si="304"/>
        <v>ND</v>
      </c>
      <c r="HC64" s="1" t="str">
        <f t="shared" si="305"/>
        <v>ND</v>
      </c>
      <c r="HD64" s="1" t="str">
        <f t="shared" si="306"/>
        <v>ND</v>
      </c>
      <c r="HE64" s="1" t="str">
        <f t="shared" si="307"/>
        <v>ND</v>
      </c>
      <c r="HF64" s="1" t="str">
        <f t="shared" si="308"/>
        <v>ND</v>
      </c>
      <c r="HG64" s="1" t="str">
        <f t="shared" si="309"/>
        <v>ND</v>
      </c>
      <c r="HH64" s="1" t="str">
        <f t="shared" si="310"/>
        <v>ND</v>
      </c>
      <c r="HI64" s="1" t="str">
        <f t="shared" si="311"/>
        <v>ND</v>
      </c>
      <c r="HJ64" s="1" t="str">
        <f t="shared" si="312"/>
        <v>ND</v>
      </c>
      <c r="HK64" s="1" t="str">
        <f t="shared" si="313"/>
        <v>ND</v>
      </c>
      <c r="HL64" s="1" t="str">
        <f t="shared" si="314"/>
        <v>ND</v>
      </c>
      <c r="HM64" s="1" t="str">
        <f t="shared" si="315"/>
        <v>ND</v>
      </c>
      <c r="HN64" s="1" t="str">
        <f t="shared" si="316"/>
        <v>ND</v>
      </c>
      <c r="HO64" s="1" t="str">
        <f t="shared" si="317"/>
        <v>ND</v>
      </c>
      <c r="HP64" s="1" t="str">
        <f t="shared" si="318"/>
        <v>ND</v>
      </c>
      <c r="HQ64" s="1" t="str">
        <f t="shared" si="319"/>
        <v>ND</v>
      </c>
      <c r="HR64" s="1" t="str">
        <f t="shared" si="320"/>
        <v>ND</v>
      </c>
      <c r="HS64" s="1" t="str">
        <f t="shared" si="321"/>
        <v>ND</v>
      </c>
      <c r="HT64" s="1" t="str">
        <f t="shared" si="322"/>
        <v>ND</v>
      </c>
      <c r="HU64" s="1" t="str">
        <f t="shared" si="323"/>
        <v>ND</v>
      </c>
      <c r="HV64" s="1" t="str">
        <f t="shared" si="324"/>
        <v>ND</v>
      </c>
      <c r="HW64" s="1" t="str">
        <f t="shared" si="325"/>
        <v>ND</v>
      </c>
      <c r="HX64" s="1" t="str">
        <f t="shared" si="326"/>
        <v>ND</v>
      </c>
      <c r="HY64" s="1" t="str">
        <f t="shared" si="327"/>
        <v>ND</v>
      </c>
      <c r="HZ64" s="1" t="str">
        <f t="shared" si="328"/>
        <v>ND</v>
      </c>
      <c r="IA64" s="1" t="str">
        <f t="shared" si="329"/>
        <v>ND</v>
      </c>
      <c r="IB64" s="1" t="str">
        <f t="shared" si="330"/>
        <v>ND</v>
      </c>
      <c r="IC64" s="1" t="str">
        <f t="shared" si="331"/>
        <v>ND</v>
      </c>
      <c r="ID64" s="1" t="str">
        <f t="shared" si="332"/>
        <v>ND</v>
      </c>
      <c r="IE64" s="1" t="str">
        <f t="shared" si="333"/>
        <v>ND</v>
      </c>
      <c r="IF64" s="1" t="str">
        <f t="shared" si="334"/>
        <v>ND</v>
      </c>
      <c r="IG64" s="1" t="str">
        <f t="shared" si="335"/>
        <v>ND</v>
      </c>
      <c r="IH64" s="1" t="str">
        <f t="shared" si="336"/>
        <v>ND</v>
      </c>
      <c r="II64" s="1" t="str">
        <f t="shared" si="337"/>
        <v>ND</v>
      </c>
    </row>
    <row r="65" spans="3:243" x14ac:dyDescent="0.25">
      <c r="C65" t="s">
        <v>69</v>
      </c>
      <c r="D65">
        <f>SUMIFS(DICCIONARIO[Cantidad],DICCIONARIO[Modelo],UNIFICADA[[#This Row],[Equipo]])</f>
        <v>0</v>
      </c>
      <c r="E65" s="1">
        <f>IFERROR(VLOOKUP($C65,EQUIPOS[],UNIFICADO!E$9,0),"")</f>
        <v>11</v>
      </c>
      <c r="F65" s="1">
        <f>IFERROR(VLOOKUP($C65,EQUIPOS[],UNIFICADO!F$9,0),"")</f>
        <v>6.4</v>
      </c>
      <c r="G65" s="1">
        <f>IFERROR(VLOOKUP($C65,EQUIPOS[],UNIFICADO!G$9,0),"")</f>
        <v>50</v>
      </c>
      <c r="H65" s="1">
        <f>IFERROR(VLOOKUP($C65,EQUIPOS[],UNIFICADO!H$9,0),"")</f>
        <v>3</v>
      </c>
      <c r="I65" s="1">
        <f>IFERROR(VLOOKUP($C65,EQUIPOS[],UNIFICADO!I$9,0),"")</f>
        <v>16</v>
      </c>
      <c r="J65" s="1" t="str">
        <f>IFERROR(VLOOKUP($C65,EQUIPOS[],UNIFICADO!J$9,0),"")</f>
        <v>128GB</v>
      </c>
      <c r="K65" s="1">
        <f>IFERROR(VLOOKUP($C65,EQUIPOS[],UNIFICADO!K$9,0),"")</f>
        <v>0</v>
      </c>
      <c r="L65" s="1">
        <f>IFERROR(VLOOKUP($C65,EQUIPOS[],UNIFICADO!L$9,0),"")</f>
        <v>8</v>
      </c>
      <c r="M65" s="1" t="str">
        <f>IFERROR(VLOOKUP($C65,EQUIPOS[],UNIFICADO!M$9,0),"")</f>
        <v>2.2/1.7</v>
      </c>
      <c r="N65" s="1">
        <f>IFERROR(VLOOKUP($C65,EQUIPOS[],UNIFICADO!N$9,0),"")</f>
        <v>6</v>
      </c>
      <c r="O65" s="1">
        <f>IFERROR(VLOOKUP($C65,EQUIPOS[],UNIFICADO!O$9,0),"")</f>
        <v>179</v>
      </c>
      <c r="P65" s="1">
        <f>IFERROR(VLOOKUP($C65,EQUIPOS[],UNIFICADO!P$9,0),"")</f>
        <v>16</v>
      </c>
      <c r="Q65" s="1">
        <f>IFERROR(VLOOKUP($C65,EQUIPOS[],UNIFICADO!Q$9,0),"")</f>
        <v>7.39</v>
      </c>
      <c r="R65" s="1">
        <f>IFERROR(VLOOKUP($C65,EQUIPOS[],UNIFICADO!R$9,0),"")</f>
        <v>0.85</v>
      </c>
      <c r="S65" s="1">
        <f>IFERROR(VLOOKUP($C65,EQUIPOS[],UNIFICADO!S$9,0),"")</f>
        <v>5000</v>
      </c>
      <c r="T65" s="1">
        <f>IFERROR(VLOOKUP($C65,EQUIPOS[],UNIFICADO!T$9,0),"")</f>
        <v>5</v>
      </c>
      <c r="U65" s="1">
        <f>VLOOKUP(UNIFICADA[[#This Row],[Equipo]],EQUIPOS[],19,0)</f>
        <v>55</v>
      </c>
      <c r="V65" s="1" t="str">
        <f t="shared" si="182"/>
        <v>ND</v>
      </c>
      <c r="W65" s="1" t="str">
        <f t="shared" si="183"/>
        <v>ND</v>
      </c>
      <c r="X65" s="1" t="str">
        <f t="shared" si="338"/>
        <v>ND</v>
      </c>
      <c r="Y65" s="1" t="str">
        <f t="shared" si="338"/>
        <v>ND</v>
      </c>
      <c r="Z65" s="1" t="str">
        <f t="shared" si="345"/>
        <v>ND</v>
      </c>
      <c r="AA65" s="1" t="str">
        <f t="shared" si="345"/>
        <v>ND</v>
      </c>
      <c r="AB65" s="1" t="str">
        <f t="shared" si="345"/>
        <v>ND</v>
      </c>
      <c r="AC65" s="1" t="str">
        <f t="shared" si="345"/>
        <v>ND</v>
      </c>
      <c r="AD65" s="1" t="str">
        <f t="shared" si="345"/>
        <v>ND</v>
      </c>
      <c r="AE65" s="1" t="str">
        <f t="shared" si="345"/>
        <v>ND</v>
      </c>
      <c r="AF65" s="1" t="str">
        <f t="shared" si="345"/>
        <v>ND</v>
      </c>
      <c r="AG65" s="1" t="str">
        <f t="shared" si="345"/>
        <v>ND</v>
      </c>
      <c r="AH65" s="1" t="str">
        <f t="shared" si="345"/>
        <v>ND</v>
      </c>
      <c r="AI65" s="1" t="str">
        <f t="shared" si="184"/>
        <v>ND</v>
      </c>
      <c r="AJ65" s="1" t="str">
        <f t="shared" si="185"/>
        <v>ND</v>
      </c>
      <c r="AK65" s="1" t="str">
        <f t="shared" si="186"/>
        <v>ND</v>
      </c>
      <c r="AL65" s="1" t="str">
        <f t="shared" si="187"/>
        <v>ND</v>
      </c>
      <c r="AM65" s="1" t="str">
        <f t="shared" si="188"/>
        <v>ND</v>
      </c>
      <c r="AN65" s="1" t="str">
        <f t="shared" si="189"/>
        <v>ND</v>
      </c>
      <c r="AO65" s="1" t="str">
        <f t="shared" si="190"/>
        <v>ND</v>
      </c>
      <c r="AP65" s="1" t="str">
        <f t="shared" si="191"/>
        <v>ND</v>
      </c>
      <c r="AQ65" s="1" t="str">
        <f t="shared" si="192"/>
        <v>ND</v>
      </c>
      <c r="AR65" s="1" t="str">
        <f t="shared" si="193"/>
        <v>ND</v>
      </c>
      <c r="AS65" s="1" t="str">
        <f t="shared" si="194"/>
        <v>ND</v>
      </c>
      <c r="AT65" s="1" t="str">
        <f t="shared" si="195"/>
        <v>ND</v>
      </c>
      <c r="AU65" s="1" t="str">
        <f t="shared" si="196"/>
        <v>ND</v>
      </c>
      <c r="AV65" s="1" t="str">
        <f t="shared" si="197"/>
        <v>ND</v>
      </c>
      <c r="AW65" s="1" t="str">
        <f t="shared" si="198"/>
        <v>ND</v>
      </c>
      <c r="AX65" s="1" t="str">
        <f t="shared" si="199"/>
        <v>ND</v>
      </c>
      <c r="AY65" s="1" t="str">
        <f t="shared" si="200"/>
        <v>ND</v>
      </c>
      <c r="AZ65" s="1" t="str">
        <f t="shared" si="201"/>
        <v>ND</v>
      </c>
      <c r="BA65" s="1" t="str">
        <f t="shared" si="202"/>
        <v>ND</v>
      </c>
      <c r="BB65" s="1" t="str">
        <f t="shared" si="203"/>
        <v>ND</v>
      </c>
      <c r="BC65" s="1" t="str">
        <f t="shared" si="204"/>
        <v>ND</v>
      </c>
      <c r="BD65" s="1" t="str">
        <f t="shared" si="205"/>
        <v>ND</v>
      </c>
      <c r="BE65" s="1" t="str">
        <f t="shared" si="206"/>
        <v>ND</v>
      </c>
      <c r="BF65" s="1" t="str">
        <f t="shared" si="207"/>
        <v>ND</v>
      </c>
      <c r="BG65" s="1" t="str">
        <f t="shared" si="208"/>
        <v>ND</v>
      </c>
      <c r="BH65" s="1" t="str">
        <f t="shared" si="209"/>
        <v>ND</v>
      </c>
      <c r="BI65" s="1" t="str">
        <f t="shared" si="210"/>
        <v>ND</v>
      </c>
      <c r="BJ65" s="1" t="str">
        <f t="shared" si="211"/>
        <v>ND</v>
      </c>
      <c r="BK65" s="1" t="str">
        <f t="shared" si="212"/>
        <v>ND</v>
      </c>
      <c r="BL65" s="1" t="str">
        <f t="shared" si="213"/>
        <v>ND</v>
      </c>
      <c r="BM65" s="1" t="str">
        <f t="shared" si="214"/>
        <v>ND</v>
      </c>
      <c r="BN65" s="1" t="str">
        <f t="shared" si="215"/>
        <v>ND</v>
      </c>
      <c r="BO65" s="1" t="str">
        <f t="shared" si="216"/>
        <v>ND</v>
      </c>
      <c r="BP65" s="1" t="str">
        <f t="shared" si="217"/>
        <v>ND</v>
      </c>
      <c r="BQ65" s="1" t="str">
        <f t="shared" si="218"/>
        <v>ND</v>
      </c>
      <c r="BR65" s="1" t="str">
        <f t="shared" si="219"/>
        <v>ND</v>
      </c>
      <c r="BS65" s="1" t="str">
        <f t="shared" si="220"/>
        <v>ND</v>
      </c>
      <c r="BT65" s="1" t="str">
        <f t="shared" si="221"/>
        <v>ND</v>
      </c>
      <c r="BU65" s="1" t="str">
        <f t="shared" si="222"/>
        <v>ND</v>
      </c>
      <c r="BV65" s="1" t="str">
        <f t="shared" si="223"/>
        <v>ND</v>
      </c>
      <c r="BW65" s="1" t="str">
        <f t="shared" si="224"/>
        <v>ND</v>
      </c>
      <c r="BX65" s="1" t="str">
        <f t="shared" si="225"/>
        <v>ND</v>
      </c>
      <c r="BY65" s="1" t="str">
        <f t="shared" si="226"/>
        <v>ND</v>
      </c>
      <c r="BZ65" s="1" t="str">
        <f t="shared" si="227"/>
        <v>ND</v>
      </c>
      <c r="CA65" s="1" t="str">
        <f t="shared" si="346"/>
        <v>ND</v>
      </c>
      <c r="CB65" s="1" t="str">
        <f t="shared" si="346"/>
        <v>ND</v>
      </c>
      <c r="CC65" s="1" t="str">
        <f t="shared" si="346"/>
        <v>ND</v>
      </c>
      <c r="CD65" s="1" t="str">
        <f t="shared" si="346"/>
        <v>ND</v>
      </c>
      <c r="CE65" s="1" t="str">
        <f t="shared" si="346"/>
        <v>ND</v>
      </c>
      <c r="CF65" s="1" t="str">
        <f t="shared" si="346"/>
        <v>ND</v>
      </c>
      <c r="CG65" s="1" t="str">
        <f t="shared" si="346"/>
        <v>ND</v>
      </c>
      <c r="CH65" s="1" t="str">
        <f t="shared" si="346"/>
        <v>ND</v>
      </c>
      <c r="CI65" s="1" t="str">
        <f t="shared" si="346"/>
        <v>ND</v>
      </c>
      <c r="CJ65" s="1" t="str">
        <f t="shared" si="346"/>
        <v>ND</v>
      </c>
      <c r="CK65" s="1" t="str">
        <f t="shared" si="346"/>
        <v>ND</v>
      </c>
      <c r="CL65" s="1" t="str">
        <f t="shared" si="347"/>
        <v>ND</v>
      </c>
      <c r="CM65" s="1" t="str">
        <f t="shared" si="347"/>
        <v>ND</v>
      </c>
      <c r="CN65" s="1" t="str">
        <f t="shared" si="347"/>
        <v>ND</v>
      </c>
      <c r="CO65" s="1" t="str">
        <f t="shared" si="347"/>
        <v>ND</v>
      </c>
      <c r="CP65" s="1" t="str">
        <f t="shared" si="347"/>
        <v>ND</v>
      </c>
      <c r="CQ65" s="1" t="str">
        <f t="shared" si="347"/>
        <v>ND</v>
      </c>
      <c r="CR65" s="1" t="str">
        <f t="shared" si="347"/>
        <v>ND</v>
      </c>
      <c r="CS65" s="1" t="str">
        <f t="shared" si="347"/>
        <v>ND</v>
      </c>
      <c r="CT65" s="1" t="str">
        <f t="shared" si="347"/>
        <v>ND</v>
      </c>
      <c r="CU65" s="1" t="str">
        <f t="shared" si="347"/>
        <v>ND</v>
      </c>
      <c r="CV65" s="1" t="str">
        <f t="shared" si="347"/>
        <v>ND</v>
      </c>
      <c r="CW65" s="1" t="str">
        <f t="shared" si="228"/>
        <v>ND</v>
      </c>
      <c r="CX65" s="1" t="str">
        <f t="shared" si="229"/>
        <v>ND</v>
      </c>
      <c r="CY65" s="1" t="str">
        <f t="shared" si="230"/>
        <v>ND</v>
      </c>
      <c r="CZ65" s="1" t="str">
        <f t="shared" si="231"/>
        <v>ND</v>
      </c>
      <c r="DA65" s="1" t="str">
        <f t="shared" si="232"/>
        <v>ND</v>
      </c>
      <c r="DB65" s="1" t="str">
        <f t="shared" si="233"/>
        <v>ND</v>
      </c>
      <c r="DC65" s="1" t="str">
        <f t="shared" si="234"/>
        <v>ND</v>
      </c>
      <c r="DD65" s="1" t="str">
        <f t="shared" si="235"/>
        <v>ND</v>
      </c>
      <c r="DE65" s="1" t="str">
        <f t="shared" si="236"/>
        <v>ND</v>
      </c>
      <c r="DF65" s="1" t="str">
        <f t="shared" si="237"/>
        <v>ND</v>
      </c>
      <c r="DG65" s="1" t="str">
        <f t="shared" si="238"/>
        <v>ND</v>
      </c>
      <c r="DH65" s="1" t="str">
        <f t="shared" si="239"/>
        <v>ND</v>
      </c>
      <c r="DI65" s="1" t="str">
        <f t="shared" si="240"/>
        <v>ND</v>
      </c>
      <c r="DJ65" s="1" t="str">
        <f t="shared" si="241"/>
        <v>ND</v>
      </c>
      <c r="DK65" s="1" t="str">
        <f t="shared" si="242"/>
        <v>ND</v>
      </c>
      <c r="DL65" s="1" t="str">
        <f t="shared" si="243"/>
        <v>ND</v>
      </c>
      <c r="DM65" s="1" t="str">
        <f t="shared" si="244"/>
        <v>ND</v>
      </c>
      <c r="DN65" s="1" t="str">
        <f t="shared" si="245"/>
        <v>ND</v>
      </c>
      <c r="DO65" s="1" t="str">
        <f t="shared" si="246"/>
        <v>ND</v>
      </c>
      <c r="DP65" s="1" t="str">
        <f t="shared" si="247"/>
        <v>ND</v>
      </c>
      <c r="DQ65" s="1" t="str">
        <f t="shared" si="248"/>
        <v>ND</v>
      </c>
      <c r="DR65" s="1" t="str">
        <f t="shared" si="249"/>
        <v>ND</v>
      </c>
      <c r="DS65" s="1" t="str">
        <f t="shared" si="250"/>
        <v>ND</v>
      </c>
      <c r="DT65" s="1" t="str">
        <f t="shared" si="251"/>
        <v>ND</v>
      </c>
      <c r="DU65" s="1" t="str">
        <f t="shared" si="252"/>
        <v>ND</v>
      </c>
      <c r="DV65" s="1" t="str">
        <f t="shared" si="253"/>
        <v>ND</v>
      </c>
      <c r="DW65" s="1" t="str">
        <f t="shared" si="254"/>
        <v>ND</v>
      </c>
      <c r="DX65" s="1" t="str">
        <f t="shared" si="255"/>
        <v>ND</v>
      </c>
      <c r="DY65" s="1" t="str">
        <f t="shared" si="256"/>
        <v>ND</v>
      </c>
      <c r="DZ65" s="1" t="str">
        <f t="shared" si="257"/>
        <v>ND</v>
      </c>
      <c r="EA65" s="1" t="str">
        <f t="shared" si="258"/>
        <v>ND</v>
      </c>
      <c r="EB65" s="1" t="str">
        <f t="shared" si="259"/>
        <v>ND</v>
      </c>
      <c r="EC65" s="1" t="str">
        <f t="shared" si="260"/>
        <v>ND</v>
      </c>
      <c r="ED65" s="1" t="str">
        <f t="shared" si="261"/>
        <v>ND</v>
      </c>
      <c r="EE65" s="1" t="str">
        <f t="shared" si="262"/>
        <v>ND</v>
      </c>
      <c r="EF65" s="1" t="str">
        <f t="shared" si="263"/>
        <v>ND</v>
      </c>
      <c r="EG65" s="1" t="str">
        <f t="shared" si="264"/>
        <v>ND</v>
      </c>
      <c r="EH65" s="1" t="str">
        <f t="shared" si="265"/>
        <v>ND</v>
      </c>
      <c r="EI65" s="1" t="str">
        <f t="shared" si="266"/>
        <v>ND</v>
      </c>
      <c r="EJ65" s="1" t="str">
        <f t="shared" si="267"/>
        <v>ND</v>
      </c>
      <c r="EK65" s="1" t="str">
        <f t="shared" si="268"/>
        <v>ND</v>
      </c>
      <c r="EL65" s="1" t="str">
        <f t="shared" si="269"/>
        <v>ND</v>
      </c>
      <c r="EM65" s="1" t="str">
        <f t="shared" si="270"/>
        <v>ND</v>
      </c>
      <c r="EN65" s="1" t="str">
        <f t="shared" si="271"/>
        <v>ND</v>
      </c>
      <c r="EO65" s="1" t="str">
        <f t="shared" si="348"/>
        <v>ND</v>
      </c>
      <c r="EP65" s="1" t="str">
        <f t="shared" si="348"/>
        <v>ND</v>
      </c>
      <c r="EQ65" s="1" t="str">
        <f t="shared" si="348"/>
        <v>ND</v>
      </c>
      <c r="ER65" s="1" t="str">
        <f t="shared" si="348"/>
        <v>ND</v>
      </c>
      <c r="ES65" s="1" t="str">
        <f t="shared" si="348"/>
        <v>ND</v>
      </c>
      <c r="ET65" s="1" t="str">
        <f t="shared" si="348"/>
        <v>ND</v>
      </c>
      <c r="EU65" s="1" t="str">
        <f t="shared" si="348"/>
        <v>ND</v>
      </c>
      <c r="EV65" s="1" t="str">
        <f t="shared" si="348"/>
        <v>ND</v>
      </c>
      <c r="EW65" s="1" t="str">
        <f t="shared" si="348"/>
        <v>ND</v>
      </c>
      <c r="EX65" s="1" t="str">
        <f t="shared" si="348"/>
        <v>ND</v>
      </c>
      <c r="EY65" s="1" t="str">
        <f t="shared" si="348"/>
        <v>ND</v>
      </c>
      <c r="EZ65" s="1" t="str">
        <f t="shared" si="349"/>
        <v>ND</v>
      </c>
      <c r="FA65" s="1" t="str">
        <f t="shared" si="349"/>
        <v>ND</v>
      </c>
      <c r="FB65" s="1" t="str">
        <f t="shared" si="349"/>
        <v>ND</v>
      </c>
      <c r="FC65" s="1" t="str">
        <f t="shared" si="349"/>
        <v>ND</v>
      </c>
      <c r="FD65" s="1" t="str">
        <f t="shared" si="349"/>
        <v>ND</v>
      </c>
      <c r="FE65" s="1" t="str">
        <f t="shared" si="349"/>
        <v>ND</v>
      </c>
      <c r="FF65" s="1" t="str">
        <f t="shared" si="349"/>
        <v>ND</v>
      </c>
      <c r="FG65" s="1" t="str">
        <f t="shared" si="349"/>
        <v>ND</v>
      </c>
      <c r="FH65" s="1" t="str">
        <f t="shared" si="349"/>
        <v>ND</v>
      </c>
      <c r="FI65" s="1" t="str">
        <f t="shared" si="349"/>
        <v>ND</v>
      </c>
      <c r="FJ65" s="1" t="str">
        <f t="shared" si="349"/>
        <v>ND</v>
      </c>
      <c r="FK65" s="1" t="str">
        <f t="shared" si="350"/>
        <v>ND</v>
      </c>
      <c r="FL65" s="1" t="str">
        <f t="shared" si="350"/>
        <v>ND</v>
      </c>
      <c r="FM65" s="1" t="str">
        <f t="shared" si="350"/>
        <v>ND</v>
      </c>
      <c r="FN65" s="1" t="str">
        <f t="shared" si="350"/>
        <v>ND</v>
      </c>
      <c r="FO65" s="1" t="str">
        <f t="shared" si="350"/>
        <v>ND</v>
      </c>
      <c r="FP65" s="1" t="str">
        <f t="shared" si="350"/>
        <v>ND</v>
      </c>
      <c r="FQ65" s="1" t="str">
        <f t="shared" si="350"/>
        <v>ND</v>
      </c>
      <c r="FR65" s="1" t="str">
        <f t="shared" si="350"/>
        <v>ND</v>
      </c>
      <c r="FS65" s="1" t="str">
        <f t="shared" si="350"/>
        <v>ND</v>
      </c>
      <c r="FT65" s="1" t="str">
        <f t="shared" si="350"/>
        <v>ND</v>
      </c>
      <c r="FU65" s="1" t="str">
        <f t="shared" si="350"/>
        <v>ND</v>
      </c>
      <c r="FV65" s="1" t="str">
        <f t="shared" si="272"/>
        <v>ND</v>
      </c>
      <c r="FW65" s="1" t="str">
        <f t="shared" si="273"/>
        <v>ND</v>
      </c>
      <c r="FX65" s="1" t="str">
        <f t="shared" si="274"/>
        <v>ND</v>
      </c>
      <c r="FY65" s="1" t="str">
        <f t="shared" si="275"/>
        <v>ND</v>
      </c>
      <c r="FZ65" s="1" t="str">
        <f t="shared" si="276"/>
        <v>ND</v>
      </c>
      <c r="GA65" s="1" t="str">
        <f t="shared" si="277"/>
        <v>ND</v>
      </c>
      <c r="GB65" s="1" t="str">
        <f t="shared" si="278"/>
        <v>ND</v>
      </c>
      <c r="GC65" s="1" t="str">
        <f t="shared" si="279"/>
        <v>ND</v>
      </c>
      <c r="GD65" s="1" t="str">
        <f t="shared" si="280"/>
        <v>ND</v>
      </c>
      <c r="GE65" s="1" t="str">
        <f t="shared" si="281"/>
        <v>ND</v>
      </c>
      <c r="GF65" s="1" t="str">
        <f t="shared" si="282"/>
        <v>ND</v>
      </c>
      <c r="GG65" s="1" t="str">
        <f t="shared" si="283"/>
        <v>ND</v>
      </c>
      <c r="GH65" s="1" t="str">
        <f t="shared" si="284"/>
        <v>ND</v>
      </c>
      <c r="GI65" s="1" t="str">
        <f t="shared" si="285"/>
        <v>ND</v>
      </c>
      <c r="GJ65" s="1" t="str">
        <f t="shared" si="286"/>
        <v>ND</v>
      </c>
      <c r="GK65" s="1" t="str">
        <f t="shared" si="287"/>
        <v>ND</v>
      </c>
      <c r="GL65" s="1" t="str">
        <f t="shared" si="288"/>
        <v>ND</v>
      </c>
      <c r="GM65" s="1" t="str">
        <f t="shared" si="289"/>
        <v>ND</v>
      </c>
      <c r="GN65" s="1" t="str">
        <f t="shared" si="290"/>
        <v>ND</v>
      </c>
      <c r="GO65" s="1" t="str">
        <f t="shared" si="291"/>
        <v>ND</v>
      </c>
      <c r="GP65" s="1" t="str">
        <f t="shared" si="292"/>
        <v>ND</v>
      </c>
      <c r="GQ65" s="1" t="str">
        <f t="shared" si="293"/>
        <v>ND</v>
      </c>
      <c r="GR65" s="1" t="str">
        <f t="shared" si="294"/>
        <v>ND</v>
      </c>
      <c r="GS65" s="1" t="str">
        <f t="shared" si="295"/>
        <v>ND</v>
      </c>
      <c r="GT65" s="1" t="str">
        <f t="shared" si="296"/>
        <v>ND</v>
      </c>
      <c r="GU65" s="1" t="str">
        <f t="shared" si="297"/>
        <v>ND</v>
      </c>
      <c r="GV65" s="1" t="str">
        <f t="shared" si="298"/>
        <v>ND</v>
      </c>
      <c r="GW65" s="1" t="str">
        <f t="shared" si="299"/>
        <v>ND</v>
      </c>
      <c r="GX65" s="1" t="str">
        <f t="shared" si="300"/>
        <v>ND</v>
      </c>
      <c r="GY65" s="1" t="str">
        <f t="shared" si="301"/>
        <v>ND</v>
      </c>
      <c r="GZ65" s="1" t="str">
        <f t="shared" si="302"/>
        <v>ND</v>
      </c>
      <c r="HA65" s="1" t="str">
        <f t="shared" si="303"/>
        <v>ND</v>
      </c>
      <c r="HB65" s="1" t="str">
        <f t="shared" si="304"/>
        <v>ND</v>
      </c>
      <c r="HC65" s="1" t="str">
        <f t="shared" si="305"/>
        <v>ND</v>
      </c>
      <c r="HD65" s="1" t="str">
        <f t="shared" si="306"/>
        <v>ND</v>
      </c>
      <c r="HE65" s="1" t="str">
        <f t="shared" si="307"/>
        <v>ND</v>
      </c>
      <c r="HF65" s="1" t="str">
        <f t="shared" si="308"/>
        <v>ND</v>
      </c>
      <c r="HG65" s="1" t="str">
        <f t="shared" si="309"/>
        <v>ND</v>
      </c>
      <c r="HH65" s="1" t="str">
        <f t="shared" si="310"/>
        <v>ND</v>
      </c>
      <c r="HI65" s="1" t="str">
        <f t="shared" si="311"/>
        <v>ND</v>
      </c>
      <c r="HJ65" s="1" t="str">
        <f t="shared" si="312"/>
        <v>ND</v>
      </c>
      <c r="HK65" s="1" t="str">
        <f t="shared" si="313"/>
        <v>ND</v>
      </c>
      <c r="HL65" s="1" t="str">
        <f t="shared" si="314"/>
        <v>ND</v>
      </c>
      <c r="HM65" s="1" t="str">
        <f t="shared" si="315"/>
        <v>ND</v>
      </c>
      <c r="HN65" s="1" t="str">
        <f t="shared" si="316"/>
        <v>ND</v>
      </c>
      <c r="HO65" s="1" t="str">
        <f t="shared" si="317"/>
        <v>ND</v>
      </c>
      <c r="HP65" s="1" t="str">
        <f t="shared" si="318"/>
        <v>ND</v>
      </c>
      <c r="HQ65" s="1" t="str">
        <f t="shared" si="319"/>
        <v>ND</v>
      </c>
      <c r="HR65" s="1" t="str">
        <f t="shared" si="320"/>
        <v>ND</v>
      </c>
      <c r="HS65" s="1" t="str">
        <f t="shared" si="321"/>
        <v>ND</v>
      </c>
      <c r="HT65" s="1" t="str">
        <f t="shared" si="322"/>
        <v>ND</v>
      </c>
      <c r="HU65" s="1" t="str">
        <f t="shared" si="323"/>
        <v>ND</v>
      </c>
      <c r="HV65" s="1" t="str">
        <f t="shared" si="324"/>
        <v>ND</v>
      </c>
      <c r="HW65" s="1" t="str">
        <f t="shared" si="325"/>
        <v>ND</v>
      </c>
      <c r="HX65" s="1" t="str">
        <f t="shared" si="326"/>
        <v>ND</v>
      </c>
      <c r="HY65" s="1" t="str">
        <f t="shared" si="327"/>
        <v>ND</v>
      </c>
      <c r="HZ65" s="1" t="str">
        <f t="shared" si="328"/>
        <v>ND</v>
      </c>
      <c r="IA65" s="1" t="str">
        <f t="shared" si="329"/>
        <v>ND</v>
      </c>
      <c r="IB65" s="1" t="str">
        <f t="shared" si="330"/>
        <v>ND</v>
      </c>
      <c r="IC65" s="1" t="str">
        <f t="shared" si="331"/>
        <v>ND</v>
      </c>
      <c r="ID65" s="1" t="str">
        <f t="shared" si="332"/>
        <v>ND</v>
      </c>
      <c r="IE65" s="1" t="str">
        <f t="shared" si="333"/>
        <v>ND</v>
      </c>
      <c r="IF65" s="1" t="str">
        <f t="shared" si="334"/>
        <v>ND</v>
      </c>
      <c r="IG65" s="1" t="str">
        <f t="shared" si="335"/>
        <v>ND</v>
      </c>
      <c r="IH65" s="1" t="str">
        <f t="shared" si="336"/>
        <v>ND</v>
      </c>
      <c r="II65" s="1" t="str">
        <f t="shared" si="337"/>
        <v>ND</v>
      </c>
    </row>
    <row r="66" spans="3:243" x14ac:dyDescent="0.25">
      <c r="C66" t="s">
        <v>103</v>
      </c>
      <c r="D66">
        <f>SUMIFS(DICCIONARIO[Cantidad],DICCIONARIO[Modelo],UNIFICADA[[#This Row],[Equipo]])</f>
        <v>0</v>
      </c>
      <c r="E66" s="1">
        <f>IFERROR(VLOOKUP($C66,EQUIPOS[],UNIFICADO!E$9,0),"")</f>
        <v>12</v>
      </c>
      <c r="F66" s="1">
        <f>IFERROR(VLOOKUP($C66,EQUIPOS[],UNIFICADO!F$9,0),"")</f>
        <v>6.6</v>
      </c>
      <c r="G66" s="1">
        <f>IFERROR(VLOOKUP($C66,EQUIPOS[],UNIFICADO!G$9,0),"")</f>
        <v>50</v>
      </c>
      <c r="H66" s="1">
        <f>IFERROR(VLOOKUP($C66,EQUIPOS[],UNIFICADO!H$9,0),"")</f>
        <v>3</v>
      </c>
      <c r="I66" s="1">
        <f>IFERROR(VLOOKUP($C66,EQUIPOS[],UNIFICADO!I$9,0),"")</f>
        <v>16</v>
      </c>
      <c r="J66" s="1" t="str">
        <f>IFERROR(VLOOKUP($C66,EQUIPOS[],UNIFICADO!J$9,0),"")</f>
        <v>128GB</v>
      </c>
      <c r="K66" s="1">
        <f>IFERROR(VLOOKUP($C66,EQUIPOS[],UNIFICADO!K$9,0),"")</f>
        <v>256</v>
      </c>
      <c r="L66" s="1">
        <f>IFERROR(VLOOKUP($C66,EQUIPOS[],UNIFICADO!L$9,0),"")</f>
        <v>8</v>
      </c>
      <c r="M66" s="1" t="str">
        <f>IFERROR(VLOOKUP($C66,EQUIPOS[],UNIFICADO!M$9,0),"")</f>
        <v>2.2/1.7</v>
      </c>
      <c r="N66" s="1">
        <f>IFERROR(VLOOKUP($C66,EQUIPOS[],UNIFICADO!N$9,0),"")</f>
        <v>6</v>
      </c>
      <c r="O66" s="1">
        <f>IFERROR(VLOOKUP($C66,EQUIPOS[],UNIFICADO!O$9,0),"")</f>
        <v>173</v>
      </c>
      <c r="P66" s="1">
        <f>IFERROR(VLOOKUP($C66,EQUIPOS[],UNIFICADO!P$9,0),"")</f>
        <v>16</v>
      </c>
      <c r="Q66" s="1">
        <f>IFERROR(VLOOKUP($C66,EQUIPOS[],UNIFICADO!Q$9,0),"")</f>
        <v>7.45</v>
      </c>
      <c r="R66" s="1">
        <f>IFERROR(VLOOKUP($C66,EQUIPOS[],UNIFICADO!R$9,0),"")</f>
        <v>0.8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f>VLOOKUP(UNIFICADA[[#This Row],[Equipo]],EQUIPOS[],19,0)</f>
        <v>56</v>
      </c>
      <c r="V66" s="1" t="str">
        <f t="shared" si="182"/>
        <v>ND</v>
      </c>
      <c r="W66" s="1" t="str">
        <f t="shared" si="183"/>
        <v>ND</v>
      </c>
      <c r="X66" s="1" t="str">
        <f t="shared" si="338"/>
        <v>ND</v>
      </c>
      <c r="Y66" s="1" t="str">
        <f t="shared" si="338"/>
        <v>ND</v>
      </c>
      <c r="Z66" s="1" t="str">
        <f t="shared" si="345"/>
        <v>ND</v>
      </c>
      <c r="AA66" s="1" t="str">
        <f t="shared" si="345"/>
        <v>ND</v>
      </c>
      <c r="AB66" s="1" t="str">
        <f t="shared" si="345"/>
        <v>ND</v>
      </c>
      <c r="AC66" s="1" t="str">
        <f t="shared" si="345"/>
        <v>ND</v>
      </c>
      <c r="AD66" s="1" t="str">
        <f t="shared" si="345"/>
        <v>ND</v>
      </c>
      <c r="AE66" s="1" t="str">
        <f t="shared" si="345"/>
        <v>ND</v>
      </c>
      <c r="AF66" s="1" t="str">
        <f t="shared" si="345"/>
        <v>ND</v>
      </c>
      <c r="AG66" s="1" t="str">
        <f t="shared" si="345"/>
        <v>ND</v>
      </c>
      <c r="AH66" s="1" t="str">
        <f t="shared" si="345"/>
        <v>ND</v>
      </c>
      <c r="AI66" s="1" t="str">
        <f t="shared" si="184"/>
        <v>ND</v>
      </c>
      <c r="AJ66" s="1" t="str">
        <f t="shared" si="185"/>
        <v>ND</v>
      </c>
      <c r="AK66" s="1" t="str">
        <f t="shared" si="186"/>
        <v>ND</v>
      </c>
      <c r="AL66" s="1" t="str">
        <f t="shared" si="187"/>
        <v>ND</v>
      </c>
      <c r="AM66" s="1" t="str">
        <f t="shared" si="188"/>
        <v>ND</v>
      </c>
      <c r="AN66" s="1" t="str">
        <f t="shared" si="189"/>
        <v>ND</v>
      </c>
      <c r="AO66" s="1" t="str">
        <f t="shared" si="190"/>
        <v>ND</v>
      </c>
      <c r="AP66" s="1" t="str">
        <f t="shared" si="191"/>
        <v>ND</v>
      </c>
      <c r="AQ66" s="1" t="str">
        <f t="shared" si="192"/>
        <v>ND</v>
      </c>
      <c r="AR66" s="1" t="str">
        <f t="shared" si="193"/>
        <v>ND</v>
      </c>
      <c r="AS66" s="1" t="str">
        <f t="shared" si="194"/>
        <v>ND</v>
      </c>
      <c r="AT66" s="1" t="str">
        <f t="shared" si="195"/>
        <v>ND</v>
      </c>
      <c r="AU66" s="1" t="str">
        <f t="shared" si="196"/>
        <v>ND</v>
      </c>
      <c r="AV66" s="1" t="str">
        <f t="shared" si="197"/>
        <v>ND</v>
      </c>
      <c r="AW66" s="1" t="str">
        <f t="shared" si="198"/>
        <v>ND</v>
      </c>
      <c r="AX66" s="1" t="str">
        <f t="shared" si="199"/>
        <v>ND</v>
      </c>
      <c r="AY66" s="1" t="str">
        <f t="shared" si="200"/>
        <v>ND</v>
      </c>
      <c r="AZ66" s="1" t="str">
        <f t="shared" si="201"/>
        <v>ND</v>
      </c>
      <c r="BA66" s="1" t="str">
        <f t="shared" si="202"/>
        <v>ND</v>
      </c>
      <c r="BB66" s="1" t="str">
        <f t="shared" si="203"/>
        <v>ND</v>
      </c>
      <c r="BC66" s="1" t="str">
        <f t="shared" si="204"/>
        <v>ND</v>
      </c>
      <c r="BD66" s="1" t="str">
        <f t="shared" si="205"/>
        <v>ND</v>
      </c>
      <c r="BE66" s="1" t="str">
        <f t="shared" si="206"/>
        <v>ND</v>
      </c>
      <c r="BF66" s="1" t="str">
        <f t="shared" si="207"/>
        <v>ND</v>
      </c>
      <c r="BG66" s="1" t="str">
        <f t="shared" si="208"/>
        <v>ND</v>
      </c>
      <c r="BH66" s="1" t="str">
        <f t="shared" si="209"/>
        <v>ND</v>
      </c>
      <c r="BI66" s="1" t="str">
        <f t="shared" si="210"/>
        <v>ND</v>
      </c>
      <c r="BJ66" s="1" t="str">
        <f t="shared" si="211"/>
        <v>ND</v>
      </c>
      <c r="BK66" s="1" t="str">
        <f t="shared" si="212"/>
        <v>ND</v>
      </c>
      <c r="BL66" s="1" t="str">
        <f t="shared" si="213"/>
        <v>ND</v>
      </c>
      <c r="BM66" s="1" t="str">
        <f t="shared" si="214"/>
        <v>ND</v>
      </c>
      <c r="BN66" s="1" t="str">
        <f t="shared" si="215"/>
        <v>ND</v>
      </c>
      <c r="BO66" s="1" t="str">
        <f t="shared" si="216"/>
        <v>ND</v>
      </c>
      <c r="BP66" s="1" t="str">
        <f t="shared" si="217"/>
        <v>ND</v>
      </c>
      <c r="BQ66" s="1" t="str">
        <f t="shared" si="218"/>
        <v>ND</v>
      </c>
      <c r="BR66" s="1" t="str">
        <f t="shared" si="219"/>
        <v>ND</v>
      </c>
      <c r="BS66" s="1" t="str">
        <f t="shared" si="220"/>
        <v>ND</v>
      </c>
      <c r="BT66" s="1" t="str">
        <f t="shared" si="221"/>
        <v>ND</v>
      </c>
      <c r="BU66" s="1" t="str">
        <f t="shared" si="222"/>
        <v>ND</v>
      </c>
      <c r="BV66" s="1" t="str">
        <f t="shared" si="223"/>
        <v>ND</v>
      </c>
      <c r="BW66" s="1" t="str">
        <f t="shared" si="224"/>
        <v>ND</v>
      </c>
      <c r="BX66" s="1" t="str">
        <f t="shared" si="225"/>
        <v>ND</v>
      </c>
      <c r="BY66" s="1" t="str">
        <f t="shared" si="226"/>
        <v>ND</v>
      </c>
      <c r="BZ66" s="1" t="str">
        <f t="shared" si="227"/>
        <v>ND</v>
      </c>
      <c r="CA66" s="1" t="str">
        <f t="shared" si="346"/>
        <v>ND</v>
      </c>
      <c r="CB66" s="1" t="str">
        <f t="shared" si="346"/>
        <v>ND</v>
      </c>
      <c r="CC66" s="1" t="str">
        <f t="shared" si="346"/>
        <v>ND</v>
      </c>
      <c r="CD66" s="1" t="str">
        <f t="shared" si="346"/>
        <v>ND</v>
      </c>
      <c r="CE66" s="1" t="str">
        <f t="shared" si="346"/>
        <v>ND</v>
      </c>
      <c r="CF66" s="1" t="str">
        <f t="shared" si="346"/>
        <v>ND</v>
      </c>
      <c r="CG66" s="1" t="str">
        <f t="shared" si="346"/>
        <v>ND</v>
      </c>
      <c r="CH66" s="1" t="str">
        <f t="shared" si="346"/>
        <v>ND</v>
      </c>
      <c r="CI66" s="1" t="str">
        <f t="shared" si="346"/>
        <v>ND</v>
      </c>
      <c r="CJ66" s="1" t="str">
        <f t="shared" si="346"/>
        <v>ND</v>
      </c>
      <c r="CK66" s="1" t="str">
        <f t="shared" si="346"/>
        <v>ND</v>
      </c>
      <c r="CL66" s="1" t="str">
        <f t="shared" si="347"/>
        <v>ND</v>
      </c>
      <c r="CM66" s="1" t="str">
        <f t="shared" si="347"/>
        <v>ND</v>
      </c>
      <c r="CN66" s="1" t="str">
        <f t="shared" si="347"/>
        <v>ND</v>
      </c>
      <c r="CO66" s="1" t="str">
        <f t="shared" si="347"/>
        <v>ND</v>
      </c>
      <c r="CP66" s="1" t="str">
        <f t="shared" si="347"/>
        <v>ND</v>
      </c>
      <c r="CQ66" s="1" t="str">
        <f t="shared" si="347"/>
        <v>ND</v>
      </c>
      <c r="CR66" s="1" t="str">
        <f t="shared" si="347"/>
        <v>ND</v>
      </c>
      <c r="CS66" s="1" t="str">
        <f t="shared" si="347"/>
        <v>ND</v>
      </c>
      <c r="CT66" s="1" t="str">
        <f t="shared" si="347"/>
        <v>ND</v>
      </c>
      <c r="CU66" s="1" t="str">
        <f t="shared" si="347"/>
        <v>ND</v>
      </c>
      <c r="CV66" s="1" t="str">
        <f t="shared" si="347"/>
        <v>ND</v>
      </c>
      <c r="CW66" s="1" t="str">
        <f t="shared" si="228"/>
        <v>ND</v>
      </c>
      <c r="CX66" s="1" t="str">
        <f t="shared" si="229"/>
        <v>ND</v>
      </c>
      <c r="CY66" s="1" t="str">
        <f t="shared" si="230"/>
        <v>ND</v>
      </c>
      <c r="CZ66" s="1" t="str">
        <f t="shared" si="231"/>
        <v>ND</v>
      </c>
      <c r="DA66" s="1" t="str">
        <f t="shared" si="232"/>
        <v>ND</v>
      </c>
      <c r="DB66" s="1" t="str">
        <f t="shared" si="233"/>
        <v>ND</v>
      </c>
      <c r="DC66" s="1" t="str">
        <f t="shared" si="234"/>
        <v>ND</v>
      </c>
      <c r="DD66" s="1" t="str">
        <f t="shared" si="235"/>
        <v>ND</v>
      </c>
      <c r="DE66" s="1" t="str">
        <f t="shared" si="236"/>
        <v>ND</v>
      </c>
      <c r="DF66" s="1" t="str">
        <f t="shared" si="237"/>
        <v>ND</v>
      </c>
      <c r="DG66" s="1" t="str">
        <f t="shared" si="238"/>
        <v>ND</v>
      </c>
      <c r="DH66" s="1" t="str">
        <f t="shared" si="239"/>
        <v>ND</v>
      </c>
      <c r="DI66" s="1" t="str">
        <f t="shared" si="240"/>
        <v>ND</v>
      </c>
      <c r="DJ66" s="1" t="str">
        <f t="shared" si="241"/>
        <v>ND</v>
      </c>
      <c r="DK66" s="1" t="str">
        <f t="shared" si="242"/>
        <v>ND</v>
      </c>
      <c r="DL66" s="1" t="str">
        <f t="shared" si="243"/>
        <v>ND</v>
      </c>
      <c r="DM66" s="1" t="str">
        <f t="shared" si="244"/>
        <v>ND</v>
      </c>
      <c r="DN66" s="1" t="str">
        <f t="shared" si="245"/>
        <v>ND</v>
      </c>
      <c r="DO66" s="1" t="str">
        <f t="shared" si="246"/>
        <v>ND</v>
      </c>
      <c r="DP66" s="1" t="str">
        <f t="shared" si="247"/>
        <v>ND</v>
      </c>
      <c r="DQ66" s="1" t="str">
        <f t="shared" si="248"/>
        <v>ND</v>
      </c>
      <c r="DR66" s="1" t="str">
        <f t="shared" si="249"/>
        <v>ND</v>
      </c>
      <c r="DS66" s="1" t="str">
        <f t="shared" si="250"/>
        <v>ND</v>
      </c>
      <c r="DT66" s="1" t="str">
        <f t="shared" si="251"/>
        <v>ND</v>
      </c>
      <c r="DU66" s="1" t="str">
        <f t="shared" si="252"/>
        <v>ND</v>
      </c>
      <c r="DV66" s="1" t="str">
        <f t="shared" si="253"/>
        <v>ND</v>
      </c>
      <c r="DW66" s="1" t="str">
        <f t="shared" si="254"/>
        <v>ND</v>
      </c>
      <c r="DX66" s="1" t="str">
        <f t="shared" si="255"/>
        <v>ND</v>
      </c>
      <c r="DY66" s="1" t="str">
        <f t="shared" si="256"/>
        <v>ND</v>
      </c>
      <c r="DZ66" s="1" t="str">
        <f t="shared" si="257"/>
        <v>ND</v>
      </c>
      <c r="EA66" s="1" t="str">
        <f t="shared" si="258"/>
        <v>ND</v>
      </c>
      <c r="EB66" s="1" t="str">
        <f t="shared" si="259"/>
        <v>ND</v>
      </c>
      <c r="EC66" s="1" t="str">
        <f t="shared" si="260"/>
        <v>ND</v>
      </c>
      <c r="ED66" s="1" t="str">
        <f t="shared" si="261"/>
        <v>ND</v>
      </c>
      <c r="EE66" s="1" t="str">
        <f t="shared" si="262"/>
        <v>ND</v>
      </c>
      <c r="EF66" s="1" t="str">
        <f t="shared" si="263"/>
        <v>ND</v>
      </c>
      <c r="EG66" s="1" t="str">
        <f t="shared" si="264"/>
        <v>ND</v>
      </c>
      <c r="EH66" s="1" t="str">
        <f t="shared" si="265"/>
        <v>ND</v>
      </c>
      <c r="EI66" s="1" t="str">
        <f t="shared" si="266"/>
        <v>ND</v>
      </c>
      <c r="EJ66" s="1" t="str">
        <f t="shared" si="267"/>
        <v>ND</v>
      </c>
      <c r="EK66" s="1" t="str">
        <f t="shared" si="268"/>
        <v>ND</v>
      </c>
      <c r="EL66" s="1" t="str">
        <f t="shared" si="269"/>
        <v>ND</v>
      </c>
      <c r="EM66" s="1" t="str">
        <f t="shared" si="270"/>
        <v>ND</v>
      </c>
      <c r="EN66" s="1" t="str">
        <f t="shared" si="271"/>
        <v>ND</v>
      </c>
      <c r="EO66" s="1" t="str">
        <f t="shared" si="348"/>
        <v>ND</v>
      </c>
      <c r="EP66" s="1" t="str">
        <f t="shared" si="348"/>
        <v>ND</v>
      </c>
      <c r="EQ66" s="1" t="str">
        <f t="shared" si="348"/>
        <v>ND</v>
      </c>
      <c r="ER66" s="1" t="str">
        <f t="shared" si="348"/>
        <v>ND</v>
      </c>
      <c r="ES66" s="1" t="str">
        <f t="shared" si="348"/>
        <v>ND</v>
      </c>
      <c r="ET66" s="1" t="str">
        <f t="shared" si="348"/>
        <v>ND</v>
      </c>
      <c r="EU66" s="1" t="str">
        <f t="shared" si="348"/>
        <v>ND</v>
      </c>
      <c r="EV66" s="1" t="str">
        <f t="shared" si="348"/>
        <v>ND</v>
      </c>
      <c r="EW66" s="1" t="str">
        <f t="shared" si="348"/>
        <v>ND</v>
      </c>
      <c r="EX66" s="1" t="str">
        <f t="shared" si="348"/>
        <v>ND</v>
      </c>
      <c r="EY66" s="1" t="str">
        <f t="shared" si="348"/>
        <v>ND</v>
      </c>
      <c r="EZ66" s="1" t="str">
        <f t="shared" si="349"/>
        <v>ND</v>
      </c>
      <c r="FA66" s="1" t="str">
        <f t="shared" si="349"/>
        <v>ND</v>
      </c>
      <c r="FB66" s="1" t="str">
        <f t="shared" si="349"/>
        <v>ND</v>
      </c>
      <c r="FC66" s="1" t="str">
        <f t="shared" si="349"/>
        <v>ND</v>
      </c>
      <c r="FD66" s="1" t="str">
        <f t="shared" si="349"/>
        <v>ND</v>
      </c>
      <c r="FE66" s="1" t="str">
        <f t="shared" si="349"/>
        <v>ND</v>
      </c>
      <c r="FF66" s="1" t="str">
        <f t="shared" si="349"/>
        <v>ND</v>
      </c>
      <c r="FG66" s="1" t="str">
        <f t="shared" si="349"/>
        <v>ND</v>
      </c>
      <c r="FH66" s="1" t="str">
        <f t="shared" si="349"/>
        <v>ND</v>
      </c>
      <c r="FI66" s="1" t="str">
        <f t="shared" si="349"/>
        <v>ND</v>
      </c>
      <c r="FJ66" s="1" t="str">
        <f t="shared" si="349"/>
        <v>ND</v>
      </c>
      <c r="FK66" s="1" t="str">
        <f t="shared" si="350"/>
        <v>ND</v>
      </c>
      <c r="FL66" s="1" t="str">
        <f t="shared" si="350"/>
        <v>ND</v>
      </c>
      <c r="FM66" s="1" t="str">
        <f t="shared" si="350"/>
        <v>ND</v>
      </c>
      <c r="FN66" s="1" t="str">
        <f t="shared" si="350"/>
        <v>ND</v>
      </c>
      <c r="FO66" s="1" t="str">
        <f t="shared" si="350"/>
        <v>ND</v>
      </c>
      <c r="FP66" s="1" t="str">
        <f t="shared" si="350"/>
        <v>ND</v>
      </c>
      <c r="FQ66" s="1" t="str">
        <f t="shared" si="350"/>
        <v>ND</v>
      </c>
      <c r="FR66" s="1" t="str">
        <f t="shared" si="350"/>
        <v>ND</v>
      </c>
      <c r="FS66" s="1" t="str">
        <f t="shared" si="350"/>
        <v>ND</v>
      </c>
      <c r="FT66" s="1" t="str">
        <f t="shared" si="350"/>
        <v>ND</v>
      </c>
      <c r="FU66" s="1" t="str">
        <f t="shared" si="350"/>
        <v>ND</v>
      </c>
      <c r="FV66" s="1" t="str">
        <f t="shared" si="272"/>
        <v>ND</v>
      </c>
      <c r="FW66" s="1" t="str">
        <f t="shared" si="273"/>
        <v>ND</v>
      </c>
      <c r="FX66" s="1" t="str">
        <f t="shared" si="274"/>
        <v>ND</v>
      </c>
      <c r="FY66" s="1" t="str">
        <f t="shared" si="275"/>
        <v>ND</v>
      </c>
      <c r="FZ66" s="1" t="str">
        <f t="shared" si="276"/>
        <v>ND</v>
      </c>
      <c r="GA66" s="1" t="str">
        <f t="shared" si="277"/>
        <v>ND</v>
      </c>
      <c r="GB66" s="1" t="str">
        <f t="shared" si="278"/>
        <v>ND</v>
      </c>
      <c r="GC66" s="1" t="str">
        <f t="shared" si="279"/>
        <v>ND</v>
      </c>
      <c r="GD66" s="1" t="str">
        <f t="shared" si="280"/>
        <v>ND</v>
      </c>
      <c r="GE66" s="1" t="str">
        <f t="shared" si="281"/>
        <v>ND</v>
      </c>
      <c r="GF66" s="1" t="str">
        <f t="shared" si="282"/>
        <v>ND</v>
      </c>
      <c r="GG66" s="1" t="str">
        <f t="shared" si="283"/>
        <v>ND</v>
      </c>
      <c r="GH66" s="1" t="str">
        <f t="shared" si="284"/>
        <v>ND</v>
      </c>
      <c r="GI66" s="1" t="str">
        <f t="shared" si="285"/>
        <v>ND</v>
      </c>
      <c r="GJ66" s="1" t="str">
        <f t="shared" si="286"/>
        <v>ND</v>
      </c>
      <c r="GK66" s="1" t="str">
        <f t="shared" si="287"/>
        <v>ND</v>
      </c>
      <c r="GL66" s="1" t="str">
        <f t="shared" si="288"/>
        <v>ND</v>
      </c>
      <c r="GM66" s="1" t="str">
        <f t="shared" si="289"/>
        <v>ND</v>
      </c>
      <c r="GN66" s="1" t="str">
        <f t="shared" si="290"/>
        <v>ND</v>
      </c>
      <c r="GO66" s="1" t="str">
        <f t="shared" si="291"/>
        <v>ND</v>
      </c>
      <c r="GP66" s="1" t="str">
        <f t="shared" si="292"/>
        <v>ND</v>
      </c>
      <c r="GQ66" s="1" t="str">
        <f t="shared" si="293"/>
        <v>ND</v>
      </c>
      <c r="GR66" s="1" t="str">
        <f t="shared" si="294"/>
        <v>ND</v>
      </c>
      <c r="GS66" s="1" t="str">
        <f t="shared" si="295"/>
        <v>ND</v>
      </c>
      <c r="GT66" s="1" t="str">
        <f t="shared" si="296"/>
        <v>ND</v>
      </c>
      <c r="GU66" s="1" t="str">
        <f t="shared" si="297"/>
        <v>ND</v>
      </c>
      <c r="GV66" s="1" t="str">
        <f t="shared" si="298"/>
        <v>ND</v>
      </c>
      <c r="GW66" s="1" t="str">
        <f t="shared" si="299"/>
        <v>ND</v>
      </c>
      <c r="GX66" s="1" t="str">
        <f t="shared" si="300"/>
        <v>ND</v>
      </c>
      <c r="GY66" s="1" t="str">
        <f t="shared" si="301"/>
        <v>ND</v>
      </c>
      <c r="GZ66" s="1" t="str">
        <f t="shared" si="302"/>
        <v>ND</v>
      </c>
      <c r="HA66" s="1" t="str">
        <f t="shared" si="303"/>
        <v>ND</v>
      </c>
      <c r="HB66" s="1" t="str">
        <f t="shared" si="304"/>
        <v>ND</v>
      </c>
      <c r="HC66" s="1" t="str">
        <f t="shared" si="305"/>
        <v>ND</v>
      </c>
      <c r="HD66" s="1" t="str">
        <f t="shared" si="306"/>
        <v>ND</v>
      </c>
      <c r="HE66" s="1" t="str">
        <f t="shared" si="307"/>
        <v>ND</v>
      </c>
      <c r="HF66" s="1" t="str">
        <f t="shared" si="308"/>
        <v>ND</v>
      </c>
      <c r="HG66" s="1" t="str">
        <f t="shared" si="309"/>
        <v>ND</v>
      </c>
      <c r="HH66" s="1" t="str">
        <f t="shared" si="310"/>
        <v>ND</v>
      </c>
      <c r="HI66" s="1" t="str">
        <f t="shared" si="311"/>
        <v>ND</v>
      </c>
      <c r="HJ66" s="1" t="str">
        <f t="shared" si="312"/>
        <v>ND</v>
      </c>
      <c r="HK66" s="1" t="str">
        <f t="shared" si="313"/>
        <v>ND</v>
      </c>
      <c r="HL66" s="1" t="str">
        <f t="shared" si="314"/>
        <v>ND</v>
      </c>
      <c r="HM66" s="1" t="str">
        <f t="shared" si="315"/>
        <v>ND</v>
      </c>
      <c r="HN66" s="1" t="str">
        <f t="shared" si="316"/>
        <v>ND</v>
      </c>
      <c r="HO66" s="1" t="str">
        <f t="shared" si="317"/>
        <v>ND</v>
      </c>
      <c r="HP66" s="1" t="str">
        <f t="shared" si="318"/>
        <v>ND</v>
      </c>
      <c r="HQ66" s="1" t="str">
        <f t="shared" si="319"/>
        <v>ND</v>
      </c>
      <c r="HR66" s="1" t="str">
        <f t="shared" si="320"/>
        <v>ND</v>
      </c>
      <c r="HS66" s="1" t="str">
        <f t="shared" si="321"/>
        <v>ND</v>
      </c>
      <c r="HT66" s="1" t="str">
        <f t="shared" si="322"/>
        <v>ND</v>
      </c>
      <c r="HU66" s="1" t="str">
        <f t="shared" si="323"/>
        <v>ND</v>
      </c>
      <c r="HV66" s="1" t="str">
        <f t="shared" si="324"/>
        <v>ND</v>
      </c>
      <c r="HW66" s="1" t="str">
        <f t="shared" si="325"/>
        <v>ND</v>
      </c>
      <c r="HX66" s="1" t="str">
        <f t="shared" si="326"/>
        <v>ND</v>
      </c>
      <c r="HY66" s="1" t="str">
        <f t="shared" si="327"/>
        <v>ND</v>
      </c>
      <c r="HZ66" s="1" t="str">
        <f t="shared" si="328"/>
        <v>ND</v>
      </c>
      <c r="IA66" s="1" t="str">
        <f t="shared" si="329"/>
        <v>ND</v>
      </c>
      <c r="IB66" s="1" t="str">
        <f t="shared" si="330"/>
        <v>ND</v>
      </c>
      <c r="IC66" s="1" t="str">
        <f t="shared" si="331"/>
        <v>ND</v>
      </c>
      <c r="ID66" s="1" t="str">
        <f t="shared" si="332"/>
        <v>ND</v>
      </c>
      <c r="IE66" s="1" t="str">
        <f t="shared" si="333"/>
        <v>ND</v>
      </c>
      <c r="IF66" s="1" t="str">
        <f t="shared" si="334"/>
        <v>ND</v>
      </c>
      <c r="IG66" s="1" t="str">
        <f t="shared" si="335"/>
        <v>ND</v>
      </c>
      <c r="IH66" s="1" t="str">
        <f t="shared" si="336"/>
        <v>ND</v>
      </c>
      <c r="II66" s="1" t="str">
        <f t="shared" si="337"/>
        <v>ND</v>
      </c>
    </row>
    <row r="67" spans="3:243" x14ac:dyDescent="0.25">
      <c r="C67" t="s">
        <v>49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6.5</v>
      </c>
      <c r="G67" s="1">
        <f>IFERROR(VLOOKUP($C67,EQUIPOS[],UNIFICADO!G$9,0),"")</f>
        <v>13</v>
      </c>
      <c r="H67" s="1">
        <f>IFERROR(VLOOKUP($C67,EQUIPOS[],UNIFICADO!H$9,0),"")</f>
        <v>3</v>
      </c>
      <c r="I67" s="1">
        <f>IFERROR(VLOOKUP($C67,EQUIPOS[],UNIFICADO!I$9,0),"")</f>
        <v>5</v>
      </c>
      <c r="J67" s="1" t="str">
        <f>IFERROR(VLOOKUP($C67,EQUIPOS[],UNIFICADO!J$9,0),"")</f>
        <v>64GB</v>
      </c>
      <c r="K67" s="1">
        <f>IFERROR(VLOOKUP($C67,EQUIPOS[],UNIFICADO!K$9,0),"")</f>
        <v>256</v>
      </c>
      <c r="L67" s="1">
        <f>IFERROR(VLOOKUP($C67,EQUIPOS[],UNIFICADO!L$9,0),"")</f>
        <v>8</v>
      </c>
      <c r="M67" s="1">
        <f>IFERROR(VLOOKUP($C67,EQUIPOS[],UNIFICADO!M$9,0),"")</f>
        <v>1.8</v>
      </c>
      <c r="N67" s="1">
        <f>IFERROR(VLOOKUP($C67,EQUIPOS[],UNIFICADO!N$9,0),"")</f>
        <v>4</v>
      </c>
      <c r="O67" s="1">
        <f>IFERROR(VLOOKUP($C67,EQUIPOS[],UNIFICADO!O$9,0),"")</f>
        <v>200</v>
      </c>
      <c r="P67" s="1">
        <f>IFERROR(VLOOKUP($C67,EQUIPOS[],UNIFICADO!P$9,0),"")</f>
        <v>16.399999999999999</v>
      </c>
      <c r="Q67" s="1">
        <f>IFERROR(VLOOKUP($C67,EQUIPOS[],UNIFICADO!Q$9,0),"")</f>
        <v>7.6</v>
      </c>
      <c r="R67" s="1">
        <f>IFERROR(VLOOKUP($C67,EQUIPOS[],UNIFICADO!R$9,0),"")</f>
        <v>0.91</v>
      </c>
      <c r="S67" s="1">
        <f>IFERROR(VLOOKUP($C67,EQUIPOS[],UNIFICADO!S$9,0),"")</f>
        <v>5000</v>
      </c>
      <c r="T67" s="1">
        <f>IFERROR(VLOOKUP($C67,EQUIPOS[],UNIFICADO!T$9,0),"")</f>
        <v>4</v>
      </c>
      <c r="U67" s="1">
        <f>VLOOKUP(UNIFICADA[[#This Row],[Equipo]],EQUIPOS[],19,0)</f>
        <v>57</v>
      </c>
      <c r="V67" s="1" t="str">
        <f t="shared" si="182"/>
        <v>ND</v>
      </c>
      <c r="W67" s="1" t="str">
        <f t="shared" si="183"/>
        <v>ND</v>
      </c>
      <c r="X67" s="1" t="str">
        <f t="shared" si="338"/>
        <v>ND</v>
      </c>
      <c r="Y67" s="1" t="str">
        <f t="shared" si="338"/>
        <v>ND</v>
      </c>
      <c r="Z67" s="1" t="str">
        <f t="shared" si="345"/>
        <v>ND</v>
      </c>
      <c r="AA67" s="1" t="str">
        <f t="shared" si="345"/>
        <v>ND</v>
      </c>
      <c r="AB67" s="1" t="str">
        <f t="shared" si="345"/>
        <v>ND</v>
      </c>
      <c r="AC67" s="1" t="str">
        <f t="shared" si="345"/>
        <v>ND</v>
      </c>
      <c r="AD67" s="1" t="str">
        <f t="shared" si="345"/>
        <v>ND</v>
      </c>
      <c r="AE67" s="1" t="str">
        <f t="shared" si="345"/>
        <v>ND</v>
      </c>
      <c r="AF67" s="1" t="str">
        <f t="shared" si="345"/>
        <v>ND</v>
      </c>
      <c r="AG67" s="1" t="str">
        <f t="shared" si="345"/>
        <v>ND</v>
      </c>
      <c r="AH67" s="1" t="str">
        <f t="shared" si="345"/>
        <v>ND</v>
      </c>
      <c r="AI67" s="1" t="str">
        <f t="shared" si="184"/>
        <v>ND</v>
      </c>
      <c r="AJ67" s="1" t="str">
        <f t="shared" si="185"/>
        <v>ND</v>
      </c>
      <c r="AK67" s="1" t="str">
        <f t="shared" si="186"/>
        <v>ND</v>
      </c>
      <c r="AL67" s="1" t="str">
        <f t="shared" si="187"/>
        <v>ND</v>
      </c>
      <c r="AM67" s="1" t="str">
        <f t="shared" si="188"/>
        <v>ND</v>
      </c>
      <c r="AN67" s="1" t="str">
        <f t="shared" si="189"/>
        <v>ND</v>
      </c>
      <c r="AO67" s="1" t="str">
        <f t="shared" si="190"/>
        <v>ND</v>
      </c>
      <c r="AP67" s="1" t="str">
        <f t="shared" si="191"/>
        <v>ND</v>
      </c>
      <c r="AQ67" s="1" t="str">
        <f t="shared" si="192"/>
        <v>ND</v>
      </c>
      <c r="AR67" s="1" t="str">
        <f t="shared" si="193"/>
        <v>ND</v>
      </c>
      <c r="AS67" s="1" t="str">
        <f t="shared" si="194"/>
        <v>ND</v>
      </c>
      <c r="AT67" s="1" t="str">
        <f t="shared" si="195"/>
        <v>ND</v>
      </c>
      <c r="AU67" s="1" t="str">
        <f t="shared" si="196"/>
        <v>ND</v>
      </c>
      <c r="AV67" s="1" t="str">
        <f t="shared" si="197"/>
        <v>ND</v>
      </c>
      <c r="AW67" s="1" t="str">
        <f t="shared" si="198"/>
        <v>ND</v>
      </c>
      <c r="AX67" s="1" t="str">
        <f t="shared" si="199"/>
        <v>ND</v>
      </c>
      <c r="AY67" s="1" t="str">
        <f t="shared" si="200"/>
        <v>ND</v>
      </c>
      <c r="AZ67" s="1" t="str">
        <f t="shared" si="201"/>
        <v>ND</v>
      </c>
      <c r="BA67" s="1" t="str">
        <f t="shared" si="202"/>
        <v>ND</v>
      </c>
      <c r="BB67" s="1" t="str">
        <f t="shared" si="203"/>
        <v>ND</v>
      </c>
      <c r="BC67" s="1" t="str">
        <f t="shared" si="204"/>
        <v>ND</v>
      </c>
      <c r="BD67" s="1" t="str">
        <f t="shared" si="205"/>
        <v>ND</v>
      </c>
      <c r="BE67" s="1" t="str">
        <f t="shared" si="206"/>
        <v>ND</v>
      </c>
      <c r="BF67" s="1" t="str">
        <f t="shared" si="207"/>
        <v>ND</v>
      </c>
      <c r="BG67" s="1" t="str">
        <f t="shared" si="208"/>
        <v>ND</v>
      </c>
      <c r="BH67" s="1" t="str">
        <f t="shared" si="209"/>
        <v>ND</v>
      </c>
      <c r="BI67" s="1" t="str">
        <f t="shared" si="210"/>
        <v>ND</v>
      </c>
      <c r="BJ67" s="1" t="str">
        <f t="shared" si="211"/>
        <v>ND</v>
      </c>
      <c r="BK67" s="1" t="str">
        <f t="shared" si="212"/>
        <v>ND</v>
      </c>
      <c r="BL67" s="1" t="str">
        <f t="shared" si="213"/>
        <v>ND</v>
      </c>
      <c r="BM67" s="1" t="str">
        <f t="shared" si="214"/>
        <v>ND</v>
      </c>
      <c r="BN67" s="1" t="str">
        <f t="shared" si="215"/>
        <v>ND</v>
      </c>
      <c r="BO67" s="1" t="str">
        <f t="shared" si="216"/>
        <v>ND</v>
      </c>
      <c r="BP67" s="1" t="str">
        <f t="shared" si="217"/>
        <v>ND</v>
      </c>
      <c r="BQ67" s="1" t="str">
        <f t="shared" si="218"/>
        <v>ND</v>
      </c>
      <c r="BR67" s="1" t="str">
        <f t="shared" si="219"/>
        <v>ND</v>
      </c>
      <c r="BS67" s="1" t="str">
        <f t="shared" si="220"/>
        <v>ND</v>
      </c>
      <c r="BT67" s="1" t="str">
        <f t="shared" si="221"/>
        <v>ND</v>
      </c>
      <c r="BU67" s="1" t="str">
        <f t="shared" si="222"/>
        <v>ND</v>
      </c>
      <c r="BV67" s="1" t="str">
        <f t="shared" si="223"/>
        <v>ND</v>
      </c>
      <c r="BW67" s="1" t="str">
        <f t="shared" si="224"/>
        <v>ND</v>
      </c>
      <c r="BX67" s="1" t="str">
        <f t="shared" si="225"/>
        <v>ND</v>
      </c>
      <c r="BY67" s="1" t="str">
        <f t="shared" si="226"/>
        <v>ND</v>
      </c>
      <c r="BZ67" s="1" t="str">
        <f t="shared" si="227"/>
        <v>ND</v>
      </c>
      <c r="CA67" s="1" t="str">
        <f t="shared" si="346"/>
        <v>ND</v>
      </c>
      <c r="CB67" s="1" t="str">
        <f t="shared" si="346"/>
        <v>ND</v>
      </c>
      <c r="CC67" s="1" t="str">
        <f t="shared" si="346"/>
        <v>ND</v>
      </c>
      <c r="CD67" s="1" t="str">
        <f t="shared" si="346"/>
        <v>ND</v>
      </c>
      <c r="CE67" s="1" t="str">
        <f t="shared" si="346"/>
        <v>ND</v>
      </c>
      <c r="CF67" s="1" t="str">
        <f t="shared" si="346"/>
        <v>ND</v>
      </c>
      <c r="CG67" s="1" t="str">
        <f t="shared" si="346"/>
        <v>ND</v>
      </c>
      <c r="CH67" s="1" t="str">
        <f t="shared" si="346"/>
        <v>ND</v>
      </c>
      <c r="CI67" s="1" t="str">
        <f t="shared" si="346"/>
        <v>ND</v>
      </c>
      <c r="CJ67" s="1" t="str">
        <f t="shared" si="346"/>
        <v>ND</v>
      </c>
      <c r="CK67" s="1" t="str">
        <f t="shared" si="346"/>
        <v>ND</v>
      </c>
      <c r="CL67" s="1" t="str">
        <f t="shared" si="347"/>
        <v>ND</v>
      </c>
      <c r="CM67" s="1" t="str">
        <f t="shared" si="347"/>
        <v>ND</v>
      </c>
      <c r="CN67" s="1" t="str">
        <f t="shared" si="347"/>
        <v>ND</v>
      </c>
      <c r="CO67" s="1" t="str">
        <f t="shared" si="347"/>
        <v>ND</v>
      </c>
      <c r="CP67" s="1" t="str">
        <f t="shared" si="347"/>
        <v>ND</v>
      </c>
      <c r="CQ67" s="1" t="str">
        <f t="shared" si="347"/>
        <v>ND</v>
      </c>
      <c r="CR67" s="1" t="str">
        <f t="shared" si="347"/>
        <v>ND</v>
      </c>
      <c r="CS67" s="1" t="str">
        <f t="shared" si="347"/>
        <v>ND</v>
      </c>
      <c r="CT67" s="1" t="str">
        <f t="shared" si="347"/>
        <v>ND</v>
      </c>
      <c r="CU67" s="1" t="str">
        <f t="shared" si="347"/>
        <v>ND</v>
      </c>
      <c r="CV67" s="1" t="str">
        <f t="shared" si="347"/>
        <v>ND</v>
      </c>
      <c r="CW67" s="1" t="str">
        <f t="shared" si="228"/>
        <v>ND</v>
      </c>
      <c r="CX67" s="1" t="str">
        <f t="shared" si="229"/>
        <v>ND</v>
      </c>
      <c r="CY67" s="1" t="str">
        <f t="shared" si="230"/>
        <v>ND</v>
      </c>
      <c r="CZ67" s="1" t="str">
        <f t="shared" si="231"/>
        <v>ND</v>
      </c>
      <c r="DA67" s="1" t="str">
        <f t="shared" si="232"/>
        <v>ND</v>
      </c>
      <c r="DB67" s="1" t="str">
        <f t="shared" si="233"/>
        <v>ND</v>
      </c>
      <c r="DC67" s="1" t="str">
        <f t="shared" si="234"/>
        <v>ND</v>
      </c>
      <c r="DD67" s="1" t="str">
        <f t="shared" si="235"/>
        <v>ND</v>
      </c>
      <c r="DE67" s="1" t="str">
        <f t="shared" si="236"/>
        <v>ND</v>
      </c>
      <c r="DF67" s="1" t="str">
        <f t="shared" si="237"/>
        <v>ND</v>
      </c>
      <c r="DG67" s="1" t="str">
        <f t="shared" si="238"/>
        <v>ND</v>
      </c>
      <c r="DH67" s="1" t="str">
        <f t="shared" si="239"/>
        <v>ND</v>
      </c>
      <c r="DI67" s="1" t="str">
        <f t="shared" si="240"/>
        <v>ND</v>
      </c>
      <c r="DJ67" s="1" t="str">
        <f t="shared" si="241"/>
        <v>ND</v>
      </c>
      <c r="DK67" s="1" t="str">
        <f t="shared" si="242"/>
        <v>ND</v>
      </c>
      <c r="DL67" s="1" t="str">
        <f t="shared" si="243"/>
        <v>ND</v>
      </c>
      <c r="DM67" s="1" t="str">
        <f t="shared" si="244"/>
        <v>ND</v>
      </c>
      <c r="DN67" s="1" t="str">
        <f t="shared" si="245"/>
        <v>ND</v>
      </c>
      <c r="DO67" s="1" t="str">
        <f t="shared" si="246"/>
        <v>ND</v>
      </c>
      <c r="DP67" s="1" t="str">
        <f t="shared" si="247"/>
        <v>ND</v>
      </c>
      <c r="DQ67" s="1" t="str">
        <f t="shared" si="248"/>
        <v>ND</v>
      </c>
      <c r="DR67" s="1" t="str">
        <f t="shared" si="249"/>
        <v>ND</v>
      </c>
      <c r="DS67" s="1" t="str">
        <f t="shared" si="250"/>
        <v>ND</v>
      </c>
      <c r="DT67" s="1" t="str">
        <f t="shared" si="251"/>
        <v>ND</v>
      </c>
      <c r="DU67" s="1" t="str">
        <f t="shared" si="252"/>
        <v>ND</v>
      </c>
      <c r="DV67" s="1" t="str">
        <f t="shared" si="253"/>
        <v>ND</v>
      </c>
      <c r="DW67" s="1" t="str">
        <f t="shared" si="254"/>
        <v>ND</v>
      </c>
      <c r="DX67" s="1" t="str">
        <f t="shared" si="255"/>
        <v>ND</v>
      </c>
      <c r="DY67" s="1" t="str">
        <f t="shared" si="256"/>
        <v>ND</v>
      </c>
      <c r="DZ67" s="1" t="str">
        <f t="shared" si="257"/>
        <v>ND</v>
      </c>
      <c r="EA67" s="1" t="str">
        <f t="shared" si="258"/>
        <v>ND</v>
      </c>
      <c r="EB67" s="1" t="str">
        <f t="shared" si="259"/>
        <v>ND</v>
      </c>
      <c r="EC67" s="1" t="str">
        <f t="shared" si="260"/>
        <v>ND</v>
      </c>
      <c r="ED67" s="1" t="str">
        <f t="shared" si="261"/>
        <v>ND</v>
      </c>
      <c r="EE67" s="1" t="str">
        <f t="shared" si="262"/>
        <v>ND</v>
      </c>
      <c r="EF67" s="1" t="str">
        <f t="shared" si="263"/>
        <v>ND</v>
      </c>
      <c r="EG67" s="1" t="str">
        <f t="shared" si="264"/>
        <v>ND</v>
      </c>
      <c r="EH67" s="1" t="str">
        <f t="shared" si="265"/>
        <v>ND</v>
      </c>
      <c r="EI67" s="1" t="str">
        <f t="shared" si="266"/>
        <v>ND</v>
      </c>
      <c r="EJ67" s="1" t="str">
        <f t="shared" si="267"/>
        <v>ND</v>
      </c>
      <c r="EK67" s="1" t="str">
        <f t="shared" si="268"/>
        <v>ND</v>
      </c>
      <c r="EL67" s="1" t="str">
        <f t="shared" si="269"/>
        <v>ND</v>
      </c>
      <c r="EM67" s="1" t="str">
        <f t="shared" si="270"/>
        <v>ND</v>
      </c>
      <c r="EN67" s="1" t="str">
        <f t="shared" si="271"/>
        <v>ND</v>
      </c>
      <c r="EO67" s="1" t="str">
        <f t="shared" si="348"/>
        <v>ND</v>
      </c>
      <c r="EP67" s="1" t="str">
        <f t="shared" si="348"/>
        <v>ND</v>
      </c>
      <c r="EQ67" s="1" t="str">
        <f t="shared" si="348"/>
        <v>ND</v>
      </c>
      <c r="ER67" s="1" t="str">
        <f t="shared" si="348"/>
        <v>ND</v>
      </c>
      <c r="ES67" s="1" t="str">
        <f t="shared" si="348"/>
        <v>ND</v>
      </c>
      <c r="ET67" s="1" t="str">
        <f t="shared" si="348"/>
        <v>ND</v>
      </c>
      <c r="EU67" s="1" t="str">
        <f t="shared" si="348"/>
        <v>ND</v>
      </c>
      <c r="EV67" s="1" t="str">
        <f t="shared" si="348"/>
        <v>ND</v>
      </c>
      <c r="EW67" s="1" t="str">
        <f t="shared" si="348"/>
        <v>ND</v>
      </c>
      <c r="EX67" s="1" t="str">
        <f t="shared" si="348"/>
        <v>ND</v>
      </c>
      <c r="EY67" s="1" t="str">
        <f t="shared" si="348"/>
        <v>ND</v>
      </c>
      <c r="EZ67" s="1" t="str">
        <f t="shared" si="349"/>
        <v>ND</v>
      </c>
      <c r="FA67" s="1" t="str">
        <f t="shared" si="349"/>
        <v>ND</v>
      </c>
      <c r="FB67" s="1" t="str">
        <f t="shared" si="349"/>
        <v>ND</v>
      </c>
      <c r="FC67" s="1" t="str">
        <f t="shared" si="349"/>
        <v>ND</v>
      </c>
      <c r="FD67" s="1" t="str">
        <f t="shared" si="349"/>
        <v>ND</v>
      </c>
      <c r="FE67" s="1" t="str">
        <f t="shared" si="349"/>
        <v>ND</v>
      </c>
      <c r="FF67" s="1" t="str">
        <f t="shared" si="349"/>
        <v>ND</v>
      </c>
      <c r="FG67" s="1" t="str">
        <f t="shared" si="349"/>
        <v>ND</v>
      </c>
      <c r="FH67" s="1" t="str">
        <f t="shared" si="349"/>
        <v>ND</v>
      </c>
      <c r="FI67" s="1" t="str">
        <f t="shared" si="349"/>
        <v>ND</v>
      </c>
      <c r="FJ67" s="1" t="str">
        <f t="shared" si="349"/>
        <v>ND</v>
      </c>
      <c r="FK67" s="1" t="str">
        <f t="shared" si="350"/>
        <v>ND</v>
      </c>
      <c r="FL67" s="1" t="str">
        <f t="shared" si="350"/>
        <v>ND</v>
      </c>
      <c r="FM67" s="1" t="str">
        <f t="shared" si="350"/>
        <v>ND</v>
      </c>
      <c r="FN67" s="1" t="str">
        <f t="shared" si="350"/>
        <v>ND</v>
      </c>
      <c r="FO67" s="1" t="str">
        <f t="shared" si="350"/>
        <v>ND</v>
      </c>
      <c r="FP67" s="1" t="str">
        <f t="shared" si="350"/>
        <v>ND</v>
      </c>
      <c r="FQ67" s="1" t="str">
        <f t="shared" si="350"/>
        <v>ND</v>
      </c>
      <c r="FR67" s="1" t="str">
        <f t="shared" si="350"/>
        <v>ND</v>
      </c>
      <c r="FS67" s="1" t="str">
        <f t="shared" si="350"/>
        <v>ND</v>
      </c>
      <c r="FT67" s="1" t="str">
        <f t="shared" si="350"/>
        <v>ND</v>
      </c>
      <c r="FU67" s="1" t="str">
        <f t="shared" si="350"/>
        <v>ND</v>
      </c>
      <c r="FV67" s="1" t="str">
        <f t="shared" si="272"/>
        <v>ND</v>
      </c>
      <c r="FW67" s="1" t="str">
        <f t="shared" si="273"/>
        <v>ND</v>
      </c>
      <c r="FX67" s="1" t="str">
        <f t="shared" si="274"/>
        <v>ND</v>
      </c>
      <c r="FY67" s="1" t="str">
        <f t="shared" si="275"/>
        <v>ND</v>
      </c>
      <c r="FZ67" s="1" t="str">
        <f t="shared" si="276"/>
        <v>ND</v>
      </c>
      <c r="GA67" s="1" t="str">
        <f t="shared" si="277"/>
        <v>ND</v>
      </c>
      <c r="GB67" s="1" t="str">
        <f t="shared" si="278"/>
        <v>ND</v>
      </c>
      <c r="GC67" s="1" t="str">
        <f t="shared" si="279"/>
        <v>ND</v>
      </c>
      <c r="GD67" s="1" t="str">
        <f t="shared" si="280"/>
        <v>ND</v>
      </c>
      <c r="GE67" s="1" t="str">
        <f t="shared" si="281"/>
        <v>ND</v>
      </c>
      <c r="GF67" s="1" t="str">
        <f t="shared" si="282"/>
        <v>ND</v>
      </c>
      <c r="GG67" s="1" t="str">
        <f t="shared" si="283"/>
        <v>ND</v>
      </c>
      <c r="GH67" s="1" t="str">
        <f t="shared" si="284"/>
        <v>ND</v>
      </c>
      <c r="GI67" s="1" t="str">
        <f t="shared" si="285"/>
        <v>ND</v>
      </c>
      <c r="GJ67" s="1" t="str">
        <f t="shared" si="286"/>
        <v>ND</v>
      </c>
      <c r="GK67" s="1" t="str">
        <f t="shared" si="287"/>
        <v>ND</v>
      </c>
      <c r="GL67" s="1" t="str">
        <f t="shared" si="288"/>
        <v>ND</v>
      </c>
      <c r="GM67" s="1" t="str">
        <f t="shared" si="289"/>
        <v>ND</v>
      </c>
      <c r="GN67" s="1" t="str">
        <f t="shared" si="290"/>
        <v>ND</v>
      </c>
      <c r="GO67" s="1" t="str">
        <f t="shared" si="291"/>
        <v>ND</v>
      </c>
      <c r="GP67" s="1" t="str">
        <f t="shared" si="292"/>
        <v>ND</v>
      </c>
      <c r="GQ67" s="1" t="str">
        <f t="shared" si="293"/>
        <v>ND</v>
      </c>
      <c r="GR67" s="1" t="str">
        <f t="shared" si="294"/>
        <v>ND</v>
      </c>
      <c r="GS67" s="1" t="str">
        <f t="shared" si="295"/>
        <v>ND</v>
      </c>
      <c r="GT67" s="1" t="str">
        <f t="shared" si="296"/>
        <v>ND</v>
      </c>
      <c r="GU67" s="1" t="str">
        <f t="shared" si="297"/>
        <v>ND</v>
      </c>
      <c r="GV67" s="1" t="str">
        <f t="shared" si="298"/>
        <v>ND</v>
      </c>
      <c r="GW67" s="1" t="str">
        <f t="shared" si="299"/>
        <v>ND</v>
      </c>
      <c r="GX67" s="1" t="str">
        <f t="shared" si="300"/>
        <v>ND</v>
      </c>
      <c r="GY67" s="1" t="str">
        <f t="shared" si="301"/>
        <v>ND</v>
      </c>
      <c r="GZ67" s="1" t="str">
        <f t="shared" si="302"/>
        <v>ND</v>
      </c>
      <c r="HA67" s="1" t="str">
        <f t="shared" si="303"/>
        <v>ND</v>
      </c>
      <c r="HB67" s="1" t="str">
        <f t="shared" si="304"/>
        <v>ND</v>
      </c>
      <c r="HC67" s="1" t="str">
        <f t="shared" si="305"/>
        <v>ND</v>
      </c>
      <c r="HD67" s="1" t="str">
        <f t="shared" si="306"/>
        <v>ND</v>
      </c>
      <c r="HE67" s="1" t="str">
        <f t="shared" si="307"/>
        <v>ND</v>
      </c>
      <c r="HF67" s="1" t="str">
        <f t="shared" si="308"/>
        <v>ND</v>
      </c>
      <c r="HG67" s="1" t="str">
        <f t="shared" si="309"/>
        <v>ND</v>
      </c>
      <c r="HH67" s="1" t="str">
        <f t="shared" si="310"/>
        <v>ND</v>
      </c>
      <c r="HI67" s="1" t="str">
        <f t="shared" si="311"/>
        <v>ND</v>
      </c>
      <c r="HJ67" s="1" t="str">
        <f t="shared" si="312"/>
        <v>ND</v>
      </c>
      <c r="HK67" s="1" t="str">
        <f t="shared" si="313"/>
        <v>ND</v>
      </c>
      <c r="HL67" s="1" t="str">
        <f t="shared" si="314"/>
        <v>ND</v>
      </c>
      <c r="HM67" s="1" t="str">
        <f t="shared" si="315"/>
        <v>ND</v>
      </c>
      <c r="HN67" s="1" t="str">
        <f t="shared" si="316"/>
        <v>ND</v>
      </c>
      <c r="HO67" s="1" t="str">
        <f t="shared" si="317"/>
        <v>ND</v>
      </c>
      <c r="HP67" s="1" t="str">
        <f t="shared" si="318"/>
        <v>ND</v>
      </c>
      <c r="HQ67" s="1" t="str">
        <f t="shared" si="319"/>
        <v>ND</v>
      </c>
      <c r="HR67" s="1" t="str">
        <f t="shared" si="320"/>
        <v>ND</v>
      </c>
      <c r="HS67" s="1" t="str">
        <f t="shared" si="321"/>
        <v>ND</v>
      </c>
      <c r="HT67" s="1" t="str">
        <f t="shared" si="322"/>
        <v>ND</v>
      </c>
      <c r="HU67" s="1" t="str">
        <f t="shared" si="323"/>
        <v>ND</v>
      </c>
      <c r="HV67" s="1" t="str">
        <f t="shared" si="324"/>
        <v>ND</v>
      </c>
      <c r="HW67" s="1" t="str">
        <f t="shared" si="325"/>
        <v>ND</v>
      </c>
      <c r="HX67" s="1" t="str">
        <f t="shared" si="326"/>
        <v>ND</v>
      </c>
      <c r="HY67" s="1" t="str">
        <f t="shared" si="327"/>
        <v>ND</v>
      </c>
      <c r="HZ67" s="1" t="str">
        <f t="shared" si="328"/>
        <v>ND</v>
      </c>
      <c r="IA67" s="1" t="str">
        <f t="shared" si="329"/>
        <v>ND</v>
      </c>
      <c r="IB67" s="1" t="str">
        <f t="shared" si="330"/>
        <v>ND</v>
      </c>
      <c r="IC67" s="1" t="str">
        <f t="shared" si="331"/>
        <v>ND</v>
      </c>
      <c r="ID67" s="1" t="str">
        <f t="shared" si="332"/>
        <v>ND</v>
      </c>
      <c r="IE67" s="1" t="str">
        <f t="shared" si="333"/>
        <v>ND</v>
      </c>
      <c r="IF67" s="1" t="str">
        <f t="shared" si="334"/>
        <v>ND</v>
      </c>
      <c r="IG67" s="1" t="str">
        <f t="shared" si="335"/>
        <v>ND</v>
      </c>
      <c r="IH67" s="1" t="str">
        <f t="shared" si="336"/>
        <v>ND</v>
      </c>
      <c r="II67" s="1" t="str">
        <f t="shared" si="337"/>
        <v>ND</v>
      </c>
    </row>
    <row r="68" spans="3:243" x14ac:dyDescent="0.25">
      <c r="C68" t="s">
        <v>125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6.6</v>
      </c>
      <c r="G68" s="1">
        <f>IFERROR(VLOOKUP($C68,EQUIPOS[],UNIFICADO!G$9,0),"")</f>
        <v>50</v>
      </c>
      <c r="H68" s="1">
        <f>IFERROR(VLOOKUP($C68,EQUIPOS[],UNIFICADO!H$9,0),"")</f>
        <v>3</v>
      </c>
      <c r="I68" s="1">
        <f>IFERROR(VLOOKUP($C68,EQUIPOS[],UNIFICADO!I$9,0),"")</f>
        <v>8</v>
      </c>
      <c r="J68" s="1" t="str">
        <f>IFERROR(VLOOKUP($C68,EQUIPOS[],UNIFICADO!J$9,0),"")</f>
        <v>128GB</v>
      </c>
      <c r="K68" s="1">
        <f>IFERROR(VLOOKUP($C68,EQUIPOS[],UNIFICADO!K$9,0),"")</f>
        <v>256</v>
      </c>
      <c r="L68" s="1">
        <f>IFERROR(VLOOKUP($C68,EQUIPOS[],UNIFICADO!L$9,0),"")</f>
        <v>8</v>
      </c>
      <c r="M68" s="1" t="str">
        <f>IFERROR(VLOOKUP($C68,EQUIPOS[],UNIFICADO!M$9,0),"")</f>
        <v>1.9/2.0</v>
      </c>
      <c r="N68" s="1">
        <f>IFERROR(VLOOKUP($C68,EQUIPOS[],UNIFICADO!N$9,0),"")</f>
        <v>4</v>
      </c>
      <c r="O68" s="1">
        <f>IFERROR(VLOOKUP($C68,EQUIPOS[],UNIFICADO!O$9,0),"")</f>
        <v>189</v>
      </c>
      <c r="P68" s="1">
        <f>IFERROR(VLOOKUP($C68,EQUIPOS[],UNIFICADO!P$9,0),"")</f>
        <v>16.399999999999999</v>
      </c>
      <c r="Q68" s="1">
        <f>IFERROR(VLOOKUP($C68,EQUIPOS[],UNIFICADO!Q$9,0),"")</f>
        <v>7.6</v>
      </c>
      <c r="R68" s="1">
        <f>IFERROR(VLOOKUP($C68,EQUIPOS[],UNIFICADO!R$9,0),"")</f>
        <v>0.81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f>VLOOKUP(UNIFICADA[[#This Row],[Equipo]],EQUIPOS[],19,0)</f>
        <v>58</v>
      </c>
      <c r="V68" s="1" t="str">
        <f t="shared" si="182"/>
        <v>ND</v>
      </c>
      <c r="W68" s="1" t="str">
        <f t="shared" si="183"/>
        <v>ND</v>
      </c>
      <c r="X68" s="1" t="str">
        <f t="shared" si="338"/>
        <v>ND</v>
      </c>
      <c r="Y68" s="1" t="str">
        <f t="shared" si="338"/>
        <v>ND</v>
      </c>
      <c r="Z68" s="1" t="str">
        <f t="shared" si="345"/>
        <v>ND</v>
      </c>
      <c r="AA68" s="1" t="str">
        <f t="shared" si="345"/>
        <v>ND</v>
      </c>
      <c r="AB68" s="1" t="str">
        <f t="shared" si="345"/>
        <v>ND</v>
      </c>
      <c r="AC68" s="1" t="str">
        <f t="shared" si="345"/>
        <v>ND</v>
      </c>
      <c r="AD68" s="1" t="str">
        <f t="shared" si="345"/>
        <v>ND</v>
      </c>
      <c r="AE68" s="1" t="str">
        <f t="shared" si="345"/>
        <v>ND</v>
      </c>
      <c r="AF68" s="1" t="str">
        <f t="shared" si="345"/>
        <v>ND</v>
      </c>
      <c r="AG68" s="1" t="str">
        <f t="shared" si="345"/>
        <v>ND</v>
      </c>
      <c r="AH68" s="1" t="str">
        <f t="shared" si="345"/>
        <v>ND</v>
      </c>
      <c r="AI68" s="1" t="str">
        <f t="shared" si="184"/>
        <v>ND</v>
      </c>
      <c r="AJ68" s="1" t="str">
        <f t="shared" si="185"/>
        <v>ND</v>
      </c>
      <c r="AK68" s="1" t="str">
        <f t="shared" si="186"/>
        <v>ND</v>
      </c>
      <c r="AL68" s="1" t="str">
        <f t="shared" si="187"/>
        <v>ND</v>
      </c>
      <c r="AM68" s="1" t="str">
        <f t="shared" si="188"/>
        <v>ND</v>
      </c>
      <c r="AN68" s="1" t="str">
        <f t="shared" si="189"/>
        <v>ND</v>
      </c>
      <c r="AO68" s="1" t="str">
        <f t="shared" si="190"/>
        <v>ND</v>
      </c>
      <c r="AP68" s="1" t="str">
        <f t="shared" si="191"/>
        <v>ND</v>
      </c>
      <c r="AQ68" s="1" t="str">
        <f t="shared" si="192"/>
        <v>ND</v>
      </c>
      <c r="AR68" s="1" t="str">
        <f t="shared" si="193"/>
        <v>ND</v>
      </c>
      <c r="AS68" s="1" t="str">
        <f t="shared" si="194"/>
        <v>ND</v>
      </c>
      <c r="AT68" s="1" t="str">
        <f t="shared" si="195"/>
        <v>ND</v>
      </c>
      <c r="AU68" s="1" t="str">
        <f t="shared" si="196"/>
        <v>ND</v>
      </c>
      <c r="AV68" s="1" t="str">
        <f t="shared" si="197"/>
        <v>ND</v>
      </c>
      <c r="AW68" s="1" t="str">
        <f t="shared" si="198"/>
        <v>ND</v>
      </c>
      <c r="AX68" s="1" t="str">
        <f t="shared" si="199"/>
        <v>ND</v>
      </c>
      <c r="AY68" s="1" t="str">
        <f t="shared" si="200"/>
        <v>ND</v>
      </c>
      <c r="AZ68" s="1" t="str">
        <f t="shared" si="201"/>
        <v>ND</v>
      </c>
      <c r="BA68" s="1" t="str">
        <f t="shared" si="202"/>
        <v>ND</v>
      </c>
      <c r="BB68" s="1" t="str">
        <f t="shared" si="203"/>
        <v>ND</v>
      </c>
      <c r="BC68" s="1" t="str">
        <f t="shared" si="204"/>
        <v>ND</v>
      </c>
      <c r="BD68" s="1" t="str">
        <f t="shared" si="205"/>
        <v>ND</v>
      </c>
      <c r="BE68" s="1" t="str">
        <f t="shared" si="206"/>
        <v>ND</v>
      </c>
      <c r="BF68" s="1" t="str">
        <f t="shared" si="207"/>
        <v>ND</v>
      </c>
      <c r="BG68" s="1" t="str">
        <f t="shared" si="208"/>
        <v>ND</v>
      </c>
      <c r="BH68" s="1" t="str">
        <f t="shared" si="209"/>
        <v>ND</v>
      </c>
      <c r="BI68" s="1" t="str">
        <f t="shared" si="210"/>
        <v>ND</v>
      </c>
      <c r="BJ68" s="1" t="str">
        <f t="shared" si="211"/>
        <v>ND</v>
      </c>
      <c r="BK68" s="1" t="str">
        <f t="shared" si="212"/>
        <v>ND</v>
      </c>
      <c r="BL68" s="1" t="str">
        <f t="shared" si="213"/>
        <v>ND</v>
      </c>
      <c r="BM68" s="1" t="str">
        <f t="shared" si="214"/>
        <v>ND</v>
      </c>
      <c r="BN68" s="1" t="str">
        <f t="shared" si="215"/>
        <v>ND</v>
      </c>
      <c r="BO68" s="1" t="str">
        <f t="shared" si="216"/>
        <v>ND</v>
      </c>
      <c r="BP68" s="1" t="str">
        <f t="shared" si="217"/>
        <v>ND</v>
      </c>
      <c r="BQ68" s="1" t="str">
        <f t="shared" si="218"/>
        <v>ND</v>
      </c>
      <c r="BR68" s="1" t="str">
        <f t="shared" si="219"/>
        <v>ND</v>
      </c>
      <c r="BS68" s="1" t="str">
        <f t="shared" si="220"/>
        <v>ND</v>
      </c>
      <c r="BT68" s="1" t="str">
        <f t="shared" si="221"/>
        <v>ND</v>
      </c>
      <c r="BU68" s="1" t="str">
        <f t="shared" si="222"/>
        <v>ND</v>
      </c>
      <c r="BV68" s="1" t="str">
        <f t="shared" si="223"/>
        <v>ND</v>
      </c>
      <c r="BW68" s="1" t="str">
        <f t="shared" si="224"/>
        <v>ND</v>
      </c>
      <c r="BX68" s="1" t="str">
        <f t="shared" si="225"/>
        <v>ND</v>
      </c>
      <c r="BY68" s="1" t="str">
        <f t="shared" si="226"/>
        <v>ND</v>
      </c>
      <c r="BZ68" s="1" t="str">
        <f t="shared" si="227"/>
        <v>ND</v>
      </c>
      <c r="CA68" s="1" t="str">
        <f t="shared" si="346"/>
        <v>ND</v>
      </c>
      <c r="CB68" s="1" t="str">
        <f t="shared" si="346"/>
        <v>ND</v>
      </c>
      <c r="CC68" s="1" t="str">
        <f t="shared" si="346"/>
        <v>ND</v>
      </c>
      <c r="CD68" s="1" t="str">
        <f t="shared" si="346"/>
        <v>ND</v>
      </c>
      <c r="CE68" s="1" t="str">
        <f t="shared" si="346"/>
        <v>ND</v>
      </c>
      <c r="CF68" s="1" t="str">
        <f t="shared" si="346"/>
        <v>ND</v>
      </c>
      <c r="CG68" s="1" t="str">
        <f t="shared" si="346"/>
        <v>ND</v>
      </c>
      <c r="CH68" s="1" t="str">
        <f t="shared" si="346"/>
        <v>ND</v>
      </c>
      <c r="CI68" s="1" t="str">
        <f t="shared" si="346"/>
        <v>ND</v>
      </c>
      <c r="CJ68" s="1" t="str">
        <f t="shared" si="346"/>
        <v>ND</v>
      </c>
      <c r="CK68" s="1" t="str">
        <f t="shared" si="346"/>
        <v>ND</v>
      </c>
      <c r="CL68" s="1" t="str">
        <f t="shared" si="347"/>
        <v>ND</v>
      </c>
      <c r="CM68" s="1" t="str">
        <f t="shared" si="347"/>
        <v>ND</v>
      </c>
      <c r="CN68" s="1" t="str">
        <f t="shared" si="347"/>
        <v>ND</v>
      </c>
      <c r="CO68" s="1" t="str">
        <f t="shared" si="347"/>
        <v>ND</v>
      </c>
      <c r="CP68" s="1" t="str">
        <f t="shared" si="347"/>
        <v>ND</v>
      </c>
      <c r="CQ68" s="1" t="str">
        <f t="shared" si="347"/>
        <v>ND</v>
      </c>
      <c r="CR68" s="1" t="str">
        <f t="shared" si="347"/>
        <v>ND</v>
      </c>
      <c r="CS68" s="1" t="str">
        <f t="shared" si="347"/>
        <v>ND</v>
      </c>
      <c r="CT68" s="1" t="str">
        <f t="shared" si="347"/>
        <v>ND</v>
      </c>
      <c r="CU68" s="1" t="str">
        <f t="shared" si="347"/>
        <v>ND</v>
      </c>
      <c r="CV68" s="1" t="str">
        <f t="shared" si="347"/>
        <v>ND</v>
      </c>
      <c r="CW68" s="1" t="str">
        <f t="shared" si="228"/>
        <v>ND</v>
      </c>
      <c r="CX68" s="1" t="str">
        <f t="shared" si="229"/>
        <v>ND</v>
      </c>
      <c r="CY68" s="1" t="str">
        <f t="shared" si="230"/>
        <v>ND</v>
      </c>
      <c r="CZ68" s="1" t="str">
        <f t="shared" si="231"/>
        <v>ND</v>
      </c>
      <c r="DA68" s="1" t="str">
        <f t="shared" si="232"/>
        <v>ND</v>
      </c>
      <c r="DB68" s="1" t="str">
        <f t="shared" si="233"/>
        <v>ND</v>
      </c>
      <c r="DC68" s="1" t="str">
        <f t="shared" si="234"/>
        <v>ND</v>
      </c>
      <c r="DD68" s="1" t="str">
        <f t="shared" si="235"/>
        <v>ND</v>
      </c>
      <c r="DE68" s="1" t="str">
        <f t="shared" si="236"/>
        <v>ND</v>
      </c>
      <c r="DF68" s="1" t="str">
        <f t="shared" si="237"/>
        <v>ND</v>
      </c>
      <c r="DG68" s="1" t="str">
        <f t="shared" si="238"/>
        <v>ND</v>
      </c>
      <c r="DH68" s="1" t="str">
        <f t="shared" si="239"/>
        <v>ND</v>
      </c>
      <c r="DI68" s="1" t="str">
        <f t="shared" si="240"/>
        <v>ND</v>
      </c>
      <c r="DJ68" s="1" t="str">
        <f t="shared" si="241"/>
        <v>ND</v>
      </c>
      <c r="DK68" s="1" t="str">
        <f t="shared" si="242"/>
        <v>ND</v>
      </c>
      <c r="DL68" s="1" t="str">
        <f t="shared" si="243"/>
        <v>ND</v>
      </c>
      <c r="DM68" s="1" t="str">
        <f t="shared" si="244"/>
        <v>ND</v>
      </c>
      <c r="DN68" s="1" t="str">
        <f t="shared" si="245"/>
        <v>ND</v>
      </c>
      <c r="DO68" s="1" t="str">
        <f t="shared" si="246"/>
        <v>ND</v>
      </c>
      <c r="DP68" s="1" t="str">
        <f t="shared" si="247"/>
        <v>ND</v>
      </c>
      <c r="DQ68" s="1" t="str">
        <f t="shared" si="248"/>
        <v>ND</v>
      </c>
      <c r="DR68" s="1" t="str">
        <f t="shared" si="249"/>
        <v>ND</v>
      </c>
      <c r="DS68" s="1" t="str">
        <f t="shared" si="250"/>
        <v>ND</v>
      </c>
      <c r="DT68" s="1" t="str">
        <f t="shared" si="251"/>
        <v>ND</v>
      </c>
      <c r="DU68" s="1" t="str">
        <f t="shared" si="252"/>
        <v>ND</v>
      </c>
      <c r="DV68" s="1" t="str">
        <f t="shared" si="253"/>
        <v>ND</v>
      </c>
      <c r="DW68" s="1" t="str">
        <f t="shared" si="254"/>
        <v>ND</v>
      </c>
      <c r="DX68" s="1" t="str">
        <f t="shared" si="255"/>
        <v>ND</v>
      </c>
      <c r="DY68" s="1" t="str">
        <f t="shared" si="256"/>
        <v>ND</v>
      </c>
      <c r="DZ68" s="1" t="str">
        <f t="shared" si="257"/>
        <v>ND</v>
      </c>
      <c r="EA68" s="1" t="str">
        <f t="shared" si="258"/>
        <v>ND</v>
      </c>
      <c r="EB68" s="1" t="str">
        <f t="shared" si="259"/>
        <v>ND</v>
      </c>
      <c r="EC68" s="1" t="str">
        <f t="shared" si="260"/>
        <v>ND</v>
      </c>
      <c r="ED68" s="1" t="str">
        <f t="shared" si="261"/>
        <v>ND</v>
      </c>
      <c r="EE68" s="1" t="str">
        <f t="shared" si="262"/>
        <v>ND</v>
      </c>
      <c r="EF68" s="1" t="str">
        <f t="shared" si="263"/>
        <v>ND</v>
      </c>
      <c r="EG68" s="1" t="str">
        <f t="shared" si="264"/>
        <v>ND</v>
      </c>
      <c r="EH68" s="1" t="str">
        <f t="shared" si="265"/>
        <v>ND</v>
      </c>
      <c r="EI68" s="1" t="str">
        <f t="shared" si="266"/>
        <v>ND</v>
      </c>
      <c r="EJ68" s="1" t="str">
        <f t="shared" si="267"/>
        <v>ND</v>
      </c>
      <c r="EK68" s="1" t="str">
        <f t="shared" si="268"/>
        <v>ND</v>
      </c>
      <c r="EL68" s="1" t="str">
        <f t="shared" si="269"/>
        <v>ND</v>
      </c>
      <c r="EM68" s="1" t="str">
        <f t="shared" si="270"/>
        <v>ND</v>
      </c>
      <c r="EN68" s="1" t="str">
        <f t="shared" si="271"/>
        <v>ND</v>
      </c>
      <c r="EO68" s="1" t="str">
        <f t="shared" si="348"/>
        <v>ND</v>
      </c>
      <c r="EP68" s="1" t="str">
        <f t="shared" si="348"/>
        <v>ND</v>
      </c>
      <c r="EQ68" s="1" t="str">
        <f t="shared" si="348"/>
        <v>ND</v>
      </c>
      <c r="ER68" s="1" t="str">
        <f t="shared" si="348"/>
        <v>ND</v>
      </c>
      <c r="ES68" s="1" t="str">
        <f t="shared" si="348"/>
        <v>ND</v>
      </c>
      <c r="ET68" s="1" t="str">
        <f t="shared" si="348"/>
        <v>ND</v>
      </c>
      <c r="EU68" s="1" t="str">
        <f t="shared" si="348"/>
        <v>ND</v>
      </c>
      <c r="EV68" s="1" t="str">
        <f t="shared" si="348"/>
        <v>ND</v>
      </c>
      <c r="EW68" s="1" t="str">
        <f t="shared" si="348"/>
        <v>ND</v>
      </c>
      <c r="EX68" s="1" t="str">
        <f t="shared" si="348"/>
        <v>ND</v>
      </c>
      <c r="EY68" s="1" t="str">
        <f t="shared" si="348"/>
        <v>ND</v>
      </c>
      <c r="EZ68" s="1" t="str">
        <f t="shared" si="349"/>
        <v>ND</v>
      </c>
      <c r="FA68" s="1" t="str">
        <f t="shared" si="349"/>
        <v>ND</v>
      </c>
      <c r="FB68" s="1" t="str">
        <f t="shared" si="349"/>
        <v>ND</v>
      </c>
      <c r="FC68" s="1" t="str">
        <f t="shared" si="349"/>
        <v>ND</v>
      </c>
      <c r="FD68" s="1" t="str">
        <f t="shared" si="349"/>
        <v>ND</v>
      </c>
      <c r="FE68" s="1" t="str">
        <f t="shared" si="349"/>
        <v>ND</v>
      </c>
      <c r="FF68" s="1" t="str">
        <f t="shared" si="349"/>
        <v>ND</v>
      </c>
      <c r="FG68" s="1" t="str">
        <f t="shared" si="349"/>
        <v>ND</v>
      </c>
      <c r="FH68" s="1" t="str">
        <f t="shared" si="349"/>
        <v>ND</v>
      </c>
      <c r="FI68" s="1" t="str">
        <f t="shared" si="349"/>
        <v>ND</v>
      </c>
      <c r="FJ68" s="1" t="str">
        <f t="shared" si="349"/>
        <v>ND</v>
      </c>
      <c r="FK68" s="1" t="str">
        <f t="shared" si="350"/>
        <v>ND</v>
      </c>
      <c r="FL68" s="1" t="str">
        <f t="shared" si="350"/>
        <v>ND</v>
      </c>
      <c r="FM68" s="1" t="str">
        <f t="shared" si="350"/>
        <v>ND</v>
      </c>
      <c r="FN68" s="1" t="str">
        <f t="shared" si="350"/>
        <v>ND</v>
      </c>
      <c r="FO68" s="1" t="str">
        <f t="shared" si="350"/>
        <v>ND</v>
      </c>
      <c r="FP68" s="1" t="str">
        <f t="shared" si="350"/>
        <v>ND</v>
      </c>
      <c r="FQ68" s="1" t="str">
        <f t="shared" si="350"/>
        <v>ND</v>
      </c>
      <c r="FR68" s="1" t="str">
        <f t="shared" si="350"/>
        <v>ND</v>
      </c>
      <c r="FS68" s="1" t="str">
        <f t="shared" si="350"/>
        <v>ND</v>
      </c>
      <c r="FT68" s="1" t="str">
        <f t="shared" si="350"/>
        <v>ND</v>
      </c>
      <c r="FU68" s="1" t="str">
        <f t="shared" si="350"/>
        <v>ND</v>
      </c>
      <c r="FV68" s="1" t="str">
        <f t="shared" si="272"/>
        <v>ND</v>
      </c>
      <c r="FW68" s="1" t="str">
        <f t="shared" si="273"/>
        <v>ND</v>
      </c>
      <c r="FX68" s="1" t="str">
        <f t="shared" si="274"/>
        <v>ND</v>
      </c>
      <c r="FY68" s="1" t="str">
        <f t="shared" si="275"/>
        <v>ND</v>
      </c>
      <c r="FZ68" s="1" t="str">
        <f t="shared" si="276"/>
        <v>ND</v>
      </c>
      <c r="GA68" s="1" t="str">
        <f t="shared" si="277"/>
        <v>ND</v>
      </c>
      <c r="GB68" s="1" t="str">
        <f t="shared" si="278"/>
        <v>ND</v>
      </c>
      <c r="GC68" s="1" t="str">
        <f t="shared" si="279"/>
        <v>ND</v>
      </c>
      <c r="GD68" s="1" t="str">
        <f t="shared" si="280"/>
        <v>ND</v>
      </c>
      <c r="GE68" s="1" t="str">
        <f t="shared" si="281"/>
        <v>ND</v>
      </c>
      <c r="GF68" s="1" t="str">
        <f t="shared" si="282"/>
        <v>ND</v>
      </c>
      <c r="GG68" s="1" t="str">
        <f t="shared" si="283"/>
        <v>ND</v>
      </c>
      <c r="GH68" s="1" t="str">
        <f t="shared" si="284"/>
        <v>ND</v>
      </c>
      <c r="GI68" s="1" t="str">
        <f t="shared" si="285"/>
        <v>ND</v>
      </c>
      <c r="GJ68" s="1" t="str">
        <f t="shared" si="286"/>
        <v>ND</v>
      </c>
      <c r="GK68" s="1" t="str">
        <f t="shared" si="287"/>
        <v>ND</v>
      </c>
      <c r="GL68" s="1" t="str">
        <f t="shared" si="288"/>
        <v>ND</v>
      </c>
      <c r="GM68" s="1" t="str">
        <f t="shared" si="289"/>
        <v>ND</v>
      </c>
      <c r="GN68" s="1" t="str">
        <f t="shared" si="290"/>
        <v>ND</v>
      </c>
      <c r="GO68" s="1" t="str">
        <f t="shared" si="291"/>
        <v>ND</v>
      </c>
      <c r="GP68" s="1" t="str">
        <f t="shared" si="292"/>
        <v>ND</v>
      </c>
      <c r="GQ68" s="1" t="str">
        <f t="shared" si="293"/>
        <v>ND</v>
      </c>
      <c r="GR68" s="1" t="str">
        <f t="shared" si="294"/>
        <v>ND</v>
      </c>
      <c r="GS68" s="1" t="str">
        <f t="shared" si="295"/>
        <v>ND</v>
      </c>
      <c r="GT68" s="1" t="str">
        <f t="shared" si="296"/>
        <v>ND</v>
      </c>
      <c r="GU68" s="1" t="str">
        <f t="shared" si="297"/>
        <v>ND</v>
      </c>
      <c r="GV68" s="1" t="str">
        <f t="shared" si="298"/>
        <v>ND</v>
      </c>
      <c r="GW68" s="1" t="str">
        <f t="shared" si="299"/>
        <v>ND</v>
      </c>
      <c r="GX68" s="1" t="str">
        <f t="shared" si="300"/>
        <v>ND</v>
      </c>
      <c r="GY68" s="1" t="str">
        <f t="shared" si="301"/>
        <v>ND</v>
      </c>
      <c r="GZ68" s="1" t="str">
        <f t="shared" si="302"/>
        <v>ND</v>
      </c>
      <c r="HA68" s="1" t="str">
        <f t="shared" si="303"/>
        <v>ND</v>
      </c>
      <c r="HB68" s="1" t="str">
        <f t="shared" si="304"/>
        <v>ND</v>
      </c>
      <c r="HC68" s="1" t="str">
        <f t="shared" si="305"/>
        <v>ND</v>
      </c>
      <c r="HD68" s="1" t="str">
        <f t="shared" si="306"/>
        <v>ND</v>
      </c>
      <c r="HE68" s="1" t="str">
        <f t="shared" si="307"/>
        <v>ND</v>
      </c>
      <c r="HF68" s="1" t="str">
        <f t="shared" si="308"/>
        <v>ND</v>
      </c>
      <c r="HG68" s="1" t="str">
        <f t="shared" si="309"/>
        <v>ND</v>
      </c>
      <c r="HH68" s="1" t="str">
        <f t="shared" si="310"/>
        <v>ND</v>
      </c>
      <c r="HI68" s="1" t="str">
        <f t="shared" si="311"/>
        <v>ND</v>
      </c>
      <c r="HJ68" s="1" t="str">
        <f t="shared" si="312"/>
        <v>ND</v>
      </c>
      <c r="HK68" s="1" t="str">
        <f t="shared" si="313"/>
        <v>ND</v>
      </c>
      <c r="HL68" s="1" t="str">
        <f t="shared" si="314"/>
        <v>ND</v>
      </c>
      <c r="HM68" s="1" t="str">
        <f t="shared" si="315"/>
        <v>ND</v>
      </c>
      <c r="HN68" s="1" t="str">
        <f t="shared" si="316"/>
        <v>ND</v>
      </c>
      <c r="HO68" s="1" t="str">
        <f t="shared" si="317"/>
        <v>ND</v>
      </c>
      <c r="HP68" s="1" t="str">
        <f t="shared" si="318"/>
        <v>ND</v>
      </c>
      <c r="HQ68" s="1" t="str">
        <f t="shared" si="319"/>
        <v>ND</v>
      </c>
      <c r="HR68" s="1" t="str">
        <f t="shared" si="320"/>
        <v>ND</v>
      </c>
      <c r="HS68" s="1" t="str">
        <f t="shared" si="321"/>
        <v>ND</v>
      </c>
      <c r="HT68" s="1" t="str">
        <f t="shared" si="322"/>
        <v>ND</v>
      </c>
      <c r="HU68" s="1" t="str">
        <f t="shared" si="323"/>
        <v>ND</v>
      </c>
      <c r="HV68" s="1" t="str">
        <f t="shared" si="324"/>
        <v>ND</v>
      </c>
      <c r="HW68" s="1" t="str">
        <f t="shared" si="325"/>
        <v>ND</v>
      </c>
      <c r="HX68" s="1" t="str">
        <f t="shared" si="326"/>
        <v>ND</v>
      </c>
      <c r="HY68" s="1" t="str">
        <f t="shared" si="327"/>
        <v>ND</v>
      </c>
      <c r="HZ68" s="1" t="str">
        <f t="shared" si="328"/>
        <v>ND</v>
      </c>
      <c r="IA68" s="1" t="str">
        <f t="shared" si="329"/>
        <v>ND</v>
      </c>
      <c r="IB68" s="1" t="str">
        <f t="shared" si="330"/>
        <v>ND</v>
      </c>
      <c r="IC68" s="1" t="str">
        <f t="shared" si="331"/>
        <v>ND</v>
      </c>
      <c r="ID68" s="1" t="str">
        <f t="shared" si="332"/>
        <v>ND</v>
      </c>
      <c r="IE68" s="1" t="str">
        <f t="shared" si="333"/>
        <v>ND</v>
      </c>
      <c r="IF68" s="1" t="str">
        <f t="shared" si="334"/>
        <v>ND</v>
      </c>
      <c r="IG68" s="1" t="str">
        <f t="shared" si="335"/>
        <v>ND</v>
      </c>
      <c r="IH68" s="1" t="str">
        <f t="shared" si="336"/>
        <v>ND</v>
      </c>
      <c r="II68" s="1" t="str">
        <f t="shared" si="337"/>
        <v>ND</v>
      </c>
    </row>
    <row r="69" spans="3:243" x14ac:dyDescent="0.25">
      <c r="C69" t="s">
        <v>57</v>
      </c>
      <c r="D69">
        <f>SUMIFS(DICCIONARIO[Cantidad],DICCIONARIO[Modelo],UNIFICADA[[#This Row],[Equipo]])</f>
        <v>0</v>
      </c>
      <c r="E69" s="1">
        <f>IFERROR(VLOOKUP($C69,EQUIPOS[],UNIFICADO!E$9,0),"")</f>
        <v>11</v>
      </c>
      <c r="F69" s="1">
        <f>IFERROR(VLOOKUP($C69,EQUIPOS[],UNIFICADO!F$9,0),"")</f>
        <v>6.5</v>
      </c>
      <c r="G69" s="1">
        <f>IFERROR(VLOOKUP($C69,EQUIPOS[],UNIFICADO!G$9,0),"")</f>
        <v>48</v>
      </c>
      <c r="H69" s="1">
        <f>IFERROR(VLOOKUP($C69,EQUIPOS[],UNIFICADO!H$9,0),"")</f>
        <v>2</v>
      </c>
      <c r="I69" s="1">
        <f>IFERROR(VLOOKUP($C69,EQUIPOS[],UNIFICADO!I$9,0),"")</f>
        <v>5</v>
      </c>
      <c r="J69" s="1" t="str">
        <f>IFERROR(VLOOKUP($C69,EQUIPOS[],UNIFICADO!J$9,0),"")</f>
        <v>32GB</v>
      </c>
      <c r="K69" s="1">
        <f>IFERROR(VLOOKUP($C69,EQUIPOS[],UNIFICADO!K$9,0),"")</f>
        <v>256</v>
      </c>
      <c r="L69" s="1">
        <f>IFERROR(VLOOKUP($C69,EQUIPOS[],UNIFICADO!L$9,0),"")</f>
        <v>8</v>
      </c>
      <c r="M69" s="1" t="str">
        <f>IFERROR(VLOOKUP($C69,EQUIPOS[],UNIFICADO!M$9,0),"")</f>
        <v>1.6/1.6</v>
      </c>
      <c r="N69" s="1">
        <f>IFERROR(VLOOKUP($C69,EQUIPOS[],UNIFICADO!N$9,0),"")</f>
        <v>3</v>
      </c>
      <c r="O69" s="1">
        <f>IFERROR(VLOOKUP($C69,EQUIPOS[],UNIFICADO!O$9,0),"")</f>
        <v>196</v>
      </c>
      <c r="P69" s="1">
        <f>IFERROR(VLOOKUP($C69,EQUIPOS[],UNIFICADO!P$9,0),"")</f>
        <v>16.399999999999999</v>
      </c>
      <c r="Q69" s="1">
        <f>IFERROR(VLOOKUP($C69,EQUIPOS[],UNIFICADO!Q$9,0),"")</f>
        <v>7.59</v>
      </c>
      <c r="R69" s="1">
        <f>IFERROR(VLOOKUP($C69,EQUIPOS[],UNIFICADO!R$9,0),"")</f>
        <v>0.91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82"/>
        <v>ND</v>
      </c>
      <c r="W69" s="1" t="str">
        <f t="shared" si="183"/>
        <v>ND</v>
      </c>
      <c r="X69" s="1" t="str">
        <f t="shared" si="338"/>
        <v>ND</v>
      </c>
      <c r="Y69" s="1" t="str">
        <f t="shared" si="338"/>
        <v>ND</v>
      </c>
      <c r="Z69" s="1" t="str">
        <f t="shared" si="345"/>
        <v>ND</v>
      </c>
      <c r="AA69" s="1" t="str">
        <f t="shared" si="345"/>
        <v>ND</v>
      </c>
      <c r="AB69" s="1" t="str">
        <f t="shared" si="345"/>
        <v>ND</v>
      </c>
      <c r="AC69" s="1" t="str">
        <f t="shared" si="345"/>
        <v>ND</v>
      </c>
      <c r="AD69" s="1" t="str">
        <f t="shared" si="345"/>
        <v>ND</v>
      </c>
      <c r="AE69" s="1" t="str">
        <f t="shared" si="345"/>
        <v>ND</v>
      </c>
      <c r="AF69" s="1" t="str">
        <f t="shared" si="345"/>
        <v>ND</v>
      </c>
      <c r="AG69" s="1" t="str">
        <f t="shared" si="345"/>
        <v>ND</v>
      </c>
      <c r="AH69" s="1" t="str">
        <f t="shared" si="345"/>
        <v>ND</v>
      </c>
      <c r="AI69" s="1" t="str">
        <f t="shared" si="184"/>
        <v>ND</v>
      </c>
      <c r="AJ69" s="1" t="str">
        <f t="shared" si="185"/>
        <v>ND</v>
      </c>
      <c r="AK69" s="1" t="str">
        <f t="shared" si="186"/>
        <v>ND</v>
      </c>
      <c r="AL69" s="1" t="str">
        <f t="shared" si="187"/>
        <v>ND</v>
      </c>
      <c r="AM69" s="1" t="str">
        <f t="shared" si="188"/>
        <v>ND</v>
      </c>
      <c r="AN69" s="1" t="str">
        <f t="shared" si="189"/>
        <v>ND</v>
      </c>
      <c r="AO69" s="1" t="str">
        <f t="shared" si="190"/>
        <v>ND</v>
      </c>
      <c r="AP69" s="1" t="str">
        <f t="shared" si="191"/>
        <v>ND</v>
      </c>
      <c r="AQ69" s="1" t="str">
        <f t="shared" si="192"/>
        <v>ND</v>
      </c>
      <c r="AR69" s="1" t="str">
        <f t="shared" si="193"/>
        <v>ND</v>
      </c>
      <c r="AS69" s="1" t="str">
        <f t="shared" si="194"/>
        <v>ND</v>
      </c>
      <c r="AT69" s="1" t="str">
        <f t="shared" si="195"/>
        <v>ND</v>
      </c>
      <c r="AU69" s="1" t="str">
        <f t="shared" si="196"/>
        <v>ND</v>
      </c>
      <c r="AV69" s="1" t="str">
        <f t="shared" si="197"/>
        <v>ND</v>
      </c>
      <c r="AW69" s="1" t="str">
        <f t="shared" si="198"/>
        <v>ND</v>
      </c>
      <c r="AX69" s="1" t="str">
        <f t="shared" si="199"/>
        <v>ND</v>
      </c>
      <c r="AY69" s="1" t="str">
        <f t="shared" si="200"/>
        <v>ND</v>
      </c>
      <c r="AZ69" s="1" t="str">
        <f t="shared" si="201"/>
        <v>ND</v>
      </c>
      <c r="BA69" s="1" t="str">
        <f t="shared" si="202"/>
        <v>ND</v>
      </c>
      <c r="BB69" s="1" t="str">
        <f t="shared" si="203"/>
        <v>ND</v>
      </c>
      <c r="BC69" s="1" t="str">
        <f t="shared" si="204"/>
        <v>ND</v>
      </c>
      <c r="BD69" s="1" t="str">
        <f t="shared" si="205"/>
        <v>ND</v>
      </c>
      <c r="BE69" s="1" t="str">
        <f t="shared" si="206"/>
        <v>ND</v>
      </c>
      <c r="BF69" s="1" t="str">
        <f t="shared" si="207"/>
        <v>ND</v>
      </c>
      <c r="BG69" s="1" t="str">
        <f t="shared" si="208"/>
        <v>ND</v>
      </c>
      <c r="BH69" s="1" t="str">
        <f t="shared" si="209"/>
        <v>ND</v>
      </c>
      <c r="BI69" s="1" t="str">
        <f t="shared" si="210"/>
        <v>ND</v>
      </c>
      <c r="BJ69" s="1" t="str">
        <f t="shared" si="211"/>
        <v>ND</v>
      </c>
      <c r="BK69" s="1" t="str">
        <f t="shared" si="212"/>
        <v>ND</v>
      </c>
      <c r="BL69" s="1" t="str">
        <f t="shared" si="213"/>
        <v>ND</v>
      </c>
      <c r="BM69" s="1" t="str">
        <f t="shared" si="214"/>
        <v>ND</v>
      </c>
      <c r="BN69" s="1" t="str">
        <f t="shared" si="215"/>
        <v>ND</v>
      </c>
      <c r="BO69" s="1" t="str">
        <f t="shared" si="216"/>
        <v>ND</v>
      </c>
      <c r="BP69" s="1" t="str">
        <f t="shared" si="217"/>
        <v>ND</v>
      </c>
      <c r="BQ69" s="1" t="str">
        <f t="shared" si="218"/>
        <v>ND</v>
      </c>
      <c r="BR69" s="1" t="str">
        <f t="shared" si="219"/>
        <v>ND</v>
      </c>
      <c r="BS69" s="1" t="str">
        <f t="shared" si="220"/>
        <v>ND</v>
      </c>
      <c r="BT69" s="1" t="str">
        <f t="shared" si="221"/>
        <v>ND</v>
      </c>
      <c r="BU69" s="1" t="str">
        <f t="shared" si="222"/>
        <v>ND</v>
      </c>
      <c r="BV69" s="1" t="str">
        <f t="shared" si="223"/>
        <v>ND</v>
      </c>
      <c r="BW69" s="1" t="str">
        <f t="shared" si="224"/>
        <v>ND</v>
      </c>
      <c r="BX69" s="1" t="str">
        <f t="shared" si="225"/>
        <v>ND</v>
      </c>
      <c r="BY69" s="1" t="str">
        <f t="shared" si="226"/>
        <v>ND</v>
      </c>
      <c r="BZ69" s="1" t="str">
        <f t="shared" si="227"/>
        <v>ND</v>
      </c>
      <c r="CA69" s="1" t="str">
        <f t="shared" si="346"/>
        <v>ND</v>
      </c>
      <c r="CB69" s="1" t="str">
        <f t="shared" si="346"/>
        <v>ND</v>
      </c>
      <c r="CC69" s="1" t="str">
        <f t="shared" si="346"/>
        <v>ND</v>
      </c>
      <c r="CD69" s="1" t="str">
        <f t="shared" si="346"/>
        <v>ND</v>
      </c>
      <c r="CE69" s="1" t="str">
        <f t="shared" si="346"/>
        <v>ND</v>
      </c>
      <c r="CF69" s="1" t="str">
        <f t="shared" si="346"/>
        <v>ND</v>
      </c>
      <c r="CG69" s="1" t="str">
        <f t="shared" si="346"/>
        <v>ND</v>
      </c>
      <c r="CH69" s="1" t="str">
        <f t="shared" si="346"/>
        <v>ND</v>
      </c>
      <c r="CI69" s="1" t="str">
        <f t="shared" si="346"/>
        <v>ND</v>
      </c>
      <c r="CJ69" s="1" t="str">
        <f t="shared" si="346"/>
        <v>ND</v>
      </c>
      <c r="CK69" s="1" t="str">
        <f t="shared" si="346"/>
        <v>ND</v>
      </c>
      <c r="CL69" s="1" t="str">
        <f t="shared" si="347"/>
        <v>ND</v>
      </c>
      <c r="CM69" s="1" t="str">
        <f t="shared" si="347"/>
        <v>ND</v>
      </c>
      <c r="CN69" s="1" t="str">
        <f t="shared" si="347"/>
        <v>ND</v>
      </c>
      <c r="CO69" s="1" t="str">
        <f t="shared" si="347"/>
        <v>ND</v>
      </c>
      <c r="CP69" s="1" t="str">
        <f t="shared" si="347"/>
        <v>ND</v>
      </c>
      <c r="CQ69" s="1" t="str">
        <f t="shared" si="347"/>
        <v>ND</v>
      </c>
      <c r="CR69" s="1" t="str">
        <f t="shared" si="347"/>
        <v>ND</v>
      </c>
      <c r="CS69" s="1" t="str">
        <f t="shared" si="347"/>
        <v>ND</v>
      </c>
      <c r="CT69" s="1" t="str">
        <f t="shared" si="347"/>
        <v>ND</v>
      </c>
      <c r="CU69" s="1" t="str">
        <f t="shared" si="347"/>
        <v>ND</v>
      </c>
      <c r="CV69" s="1" t="str">
        <f t="shared" si="347"/>
        <v>ND</v>
      </c>
      <c r="CW69" s="1" t="str">
        <f t="shared" si="228"/>
        <v>ND</v>
      </c>
      <c r="CX69" s="1" t="str">
        <f t="shared" si="229"/>
        <v>ND</v>
      </c>
      <c r="CY69" s="1" t="str">
        <f t="shared" si="230"/>
        <v>ND</v>
      </c>
      <c r="CZ69" s="1" t="str">
        <f t="shared" si="231"/>
        <v>ND</v>
      </c>
      <c r="DA69" s="1" t="str">
        <f t="shared" si="232"/>
        <v>ND</v>
      </c>
      <c r="DB69" s="1" t="str">
        <f t="shared" si="233"/>
        <v>ND</v>
      </c>
      <c r="DC69" s="1" t="str">
        <f t="shared" si="234"/>
        <v>ND</v>
      </c>
      <c r="DD69" s="1" t="str">
        <f t="shared" si="235"/>
        <v>ND</v>
      </c>
      <c r="DE69" s="1" t="str">
        <f t="shared" si="236"/>
        <v>ND</v>
      </c>
      <c r="DF69" s="1" t="str">
        <f t="shared" si="237"/>
        <v>ND</v>
      </c>
      <c r="DG69" s="1" t="str">
        <f t="shared" si="238"/>
        <v>ND</v>
      </c>
      <c r="DH69" s="1" t="str">
        <f t="shared" si="239"/>
        <v>ND</v>
      </c>
      <c r="DI69" s="1" t="str">
        <f t="shared" si="240"/>
        <v>ND</v>
      </c>
      <c r="DJ69" s="1" t="str">
        <f t="shared" si="241"/>
        <v>ND</v>
      </c>
      <c r="DK69" s="1" t="str">
        <f t="shared" si="242"/>
        <v>ND</v>
      </c>
      <c r="DL69" s="1" t="str">
        <f t="shared" si="243"/>
        <v>ND</v>
      </c>
      <c r="DM69" s="1" t="str">
        <f t="shared" si="244"/>
        <v>ND</v>
      </c>
      <c r="DN69" s="1" t="str">
        <f t="shared" si="245"/>
        <v>ND</v>
      </c>
      <c r="DO69" s="1" t="str">
        <f t="shared" si="246"/>
        <v>ND</v>
      </c>
      <c r="DP69" s="1" t="str">
        <f t="shared" si="247"/>
        <v>ND</v>
      </c>
      <c r="DQ69" s="1" t="str">
        <f t="shared" si="248"/>
        <v>ND</v>
      </c>
      <c r="DR69" s="1" t="str">
        <f t="shared" si="249"/>
        <v>ND</v>
      </c>
      <c r="DS69" s="1" t="str">
        <f t="shared" si="250"/>
        <v>ND</v>
      </c>
      <c r="DT69" s="1" t="str">
        <f t="shared" si="251"/>
        <v>ND</v>
      </c>
      <c r="DU69" s="1" t="str">
        <f t="shared" si="252"/>
        <v>ND</v>
      </c>
      <c r="DV69" s="1" t="str">
        <f t="shared" si="253"/>
        <v>ND</v>
      </c>
      <c r="DW69" s="1" t="str">
        <f t="shared" si="254"/>
        <v>ND</v>
      </c>
      <c r="DX69" s="1" t="str">
        <f t="shared" si="255"/>
        <v>ND</v>
      </c>
      <c r="DY69" s="1" t="str">
        <f t="shared" si="256"/>
        <v>ND</v>
      </c>
      <c r="DZ69" s="1" t="str">
        <f t="shared" si="257"/>
        <v>ND</v>
      </c>
      <c r="EA69" s="1" t="str">
        <f t="shared" si="258"/>
        <v>ND</v>
      </c>
      <c r="EB69" s="1" t="str">
        <f t="shared" si="259"/>
        <v>ND</v>
      </c>
      <c r="EC69" s="1" t="str">
        <f t="shared" si="260"/>
        <v>ND</v>
      </c>
      <c r="ED69" s="1" t="str">
        <f t="shared" si="261"/>
        <v>ND</v>
      </c>
      <c r="EE69" s="1" t="str">
        <f t="shared" si="262"/>
        <v>ND</v>
      </c>
      <c r="EF69" s="1" t="str">
        <f t="shared" si="263"/>
        <v>ND</v>
      </c>
      <c r="EG69" s="1" t="str">
        <f t="shared" si="264"/>
        <v>ND</v>
      </c>
      <c r="EH69" s="1" t="str">
        <f t="shared" si="265"/>
        <v>ND</v>
      </c>
      <c r="EI69" s="1" t="str">
        <f t="shared" si="266"/>
        <v>ND</v>
      </c>
      <c r="EJ69" s="1" t="str">
        <f t="shared" si="267"/>
        <v>ND</v>
      </c>
      <c r="EK69" s="1" t="str">
        <f t="shared" si="268"/>
        <v>ND</v>
      </c>
      <c r="EL69" s="1" t="str">
        <f t="shared" si="269"/>
        <v>ND</v>
      </c>
      <c r="EM69" s="1" t="str">
        <f t="shared" si="270"/>
        <v>ND</v>
      </c>
      <c r="EN69" s="1" t="str">
        <f t="shared" si="271"/>
        <v>ND</v>
      </c>
      <c r="EO69" s="1" t="str">
        <f t="shared" si="348"/>
        <v>ND</v>
      </c>
      <c r="EP69" s="1" t="str">
        <f t="shared" si="348"/>
        <v>ND</v>
      </c>
      <c r="EQ69" s="1" t="str">
        <f t="shared" si="348"/>
        <v>ND</v>
      </c>
      <c r="ER69" s="1" t="str">
        <f t="shared" si="348"/>
        <v>ND</v>
      </c>
      <c r="ES69" s="1" t="str">
        <f t="shared" si="348"/>
        <v>ND</v>
      </c>
      <c r="ET69" s="1" t="str">
        <f t="shared" si="348"/>
        <v>ND</v>
      </c>
      <c r="EU69" s="1" t="str">
        <f t="shared" si="348"/>
        <v>ND</v>
      </c>
      <c r="EV69" s="1" t="str">
        <f t="shared" si="348"/>
        <v>ND</v>
      </c>
      <c r="EW69" s="1" t="str">
        <f t="shared" si="348"/>
        <v>ND</v>
      </c>
      <c r="EX69" s="1" t="str">
        <f t="shared" si="348"/>
        <v>ND</v>
      </c>
      <c r="EY69" s="1" t="str">
        <f t="shared" si="348"/>
        <v>ND</v>
      </c>
      <c r="EZ69" s="1" t="str">
        <f t="shared" si="349"/>
        <v>ND</v>
      </c>
      <c r="FA69" s="1" t="str">
        <f t="shared" si="349"/>
        <v>ND</v>
      </c>
      <c r="FB69" s="1" t="str">
        <f t="shared" si="349"/>
        <v>ND</v>
      </c>
      <c r="FC69" s="1" t="str">
        <f t="shared" si="349"/>
        <v>ND</v>
      </c>
      <c r="FD69" s="1" t="str">
        <f t="shared" si="349"/>
        <v>ND</v>
      </c>
      <c r="FE69" s="1" t="str">
        <f t="shared" si="349"/>
        <v>ND</v>
      </c>
      <c r="FF69" s="1" t="str">
        <f t="shared" si="349"/>
        <v>ND</v>
      </c>
      <c r="FG69" s="1" t="str">
        <f t="shared" si="349"/>
        <v>ND</v>
      </c>
      <c r="FH69" s="1" t="str">
        <f t="shared" si="349"/>
        <v>ND</v>
      </c>
      <c r="FI69" s="1" t="str">
        <f t="shared" si="349"/>
        <v>ND</v>
      </c>
      <c r="FJ69" s="1" t="str">
        <f t="shared" si="349"/>
        <v>ND</v>
      </c>
      <c r="FK69" s="1" t="str">
        <f t="shared" si="350"/>
        <v>ND</v>
      </c>
      <c r="FL69" s="1" t="str">
        <f t="shared" si="350"/>
        <v>ND</v>
      </c>
      <c r="FM69" s="1" t="str">
        <f t="shared" si="350"/>
        <v>ND</v>
      </c>
      <c r="FN69" s="1" t="str">
        <f t="shared" si="350"/>
        <v>ND</v>
      </c>
      <c r="FO69" s="1" t="str">
        <f t="shared" si="350"/>
        <v>ND</v>
      </c>
      <c r="FP69" s="1" t="str">
        <f t="shared" si="350"/>
        <v>ND</v>
      </c>
      <c r="FQ69" s="1" t="str">
        <f t="shared" si="350"/>
        <v>ND</v>
      </c>
      <c r="FR69" s="1" t="str">
        <f t="shared" si="350"/>
        <v>ND</v>
      </c>
      <c r="FS69" s="1" t="str">
        <f t="shared" si="350"/>
        <v>ND</v>
      </c>
      <c r="FT69" s="1" t="str">
        <f t="shared" si="350"/>
        <v>ND</v>
      </c>
      <c r="FU69" s="1" t="str">
        <f t="shared" si="350"/>
        <v>ND</v>
      </c>
      <c r="FV69" s="1" t="str">
        <f t="shared" si="272"/>
        <v>ND</v>
      </c>
      <c r="FW69" s="1" t="str">
        <f t="shared" si="273"/>
        <v>ND</v>
      </c>
      <c r="FX69" s="1" t="str">
        <f t="shared" si="274"/>
        <v>ND</v>
      </c>
      <c r="FY69" s="1" t="str">
        <f t="shared" si="275"/>
        <v>ND</v>
      </c>
      <c r="FZ69" s="1" t="str">
        <f t="shared" si="276"/>
        <v>ND</v>
      </c>
      <c r="GA69" s="1" t="str">
        <f t="shared" si="277"/>
        <v>ND</v>
      </c>
      <c r="GB69" s="1" t="str">
        <f t="shared" si="278"/>
        <v>ND</v>
      </c>
      <c r="GC69" s="1" t="str">
        <f t="shared" si="279"/>
        <v>ND</v>
      </c>
      <c r="GD69" s="1" t="str">
        <f t="shared" si="280"/>
        <v>ND</v>
      </c>
      <c r="GE69" s="1" t="str">
        <f t="shared" si="281"/>
        <v>ND</v>
      </c>
      <c r="GF69" s="1" t="str">
        <f t="shared" si="282"/>
        <v>ND</v>
      </c>
      <c r="GG69" s="1" t="str">
        <f t="shared" si="283"/>
        <v>ND</v>
      </c>
      <c r="GH69" s="1" t="str">
        <f t="shared" si="284"/>
        <v>ND</v>
      </c>
      <c r="GI69" s="1" t="str">
        <f t="shared" si="285"/>
        <v>ND</v>
      </c>
      <c r="GJ69" s="1" t="str">
        <f t="shared" si="286"/>
        <v>ND</v>
      </c>
      <c r="GK69" s="1" t="str">
        <f t="shared" si="287"/>
        <v>ND</v>
      </c>
      <c r="GL69" s="1" t="str">
        <f t="shared" si="288"/>
        <v>ND</v>
      </c>
      <c r="GM69" s="1" t="str">
        <f t="shared" si="289"/>
        <v>ND</v>
      </c>
      <c r="GN69" s="1" t="str">
        <f t="shared" si="290"/>
        <v>ND</v>
      </c>
      <c r="GO69" s="1" t="str">
        <f t="shared" si="291"/>
        <v>ND</v>
      </c>
      <c r="GP69" s="1" t="str">
        <f t="shared" si="292"/>
        <v>ND</v>
      </c>
      <c r="GQ69" s="1" t="str">
        <f t="shared" si="293"/>
        <v>ND</v>
      </c>
      <c r="GR69" s="1" t="str">
        <f t="shared" si="294"/>
        <v>ND</v>
      </c>
      <c r="GS69" s="1" t="str">
        <f t="shared" si="295"/>
        <v>ND</v>
      </c>
      <c r="GT69" s="1" t="str">
        <f t="shared" si="296"/>
        <v>ND</v>
      </c>
      <c r="GU69" s="1" t="str">
        <f t="shared" si="297"/>
        <v>ND</v>
      </c>
      <c r="GV69" s="1" t="str">
        <f t="shared" si="298"/>
        <v>ND</v>
      </c>
      <c r="GW69" s="1" t="str">
        <f t="shared" si="299"/>
        <v>ND</v>
      </c>
      <c r="GX69" s="1" t="str">
        <f t="shared" si="300"/>
        <v>ND</v>
      </c>
      <c r="GY69" s="1" t="str">
        <f t="shared" si="301"/>
        <v>ND</v>
      </c>
      <c r="GZ69" s="1" t="str">
        <f t="shared" si="302"/>
        <v>ND</v>
      </c>
      <c r="HA69" s="1" t="str">
        <f t="shared" si="303"/>
        <v>ND</v>
      </c>
      <c r="HB69" s="1" t="str">
        <f t="shared" si="304"/>
        <v>ND</v>
      </c>
      <c r="HC69" s="1" t="str">
        <f t="shared" si="305"/>
        <v>ND</v>
      </c>
      <c r="HD69" s="1" t="str">
        <f t="shared" si="306"/>
        <v>ND</v>
      </c>
      <c r="HE69" s="1" t="str">
        <f t="shared" si="307"/>
        <v>ND</v>
      </c>
      <c r="HF69" s="1" t="str">
        <f t="shared" si="308"/>
        <v>ND</v>
      </c>
      <c r="HG69" s="1" t="str">
        <f t="shared" si="309"/>
        <v>ND</v>
      </c>
      <c r="HH69" s="1" t="str">
        <f t="shared" si="310"/>
        <v>ND</v>
      </c>
      <c r="HI69" s="1" t="str">
        <f t="shared" si="311"/>
        <v>ND</v>
      </c>
      <c r="HJ69" s="1" t="str">
        <f t="shared" si="312"/>
        <v>ND</v>
      </c>
      <c r="HK69" s="1" t="str">
        <f t="shared" si="313"/>
        <v>ND</v>
      </c>
      <c r="HL69" s="1" t="str">
        <f t="shared" si="314"/>
        <v>ND</v>
      </c>
      <c r="HM69" s="1" t="str">
        <f t="shared" si="315"/>
        <v>ND</v>
      </c>
      <c r="HN69" s="1" t="str">
        <f t="shared" si="316"/>
        <v>ND</v>
      </c>
      <c r="HO69" s="1" t="str">
        <f t="shared" si="317"/>
        <v>ND</v>
      </c>
      <c r="HP69" s="1" t="str">
        <f t="shared" si="318"/>
        <v>ND</v>
      </c>
      <c r="HQ69" s="1" t="str">
        <f t="shared" si="319"/>
        <v>ND</v>
      </c>
      <c r="HR69" s="1" t="str">
        <f t="shared" si="320"/>
        <v>ND</v>
      </c>
      <c r="HS69" s="1" t="str">
        <f t="shared" si="321"/>
        <v>ND</v>
      </c>
      <c r="HT69" s="1" t="str">
        <f t="shared" si="322"/>
        <v>ND</v>
      </c>
      <c r="HU69" s="1" t="str">
        <f t="shared" si="323"/>
        <v>ND</v>
      </c>
      <c r="HV69" s="1" t="str">
        <f t="shared" si="324"/>
        <v>ND</v>
      </c>
      <c r="HW69" s="1" t="str">
        <f t="shared" si="325"/>
        <v>ND</v>
      </c>
      <c r="HX69" s="1" t="str">
        <f t="shared" si="326"/>
        <v>ND</v>
      </c>
      <c r="HY69" s="1" t="str">
        <f t="shared" si="327"/>
        <v>ND</v>
      </c>
      <c r="HZ69" s="1" t="str">
        <f t="shared" si="328"/>
        <v>ND</v>
      </c>
      <c r="IA69" s="1" t="str">
        <f t="shared" si="329"/>
        <v>ND</v>
      </c>
      <c r="IB69" s="1" t="str">
        <f t="shared" si="330"/>
        <v>ND</v>
      </c>
      <c r="IC69" s="1" t="str">
        <f t="shared" si="331"/>
        <v>ND</v>
      </c>
      <c r="ID69" s="1" t="str">
        <f t="shared" si="332"/>
        <v>ND</v>
      </c>
      <c r="IE69" s="1" t="str">
        <f t="shared" si="333"/>
        <v>ND</v>
      </c>
      <c r="IF69" s="1" t="str">
        <f t="shared" si="334"/>
        <v>ND</v>
      </c>
      <c r="IG69" s="1" t="str">
        <f t="shared" si="335"/>
        <v>ND</v>
      </c>
      <c r="IH69" s="1" t="str">
        <f t="shared" si="336"/>
        <v>ND</v>
      </c>
      <c r="II69" s="1" t="str">
        <f t="shared" si="337"/>
        <v>ND</v>
      </c>
    </row>
    <row r="70" spans="3:243" x14ac:dyDescent="0.25">
      <c r="C70" t="s">
        <v>65</v>
      </c>
      <c r="D70">
        <f>SUMIFS(DICCIONARIO[Cantidad],DICCIONARIO[Modelo],UNIFICADA[[#This Row],[Equipo]])</f>
        <v>0</v>
      </c>
      <c r="E70" s="1">
        <f>IFERROR(VLOOKUP($C70,EQUIPOS[],UNIFICADO!E$9,0),"")</f>
        <v>11</v>
      </c>
      <c r="F70" s="1">
        <f>IFERROR(VLOOKUP($C70,EQUIPOS[],UNIFICADO!F$9,0),"")</f>
        <v>6.5</v>
      </c>
      <c r="G70" s="1">
        <f>IFERROR(VLOOKUP($C70,EQUIPOS[],UNIFICADO!G$9,0),"")</f>
        <v>8</v>
      </c>
      <c r="H70" s="1">
        <f>IFERROR(VLOOKUP($C70,EQUIPOS[],UNIFICADO!H$9,0),"")</f>
        <v>2</v>
      </c>
      <c r="I70" s="1">
        <f>IFERROR(VLOOKUP($C70,EQUIPOS[],UNIFICADO!I$9,0),"")</f>
        <v>5</v>
      </c>
      <c r="J70" s="1" t="str">
        <f>IFERROR(VLOOKUP($C70,EQUIPOS[],UNIFICADO!J$9,0),"")</f>
        <v>32GB</v>
      </c>
      <c r="K70" s="1">
        <f>IFERROR(VLOOKUP($C70,EQUIPOS[],UNIFICADO!K$9,0),"")</f>
        <v>256</v>
      </c>
      <c r="L70" s="1">
        <f>IFERROR(VLOOKUP($C70,EQUIPOS[],UNIFICADO!L$9,0),"")</f>
        <v>8</v>
      </c>
      <c r="M70" s="1" t="str">
        <f>IFERROR(VLOOKUP($C70,EQUIPOS[],UNIFICADO!M$9,0),"")</f>
        <v>1.6/1.2</v>
      </c>
      <c r="N70" s="1">
        <f>IFERROR(VLOOKUP($C70,EQUIPOS[],UNIFICADO!N$9,0),"")</f>
        <v>2</v>
      </c>
      <c r="O70" s="1">
        <f>IFERROR(VLOOKUP($C70,EQUIPOS[],UNIFICADO!O$9,0),"")</f>
        <v>211</v>
      </c>
      <c r="P70" s="1">
        <f>IFERROR(VLOOKUP($C70,EQUIPOS[],UNIFICADO!P$9,0),"")</f>
        <v>16.399999999999999</v>
      </c>
      <c r="Q70" s="1">
        <f>IFERROR(VLOOKUP($C70,EQUIPOS[],UNIFICADO!Q$9,0),"")</f>
        <v>7.75</v>
      </c>
      <c r="R70" s="1">
        <f>IFERROR(VLOOKUP($C70,EQUIPOS[],UNIFICADO!R$9,0),"")</f>
        <v>0.91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82"/>
        <v>ND</v>
      </c>
      <c r="W70" s="1" t="str">
        <f t="shared" si="183"/>
        <v>ND</v>
      </c>
      <c r="X70" s="1" t="str">
        <f t="shared" si="338"/>
        <v>ND</v>
      </c>
      <c r="Y70" s="1" t="str">
        <f t="shared" si="338"/>
        <v>ND</v>
      </c>
      <c r="Z70" s="1" t="str">
        <f t="shared" si="345"/>
        <v>ND</v>
      </c>
      <c r="AA70" s="1" t="str">
        <f t="shared" si="345"/>
        <v>ND</v>
      </c>
      <c r="AB70" s="1" t="str">
        <f t="shared" si="345"/>
        <v>ND</v>
      </c>
      <c r="AC70" s="1" t="str">
        <f t="shared" si="345"/>
        <v>ND</v>
      </c>
      <c r="AD70" s="1" t="str">
        <f t="shared" si="345"/>
        <v>ND</v>
      </c>
      <c r="AE70" s="1" t="str">
        <f t="shared" si="345"/>
        <v>ND</v>
      </c>
      <c r="AF70" s="1" t="str">
        <f t="shared" si="345"/>
        <v>ND</v>
      </c>
      <c r="AG70" s="1" t="str">
        <f t="shared" si="345"/>
        <v>ND</v>
      </c>
      <c r="AH70" s="1" t="str">
        <f t="shared" si="345"/>
        <v>ND</v>
      </c>
      <c r="AI70" s="1" t="str">
        <f t="shared" si="184"/>
        <v>ND</v>
      </c>
      <c r="AJ70" s="1" t="str">
        <f t="shared" si="185"/>
        <v>ND</v>
      </c>
      <c r="AK70" s="1" t="str">
        <f t="shared" si="186"/>
        <v>ND</v>
      </c>
      <c r="AL70" s="1" t="str">
        <f t="shared" si="187"/>
        <v>ND</v>
      </c>
      <c r="AM70" s="1" t="str">
        <f t="shared" si="188"/>
        <v>ND</v>
      </c>
      <c r="AN70" s="1" t="str">
        <f t="shared" si="189"/>
        <v>ND</v>
      </c>
      <c r="AO70" s="1" t="str">
        <f t="shared" si="190"/>
        <v>ND</v>
      </c>
      <c r="AP70" s="1" t="str">
        <f t="shared" si="191"/>
        <v>ND</v>
      </c>
      <c r="AQ70" s="1" t="str">
        <f t="shared" si="192"/>
        <v>ND</v>
      </c>
      <c r="AR70" s="1" t="str">
        <f t="shared" si="193"/>
        <v>ND</v>
      </c>
      <c r="AS70" s="1" t="str">
        <f t="shared" si="194"/>
        <v>ND</v>
      </c>
      <c r="AT70" s="1" t="str">
        <f t="shared" si="195"/>
        <v>ND</v>
      </c>
      <c r="AU70" s="1" t="str">
        <f t="shared" si="196"/>
        <v>ND</v>
      </c>
      <c r="AV70" s="1" t="str">
        <f t="shared" si="197"/>
        <v>ND</v>
      </c>
      <c r="AW70" s="1" t="str">
        <f t="shared" si="198"/>
        <v>ND</v>
      </c>
      <c r="AX70" s="1" t="str">
        <f t="shared" si="199"/>
        <v>ND</v>
      </c>
      <c r="AY70" s="1" t="str">
        <f t="shared" si="200"/>
        <v>ND</v>
      </c>
      <c r="AZ70" s="1" t="str">
        <f t="shared" si="201"/>
        <v>ND</v>
      </c>
      <c r="BA70" s="1" t="str">
        <f t="shared" si="202"/>
        <v>ND</v>
      </c>
      <c r="BB70" s="1" t="str">
        <f t="shared" si="203"/>
        <v>ND</v>
      </c>
      <c r="BC70" s="1" t="str">
        <f t="shared" si="204"/>
        <v>ND</v>
      </c>
      <c r="BD70" s="1" t="str">
        <f t="shared" si="205"/>
        <v>ND</v>
      </c>
      <c r="BE70" s="1" t="str">
        <f t="shared" si="206"/>
        <v>ND</v>
      </c>
      <c r="BF70" s="1" t="str">
        <f t="shared" si="207"/>
        <v>ND</v>
      </c>
      <c r="BG70" s="1" t="str">
        <f t="shared" si="208"/>
        <v>ND</v>
      </c>
      <c r="BH70" s="1" t="str">
        <f t="shared" si="209"/>
        <v>ND</v>
      </c>
      <c r="BI70" s="1" t="str">
        <f t="shared" si="210"/>
        <v>ND</v>
      </c>
      <c r="BJ70" s="1" t="str">
        <f t="shared" si="211"/>
        <v>ND</v>
      </c>
      <c r="BK70" s="1" t="str">
        <f t="shared" si="212"/>
        <v>ND</v>
      </c>
      <c r="BL70" s="1" t="str">
        <f t="shared" si="213"/>
        <v>ND</v>
      </c>
      <c r="BM70" s="1" t="str">
        <f t="shared" si="214"/>
        <v>ND</v>
      </c>
      <c r="BN70" s="1" t="str">
        <f t="shared" si="215"/>
        <v>ND</v>
      </c>
      <c r="BO70" s="1" t="str">
        <f t="shared" si="216"/>
        <v>ND</v>
      </c>
      <c r="BP70" s="1" t="str">
        <f t="shared" si="217"/>
        <v>ND</v>
      </c>
      <c r="BQ70" s="1" t="str">
        <f t="shared" si="218"/>
        <v>ND</v>
      </c>
      <c r="BR70" s="1" t="str">
        <f t="shared" si="219"/>
        <v>ND</v>
      </c>
      <c r="BS70" s="1" t="str">
        <f t="shared" si="220"/>
        <v>ND</v>
      </c>
      <c r="BT70" s="1" t="str">
        <f t="shared" si="221"/>
        <v>ND</v>
      </c>
      <c r="BU70" s="1" t="str">
        <f t="shared" si="222"/>
        <v>ND</v>
      </c>
      <c r="BV70" s="1" t="str">
        <f t="shared" si="223"/>
        <v>ND</v>
      </c>
      <c r="BW70" s="1" t="str">
        <f t="shared" si="224"/>
        <v>ND</v>
      </c>
      <c r="BX70" s="1" t="str">
        <f t="shared" si="225"/>
        <v>ND</v>
      </c>
      <c r="BY70" s="1" t="str">
        <f t="shared" si="226"/>
        <v>ND</v>
      </c>
      <c r="BZ70" s="1" t="str">
        <f t="shared" si="227"/>
        <v>ND</v>
      </c>
      <c r="CA70" s="1" t="str">
        <f t="shared" si="346"/>
        <v>ND</v>
      </c>
      <c r="CB70" s="1" t="str">
        <f t="shared" si="346"/>
        <v>ND</v>
      </c>
      <c r="CC70" s="1" t="str">
        <f t="shared" si="346"/>
        <v>ND</v>
      </c>
      <c r="CD70" s="1" t="str">
        <f t="shared" si="346"/>
        <v>ND</v>
      </c>
      <c r="CE70" s="1" t="str">
        <f t="shared" si="346"/>
        <v>ND</v>
      </c>
      <c r="CF70" s="1" t="str">
        <f t="shared" si="346"/>
        <v>ND</v>
      </c>
      <c r="CG70" s="1" t="str">
        <f t="shared" si="346"/>
        <v>ND</v>
      </c>
      <c r="CH70" s="1" t="str">
        <f t="shared" si="346"/>
        <v>ND</v>
      </c>
      <c r="CI70" s="1" t="str">
        <f t="shared" si="346"/>
        <v>ND</v>
      </c>
      <c r="CJ70" s="1" t="str">
        <f t="shared" si="346"/>
        <v>ND</v>
      </c>
      <c r="CK70" s="1" t="str">
        <f t="shared" si="346"/>
        <v>ND</v>
      </c>
      <c r="CL70" s="1" t="str">
        <f t="shared" si="347"/>
        <v>ND</v>
      </c>
      <c r="CM70" s="1" t="str">
        <f t="shared" si="347"/>
        <v>ND</v>
      </c>
      <c r="CN70" s="1" t="str">
        <f t="shared" si="347"/>
        <v>ND</v>
      </c>
      <c r="CO70" s="1" t="str">
        <f t="shared" si="347"/>
        <v>ND</v>
      </c>
      <c r="CP70" s="1" t="str">
        <f t="shared" si="347"/>
        <v>ND</v>
      </c>
      <c r="CQ70" s="1" t="str">
        <f t="shared" si="347"/>
        <v>ND</v>
      </c>
      <c r="CR70" s="1" t="str">
        <f t="shared" si="347"/>
        <v>ND</v>
      </c>
      <c r="CS70" s="1" t="str">
        <f t="shared" si="347"/>
        <v>ND</v>
      </c>
      <c r="CT70" s="1" t="str">
        <f t="shared" si="347"/>
        <v>ND</v>
      </c>
      <c r="CU70" s="1" t="str">
        <f t="shared" si="347"/>
        <v>ND</v>
      </c>
      <c r="CV70" s="1" t="str">
        <f t="shared" si="347"/>
        <v>ND</v>
      </c>
      <c r="CW70" s="1" t="str">
        <f t="shared" si="228"/>
        <v>ND</v>
      </c>
      <c r="CX70" s="1" t="str">
        <f t="shared" si="229"/>
        <v>ND</v>
      </c>
      <c r="CY70" s="1" t="str">
        <f t="shared" si="230"/>
        <v>ND</v>
      </c>
      <c r="CZ70" s="1" t="str">
        <f t="shared" si="231"/>
        <v>ND</v>
      </c>
      <c r="DA70" s="1" t="str">
        <f t="shared" si="232"/>
        <v>ND</v>
      </c>
      <c r="DB70" s="1" t="str">
        <f t="shared" si="233"/>
        <v>ND</v>
      </c>
      <c r="DC70" s="1" t="str">
        <f t="shared" si="234"/>
        <v>ND</v>
      </c>
      <c r="DD70" s="1" t="str">
        <f t="shared" si="235"/>
        <v>ND</v>
      </c>
      <c r="DE70" s="1" t="str">
        <f t="shared" si="236"/>
        <v>ND</v>
      </c>
      <c r="DF70" s="1" t="str">
        <f t="shared" si="237"/>
        <v>ND</v>
      </c>
      <c r="DG70" s="1" t="str">
        <f t="shared" si="238"/>
        <v>ND</v>
      </c>
      <c r="DH70" s="1" t="str">
        <f t="shared" si="239"/>
        <v>ND</v>
      </c>
      <c r="DI70" s="1" t="str">
        <f t="shared" si="240"/>
        <v>ND</v>
      </c>
      <c r="DJ70" s="1" t="str">
        <f t="shared" si="241"/>
        <v>ND</v>
      </c>
      <c r="DK70" s="1" t="str">
        <f t="shared" si="242"/>
        <v>ND</v>
      </c>
      <c r="DL70" s="1" t="str">
        <f t="shared" si="243"/>
        <v>ND</v>
      </c>
      <c r="DM70" s="1" t="str">
        <f t="shared" si="244"/>
        <v>ND</v>
      </c>
      <c r="DN70" s="1" t="str">
        <f t="shared" si="245"/>
        <v>ND</v>
      </c>
      <c r="DO70" s="1" t="str">
        <f t="shared" si="246"/>
        <v>ND</v>
      </c>
      <c r="DP70" s="1" t="str">
        <f t="shared" si="247"/>
        <v>ND</v>
      </c>
      <c r="DQ70" s="1" t="str">
        <f t="shared" si="248"/>
        <v>ND</v>
      </c>
      <c r="DR70" s="1" t="str">
        <f t="shared" si="249"/>
        <v>ND</v>
      </c>
      <c r="DS70" s="1" t="str">
        <f t="shared" si="250"/>
        <v>ND</v>
      </c>
      <c r="DT70" s="1" t="str">
        <f t="shared" si="251"/>
        <v>ND</v>
      </c>
      <c r="DU70" s="1" t="str">
        <f t="shared" si="252"/>
        <v>ND</v>
      </c>
      <c r="DV70" s="1" t="str">
        <f t="shared" si="253"/>
        <v>ND</v>
      </c>
      <c r="DW70" s="1" t="str">
        <f t="shared" si="254"/>
        <v>ND</v>
      </c>
      <c r="DX70" s="1" t="str">
        <f t="shared" si="255"/>
        <v>ND</v>
      </c>
      <c r="DY70" s="1" t="str">
        <f t="shared" si="256"/>
        <v>ND</v>
      </c>
      <c r="DZ70" s="1" t="str">
        <f t="shared" si="257"/>
        <v>ND</v>
      </c>
      <c r="EA70" s="1" t="str">
        <f t="shared" si="258"/>
        <v>ND</v>
      </c>
      <c r="EB70" s="1" t="str">
        <f t="shared" si="259"/>
        <v>ND</v>
      </c>
      <c r="EC70" s="1" t="str">
        <f t="shared" si="260"/>
        <v>ND</v>
      </c>
      <c r="ED70" s="1" t="str">
        <f t="shared" si="261"/>
        <v>ND</v>
      </c>
      <c r="EE70" s="1" t="str">
        <f t="shared" si="262"/>
        <v>ND</v>
      </c>
      <c r="EF70" s="1" t="str">
        <f t="shared" si="263"/>
        <v>ND</v>
      </c>
      <c r="EG70" s="1" t="str">
        <f t="shared" si="264"/>
        <v>ND</v>
      </c>
      <c r="EH70" s="1" t="str">
        <f t="shared" si="265"/>
        <v>ND</v>
      </c>
      <c r="EI70" s="1" t="str">
        <f t="shared" si="266"/>
        <v>ND</v>
      </c>
      <c r="EJ70" s="1" t="str">
        <f t="shared" si="267"/>
        <v>ND</v>
      </c>
      <c r="EK70" s="1" t="str">
        <f t="shared" si="268"/>
        <v>ND</v>
      </c>
      <c r="EL70" s="1" t="str">
        <f t="shared" si="269"/>
        <v>ND</v>
      </c>
      <c r="EM70" s="1" t="str">
        <f t="shared" si="270"/>
        <v>ND</v>
      </c>
      <c r="EN70" s="1" t="str">
        <f t="shared" si="271"/>
        <v>ND</v>
      </c>
      <c r="EO70" s="1" t="str">
        <f t="shared" si="348"/>
        <v>ND</v>
      </c>
      <c r="EP70" s="1" t="str">
        <f t="shared" si="348"/>
        <v>ND</v>
      </c>
      <c r="EQ70" s="1" t="str">
        <f t="shared" si="348"/>
        <v>ND</v>
      </c>
      <c r="ER70" s="1" t="str">
        <f t="shared" si="348"/>
        <v>ND</v>
      </c>
      <c r="ES70" s="1" t="str">
        <f t="shared" si="348"/>
        <v>ND</v>
      </c>
      <c r="ET70" s="1" t="str">
        <f t="shared" si="348"/>
        <v>ND</v>
      </c>
      <c r="EU70" s="1" t="str">
        <f t="shared" si="348"/>
        <v>ND</v>
      </c>
      <c r="EV70" s="1" t="str">
        <f t="shared" si="348"/>
        <v>ND</v>
      </c>
      <c r="EW70" s="1" t="str">
        <f t="shared" si="348"/>
        <v>ND</v>
      </c>
      <c r="EX70" s="1" t="str">
        <f t="shared" si="348"/>
        <v>ND</v>
      </c>
      <c r="EY70" s="1" t="str">
        <f t="shared" si="348"/>
        <v>ND</v>
      </c>
      <c r="EZ70" s="1" t="str">
        <f t="shared" si="349"/>
        <v>ND</v>
      </c>
      <c r="FA70" s="1" t="str">
        <f t="shared" si="349"/>
        <v>ND</v>
      </c>
      <c r="FB70" s="1" t="str">
        <f t="shared" si="349"/>
        <v>ND</v>
      </c>
      <c r="FC70" s="1" t="str">
        <f t="shared" si="349"/>
        <v>ND</v>
      </c>
      <c r="FD70" s="1" t="str">
        <f t="shared" si="349"/>
        <v>ND</v>
      </c>
      <c r="FE70" s="1" t="str">
        <f t="shared" si="349"/>
        <v>ND</v>
      </c>
      <c r="FF70" s="1" t="str">
        <f t="shared" si="349"/>
        <v>ND</v>
      </c>
      <c r="FG70" s="1" t="str">
        <f t="shared" si="349"/>
        <v>ND</v>
      </c>
      <c r="FH70" s="1" t="str">
        <f t="shared" si="349"/>
        <v>ND</v>
      </c>
      <c r="FI70" s="1" t="str">
        <f t="shared" si="349"/>
        <v>ND</v>
      </c>
      <c r="FJ70" s="1" t="str">
        <f t="shared" si="349"/>
        <v>ND</v>
      </c>
      <c r="FK70" s="1" t="str">
        <f t="shared" si="350"/>
        <v>ND</v>
      </c>
      <c r="FL70" s="1" t="str">
        <f t="shared" si="350"/>
        <v>ND</v>
      </c>
      <c r="FM70" s="1" t="str">
        <f t="shared" si="350"/>
        <v>ND</v>
      </c>
      <c r="FN70" s="1" t="str">
        <f t="shared" si="350"/>
        <v>ND</v>
      </c>
      <c r="FO70" s="1" t="str">
        <f t="shared" si="350"/>
        <v>ND</v>
      </c>
      <c r="FP70" s="1" t="str">
        <f t="shared" si="350"/>
        <v>ND</v>
      </c>
      <c r="FQ70" s="1" t="str">
        <f t="shared" si="350"/>
        <v>ND</v>
      </c>
      <c r="FR70" s="1" t="str">
        <f t="shared" si="350"/>
        <v>ND</v>
      </c>
      <c r="FS70" s="1" t="str">
        <f t="shared" si="350"/>
        <v>ND</v>
      </c>
      <c r="FT70" s="1" t="str">
        <f t="shared" si="350"/>
        <v>ND</v>
      </c>
      <c r="FU70" s="1" t="str">
        <f t="shared" si="350"/>
        <v>ND</v>
      </c>
      <c r="FV70" s="1" t="str">
        <f t="shared" si="272"/>
        <v>ND</v>
      </c>
      <c r="FW70" s="1" t="str">
        <f t="shared" si="273"/>
        <v>ND</v>
      </c>
      <c r="FX70" s="1" t="str">
        <f t="shared" si="274"/>
        <v>ND</v>
      </c>
      <c r="FY70" s="1" t="str">
        <f t="shared" si="275"/>
        <v>ND</v>
      </c>
      <c r="FZ70" s="1" t="str">
        <f t="shared" si="276"/>
        <v>ND</v>
      </c>
      <c r="GA70" s="1" t="str">
        <f t="shared" si="277"/>
        <v>ND</v>
      </c>
      <c r="GB70" s="1" t="str">
        <f t="shared" si="278"/>
        <v>ND</v>
      </c>
      <c r="GC70" s="1" t="str">
        <f t="shared" si="279"/>
        <v>ND</v>
      </c>
      <c r="GD70" s="1" t="str">
        <f t="shared" si="280"/>
        <v>ND</v>
      </c>
      <c r="GE70" s="1" t="str">
        <f t="shared" si="281"/>
        <v>ND</v>
      </c>
      <c r="GF70" s="1" t="str">
        <f t="shared" si="282"/>
        <v>ND</v>
      </c>
      <c r="GG70" s="1" t="str">
        <f t="shared" si="283"/>
        <v>ND</v>
      </c>
      <c r="GH70" s="1" t="str">
        <f t="shared" si="284"/>
        <v>ND</v>
      </c>
      <c r="GI70" s="1" t="str">
        <f t="shared" si="285"/>
        <v>ND</v>
      </c>
      <c r="GJ70" s="1" t="str">
        <f t="shared" si="286"/>
        <v>ND</v>
      </c>
      <c r="GK70" s="1" t="str">
        <f t="shared" si="287"/>
        <v>ND</v>
      </c>
      <c r="GL70" s="1" t="str">
        <f t="shared" si="288"/>
        <v>ND</v>
      </c>
      <c r="GM70" s="1" t="str">
        <f t="shared" si="289"/>
        <v>ND</v>
      </c>
      <c r="GN70" s="1" t="str">
        <f t="shared" si="290"/>
        <v>ND</v>
      </c>
      <c r="GO70" s="1" t="str">
        <f t="shared" si="291"/>
        <v>ND</v>
      </c>
      <c r="GP70" s="1" t="str">
        <f t="shared" si="292"/>
        <v>ND</v>
      </c>
      <c r="GQ70" s="1" t="str">
        <f t="shared" si="293"/>
        <v>ND</v>
      </c>
      <c r="GR70" s="1" t="str">
        <f t="shared" si="294"/>
        <v>ND</v>
      </c>
      <c r="GS70" s="1" t="str">
        <f t="shared" si="295"/>
        <v>ND</v>
      </c>
      <c r="GT70" s="1" t="str">
        <f t="shared" si="296"/>
        <v>ND</v>
      </c>
      <c r="GU70" s="1" t="str">
        <f t="shared" si="297"/>
        <v>ND</v>
      </c>
      <c r="GV70" s="1" t="str">
        <f t="shared" si="298"/>
        <v>ND</v>
      </c>
      <c r="GW70" s="1" t="str">
        <f t="shared" si="299"/>
        <v>ND</v>
      </c>
      <c r="GX70" s="1" t="str">
        <f t="shared" si="300"/>
        <v>ND</v>
      </c>
      <c r="GY70" s="1" t="str">
        <f t="shared" si="301"/>
        <v>ND</v>
      </c>
      <c r="GZ70" s="1" t="str">
        <f t="shared" si="302"/>
        <v>ND</v>
      </c>
      <c r="HA70" s="1" t="str">
        <f t="shared" si="303"/>
        <v>ND</v>
      </c>
      <c r="HB70" s="1" t="str">
        <f t="shared" si="304"/>
        <v>ND</v>
      </c>
      <c r="HC70" s="1" t="str">
        <f t="shared" si="305"/>
        <v>ND</v>
      </c>
      <c r="HD70" s="1" t="str">
        <f t="shared" si="306"/>
        <v>ND</v>
      </c>
      <c r="HE70" s="1" t="str">
        <f t="shared" si="307"/>
        <v>ND</v>
      </c>
      <c r="HF70" s="1" t="str">
        <f t="shared" si="308"/>
        <v>ND</v>
      </c>
      <c r="HG70" s="1" t="str">
        <f t="shared" si="309"/>
        <v>ND</v>
      </c>
      <c r="HH70" s="1" t="str">
        <f t="shared" si="310"/>
        <v>ND</v>
      </c>
      <c r="HI70" s="1" t="str">
        <f t="shared" si="311"/>
        <v>ND</v>
      </c>
      <c r="HJ70" s="1" t="str">
        <f t="shared" si="312"/>
        <v>ND</v>
      </c>
      <c r="HK70" s="1" t="str">
        <f t="shared" si="313"/>
        <v>ND</v>
      </c>
      <c r="HL70" s="1" t="str">
        <f t="shared" si="314"/>
        <v>ND</v>
      </c>
      <c r="HM70" s="1" t="str">
        <f t="shared" si="315"/>
        <v>ND</v>
      </c>
      <c r="HN70" s="1" t="str">
        <f t="shared" si="316"/>
        <v>ND</v>
      </c>
      <c r="HO70" s="1" t="str">
        <f t="shared" si="317"/>
        <v>ND</v>
      </c>
      <c r="HP70" s="1" t="str">
        <f t="shared" si="318"/>
        <v>ND</v>
      </c>
      <c r="HQ70" s="1" t="str">
        <f t="shared" si="319"/>
        <v>ND</v>
      </c>
      <c r="HR70" s="1" t="str">
        <f t="shared" si="320"/>
        <v>ND</v>
      </c>
      <c r="HS70" s="1" t="str">
        <f t="shared" si="321"/>
        <v>ND</v>
      </c>
      <c r="HT70" s="1" t="str">
        <f t="shared" si="322"/>
        <v>ND</v>
      </c>
      <c r="HU70" s="1" t="str">
        <f t="shared" si="323"/>
        <v>ND</v>
      </c>
      <c r="HV70" s="1" t="str">
        <f t="shared" si="324"/>
        <v>ND</v>
      </c>
      <c r="HW70" s="1" t="str">
        <f t="shared" si="325"/>
        <v>ND</v>
      </c>
      <c r="HX70" s="1" t="str">
        <f t="shared" si="326"/>
        <v>ND</v>
      </c>
      <c r="HY70" s="1" t="str">
        <f t="shared" si="327"/>
        <v>ND</v>
      </c>
      <c r="HZ70" s="1" t="str">
        <f t="shared" si="328"/>
        <v>ND</v>
      </c>
      <c r="IA70" s="1" t="str">
        <f t="shared" si="329"/>
        <v>ND</v>
      </c>
      <c r="IB70" s="1" t="str">
        <f t="shared" si="330"/>
        <v>ND</v>
      </c>
      <c r="IC70" s="1" t="str">
        <f t="shared" si="331"/>
        <v>ND</v>
      </c>
      <c r="ID70" s="1" t="str">
        <f t="shared" si="332"/>
        <v>ND</v>
      </c>
      <c r="IE70" s="1" t="str">
        <f t="shared" si="333"/>
        <v>ND</v>
      </c>
      <c r="IF70" s="1" t="str">
        <f t="shared" si="334"/>
        <v>ND</v>
      </c>
      <c r="IG70" s="1" t="str">
        <f t="shared" si="335"/>
        <v>ND</v>
      </c>
      <c r="IH70" s="1" t="str">
        <f t="shared" si="336"/>
        <v>ND</v>
      </c>
      <c r="II70" s="1" t="str">
        <f t="shared" si="337"/>
        <v>ND</v>
      </c>
    </row>
    <row r="71" spans="3:243" x14ac:dyDescent="0.25">
      <c r="C71" t="s">
        <v>24</v>
      </c>
      <c r="D71">
        <f>SUMIFS(DICCIONARIO[Cantidad],DICCIONARIO[Modelo],UNIFICADA[[#This Row],[Equipo]])</f>
        <v>0</v>
      </c>
      <c r="E71" s="1">
        <f>IFERROR(VLOOKUP($C71,EQUIPOS[],UNIFICADO!E$9,0),"")</f>
        <v>11</v>
      </c>
      <c r="F71" s="1">
        <f>IFERROR(VLOOKUP($C71,EQUIPOS[],UNIFICADO!F$9,0),"")</f>
        <v>6.5</v>
      </c>
      <c r="G71" s="1">
        <f>IFERROR(VLOOKUP($C71,EQUIPOS[],UNIFICADO!G$9,0),"")</f>
        <v>13</v>
      </c>
      <c r="H71" s="1">
        <f>IFERROR(VLOOKUP($C71,EQUIPOS[],UNIFICADO!H$9,0),"")</f>
        <v>3</v>
      </c>
      <c r="I71" s="1">
        <f>IFERROR(VLOOKUP($C71,EQUIPOS[],UNIFICADO!I$9,0),"")</f>
        <v>5</v>
      </c>
      <c r="J71" s="1" t="str">
        <f>IFERROR(VLOOKUP($C71,EQUIPOS[],UNIFICADO!J$9,0),"")</f>
        <v>32GB</v>
      </c>
      <c r="K71" s="1">
        <f>IFERROR(VLOOKUP($C71,EQUIPOS[],UNIFICADO!K$9,0),"")</f>
        <v>256</v>
      </c>
      <c r="L71" s="1">
        <f>IFERROR(VLOOKUP($C71,EQUIPOS[],UNIFICADO!L$9,0),"")</f>
        <v>8</v>
      </c>
      <c r="M71" s="1" t="str">
        <f>IFERROR(VLOOKUP($C71,EQUIPOS[],UNIFICADO!M$9,0),"")</f>
        <v>2.35/1.8</v>
      </c>
      <c r="N71" s="1">
        <f>IFERROR(VLOOKUP($C71,EQUIPOS[],UNIFICADO!N$9,0),"")</f>
        <v>3</v>
      </c>
      <c r="O71" s="1">
        <f>IFERROR(VLOOKUP($C71,EQUIPOS[],UNIFICADO!O$9,0),"")</f>
        <v>196</v>
      </c>
      <c r="P71" s="1">
        <f>IFERROR(VLOOKUP($C71,EQUIPOS[],UNIFICADO!P$9,0),"")</f>
        <v>16.399999999999999</v>
      </c>
      <c r="Q71" s="1">
        <f>IFERROR(VLOOKUP($C71,EQUIPOS[],UNIFICADO!Q$9,0),"")</f>
        <v>7.59</v>
      </c>
      <c r="R71" s="1">
        <f>IFERROR(VLOOKUP($C71,EQUIPOS[],UNIFICADO!R$9,0),"")</f>
        <v>0.91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82"/>
        <v>ND</v>
      </c>
      <c r="W71" s="1" t="str">
        <f t="shared" si="183"/>
        <v>ND</v>
      </c>
      <c r="X71" s="1" t="str">
        <f t="shared" ref="X71:Y90" si="351">IF(X$9="ND","ND",VLOOKUP($C71,AC,X$9,0))</f>
        <v>ND</v>
      </c>
      <c r="Y71" s="1" t="str">
        <f t="shared" si="351"/>
        <v>ND</v>
      </c>
      <c r="Z71" s="1" t="str">
        <f t="shared" ref="Z71:AH80" si="352">IFERROR(IF(Z$9="ND","ND",VLOOKUP($C71,AC,Z$9,0)),"ND")</f>
        <v>ND</v>
      </c>
      <c r="AA71" s="1" t="str">
        <f t="shared" si="352"/>
        <v>ND</v>
      </c>
      <c r="AB71" s="1" t="str">
        <f t="shared" si="352"/>
        <v>ND</v>
      </c>
      <c r="AC71" s="1" t="str">
        <f t="shared" si="352"/>
        <v>ND</v>
      </c>
      <c r="AD71" s="1" t="str">
        <f t="shared" si="352"/>
        <v>ND</v>
      </c>
      <c r="AE71" s="1" t="str">
        <f t="shared" si="352"/>
        <v>ND</v>
      </c>
      <c r="AF71" s="1" t="str">
        <f t="shared" si="352"/>
        <v>ND</v>
      </c>
      <c r="AG71" s="1" t="str">
        <f t="shared" si="352"/>
        <v>ND</v>
      </c>
      <c r="AH71" s="1" t="str">
        <f t="shared" si="352"/>
        <v>ND</v>
      </c>
      <c r="AI71" s="1" t="str">
        <f t="shared" si="184"/>
        <v>ND</v>
      </c>
      <c r="AJ71" s="1" t="str">
        <f t="shared" si="185"/>
        <v>ND</v>
      </c>
      <c r="AK71" s="1" t="str">
        <f t="shared" si="186"/>
        <v>ND</v>
      </c>
      <c r="AL71" s="1" t="str">
        <f t="shared" si="187"/>
        <v>ND</v>
      </c>
      <c r="AM71" s="1" t="str">
        <f t="shared" si="188"/>
        <v>ND</v>
      </c>
      <c r="AN71" s="1" t="str">
        <f t="shared" si="189"/>
        <v>ND</v>
      </c>
      <c r="AO71" s="1" t="str">
        <f t="shared" si="190"/>
        <v>ND</v>
      </c>
      <c r="AP71" s="1" t="str">
        <f t="shared" si="191"/>
        <v>ND</v>
      </c>
      <c r="AQ71" s="1" t="str">
        <f t="shared" si="192"/>
        <v>ND</v>
      </c>
      <c r="AR71" s="1" t="str">
        <f t="shared" si="193"/>
        <v>ND</v>
      </c>
      <c r="AS71" s="1" t="str">
        <f t="shared" si="194"/>
        <v>ND</v>
      </c>
      <c r="AT71" s="1" t="str">
        <f t="shared" si="195"/>
        <v>ND</v>
      </c>
      <c r="AU71" s="1" t="str">
        <f t="shared" si="196"/>
        <v>ND</v>
      </c>
      <c r="AV71" s="1" t="str">
        <f t="shared" si="197"/>
        <v>ND</v>
      </c>
      <c r="AW71" s="1" t="str">
        <f t="shared" si="198"/>
        <v>ND</v>
      </c>
      <c r="AX71" s="1" t="str">
        <f t="shared" si="199"/>
        <v>ND</v>
      </c>
      <c r="AY71" s="1" t="str">
        <f t="shared" si="200"/>
        <v>ND</v>
      </c>
      <c r="AZ71" s="1" t="str">
        <f t="shared" si="201"/>
        <v>ND</v>
      </c>
      <c r="BA71" s="1" t="str">
        <f t="shared" si="202"/>
        <v>ND</v>
      </c>
      <c r="BB71" s="1" t="str">
        <f t="shared" si="203"/>
        <v>ND</v>
      </c>
      <c r="BC71" s="1" t="str">
        <f t="shared" si="204"/>
        <v>ND</v>
      </c>
      <c r="BD71" s="1" t="str">
        <f t="shared" si="205"/>
        <v>ND</v>
      </c>
      <c r="BE71" s="1" t="str">
        <f t="shared" si="206"/>
        <v>ND</v>
      </c>
      <c r="BF71" s="1" t="str">
        <f t="shared" si="207"/>
        <v>ND</v>
      </c>
      <c r="BG71" s="1" t="str">
        <f t="shared" si="208"/>
        <v>ND</v>
      </c>
      <c r="BH71" s="1" t="str">
        <f t="shared" si="209"/>
        <v>ND</v>
      </c>
      <c r="BI71" s="1" t="str">
        <f t="shared" si="210"/>
        <v>ND</v>
      </c>
      <c r="BJ71" s="1" t="str">
        <f t="shared" si="211"/>
        <v>ND</v>
      </c>
      <c r="BK71" s="1" t="str">
        <f t="shared" si="212"/>
        <v>ND</v>
      </c>
      <c r="BL71" s="1" t="str">
        <f t="shared" si="213"/>
        <v>ND</v>
      </c>
      <c r="BM71" s="1" t="str">
        <f t="shared" si="214"/>
        <v>ND</v>
      </c>
      <c r="BN71" s="1" t="str">
        <f t="shared" si="215"/>
        <v>ND</v>
      </c>
      <c r="BO71" s="1" t="str">
        <f t="shared" si="216"/>
        <v>ND</v>
      </c>
      <c r="BP71" s="1" t="str">
        <f t="shared" si="217"/>
        <v>ND</v>
      </c>
      <c r="BQ71" s="1" t="str">
        <f t="shared" si="218"/>
        <v>ND</v>
      </c>
      <c r="BR71" s="1" t="str">
        <f t="shared" si="219"/>
        <v>ND</v>
      </c>
      <c r="BS71" s="1" t="str">
        <f t="shared" si="220"/>
        <v>ND</v>
      </c>
      <c r="BT71" s="1" t="str">
        <f t="shared" si="221"/>
        <v>ND</v>
      </c>
      <c r="BU71" s="1" t="str">
        <f t="shared" si="222"/>
        <v>ND</v>
      </c>
      <c r="BV71" s="1" t="str">
        <f t="shared" si="223"/>
        <v>ND</v>
      </c>
      <c r="BW71" s="1" t="str">
        <f t="shared" si="224"/>
        <v>ND</v>
      </c>
      <c r="BX71" s="1" t="str">
        <f t="shared" si="225"/>
        <v>ND</v>
      </c>
      <c r="BY71" s="1" t="str">
        <f t="shared" si="226"/>
        <v>ND</v>
      </c>
      <c r="BZ71" s="1" t="str">
        <f t="shared" si="227"/>
        <v>ND</v>
      </c>
      <c r="CA71" s="1" t="str">
        <f t="shared" ref="CA71:CK80" si="353">IFERROR(IF(CA$9="ND","ND",VLOOKUP($C71,FULLC,CA$9,0)),"ND")</f>
        <v>ND</v>
      </c>
      <c r="CB71" s="1" t="str">
        <f t="shared" si="353"/>
        <v>ND</v>
      </c>
      <c r="CC71" s="1" t="str">
        <f t="shared" si="353"/>
        <v>ND</v>
      </c>
      <c r="CD71" s="1" t="str">
        <f t="shared" si="353"/>
        <v>ND</v>
      </c>
      <c r="CE71" s="1" t="str">
        <f t="shared" si="353"/>
        <v>ND</v>
      </c>
      <c r="CF71" s="1" t="str">
        <f t="shared" si="353"/>
        <v>ND</v>
      </c>
      <c r="CG71" s="1" t="str">
        <f t="shared" si="353"/>
        <v>ND</v>
      </c>
      <c r="CH71" s="1" t="str">
        <f t="shared" si="353"/>
        <v>ND</v>
      </c>
      <c r="CI71" s="1" t="str">
        <f t="shared" si="353"/>
        <v>ND</v>
      </c>
      <c r="CJ71" s="1" t="str">
        <f t="shared" si="353"/>
        <v>ND</v>
      </c>
      <c r="CK71" s="1" t="str">
        <f t="shared" si="353"/>
        <v>ND</v>
      </c>
      <c r="CL71" s="1" t="str">
        <f t="shared" ref="CL71:CV80" si="354">IFERROR(IF(CL$9="ND","ND",VLOOKUP($C71,LINA,CL$9,0)),"ND")</f>
        <v>ND</v>
      </c>
      <c r="CM71" s="1" t="str">
        <f t="shared" si="354"/>
        <v>ND</v>
      </c>
      <c r="CN71" s="1" t="str">
        <f t="shared" si="354"/>
        <v>ND</v>
      </c>
      <c r="CO71" s="1" t="str">
        <f t="shared" si="354"/>
        <v>ND</v>
      </c>
      <c r="CP71" s="1" t="str">
        <f t="shared" si="354"/>
        <v>ND</v>
      </c>
      <c r="CQ71" s="1" t="str">
        <f t="shared" si="354"/>
        <v>ND</v>
      </c>
      <c r="CR71" s="1" t="str">
        <f t="shared" si="354"/>
        <v>ND</v>
      </c>
      <c r="CS71" s="1" t="str">
        <f t="shared" si="354"/>
        <v>ND</v>
      </c>
      <c r="CT71" s="1" t="str">
        <f t="shared" si="354"/>
        <v>ND</v>
      </c>
      <c r="CU71" s="1" t="str">
        <f t="shared" si="354"/>
        <v>ND</v>
      </c>
      <c r="CV71" s="1" t="str">
        <f t="shared" si="354"/>
        <v>ND</v>
      </c>
      <c r="CW71" s="1" t="str">
        <f t="shared" si="228"/>
        <v>ND</v>
      </c>
      <c r="CX71" s="1" t="str">
        <f t="shared" si="229"/>
        <v>ND</v>
      </c>
      <c r="CY71" s="1" t="str">
        <f t="shared" si="230"/>
        <v>ND</v>
      </c>
      <c r="CZ71" s="1" t="str">
        <f t="shared" si="231"/>
        <v>ND</v>
      </c>
      <c r="DA71" s="1" t="str">
        <f t="shared" si="232"/>
        <v>ND</v>
      </c>
      <c r="DB71" s="1" t="str">
        <f t="shared" si="233"/>
        <v>ND</v>
      </c>
      <c r="DC71" s="1" t="str">
        <f t="shared" si="234"/>
        <v>ND</v>
      </c>
      <c r="DD71" s="1" t="str">
        <f t="shared" si="235"/>
        <v>ND</v>
      </c>
      <c r="DE71" s="1" t="str">
        <f t="shared" si="236"/>
        <v>ND</v>
      </c>
      <c r="DF71" s="1" t="str">
        <f t="shared" si="237"/>
        <v>ND</v>
      </c>
      <c r="DG71" s="1" t="str">
        <f t="shared" si="238"/>
        <v>ND</v>
      </c>
      <c r="DH71" s="1" t="str">
        <f t="shared" si="239"/>
        <v>ND</v>
      </c>
      <c r="DI71" s="1" t="str">
        <f t="shared" si="240"/>
        <v>ND</v>
      </c>
      <c r="DJ71" s="1" t="str">
        <f t="shared" si="241"/>
        <v>ND</v>
      </c>
      <c r="DK71" s="1" t="str">
        <f t="shared" si="242"/>
        <v>ND</v>
      </c>
      <c r="DL71" s="1" t="str">
        <f t="shared" si="243"/>
        <v>ND</v>
      </c>
      <c r="DM71" s="1" t="str">
        <f t="shared" si="244"/>
        <v>ND</v>
      </c>
      <c r="DN71" s="1" t="str">
        <f t="shared" si="245"/>
        <v>ND</v>
      </c>
      <c r="DO71" s="1" t="str">
        <f t="shared" si="246"/>
        <v>ND</v>
      </c>
      <c r="DP71" s="1" t="str">
        <f t="shared" si="247"/>
        <v>ND</v>
      </c>
      <c r="DQ71" s="1" t="str">
        <f t="shared" si="248"/>
        <v>ND</v>
      </c>
      <c r="DR71" s="1" t="str">
        <f t="shared" si="249"/>
        <v>ND</v>
      </c>
      <c r="DS71" s="1" t="str">
        <f t="shared" si="250"/>
        <v>ND</v>
      </c>
      <c r="DT71" s="1" t="str">
        <f t="shared" si="251"/>
        <v>ND</v>
      </c>
      <c r="DU71" s="1" t="str">
        <f t="shared" si="252"/>
        <v>ND</v>
      </c>
      <c r="DV71" s="1" t="str">
        <f t="shared" si="253"/>
        <v>ND</v>
      </c>
      <c r="DW71" s="1" t="str">
        <f t="shared" si="254"/>
        <v>ND</v>
      </c>
      <c r="DX71" s="1" t="str">
        <f t="shared" si="255"/>
        <v>ND</v>
      </c>
      <c r="DY71" s="1" t="str">
        <f t="shared" si="256"/>
        <v>ND</v>
      </c>
      <c r="DZ71" s="1" t="str">
        <f t="shared" si="257"/>
        <v>ND</v>
      </c>
      <c r="EA71" s="1" t="str">
        <f t="shared" si="258"/>
        <v>ND</v>
      </c>
      <c r="EB71" s="1" t="str">
        <f t="shared" si="259"/>
        <v>ND</v>
      </c>
      <c r="EC71" s="1" t="str">
        <f t="shared" si="260"/>
        <v>ND</v>
      </c>
      <c r="ED71" s="1" t="str">
        <f t="shared" si="261"/>
        <v>ND</v>
      </c>
      <c r="EE71" s="1" t="str">
        <f t="shared" si="262"/>
        <v>ND</v>
      </c>
      <c r="EF71" s="1" t="str">
        <f t="shared" si="263"/>
        <v>ND</v>
      </c>
      <c r="EG71" s="1" t="str">
        <f t="shared" si="264"/>
        <v>ND</v>
      </c>
      <c r="EH71" s="1" t="str">
        <f t="shared" si="265"/>
        <v>ND</v>
      </c>
      <c r="EI71" s="1" t="str">
        <f t="shared" si="266"/>
        <v>ND</v>
      </c>
      <c r="EJ71" s="1" t="str">
        <f t="shared" si="267"/>
        <v>ND</v>
      </c>
      <c r="EK71" s="1" t="str">
        <f t="shared" si="268"/>
        <v>ND</v>
      </c>
      <c r="EL71" s="1" t="str">
        <f t="shared" si="269"/>
        <v>ND</v>
      </c>
      <c r="EM71" s="1" t="str">
        <f t="shared" si="270"/>
        <v>ND</v>
      </c>
      <c r="EN71" s="1" t="str">
        <f t="shared" si="271"/>
        <v>ND</v>
      </c>
      <c r="EO71" s="1" t="str">
        <f t="shared" ref="EO71:EY80" si="355">IFERROR(IF(EO$9="ND","ND",VLOOKUP($C71,PAR,EO$9,0)),"ND")</f>
        <v>ND</v>
      </c>
      <c r="EP71" s="1" t="str">
        <f t="shared" si="355"/>
        <v>ND</v>
      </c>
      <c r="EQ71" s="1" t="str">
        <f t="shared" si="355"/>
        <v>ND</v>
      </c>
      <c r="ER71" s="1" t="str">
        <f t="shared" si="355"/>
        <v>ND</v>
      </c>
      <c r="ES71" s="1" t="str">
        <f t="shared" si="355"/>
        <v>ND</v>
      </c>
      <c r="ET71" s="1" t="str">
        <f t="shared" si="355"/>
        <v>ND</v>
      </c>
      <c r="EU71" s="1" t="str">
        <f t="shared" si="355"/>
        <v>ND</v>
      </c>
      <c r="EV71" s="1" t="str">
        <f t="shared" si="355"/>
        <v>ND</v>
      </c>
      <c r="EW71" s="1" t="str">
        <f t="shared" si="355"/>
        <v>ND</v>
      </c>
      <c r="EX71" s="1" t="str">
        <f t="shared" si="355"/>
        <v>ND</v>
      </c>
      <c r="EY71" s="1" t="str">
        <f t="shared" si="355"/>
        <v>ND</v>
      </c>
      <c r="EZ71" s="1" t="str">
        <f t="shared" ref="EZ71:FJ80" si="356">IFERROR(IF(EZ$9="ND","ND",VLOOKUP($C71,PE,EZ$9,0)),"ND")</f>
        <v>ND</v>
      </c>
      <c r="FA71" s="1" t="str">
        <f t="shared" si="356"/>
        <v>ND</v>
      </c>
      <c r="FB71" s="1" t="str">
        <f t="shared" si="356"/>
        <v>ND</v>
      </c>
      <c r="FC71" s="1" t="str">
        <f t="shared" si="356"/>
        <v>ND</v>
      </c>
      <c r="FD71" s="1" t="str">
        <f t="shared" si="356"/>
        <v>ND</v>
      </c>
      <c r="FE71" s="1" t="str">
        <f t="shared" si="356"/>
        <v>ND</v>
      </c>
      <c r="FF71" s="1" t="str">
        <f t="shared" si="356"/>
        <v>ND</v>
      </c>
      <c r="FG71" s="1" t="str">
        <f t="shared" si="356"/>
        <v>ND</v>
      </c>
      <c r="FH71" s="1" t="str">
        <f t="shared" si="356"/>
        <v>ND</v>
      </c>
      <c r="FI71" s="1" t="str">
        <f t="shared" si="356"/>
        <v>ND</v>
      </c>
      <c r="FJ71" s="1" t="str">
        <f t="shared" si="356"/>
        <v>ND</v>
      </c>
      <c r="FK71" s="1" t="str">
        <f t="shared" ref="FK71:FU80" si="357">IFERROR(IF(FK$9="ND","ND",VLOOKUP($C71,RE,FK$9,0)),"ND")</f>
        <v>ND</v>
      </c>
      <c r="FL71" s="1" t="str">
        <f t="shared" si="357"/>
        <v>ND</v>
      </c>
      <c r="FM71" s="1" t="str">
        <f t="shared" si="357"/>
        <v>ND</v>
      </c>
      <c r="FN71" s="1" t="str">
        <f t="shared" si="357"/>
        <v>ND</v>
      </c>
      <c r="FO71" s="1" t="str">
        <f t="shared" si="357"/>
        <v>ND</v>
      </c>
      <c r="FP71" s="1" t="str">
        <f t="shared" si="357"/>
        <v>ND</v>
      </c>
      <c r="FQ71" s="1" t="str">
        <f t="shared" si="357"/>
        <v>ND</v>
      </c>
      <c r="FR71" s="1" t="str">
        <f t="shared" si="357"/>
        <v>ND</v>
      </c>
      <c r="FS71" s="1" t="str">
        <f t="shared" si="357"/>
        <v>ND</v>
      </c>
      <c r="FT71" s="1" t="str">
        <f t="shared" si="357"/>
        <v>ND</v>
      </c>
      <c r="FU71" s="1" t="str">
        <f t="shared" si="357"/>
        <v>ND</v>
      </c>
      <c r="FV71" s="1" t="str">
        <f t="shared" si="272"/>
        <v>ND</v>
      </c>
      <c r="FW71" s="1" t="str">
        <f t="shared" si="273"/>
        <v>ND</v>
      </c>
      <c r="FX71" s="1" t="str">
        <f t="shared" si="274"/>
        <v>ND</v>
      </c>
      <c r="FY71" s="1" t="str">
        <f t="shared" si="275"/>
        <v>ND</v>
      </c>
      <c r="FZ71" s="1" t="str">
        <f t="shared" si="276"/>
        <v>ND</v>
      </c>
      <c r="GA71" s="1" t="str">
        <f t="shared" si="277"/>
        <v>ND</v>
      </c>
      <c r="GB71" s="1" t="str">
        <f t="shared" si="278"/>
        <v>ND</v>
      </c>
      <c r="GC71" s="1" t="str">
        <f t="shared" si="279"/>
        <v>ND</v>
      </c>
      <c r="GD71" s="1" t="str">
        <f t="shared" si="280"/>
        <v>ND</v>
      </c>
      <c r="GE71" s="1" t="str">
        <f t="shared" si="281"/>
        <v>ND</v>
      </c>
      <c r="GF71" s="1" t="str">
        <f t="shared" si="282"/>
        <v>ND</v>
      </c>
      <c r="GG71" s="1" t="str">
        <f t="shared" si="283"/>
        <v>ND</v>
      </c>
      <c r="GH71" s="1" t="str">
        <f t="shared" si="284"/>
        <v>ND</v>
      </c>
      <c r="GI71" s="1" t="str">
        <f t="shared" si="285"/>
        <v>ND</v>
      </c>
      <c r="GJ71" s="1" t="str">
        <f t="shared" si="286"/>
        <v>ND</v>
      </c>
      <c r="GK71" s="1" t="str">
        <f t="shared" si="287"/>
        <v>ND</v>
      </c>
      <c r="GL71" s="1" t="str">
        <f t="shared" si="288"/>
        <v>ND</v>
      </c>
      <c r="GM71" s="1" t="str">
        <f t="shared" si="289"/>
        <v>ND</v>
      </c>
      <c r="GN71" s="1" t="str">
        <f t="shared" si="290"/>
        <v>ND</v>
      </c>
      <c r="GO71" s="1" t="str">
        <f t="shared" si="291"/>
        <v>ND</v>
      </c>
      <c r="GP71" s="1" t="str">
        <f t="shared" si="292"/>
        <v>ND</v>
      </c>
      <c r="GQ71" s="1" t="str">
        <f t="shared" si="293"/>
        <v>ND</v>
      </c>
      <c r="GR71" s="1" t="str">
        <f t="shared" si="294"/>
        <v>ND</v>
      </c>
      <c r="GS71" s="1" t="str">
        <f t="shared" si="295"/>
        <v>ND</v>
      </c>
      <c r="GT71" s="1" t="str">
        <f t="shared" si="296"/>
        <v>ND</v>
      </c>
      <c r="GU71" s="1" t="str">
        <f t="shared" si="297"/>
        <v>ND</v>
      </c>
      <c r="GV71" s="1" t="str">
        <f t="shared" si="298"/>
        <v>ND</v>
      </c>
      <c r="GW71" s="1" t="str">
        <f t="shared" si="299"/>
        <v>ND</v>
      </c>
      <c r="GX71" s="1" t="str">
        <f t="shared" si="300"/>
        <v>ND</v>
      </c>
      <c r="GY71" s="1" t="str">
        <f t="shared" si="301"/>
        <v>ND</v>
      </c>
      <c r="GZ71" s="1" t="str">
        <f t="shared" si="302"/>
        <v>ND</v>
      </c>
      <c r="HA71" s="1" t="str">
        <f t="shared" si="303"/>
        <v>ND</v>
      </c>
      <c r="HB71" s="1" t="str">
        <f t="shared" si="304"/>
        <v>ND</v>
      </c>
      <c r="HC71" s="1" t="str">
        <f t="shared" si="305"/>
        <v>ND</v>
      </c>
      <c r="HD71" s="1" t="str">
        <f t="shared" si="306"/>
        <v>ND</v>
      </c>
      <c r="HE71" s="1" t="str">
        <f t="shared" si="307"/>
        <v>ND</v>
      </c>
      <c r="HF71" s="1" t="str">
        <f t="shared" si="308"/>
        <v>ND</v>
      </c>
      <c r="HG71" s="1" t="str">
        <f t="shared" si="309"/>
        <v>ND</v>
      </c>
      <c r="HH71" s="1" t="str">
        <f t="shared" si="310"/>
        <v>ND</v>
      </c>
      <c r="HI71" s="1" t="str">
        <f t="shared" si="311"/>
        <v>ND</v>
      </c>
      <c r="HJ71" s="1" t="str">
        <f t="shared" si="312"/>
        <v>ND</v>
      </c>
      <c r="HK71" s="1" t="str">
        <f t="shared" si="313"/>
        <v>ND</v>
      </c>
      <c r="HL71" s="1" t="str">
        <f t="shared" si="314"/>
        <v>ND</v>
      </c>
      <c r="HM71" s="1" t="str">
        <f t="shared" si="315"/>
        <v>ND</v>
      </c>
      <c r="HN71" s="1" t="str">
        <f t="shared" si="316"/>
        <v>ND</v>
      </c>
      <c r="HO71" s="1" t="str">
        <f t="shared" si="317"/>
        <v>ND</v>
      </c>
      <c r="HP71" s="1" t="str">
        <f t="shared" si="318"/>
        <v>ND</v>
      </c>
      <c r="HQ71" s="1" t="str">
        <f t="shared" si="319"/>
        <v>ND</v>
      </c>
      <c r="HR71" s="1" t="str">
        <f t="shared" si="320"/>
        <v>ND</v>
      </c>
      <c r="HS71" s="1" t="str">
        <f t="shared" si="321"/>
        <v>ND</v>
      </c>
      <c r="HT71" s="1" t="str">
        <f t="shared" si="322"/>
        <v>ND</v>
      </c>
      <c r="HU71" s="1" t="str">
        <f t="shared" si="323"/>
        <v>ND</v>
      </c>
      <c r="HV71" s="1" t="str">
        <f t="shared" si="324"/>
        <v>ND</v>
      </c>
      <c r="HW71" s="1" t="str">
        <f t="shared" si="325"/>
        <v>ND</v>
      </c>
      <c r="HX71" s="1" t="str">
        <f t="shared" si="326"/>
        <v>ND</v>
      </c>
      <c r="HY71" s="1" t="str">
        <f t="shared" si="327"/>
        <v>ND</v>
      </c>
      <c r="HZ71" s="1" t="str">
        <f t="shared" si="328"/>
        <v>ND</v>
      </c>
      <c r="IA71" s="1" t="str">
        <f t="shared" si="329"/>
        <v>ND</v>
      </c>
      <c r="IB71" s="1" t="str">
        <f t="shared" si="330"/>
        <v>ND</v>
      </c>
      <c r="IC71" s="1" t="str">
        <f t="shared" si="331"/>
        <v>ND</v>
      </c>
      <c r="ID71" s="1" t="str">
        <f t="shared" si="332"/>
        <v>ND</v>
      </c>
      <c r="IE71" s="1" t="str">
        <f t="shared" si="333"/>
        <v>ND</v>
      </c>
      <c r="IF71" s="1" t="str">
        <f t="shared" si="334"/>
        <v>ND</v>
      </c>
      <c r="IG71" s="1" t="str">
        <f t="shared" si="335"/>
        <v>ND</v>
      </c>
      <c r="IH71" s="1" t="str">
        <f t="shared" si="336"/>
        <v>ND</v>
      </c>
      <c r="II71" s="1" t="str">
        <f t="shared" si="337"/>
        <v>ND</v>
      </c>
    </row>
    <row r="72" spans="3:243" x14ac:dyDescent="0.25">
      <c r="C72" t="s">
        <v>126</v>
      </c>
      <c r="D72">
        <f>SUMIFS(DICCIONARIO[Cantidad],DICCIONARIO[Modelo],UNIFICADA[[#This Row],[Equipo]])</f>
        <v>6</v>
      </c>
      <c r="E72" s="1">
        <f>IFERROR(VLOOKUP($C72,EQUIPOS[],UNIFICADO!E$9,0),"")</f>
        <v>12</v>
      </c>
      <c r="F72" s="1">
        <f>IFERROR(VLOOKUP($C72,EQUIPOS[],UNIFICADO!F$9,0),"")</f>
        <v>6.5</v>
      </c>
      <c r="G72" s="1">
        <f>IFERROR(VLOOKUP($C72,EQUIPOS[],UNIFICADO!G$9,0),"")</f>
        <v>50</v>
      </c>
      <c r="H72" s="1">
        <f>IFERROR(VLOOKUP($C72,EQUIPOS[],UNIFICADO!H$9,0),"")</f>
        <v>2</v>
      </c>
      <c r="I72" s="1">
        <f>IFERROR(VLOOKUP($C72,EQUIPOS[],UNIFICADO!I$9,0),"")</f>
        <v>5</v>
      </c>
      <c r="J72" s="1" t="str">
        <f>IFERROR(VLOOKUP($C72,EQUIPOS[],UNIFICADO!J$9,0),"")</f>
        <v>64GB</v>
      </c>
      <c r="K72" s="1">
        <f>IFERROR(VLOOKUP($C72,EQUIPOS[],UNIFICADO!K$9,0),"")</f>
        <v>256</v>
      </c>
      <c r="L72" s="1">
        <f>IFERROR(VLOOKUP($C72,EQUIPOS[],UNIFICADO!L$9,0),"")</f>
        <v>8</v>
      </c>
      <c r="M72" s="1" t="str">
        <f>IFERROR(VLOOKUP($C72,EQUIPOS[],UNIFICADO!M$9,0),"")</f>
        <v>1.5/2</v>
      </c>
      <c r="N72" s="1">
        <f>IFERROR(VLOOKUP($C72,EQUIPOS[],UNIFICADO!N$9,0),"")</f>
        <v>3</v>
      </c>
      <c r="O72" s="1">
        <f>IFERROR(VLOOKUP($C72,EQUIPOS[],UNIFICADO!O$9,0),"")</f>
        <v>192</v>
      </c>
      <c r="P72" s="1">
        <f>IFERROR(VLOOKUP($C72,EQUIPOS[],UNIFICADO!P$9,0),"")</f>
        <v>16.399999999999999</v>
      </c>
      <c r="Q72" s="1">
        <f>IFERROR(VLOOKUP($C72,EQUIPOS[],UNIFICADO!Q$9,0),"")</f>
        <v>7.63</v>
      </c>
      <c r="R72" s="1">
        <f>IFERROR(VLOOKUP($C72,EQUIPOS[],UNIFICADO!R$9,0),"")</f>
        <v>0.91</v>
      </c>
      <c r="S72" s="1">
        <f>IFERROR(VLOOKUP($C72,EQUIPOS[],UNIFICADO!S$9,0),"")</f>
        <v>5000</v>
      </c>
      <c r="T72" s="1">
        <f>IFERROR(VLOOKUP($C72,EQUIPOS[],UNIFICADO!T$9,0),"")</f>
        <v>4</v>
      </c>
      <c r="U72" s="1">
        <f>VLOOKUP(UNIFICADA[[#This Row],[Equipo]],EQUIPOS[],19,0)</f>
        <v>62</v>
      </c>
      <c r="V72" s="1" t="str">
        <f t="shared" si="182"/>
        <v>ND</v>
      </c>
      <c r="W72" s="1" t="str">
        <f t="shared" si="183"/>
        <v>ND</v>
      </c>
      <c r="X72" s="1" t="str">
        <f t="shared" si="351"/>
        <v>ND</v>
      </c>
      <c r="Y72" s="1" t="str">
        <f t="shared" si="351"/>
        <v>ND</v>
      </c>
      <c r="Z72" s="1" t="str">
        <f t="shared" si="352"/>
        <v>ND</v>
      </c>
      <c r="AA72" s="1" t="str">
        <f t="shared" si="352"/>
        <v>ND</v>
      </c>
      <c r="AB72" s="1" t="str">
        <f t="shared" si="352"/>
        <v>ND</v>
      </c>
      <c r="AC72" s="1" t="str">
        <f t="shared" si="352"/>
        <v>ND</v>
      </c>
      <c r="AD72" s="1" t="str">
        <f t="shared" si="352"/>
        <v>ND</v>
      </c>
      <c r="AE72" s="1" t="str">
        <f t="shared" si="352"/>
        <v>ND</v>
      </c>
      <c r="AF72" s="1" t="str">
        <f t="shared" si="352"/>
        <v>ND</v>
      </c>
      <c r="AG72" s="1" t="str">
        <f t="shared" si="352"/>
        <v>ND</v>
      </c>
      <c r="AH72" s="1" t="str">
        <f t="shared" si="352"/>
        <v>ND</v>
      </c>
      <c r="AI72" s="1" t="str">
        <f t="shared" si="184"/>
        <v>ND</v>
      </c>
      <c r="AJ72" s="1" t="str">
        <f t="shared" si="185"/>
        <v>ND</v>
      </c>
      <c r="AK72" s="1" t="str">
        <f t="shared" si="186"/>
        <v>ND</v>
      </c>
      <c r="AL72" s="1" t="str">
        <f t="shared" si="187"/>
        <v>ND</v>
      </c>
      <c r="AM72" s="1" t="str">
        <f t="shared" si="188"/>
        <v>ND</v>
      </c>
      <c r="AN72" s="1" t="str">
        <f t="shared" si="189"/>
        <v>ND</v>
      </c>
      <c r="AO72" s="1" t="str">
        <f t="shared" si="190"/>
        <v>ND</v>
      </c>
      <c r="AP72" s="1" t="str">
        <f t="shared" si="191"/>
        <v>ND</v>
      </c>
      <c r="AQ72" s="1" t="str">
        <f t="shared" si="192"/>
        <v>ND</v>
      </c>
      <c r="AR72" s="1" t="str">
        <f t="shared" si="193"/>
        <v>ND</v>
      </c>
      <c r="AS72" s="1" t="str">
        <f t="shared" si="194"/>
        <v>ND</v>
      </c>
      <c r="AT72" s="1" t="str">
        <f t="shared" si="195"/>
        <v>ND</v>
      </c>
      <c r="AU72" s="1" t="str">
        <f t="shared" si="196"/>
        <v>ND</v>
      </c>
      <c r="AV72" s="1" t="str">
        <f t="shared" si="197"/>
        <v>ND</v>
      </c>
      <c r="AW72" s="1" t="str">
        <f t="shared" si="198"/>
        <v>ND</v>
      </c>
      <c r="AX72" s="1" t="str">
        <f t="shared" si="199"/>
        <v>ND</v>
      </c>
      <c r="AY72" s="1" t="str">
        <f t="shared" si="200"/>
        <v>ND</v>
      </c>
      <c r="AZ72" s="1" t="str">
        <f t="shared" si="201"/>
        <v>ND</v>
      </c>
      <c r="BA72" s="1" t="str">
        <f t="shared" si="202"/>
        <v>ND</v>
      </c>
      <c r="BB72" s="1" t="str">
        <f t="shared" si="203"/>
        <v>ND</v>
      </c>
      <c r="BC72" s="1" t="str">
        <f t="shared" si="204"/>
        <v>ND</v>
      </c>
      <c r="BD72" s="1" t="str">
        <f t="shared" si="205"/>
        <v>ND</v>
      </c>
      <c r="BE72" s="1" t="str">
        <f t="shared" si="206"/>
        <v>ND</v>
      </c>
      <c r="BF72" s="1" t="str">
        <f t="shared" si="207"/>
        <v>ND</v>
      </c>
      <c r="BG72" s="1" t="str">
        <f t="shared" si="208"/>
        <v>ND</v>
      </c>
      <c r="BH72" s="1" t="str">
        <f t="shared" si="209"/>
        <v>ND</v>
      </c>
      <c r="BI72" s="1" t="str">
        <f t="shared" si="210"/>
        <v>ND</v>
      </c>
      <c r="BJ72" s="1" t="str">
        <f t="shared" si="211"/>
        <v>ND</v>
      </c>
      <c r="BK72" s="1" t="str">
        <f t="shared" si="212"/>
        <v>ND</v>
      </c>
      <c r="BL72" s="1" t="str">
        <f t="shared" si="213"/>
        <v>ND</v>
      </c>
      <c r="BM72" s="1" t="str">
        <f t="shared" si="214"/>
        <v>ND</v>
      </c>
      <c r="BN72" s="1" t="str">
        <f t="shared" si="215"/>
        <v>ND</v>
      </c>
      <c r="BO72" s="1" t="str">
        <f t="shared" si="216"/>
        <v>ND</v>
      </c>
      <c r="BP72" s="1" t="str">
        <f t="shared" si="217"/>
        <v>ND</v>
      </c>
      <c r="BQ72" s="1" t="str">
        <f t="shared" si="218"/>
        <v>ND</v>
      </c>
      <c r="BR72" s="1" t="str">
        <f t="shared" si="219"/>
        <v>ND</v>
      </c>
      <c r="BS72" s="1" t="str">
        <f t="shared" si="220"/>
        <v>ND</v>
      </c>
      <c r="BT72" s="1" t="str">
        <f t="shared" si="221"/>
        <v>ND</v>
      </c>
      <c r="BU72" s="1" t="str">
        <f t="shared" si="222"/>
        <v>ND</v>
      </c>
      <c r="BV72" s="1" t="str">
        <f t="shared" si="223"/>
        <v>ND</v>
      </c>
      <c r="BW72" s="1" t="str">
        <f t="shared" si="224"/>
        <v>ND</v>
      </c>
      <c r="BX72" s="1" t="str">
        <f t="shared" si="225"/>
        <v>ND</v>
      </c>
      <c r="BY72" s="1" t="str">
        <f t="shared" si="226"/>
        <v>ND</v>
      </c>
      <c r="BZ72" s="1" t="str">
        <f t="shared" si="227"/>
        <v>ND</v>
      </c>
      <c r="CA72" s="1" t="str">
        <f t="shared" si="353"/>
        <v>ND</v>
      </c>
      <c r="CB72" s="1" t="str">
        <f t="shared" si="353"/>
        <v>ND</v>
      </c>
      <c r="CC72" s="1" t="str">
        <f t="shared" si="353"/>
        <v>ND</v>
      </c>
      <c r="CD72" s="1" t="str">
        <f t="shared" si="353"/>
        <v>ND</v>
      </c>
      <c r="CE72" s="1" t="str">
        <f t="shared" si="353"/>
        <v>ND</v>
      </c>
      <c r="CF72" s="1" t="str">
        <f t="shared" si="353"/>
        <v>ND</v>
      </c>
      <c r="CG72" s="1" t="str">
        <f t="shared" si="353"/>
        <v>ND</v>
      </c>
      <c r="CH72" s="1" t="str">
        <f t="shared" si="353"/>
        <v>ND</v>
      </c>
      <c r="CI72" s="1" t="str">
        <f t="shared" si="353"/>
        <v>ND</v>
      </c>
      <c r="CJ72" s="1" t="str">
        <f t="shared" si="353"/>
        <v>ND</v>
      </c>
      <c r="CK72" s="1" t="str">
        <f t="shared" si="353"/>
        <v>ND</v>
      </c>
      <c r="CL72" s="1" t="str">
        <f t="shared" si="354"/>
        <v>ND</v>
      </c>
      <c r="CM72" s="1" t="str">
        <f t="shared" si="354"/>
        <v>ND</v>
      </c>
      <c r="CN72" s="1" t="str">
        <f t="shared" si="354"/>
        <v>ND</v>
      </c>
      <c r="CO72" s="1" t="str">
        <f t="shared" si="354"/>
        <v>ND</v>
      </c>
      <c r="CP72" s="1" t="str">
        <f t="shared" si="354"/>
        <v>ND</v>
      </c>
      <c r="CQ72" s="1" t="str">
        <f t="shared" si="354"/>
        <v>ND</v>
      </c>
      <c r="CR72" s="1" t="str">
        <f t="shared" si="354"/>
        <v>ND</v>
      </c>
      <c r="CS72" s="1" t="str">
        <f t="shared" si="354"/>
        <v>ND</v>
      </c>
      <c r="CT72" s="1" t="str">
        <f t="shared" si="354"/>
        <v>ND</v>
      </c>
      <c r="CU72" s="1" t="str">
        <f t="shared" si="354"/>
        <v>ND</v>
      </c>
      <c r="CV72" s="1" t="str">
        <f t="shared" si="354"/>
        <v>ND</v>
      </c>
      <c r="CW72" s="1" t="str">
        <f t="shared" si="228"/>
        <v>ND</v>
      </c>
      <c r="CX72" s="1" t="str">
        <f t="shared" si="229"/>
        <v>ND</v>
      </c>
      <c r="CY72" s="1" t="str">
        <f t="shared" si="230"/>
        <v>ND</v>
      </c>
      <c r="CZ72" s="1" t="str">
        <f t="shared" si="231"/>
        <v>ND</v>
      </c>
      <c r="DA72" s="1" t="str">
        <f t="shared" si="232"/>
        <v>ND</v>
      </c>
      <c r="DB72" s="1" t="str">
        <f t="shared" si="233"/>
        <v>ND</v>
      </c>
      <c r="DC72" s="1" t="str">
        <f t="shared" si="234"/>
        <v>ND</v>
      </c>
      <c r="DD72" s="1" t="str">
        <f t="shared" si="235"/>
        <v>ND</v>
      </c>
      <c r="DE72" s="1" t="str">
        <f t="shared" si="236"/>
        <v>ND</v>
      </c>
      <c r="DF72" s="1" t="str">
        <f t="shared" si="237"/>
        <v>ND</v>
      </c>
      <c r="DG72" s="1" t="str">
        <f t="shared" si="238"/>
        <v>ND</v>
      </c>
      <c r="DH72" s="1" t="str">
        <f t="shared" si="239"/>
        <v>ND</v>
      </c>
      <c r="DI72" s="1" t="str">
        <f t="shared" si="240"/>
        <v>ND</v>
      </c>
      <c r="DJ72" s="1" t="str">
        <f t="shared" si="241"/>
        <v>ND</v>
      </c>
      <c r="DK72" s="1" t="str">
        <f t="shared" si="242"/>
        <v>ND</v>
      </c>
      <c r="DL72" s="1" t="str">
        <f t="shared" si="243"/>
        <v>ND</v>
      </c>
      <c r="DM72" s="1" t="str">
        <f t="shared" si="244"/>
        <v>ND</v>
      </c>
      <c r="DN72" s="1" t="str">
        <f t="shared" si="245"/>
        <v>ND</v>
      </c>
      <c r="DO72" s="1" t="str">
        <f t="shared" si="246"/>
        <v>ND</v>
      </c>
      <c r="DP72" s="1" t="str">
        <f t="shared" si="247"/>
        <v>ND</v>
      </c>
      <c r="DQ72" s="1" t="str">
        <f t="shared" si="248"/>
        <v>ND</v>
      </c>
      <c r="DR72" s="1" t="str">
        <f t="shared" si="249"/>
        <v>ND</v>
      </c>
      <c r="DS72" s="1" t="str">
        <f t="shared" si="250"/>
        <v>ND</v>
      </c>
      <c r="DT72" s="1" t="str">
        <f t="shared" si="251"/>
        <v>ND</v>
      </c>
      <c r="DU72" s="1" t="str">
        <f t="shared" si="252"/>
        <v>ND</v>
      </c>
      <c r="DV72" s="1" t="str">
        <f t="shared" si="253"/>
        <v>ND</v>
      </c>
      <c r="DW72" s="1" t="str">
        <f t="shared" si="254"/>
        <v>ND</v>
      </c>
      <c r="DX72" s="1" t="str">
        <f t="shared" si="255"/>
        <v>ND</v>
      </c>
      <c r="DY72" s="1" t="str">
        <f t="shared" si="256"/>
        <v>ND</v>
      </c>
      <c r="DZ72" s="1" t="str">
        <f t="shared" si="257"/>
        <v>ND</v>
      </c>
      <c r="EA72" s="1" t="str">
        <f t="shared" si="258"/>
        <v>ND</v>
      </c>
      <c r="EB72" s="1" t="str">
        <f t="shared" si="259"/>
        <v>ND</v>
      </c>
      <c r="EC72" s="1" t="str">
        <f t="shared" si="260"/>
        <v>ND</v>
      </c>
      <c r="ED72" s="1" t="str">
        <f t="shared" si="261"/>
        <v>ND</v>
      </c>
      <c r="EE72" s="1" t="str">
        <f t="shared" si="262"/>
        <v>ND</v>
      </c>
      <c r="EF72" s="1" t="str">
        <f t="shared" si="263"/>
        <v>ND</v>
      </c>
      <c r="EG72" s="1" t="str">
        <f t="shared" si="264"/>
        <v>ND</v>
      </c>
      <c r="EH72" s="1" t="str">
        <f t="shared" si="265"/>
        <v>ND</v>
      </c>
      <c r="EI72" s="1" t="str">
        <f t="shared" si="266"/>
        <v>ND</v>
      </c>
      <c r="EJ72" s="1" t="str">
        <f t="shared" si="267"/>
        <v>ND</v>
      </c>
      <c r="EK72" s="1" t="str">
        <f t="shared" si="268"/>
        <v>ND</v>
      </c>
      <c r="EL72" s="1" t="str">
        <f t="shared" si="269"/>
        <v>ND</v>
      </c>
      <c r="EM72" s="1" t="str">
        <f t="shared" si="270"/>
        <v>ND</v>
      </c>
      <c r="EN72" s="1" t="str">
        <f t="shared" si="271"/>
        <v>ND</v>
      </c>
      <c r="EO72" s="1" t="str">
        <f t="shared" si="355"/>
        <v>ND</v>
      </c>
      <c r="EP72" s="1" t="str">
        <f t="shared" si="355"/>
        <v>ND</v>
      </c>
      <c r="EQ72" s="1" t="str">
        <f t="shared" si="355"/>
        <v>ND</v>
      </c>
      <c r="ER72" s="1" t="str">
        <f t="shared" si="355"/>
        <v>ND</v>
      </c>
      <c r="ES72" s="1" t="str">
        <f t="shared" si="355"/>
        <v>ND</v>
      </c>
      <c r="ET72" s="1" t="str">
        <f t="shared" si="355"/>
        <v>ND</v>
      </c>
      <c r="EU72" s="1" t="str">
        <f t="shared" si="355"/>
        <v>ND</v>
      </c>
      <c r="EV72" s="1" t="str">
        <f t="shared" si="355"/>
        <v>ND</v>
      </c>
      <c r="EW72" s="1" t="str">
        <f t="shared" si="355"/>
        <v>ND</v>
      </c>
      <c r="EX72" s="1" t="str">
        <f t="shared" si="355"/>
        <v>ND</v>
      </c>
      <c r="EY72" s="1" t="str">
        <f t="shared" si="355"/>
        <v>ND</v>
      </c>
      <c r="EZ72" s="1" t="str">
        <f t="shared" si="356"/>
        <v>ND</v>
      </c>
      <c r="FA72" s="1" t="str">
        <f t="shared" si="356"/>
        <v>ND</v>
      </c>
      <c r="FB72" s="1" t="str">
        <f t="shared" si="356"/>
        <v>ND</v>
      </c>
      <c r="FC72" s="1" t="str">
        <f t="shared" si="356"/>
        <v>ND</v>
      </c>
      <c r="FD72" s="1" t="str">
        <f t="shared" si="356"/>
        <v>ND</v>
      </c>
      <c r="FE72" s="1" t="str">
        <f t="shared" si="356"/>
        <v>ND</v>
      </c>
      <c r="FF72" s="1" t="str">
        <f t="shared" si="356"/>
        <v>ND</v>
      </c>
      <c r="FG72" s="1" t="str">
        <f t="shared" si="356"/>
        <v>ND</v>
      </c>
      <c r="FH72" s="1" t="str">
        <f t="shared" si="356"/>
        <v>ND</v>
      </c>
      <c r="FI72" s="1" t="str">
        <f t="shared" si="356"/>
        <v>ND</v>
      </c>
      <c r="FJ72" s="1" t="str">
        <f t="shared" si="356"/>
        <v>ND</v>
      </c>
      <c r="FK72" s="1" t="str">
        <f t="shared" si="357"/>
        <v>ND</v>
      </c>
      <c r="FL72" s="1" t="str">
        <f t="shared" si="357"/>
        <v>ND</v>
      </c>
      <c r="FM72" s="1" t="str">
        <f t="shared" si="357"/>
        <v>ND</v>
      </c>
      <c r="FN72" s="1" t="str">
        <f t="shared" si="357"/>
        <v>ND</v>
      </c>
      <c r="FO72" s="1" t="str">
        <f t="shared" si="357"/>
        <v>ND</v>
      </c>
      <c r="FP72" s="1" t="str">
        <f t="shared" si="357"/>
        <v>ND</v>
      </c>
      <c r="FQ72" s="1" t="str">
        <f t="shared" si="357"/>
        <v>ND</v>
      </c>
      <c r="FR72" s="1" t="str">
        <f t="shared" si="357"/>
        <v>ND</v>
      </c>
      <c r="FS72" s="1" t="str">
        <f t="shared" si="357"/>
        <v>ND</v>
      </c>
      <c r="FT72" s="1" t="str">
        <f t="shared" si="357"/>
        <v>ND</v>
      </c>
      <c r="FU72" s="1" t="str">
        <f t="shared" si="357"/>
        <v>ND</v>
      </c>
      <c r="FV72" s="1" t="str">
        <f t="shared" si="272"/>
        <v>ND</v>
      </c>
      <c r="FW72" s="1" t="str">
        <f t="shared" si="273"/>
        <v>ND</v>
      </c>
      <c r="FX72" s="1" t="str">
        <f t="shared" si="274"/>
        <v>ND</v>
      </c>
      <c r="FY72" s="1" t="str">
        <f t="shared" si="275"/>
        <v>ND</v>
      </c>
      <c r="FZ72" s="1" t="str">
        <f t="shared" si="276"/>
        <v>ND</v>
      </c>
      <c r="GA72" s="1" t="str">
        <f t="shared" si="277"/>
        <v>ND</v>
      </c>
      <c r="GB72" s="1" t="str">
        <f t="shared" si="278"/>
        <v>ND</v>
      </c>
      <c r="GC72" s="1" t="str">
        <f t="shared" si="279"/>
        <v>ND</v>
      </c>
      <c r="GD72" s="1" t="str">
        <f t="shared" si="280"/>
        <v>ND</v>
      </c>
      <c r="GE72" s="1" t="str">
        <f t="shared" si="281"/>
        <v>ND</v>
      </c>
      <c r="GF72" s="1" t="str">
        <f t="shared" si="282"/>
        <v>ND</v>
      </c>
      <c r="GG72" s="1" t="str">
        <f t="shared" si="283"/>
        <v>ND</v>
      </c>
      <c r="GH72" s="1" t="str">
        <f t="shared" si="284"/>
        <v>ND</v>
      </c>
      <c r="GI72" s="1" t="str">
        <f t="shared" si="285"/>
        <v>ND</v>
      </c>
      <c r="GJ72" s="1" t="str">
        <f t="shared" si="286"/>
        <v>ND</v>
      </c>
      <c r="GK72" s="1" t="str">
        <f t="shared" si="287"/>
        <v>ND</v>
      </c>
      <c r="GL72" s="1" t="str">
        <f t="shared" si="288"/>
        <v>ND</v>
      </c>
      <c r="GM72" s="1" t="str">
        <f t="shared" si="289"/>
        <v>ND</v>
      </c>
      <c r="GN72" s="1" t="str">
        <f t="shared" si="290"/>
        <v>ND</v>
      </c>
      <c r="GO72" s="1" t="str">
        <f t="shared" si="291"/>
        <v>ND</v>
      </c>
      <c r="GP72" s="1" t="str">
        <f t="shared" si="292"/>
        <v>ND</v>
      </c>
      <c r="GQ72" s="1" t="str">
        <f t="shared" si="293"/>
        <v>ND</v>
      </c>
      <c r="GR72" s="1" t="str">
        <f t="shared" si="294"/>
        <v>ND</v>
      </c>
      <c r="GS72" s="1" t="str">
        <f t="shared" si="295"/>
        <v>ND</v>
      </c>
      <c r="GT72" s="1" t="str">
        <f t="shared" si="296"/>
        <v>ND</v>
      </c>
      <c r="GU72" s="1" t="str">
        <f t="shared" si="297"/>
        <v>ND</v>
      </c>
      <c r="GV72" s="1" t="str">
        <f t="shared" si="298"/>
        <v>ND</v>
      </c>
      <c r="GW72" s="1" t="str">
        <f t="shared" si="299"/>
        <v>ND</v>
      </c>
      <c r="GX72" s="1" t="str">
        <f t="shared" si="300"/>
        <v>ND</v>
      </c>
      <c r="GY72" s="1" t="str">
        <f t="shared" si="301"/>
        <v>ND</v>
      </c>
      <c r="GZ72" s="1" t="str">
        <f t="shared" si="302"/>
        <v>ND</v>
      </c>
      <c r="HA72" s="1" t="str">
        <f t="shared" si="303"/>
        <v>ND</v>
      </c>
      <c r="HB72" s="1" t="str">
        <f t="shared" si="304"/>
        <v>ND</v>
      </c>
      <c r="HC72" s="1" t="str">
        <f t="shared" si="305"/>
        <v>ND</v>
      </c>
      <c r="HD72" s="1" t="str">
        <f t="shared" si="306"/>
        <v>ND</v>
      </c>
      <c r="HE72" s="1" t="str">
        <f t="shared" si="307"/>
        <v>ND</v>
      </c>
      <c r="HF72" s="1" t="str">
        <f t="shared" si="308"/>
        <v>ND</v>
      </c>
      <c r="HG72" s="1" t="str">
        <f t="shared" si="309"/>
        <v>ND</v>
      </c>
      <c r="HH72" s="1" t="str">
        <f t="shared" si="310"/>
        <v>ND</v>
      </c>
      <c r="HI72" s="1" t="str">
        <f t="shared" si="311"/>
        <v>ND</v>
      </c>
      <c r="HJ72" s="1" t="str">
        <f t="shared" si="312"/>
        <v>ND</v>
      </c>
      <c r="HK72" s="1" t="str">
        <f t="shared" si="313"/>
        <v>ND</v>
      </c>
      <c r="HL72" s="1" t="str">
        <f t="shared" si="314"/>
        <v>ND</v>
      </c>
      <c r="HM72" s="1" t="str">
        <f t="shared" si="315"/>
        <v>ND</v>
      </c>
      <c r="HN72" s="1" t="str">
        <f t="shared" si="316"/>
        <v>ND</v>
      </c>
      <c r="HO72" s="1" t="str">
        <f t="shared" si="317"/>
        <v>ND</v>
      </c>
      <c r="HP72" s="1" t="str">
        <f t="shared" si="318"/>
        <v>ND</v>
      </c>
      <c r="HQ72" s="1" t="str">
        <f t="shared" si="319"/>
        <v>ND</v>
      </c>
      <c r="HR72" s="1" t="str">
        <f t="shared" si="320"/>
        <v>ND</v>
      </c>
      <c r="HS72" s="1" t="str">
        <f t="shared" si="321"/>
        <v>ND</v>
      </c>
      <c r="HT72" s="1" t="str">
        <f t="shared" si="322"/>
        <v>ND</v>
      </c>
      <c r="HU72" s="1" t="str">
        <f t="shared" si="323"/>
        <v>ND</v>
      </c>
      <c r="HV72" s="1" t="str">
        <f t="shared" si="324"/>
        <v>ND</v>
      </c>
      <c r="HW72" s="1" t="str">
        <f t="shared" si="325"/>
        <v>ND</v>
      </c>
      <c r="HX72" s="1" t="str">
        <f t="shared" si="326"/>
        <v>ND</v>
      </c>
      <c r="HY72" s="1" t="str">
        <f t="shared" si="327"/>
        <v>ND</v>
      </c>
      <c r="HZ72" s="1" t="str">
        <f t="shared" si="328"/>
        <v>ND</v>
      </c>
      <c r="IA72" s="1" t="str">
        <f t="shared" si="329"/>
        <v>ND</v>
      </c>
      <c r="IB72" s="1" t="str">
        <f t="shared" si="330"/>
        <v>ND</v>
      </c>
      <c r="IC72" s="1" t="str">
        <f t="shared" si="331"/>
        <v>ND</v>
      </c>
      <c r="ID72" s="1" t="str">
        <f t="shared" si="332"/>
        <v>ND</v>
      </c>
      <c r="IE72" s="1" t="str">
        <f t="shared" si="333"/>
        <v>ND</v>
      </c>
      <c r="IF72" s="1" t="str">
        <f t="shared" si="334"/>
        <v>ND</v>
      </c>
      <c r="IG72" s="1" t="str">
        <f t="shared" si="335"/>
        <v>ND</v>
      </c>
      <c r="IH72" s="1" t="str">
        <f t="shared" si="336"/>
        <v>ND</v>
      </c>
      <c r="II72" s="1" t="str">
        <f t="shared" si="337"/>
        <v>ND</v>
      </c>
    </row>
    <row r="73" spans="3:243" x14ac:dyDescent="0.25">
      <c r="C73" t="s">
        <v>130</v>
      </c>
      <c r="D73">
        <f>SUMIFS(DICCIONARIO[Cantidad],DICCIONARIO[Modelo],UNIFICADA[[#This Row],[Equipo]])</f>
        <v>19</v>
      </c>
      <c r="E73" s="1">
        <f>IFERROR(VLOOKUP($C73,EQUIPOS[],UNIFICADO!E$9,0),"")</f>
        <v>12</v>
      </c>
      <c r="F73" s="1">
        <f>IFERROR(VLOOKUP($C73,EQUIPOS[],UNIFICADO!F$9,0),"")</f>
        <v>6.5</v>
      </c>
      <c r="G73" s="1">
        <f>IFERROR(VLOOKUP($C73,EQUIPOS[],UNIFICADO!G$9,0),"")</f>
        <v>13</v>
      </c>
      <c r="H73" s="1">
        <f>IFERROR(VLOOKUP($C73,EQUIPOS[],UNIFICADO!H$9,0),"")</f>
        <v>2</v>
      </c>
      <c r="I73" s="1">
        <f>IFERROR(VLOOKUP($C73,EQUIPOS[],UNIFICADO!I$9,0),"")</f>
        <v>5</v>
      </c>
      <c r="J73" s="1" t="str">
        <f>IFERROR(VLOOKUP($C73,EQUIPOS[],UNIFICADO!J$9,0),"")</f>
        <v>32GB</v>
      </c>
      <c r="K73" s="1">
        <f>IFERROR(VLOOKUP($C73,EQUIPOS[],UNIFICADO!K$9,0),"")</f>
        <v>128</v>
      </c>
      <c r="L73" s="1">
        <f>IFERROR(VLOOKUP($C73,EQUIPOS[],UNIFICADO!L$9,0),"")</f>
        <v>8</v>
      </c>
      <c r="M73" s="1" t="str">
        <f>IFERROR(VLOOKUP($C73,EQUIPOS[],UNIFICADO!M$9,0),"")</f>
        <v>1.5/2</v>
      </c>
      <c r="N73" s="1">
        <f>IFERROR(VLOOKUP($C73,EQUIPOS[],UNIFICADO!N$9,0),"")</f>
        <v>3</v>
      </c>
      <c r="O73" s="1">
        <f>IFERROR(VLOOKUP($C73,EQUIPOS[],UNIFICADO!O$9,0),"")</f>
        <v>188</v>
      </c>
      <c r="P73" s="1">
        <f>IFERROR(VLOOKUP($C73,EQUIPOS[],UNIFICADO!P$9,0),"")</f>
        <v>16.399999999999999</v>
      </c>
      <c r="Q73" s="1">
        <f>IFERROR(VLOOKUP($C73,EQUIPOS[],UNIFICADO!Q$9,0),"")</f>
        <v>7.59</v>
      </c>
      <c r="R73" s="1">
        <f>IFERROR(VLOOKUP($C73,EQUIPOS[],UNIFICADO!R$9,0),"")</f>
        <v>0.91</v>
      </c>
      <c r="S73" s="1">
        <f>IFERROR(VLOOKUP($C73,EQUIPOS[],UNIFICADO!S$9,0),"")</f>
        <v>5000</v>
      </c>
      <c r="T73" s="1">
        <f>IFERROR(VLOOKUP($C73,EQUIPOS[],UNIFICADO!T$9,0),"")</f>
        <v>4</v>
      </c>
      <c r="U73" s="1">
        <f>VLOOKUP(UNIFICADA[[#This Row],[Equipo]],EQUIPOS[],19,0)</f>
        <v>63</v>
      </c>
      <c r="V73" s="1" t="str">
        <f t="shared" si="182"/>
        <v>ND</v>
      </c>
      <c r="W73" s="1" t="str">
        <f t="shared" si="183"/>
        <v>ND</v>
      </c>
      <c r="X73" s="1" t="str">
        <f t="shared" si="351"/>
        <v>ND</v>
      </c>
      <c r="Y73" s="1" t="str">
        <f t="shared" si="351"/>
        <v>ND</v>
      </c>
      <c r="Z73" s="1" t="str">
        <f t="shared" si="352"/>
        <v>ND</v>
      </c>
      <c r="AA73" s="1" t="str">
        <f t="shared" si="352"/>
        <v>ND</v>
      </c>
      <c r="AB73" s="1" t="str">
        <f t="shared" si="352"/>
        <v>ND</v>
      </c>
      <c r="AC73" s="1" t="str">
        <f t="shared" si="352"/>
        <v>ND</v>
      </c>
      <c r="AD73" s="1" t="str">
        <f t="shared" si="352"/>
        <v>ND</v>
      </c>
      <c r="AE73" s="1" t="str">
        <f t="shared" si="352"/>
        <v>ND</v>
      </c>
      <c r="AF73" s="1" t="str">
        <f t="shared" si="352"/>
        <v>ND</v>
      </c>
      <c r="AG73" s="1" t="str">
        <f t="shared" si="352"/>
        <v>ND</v>
      </c>
      <c r="AH73" s="1" t="str">
        <f t="shared" si="352"/>
        <v>ND</v>
      </c>
      <c r="AI73" s="1" t="str">
        <f t="shared" si="184"/>
        <v>ND</v>
      </c>
      <c r="AJ73" s="1" t="str">
        <f t="shared" si="185"/>
        <v>ND</v>
      </c>
      <c r="AK73" s="1" t="str">
        <f t="shared" si="186"/>
        <v>ND</v>
      </c>
      <c r="AL73" s="1" t="str">
        <f t="shared" si="187"/>
        <v>ND</v>
      </c>
      <c r="AM73" s="1" t="str">
        <f t="shared" si="188"/>
        <v>ND</v>
      </c>
      <c r="AN73" s="1" t="str">
        <f t="shared" si="189"/>
        <v>ND</v>
      </c>
      <c r="AO73" s="1" t="str">
        <f t="shared" si="190"/>
        <v>ND</v>
      </c>
      <c r="AP73" s="1" t="str">
        <f t="shared" si="191"/>
        <v>ND</v>
      </c>
      <c r="AQ73" s="1" t="str">
        <f t="shared" si="192"/>
        <v>ND</v>
      </c>
      <c r="AR73" s="1" t="str">
        <f t="shared" si="193"/>
        <v>ND</v>
      </c>
      <c r="AS73" s="1" t="str">
        <f t="shared" si="194"/>
        <v>ND</v>
      </c>
      <c r="AT73" s="1" t="str">
        <f t="shared" si="195"/>
        <v>ND</v>
      </c>
      <c r="AU73" s="1" t="str">
        <f t="shared" si="196"/>
        <v>ND</v>
      </c>
      <c r="AV73" s="1" t="str">
        <f t="shared" si="197"/>
        <v>ND</v>
      </c>
      <c r="AW73" s="1" t="str">
        <f t="shared" si="198"/>
        <v>ND</v>
      </c>
      <c r="AX73" s="1" t="str">
        <f t="shared" si="199"/>
        <v>ND</v>
      </c>
      <c r="AY73" s="1" t="str">
        <f t="shared" si="200"/>
        <v>ND</v>
      </c>
      <c r="AZ73" s="1" t="str">
        <f t="shared" si="201"/>
        <v>ND</v>
      </c>
      <c r="BA73" s="1" t="str">
        <f t="shared" si="202"/>
        <v>ND</v>
      </c>
      <c r="BB73" s="1" t="str">
        <f t="shared" si="203"/>
        <v>ND</v>
      </c>
      <c r="BC73" s="1" t="str">
        <f t="shared" si="204"/>
        <v>ND</v>
      </c>
      <c r="BD73" s="1" t="str">
        <f t="shared" si="205"/>
        <v>ND</v>
      </c>
      <c r="BE73" s="1" t="str">
        <f t="shared" si="206"/>
        <v>ND</v>
      </c>
      <c r="BF73" s="1" t="str">
        <f t="shared" si="207"/>
        <v>ND</v>
      </c>
      <c r="BG73" s="1" t="str">
        <f t="shared" si="208"/>
        <v>ND</v>
      </c>
      <c r="BH73" s="1" t="str">
        <f t="shared" si="209"/>
        <v>ND</v>
      </c>
      <c r="BI73" s="1" t="str">
        <f t="shared" si="210"/>
        <v>ND</v>
      </c>
      <c r="BJ73" s="1" t="str">
        <f t="shared" si="211"/>
        <v>ND</v>
      </c>
      <c r="BK73" s="1" t="str">
        <f t="shared" si="212"/>
        <v>ND</v>
      </c>
      <c r="BL73" s="1" t="str">
        <f t="shared" si="213"/>
        <v>ND</v>
      </c>
      <c r="BM73" s="1" t="str">
        <f t="shared" si="214"/>
        <v>ND</v>
      </c>
      <c r="BN73" s="1" t="str">
        <f t="shared" si="215"/>
        <v>ND</v>
      </c>
      <c r="BO73" s="1" t="str">
        <f t="shared" si="216"/>
        <v>ND</v>
      </c>
      <c r="BP73" s="1" t="str">
        <f t="shared" si="217"/>
        <v>ND</v>
      </c>
      <c r="BQ73" s="1" t="str">
        <f t="shared" si="218"/>
        <v>ND</v>
      </c>
      <c r="BR73" s="1" t="str">
        <f t="shared" si="219"/>
        <v>ND</v>
      </c>
      <c r="BS73" s="1" t="str">
        <f t="shared" si="220"/>
        <v>ND</v>
      </c>
      <c r="BT73" s="1" t="str">
        <f t="shared" si="221"/>
        <v>ND</v>
      </c>
      <c r="BU73" s="1" t="str">
        <f t="shared" si="222"/>
        <v>ND</v>
      </c>
      <c r="BV73" s="1" t="str">
        <f t="shared" si="223"/>
        <v>ND</v>
      </c>
      <c r="BW73" s="1" t="str">
        <f t="shared" si="224"/>
        <v>ND</v>
      </c>
      <c r="BX73" s="1" t="str">
        <f t="shared" si="225"/>
        <v>ND</v>
      </c>
      <c r="BY73" s="1" t="str">
        <f t="shared" si="226"/>
        <v>ND</v>
      </c>
      <c r="BZ73" s="1" t="str">
        <f t="shared" si="227"/>
        <v>ND</v>
      </c>
      <c r="CA73" s="1" t="str">
        <f t="shared" si="353"/>
        <v>ND</v>
      </c>
      <c r="CB73" s="1" t="str">
        <f t="shared" si="353"/>
        <v>ND</v>
      </c>
      <c r="CC73" s="1" t="str">
        <f t="shared" si="353"/>
        <v>ND</v>
      </c>
      <c r="CD73" s="1" t="str">
        <f t="shared" si="353"/>
        <v>ND</v>
      </c>
      <c r="CE73" s="1" t="str">
        <f t="shared" si="353"/>
        <v>ND</v>
      </c>
      <c r="CF73" s="1" t="str">
        <f t="shared" si="353"/>
        <v>ND</v>
      </c>
      <c r="CG73" s="1" t="str">
        <f t="shared" si="353"/>
        <v>ND</v>
      </c>
      <c r="CH73" s="1" t="str">
        <f t="shared" si="353"/>
        <v>ND</v>
      </c>
      <c r="CI73" s="1" t="str">
        <f t="shared" si="353"/>
        <v>ND</v>
      </c>
      <c r="CJ73" s="1" t="str">
        <f t="shared" si="353"/>
        <v>ND</v>
      </c>
      <c r="CK73" s="1" t="str">
        <f t="shared" si="353"/>
        <v>ND</v>
      </c>
      <c r="CL73" s="1" t="str">
        <f t="shared" si="354"/>
        <v>ND</v>
      </c>
      <c r="CM73" s="1" t="str">
        <f t="shared" si="354"/>
        <v>ND</v>
      </c>
      <c r="CN73" s="1" t="str">
        <f t="shared" si="354"/>
        <v>ND</v>
      </c>
      <c r="CO73" s="1" t="str">
        <f t="shared" si="354"/>
        <v>ND</v>
      </c>
      <c r="CP73" s="1" t="str">
        <f t="shared" si="354"/>
        <v>ND</v>
      </c>
      <c r="CQ73" s="1" t="str">
        <f t="shared" si="354"/>
        <v>ND</v>
      </c>
      <c r="CR73" s="1" t="str">
        <f t="shared" si="354"/>
        <v>ND</v>
      </c>
      <c r="CS73" s="1" t="str">
        <f t="shared" si="354"/>
        <v>ND</v>
      </c>
      <c r="CT73" s="1" t="str">
        <f t="shared" si="354"/>
        <v>ND</v>
      </c>
      <c r="CU73" s="1" t="str">
        <f t="shared" si="354"/>
        <v>ND</v>
      </c>
      <c r="CV73" s="1" t="str">
        <f t="shared" si="354"/>
        <v>ND</v>
      </c>
      <c r="CW73" s="1" t="str">
        <f t="shared" si="228"/>
        <v>ND</v>
      </c>
      <c r="CX73" s="1" t="str">
        <f t="shared" si="229"/>
        <v>ND</v>
      </c>
      <c r="CY73" s="1" t="str">
        <f t="shared" si="230"/>
        <v>ND</v>
      </c>
      <c r="CZ73" s="1" t="str">
        <f t="shared" si="231"/>
        <v>ND</v>
      </c>
      <c r="DA73" s="1" t="str">
        <f t="shared" si="232"/>
        <v>ND</v>
      </c>
      <c r="DB73" s="1" t="str">
        <f t="shared" si="233"/>
        <v>ND</v>
      </c>
      <c r="DC73" s="1" t="str">
        <f t="shared" si="234"/>
        <v>ND</v>
      </c>
      <c r="DD73" s="1" t="str">
        <f t="shared" si="235"/>
        <v>ND</v>
      </c>
      <c r="DE73" s="1" t="str">
        <f t="shared" si="236"/>
        <v>ND</v>
      </c>
      <c r="DF73" s="1" t="str">
        <f t="shared" si="237"/>
        <v>ND</v>
      </c>
      <c r="DG73" s="1" t="str">
        <f t="shared" si="238"/>
        <v>ND</v>
      </c>
      <c r="DH73" s="1" t="str">
        <f t="shared" si="239"/>
        <v>ND</v>
      </c>
      <c r="DI73" s="1" t="str">
        <f t="shared" si="240"/>
        <v>ND</v>
      </c>
      <c r="DJ73" s="1" t="str">
        <f t="shared" si="241"/>
        <v>ND</v>
      </c>
      <c r="DK73" s="1" t="str">
        <f t="shared" si="242"/>
        <v>ND</v>
      </c>
      <c r="DL73" s="1" t="str">
        <f t="shared" si="243"/>
        <v>ND</v>
      </c>
      <c r="DM73" s="1" t="str">
        <f t="shared" si="244"/>
        <v>ND</v>
      </c>
      <c r="DN73" s="1" t="str">
        <f t="shared" si="245"/>
        <v>ND</v>
      </c>
      <c r="DO73" s="1" t="str">
        <f t="shared" si="246"/>
        <v>ND</v>
      </c>
      <c r="DP73" s="1" t="str">
        <f t="shared" si="247"/>
        <v>ND</v>
      </c>
      <c r="DQ73" s="1" t="str">
        <f t="shared" si="248"/>
        <v>ND</v>
      </c>
      <c r="DR73" s="1" t="str">
        <f t="shared" si="249"/>
        <v>ND</v>
      </c>
      <c r="DS73" s="1" t="str">
        <f t="shared" si="250"/>
        <v>ND</v>
      </c>
      <c r="DT73" s="1" t="str">
        <f t="shared" si="251"/>
        <v>ND</v>
      </c>
      <c r="DU73" s="1" t="str">
        <f t="shared" si="252"/>
        <v>ND</v>
      </c>
      <c r="DV73" s="1" t="str">
        <f t="shared" si="253"/>
        <v>ND</v>
      </c>
      <c r="DW73" s="1" t="str">
        <f t="shared" si="254"/>
        <v>ND</v>
      </c>
      <c r="DX73" s="1" t="str">
        <f t="shared" si="255"/>
        <v>ND</v>
      </c>
      <c r="DY73" s="1" t="str">
        <f t="shared" si="256"/>
        <v>ND</v>
      </c>
      <c r="DZ73" s="1" t="str">
        <f t="shared" si="257"/>
        <v>ND</v>
      </c>
      <c r="EA73" s="1" t="str">
        <f t="shared" si="258"/>
        <v>ND</v>
      </c>
      <c r="EB73" s="1" t="str">
        <f t="shared" si="259"/>
        <v>ND</v>
      </c>
      <c r="EC73" s="1" t="str">
        <f t="shared" si="260"/>
        <v>ND</v>
      </c>
      <c r="ED73" s="1" t="str">
        <f t="shared" si="261"/>
        <v>ND</v>
      </c>
      <c r="EE73" s="1" t="str">
        <f t="shared" si="262"/>
        <v>ND</v>
      </c>
      <c r="EF73" s="1" t="str">
        <f t="shared" si="263"/>
        <v>ND</v>
      </c>
      <c r="EG73" s="1" t="str">
        <f t="shared" si="264"/>
        <v>ND</v>
      </c>
      <c r="EH73" s="1" t="str">
        <f t="shared" si="265"/>
        <v>ND</v>
      </c>
      <c r="EI73" s="1" t="str">
        <f t="shared" si="266"/>
        <v>ND</v>
      </c>
      <c r="EJ73" s="1" t="str">
        <f t="shared" si="267"/>
        <v>ND</v>
      </c>
      <c r="EK73" s="1" t="str">
        <f t="shared" si="268"/>
        <v>ND</v>
      </c>
      <c r="EL73" s="1" t="str">
        <f t="shared" si="269"/>
        <v>ND</v>
      </c>
      <c r="EM73" s="1" t="str">
        <f t="shared" si="270"/>
        <v>ND</v>
      </c>
      <c r="EN73" s="1" t="str">
        <f t="shared" si="271"/>
        <v>ND</v>
      </c>
      <c r="EO73" s="1" t="str">
        <f t="shared" si="355"/>
        <v>ND</v>
      </c>
      <c r="EP73" s="1" t="str">
        <f t="shared" si="355"/>
        <v>ND</v>
      </c>
      <c r="EQ73" s="1" t="str">
        <f t="shared" si="355"/>
        <v>ND</v>
      </c>
      <c r="ER73" s="1" t="str">
        <f t="shared" si="355"/>
        <v>ND</v>
      </c>
      <c r="ES73" s="1" t="str">
        <f t="shared" si="355"/>
        <v>ND</v>
      </c>
      <c r="ET73" s="1" t="str">
        <f t="shared" si="355"/>
        <v>ND</v>
      </c>
      <c r="EU73" s="1" t="str">
        <f t="shared" si="355"/>
        <v>ND</v>
      </c>
      <c r="EV73" s="1" t="str">
        <f t="shared" si="355"/>
        <v>ND</v>
      </c>
      <c r="EW73" s="1" t="str">
        <f t="shared" si="355"/>
        <v>ND</v>
      </c>
      <c r="EX73" s="1" t="str">
        <f t="shared" si="355"/>
        <v>ND</v>
      </c>
      <c r="EY73" s="1" t="str">
        <f t="shared" si="355"/>
        <v>ND</v>
      </c>
      <c r="EZ73" s="1" t="str">
        <f t="shared" si="356"/>
        <v>ND</v>
      </c>
      <c r="FA73" s="1" t="str">
        <f t="shared" si="356"/>
        <v>ND</v>
      </c>
      <c r="FB73" s="1" t="str">
        <f t="shared" si="356"/>
        <v>ND</v>
      </c>
      <c r="FC73" s="1" t="str">
        <f t="shared" si="356"/>
        <v>ND</v>
      </c>
      <c r="FD73" s="1" t="str">
        <f t="shared" si="356"/>
        <v>ND</v>
      </c>
      <c r="FE73" s="1" t="str">
        <f t="shared" si="356"/>
        <v>ND</v>
      </c>
      <c r="FF73" s="1" t="str">
        <f t="shared" si="356"/>
        <v>ND</v>
      </c>
      <c r="FG73" s="1" t="str">
        <f t="shared" si="356"/>
        <v>ND</v>
      </c>
      <c r="FH73" s="1" t="str">
        <f t="shared" si="356"/>
        <v>ND</v>
      </c>
      <c r="FI73" s="1" t="str">
        <f t="shared" si="356"/>
        <v>ND</v>
      </c>
      <c r="FJ73" s="1" t="str">
        <f t="shared" si="356"/>
        <v>ND</v>
      </c>
      <c r="FK73" s="1" t="str">
        <f t="shared" si="357"/>
        <v>ND</v>
      </c>
      <c r="FL73" s="1" t="str">
        <f t="shared" si="357"/>
        <v>ND</v>
      </c>
      <c r="FM73" s="1" t="str">
        <f t="shared" si="357"/>
        <v>ND</v>
      </c>
      <c r="FN73" s="1" t="str">
        <f t="shared" si="357"/>
        <v>ND</v>
      </c>
      <c r="FO73" s="1" t="str">
        <f t="shared" si="357"/>
        <v>ND</v>
      </c>
      <c r="FP73" s="1" t="str">
        <f t="shared" si="357"/>
        <v>ND</v>
      </c>
      <c r="FQ73" s="1" t="str">
        <f t="shared" si="357"/>
        <v>ND</v>
      </c>
      <c r="FR73" s="1" t="str">
        <f t="shared" si="357"/>
        <v>ND</v>
      </c>
      <c r="FS73" s="1" t="str">
        <f t="shared" si="357"/>
        <v>ND</v>
      </c>
      <c r="FT73" s="1" t="str">
        <f t="shared" si="357"/>
        <v>ND</v>
      </c>
      <c r="FU73" s="1" t="str">
        <f t="shared" si="357"/>
        <v>ND</v>
      </c>
      <c r="FV73" s="1" t="str">
        <f t="shared" si="272"/>
        <v>ND</v>
      </c>
      <c r="FW73" s="1" t="str">
        <f t="shared" si="273"/>
        <v>ND</v>
      </c>
      <c r="FX73" s="1" t="str">
        <f t="shared" si="274"/>
        <v>ND</v>
      </c>
      <c r="FY73" s="1" t="str">
        <f t="shared" si="275"/>
        <v>ND</v>
      </c>
      <c r="FZ73" s="1" t="str">
        <f t="shared" si="276"/>
        <v>ND</v>
      </c>
      <c r="GA73" s="1" t="str">
        <f t="shared" si="277"/>
        <v>ND</v>
      </c>
      <c r="GB73" s="1" t="str">
        <f t="shared" si="278"/>
        <v>ND</v>
      </c>
      <c r="GC73" s="1" t="str">
        <f t="shared" si="279"/>
        <v>ND</v>
      </c>
      <c r="GD73" s="1" t="str">
        <f t="shared" si="280"/>
        <v>ND</v>
      </c>
      <c r="GE73" s="1" t="str">
        <f t="shared" si="281"/>
        <v>ND</v>
      </c>
      <c r="GF73" s="1" t="str">
        <f t="shared" si="282"/>
        <v>ND</v>
      </c>
      <c r="GG73" s="1" t="str">
        <f t="shared" si="283"/>
        <v>ND</v>
      </c>
      <c r="GH73" s="1" t="str">
        <f t="shared" si="284"/>
        <v>ND</v>
      </c>
      <c r="GI73" s="1" t="str">
        <f t="shared" si="285"/>
        <v>ND</v>
      </c>
      <c r="GJ73" s="1" t="str">
        <f t="shared" si="286"/>
        <v>ND</v>
      </c>
      <c r="GK73" s="1" t="str">
        <f t="shared" si="287"/>
        <v>ND</v>
      </c>
      <c r="GL73" s="1" t="str">
        <f t="shared" si="288"/>
        <v>ND</v>
      </c>
      <c r="GM73" s="1" t="str">
        <f t="shared" si="289"/>
        <v>ND</v>
      </c>
      <c r="GN73" s="1" t="str">
        <f t="shared" si="290"/>
        <v>ND</v>
      </c>
      <c r="GO73" s="1" t="str">
        <f t="shared" si="291"/>
        <v>ND</v>
      </c>
      <c r="GP73" s="1" t="str">
        <f t="shared" si="292"/>
        <v>ND</v>
      </c>
      <c r="GQ73" s="1" t="str">
        <f t="shared" si="293"/>
        <v>ND</v>
      </c>
      <c r="GR73" s="1" t="str">
        <f t="shared" si="294"/>
        <v>ND</v>
      </c>
      <c r="GS73" s="1" t="str">
        <f t="shared" si="295"/>
        <v>ND</v>
      </c>
      <c r="GT73" s="1" t="str">
        <f t="shared" si="296"/>
        <v>ND</v>
      </c>
      <c r="GU73" s="1" t="str">
        <f t="shared" si="297"/>
        <v>ND</v>
      </c>
      <c r="GV73" s="1" t="str">
        <f t="shared" si="298"/>
        <v>ND</v>
      </c>
      <c r="GW73" s="1" t="str">
        <f t="shared" si="299"/>
        <v>ND</v>
      </c>
      <c r="GX73" s="1" t="str">
        <f t="shared" si="300"/>
        <v>ND</v>
      </c>
      <c r="GY73" s="1" t="str">
        <f t="shared" si="301"/>
        <v>ND</v>
      </c>
      <c r="GZ73" s="1" t="str">
        <f t="shared" si="302"/>
        <v>ND</v>
      </c>
      <c r="HA73" s="1" t="str">
        <f t="shared" si="303"/>
        <v>ND</v>
      </c>
      <c r="HB73" s="1" t="str">
        <f t="shared" si="304"/>
        <v>ND</v>
      </c>
      <c r="HC73" s="1" t="str">
        <f t="shared" si="305"/>
        <v>ND</v>
      </c>
      <c r="HD73" s="1" t="str">
        <f t="shared" si="306"/>
        <v>ND</v>
      </c>
      <c r="HE73" s="1" t="str">
        <f t="shared" si="307"/>
        <v>ND</v>
      </c>
      <c r="HF73" s="1" t="str">
        <f t="shared" si="308"/>
        <v>ND</v>
      </c>
      <c r="HG73" s="1" t="str">
        <f t="shared" si="309"/>
        <v>ND</v>
      </c>
      <c r="HH73" s="1" t="str">
        <f t="shared" si="310"/>
        <v>ND</v>
      </c>
      <c r="HI73" s="1" t="str">
        <f t="shared" si="311"/>
        <v>ND</v>
      </c>
      <c r="HJ73" s="1" t="str">
        <f t="shared" si="312"/>
        <v>ND</v>
      </c>
      <c r="HK73" s="1" t="str">
        <f t="shared" si="313"/>
        <v>ND</v>
      </c>
      <c r="HL73" s="1" t="str">
        <f t="shared" si="314"/>
        <v>ND</v>
      </c>
      <c r="HM73" s="1" t="str">
        <f t="shared" si="315"/>
        <v>ND</v>
      </c>
      <c r="HN73" s="1" t="str">
        <f t="shared" si="316"/>
        <v>ND</v>
      </c>
      <c r="HO73" s="1" t="str">
        <f t="shared" si="317"/>
        <v>ND</v>
      </c>
      <c r="HP73" s="1" t="str">
        <f t="shared" si="318"/>
        <v>ND</v>
      </c>
      <c r="HQ73" s="1" t="str">
        <f t="shared" si="319"/>
        <v>ND</v>
      </c>
      <c r="HR73" s="1" t="str">
        <f t="shared" si="320"/>
        <v>ND</v>
      </c>
      <c r="HS73" s="1" t="str">
        <f t="shared" si="321"/>
        <v>ND</v>
      </c>
      <c r="HT73" s="1" t="str">
        <f t="shared" si="322"/>
        <v>ND</v>
      </c>
      <c r="HU73" s="1" t="str">
        <f t="shared" si="323"/>
        <v>ND</v>
      </c>
      <c r="HV73" s="1" t="str">
        <f t="shared" si="324"/>
        <v>ND</v>
      </c>
      <c r="HW73" s="1" t="str">
        <f t="shared" si="325"/>
        <v>ND</v>
      </c>
      <c r="HX73" s="1" t="str">
        <f t="shared" si="326"/>
        <v>ND</v>
      </c>
      <c r="HY73" s="1" t="str">
        <f t="shared" si="327"/>
        <v>ND</v>
      </c>
      <c r="HZ73" s="1" t="str">
        <f t="shared" si="328"/>
        <v>ND</v>
      </c>
      <c r="IA73" s="1" t="str">
        <f t="shared" si="329"/>
        <v>ND</v>
      </c>
      <c r="IB73" s="1" t="str">
        <f t="shared" si="330"/>
        <v>ND</v>
      </c>
      <c r="IC73" s="1" t="str">
        <f t="shared" si="331"/>
        <v>ND</v>
      </c>
      <c r="ID73" s="1" t="str">
        <f t="shared" si="332"/>
        <v>ND</v>
      </c>
      <c r="IE73" s="1" t="str">
        <f t="shared" si="333"/>
        <v>ND</v>
      </c>
      <c r="IF73" s="1" t="str">
        <f t="shared" si="334"/>
        <v>ND</v>
      </c>
      <c r="IG73" s="1" t="str">
        <f t="shared" si="335"/>
        <v>ND</v>
      </c>
      <c r="IH73" s="1" t="str">
        <f t="shared" si="336"/>
        <v>ND</v>
      </c>
      <c r="II73" s="1" t="str">
        <f t="shared" si="337"/>
        <v>ND</v>
      </c>
    </row>
    <row r="74" spans="3:243" x14ac:dyDescent="0.25">
      <c r="C74" t="s">
        <v>948</v>
      </c>
      <c r="D74">
        <f>SUMIFS(DICCIONARIO[Cantidad],DICCIONARIO[Modelo],UNIFICADA[[#This Row],[Equipo]])</f>
        <v>30</v>
      </c>
      <c r="E74" s="1">
        <f>IFERROR(VLOOKUP($C74,EQUIPOS[],UNIFICADO!E$9,0),"")</f>
        <v>12</v>
      </c>
      <c r="F74" s="1" t="str">
        <f>IFERROR(VLOOKUP($C74,EQUIPOS[],UNIFICADO!F$9,0),"")</f>
        <v>6.5 HD+ 90Hz</v>
      </c>
      <c r="G74" s="1" t="str">
        <f>IFERROR(VLOOKUP($C74,EQUIPOS[],UNIFICADO!G$9,0),"")</f>
        <v>50 MP f/1.8</v>
      </c>
      <c r="H74" s="1">
        <f>IFERROR(VLOOKUP($C74,EQUIPOS[],UNIFICADO!H$9,0),"")</f>
        <v>3</v>
      </c>
      <c r="I74" s="1">
        <f>IFERROR(VLOOKUP($C74,EQUIPOS[],UNIFICADO!I$9,0),"")</f>
        <v>5</v>
      </c>
      <c r="J74" s="1" t="str">
        <f>IFERROR(VLOOKUP($C74,EQUIPOS[],UNIFICADO!J$9,0),"")</f>
        <v>64GB</v>
      </c>
      <c r="K74" s="1">
        <f>IFERROR(VLOOKUP($C74,EQUIPOS[],UNIFICADO!K$9,0),"")</f>
        <v>1024</v>
      </c>
      <c r="L74" s="1">
        <f>IFERROR(VLOOKUP($C74,EQUIPOS[],UNIFICADO!L$9,0),"")</f>
        <v>8</v>
      </c>
      <c r="M74" s="1">
        <f>IFERROR(VLOOKUP($C74,EQUIPOS[],UNIFICADO!M$9,0),"")</f>
        <v>2</v>
      </c>
      <c r="N74" s="1">
        <f>IFERROR(VLOOKUP($C74,EQUIPOS[],UNIFICADO!N$9,0),"")</f>
        <v>3</v>
      </c>
      <c r="O74" s="1">
        <f>IFERROR(VLOOKUP($C74,EQUIPOS[],UNIFICADO!O$9,0),"")</f>
        <v>195</v>
      </c>
      <c r="P74" s="1">
        <f>IFERROR(VLOOKUP($C74,EQUIPOS[],UNIFICADO!P$9,0),"")</f>
        <v>16.5</v>
      </c>
      <c r="Q74" s="1">
        <f>IFERROR(VLOOKUP($C74,EQUIPOS[],UNIFICADO!Q$9,0),"")</f>
        <v>7.67</v>
      </c>
      <c r="R74" s="1">
        <f>IFERROR(VLOOKUP($C74,EQUIPOS[],UNIFICADO!R$9,0),"")</f>
        <v>0.91</v>
      </c>
      <c r="S74" s="1">
        <f>IFERROR(VLOOKUP($C74,EQUIPOS[],UNIFICADO!S$9,0),"")</f>
        <v>5000</v>
      </c>
      <c r="T74" s="1">
        <f>IFERROR(VLOOKUP($C74,EQUIPOS[],UNIFICADO!T$9,0),"")</f>
        <v>4</v>
      </c>
      <c r="U74" s="1">
        <f>VLOOKUP(UNIFICADA[[#This Row],[Equipo]],EQUIPOS[],19,0)</f>
        <v>64</v>
      </c>
      <c r="V74" s="1" t="str">
        <f t="shared" si="182"/>
        <v>ND</v>
      </c>
      <c r="W74" s="1" t="str">
        <f t="shared" si="183"/>
        <v>ND</v>
      </c>
      <c r="X74" s="1" t="str">
        <f t="shared" si="351"/>
        <v>ND</v>
      </c>
      <c r="Y74" s="1" t="str">
        <f t="shared" si="351"/>
        <v>ND</v>
      </c>
      <c r="Z74" s="1" t="str">
        <f t="shared" si="352"/>
        <v>ND</v>
      </c>
      <c r="AA74" s="1" t="str">
        <f t="shared" si="352"/>
        <v>ND</v>
      </c>
      <c r="AB74" s="1" t="str">
        <f t="shared" si="352"/>
        <v>ND</v>
      </c>
      <c r="AC74" s="1" t="str">
        <f t="shared" si="352"/>
        <v>ND</v>
      </c>
      <c r="AD74" s="1" t="str">
        <f t="shared" si="352"/>
        <v>ND</v>
      </c>
      <c r="AE74" s="1" t="str">
        <f t="shared" si="352"/>
        <v>ND</v>
      </c>
      <c r="AF74" s="1" t="str">
        <f t="shared" si="352"/>
        <v>ND</v>
      </c>
      <c r="AG74" s="1" t="str">
        <f t="shared" si="352"/>
        <v>ND</v>
      </c>
      <c r="AH74" s="1" t="str">
        <f t="shared" si="352"/>
        <v>ND</v>
      </c>
      <c r="AI74" s="1" t="str">
        <f t="shared" si="184"/>
        <v>ND</v>
      </c>
      <c r="AJ74" s="1" t="str">
        <f t="shared" si="185"/>
        <v>ND</v>
      </c>
      <c r="AK74" s="1" t="str">
        <f t="shared" si="186"/>
        <v>ND</v>
      </c>
      <c r="AL74" s="1" t="str">
        <f t="shared" si="187"/>
        <v>ND</v>
      </c>
      <c r="AM74" s="1" t="str">
        <f t="shared" si="188"/>
        <v>ND</v>
      </c>
      <c r="AN74" s="1" t="str">
        <f t="shared" si="189"/>
        <v>ND</v>
      </c>
      <c r="AO74" s="1" t="str">
        <f t="shared" si="190"/>
        <v>ND</v>
      </c>
      <c r="AP74" s="1" t="str">
        <f t="shared" si="191"/>
        <v>ND</v>
      </c>
      <c r="AQ74" s="1" t="str">
        <f t="shared" si="192"/>
        <v>ND</v>
      </c>
      <c r="AR74" s="1" t="str">
        <f t="shared" si="193"/>
        <v>ND</v>
      </c>
      <c r="AS74" s="1" t="str">
        <f t="shared" si="194"/>
        <v>ND</v>
      </c>
      <c r="AT74" s="1" t="str">
        <f t="shared" si="195"/>
        <v>ND</v>
      </c>
      <c r="AU74" s="1" t="str">
        <f t="shared" si="196"/>
        <v>ND</v>
      </c>
      <c r="AV74" s="1" t="str">
        <f t="shared" si="197"/>
        <v>ND</v>
      </c>
      <c r="AW74" s="1" t="str">
        <f t="shared" si="198"/>
        <v>ND</v>
      </c>
      <c r="AX74" s="1" t="str">
        <f t="shared" si="199"/>
        <v>ND</v>
      </c>
      <c r="AY74" s="1" t="str">
        <f t="shared" si="200"/>
        <v>ND</v>
      </c>
      <c r="AZ74" s="1" t="str">
        <f t="shared" si="201"/>
        <v>ND</v>
      </c>
      <c r="BA74" s="1" t="str">
        <f t="shared" si="202"/>
        <v>ND</v>
      </c>
      <c r="BB74" s="1" t="str">
        <f t="shared" si="203"/>
        <v>ND</v>
      </c>
      <c r="BC74" s="1" t="str">
        <f t="shared" si="204"/>
        <v>ND</v>
      </c>
      <c r="BD74" s="1" t="str">
        <f t="shared" si="205"/>
        <v>ND</v>
      </c>
      <c r="BE74" s="1" t="str">
        <f t="shared" si="206"/>
        <v>ND</v>
      </c>
      <c r="BF74" s="1" t="str">
        <f t="shared" si="207"/>
        <v>ND</v>
      </c>
      <c r="BG74" s="1" t="str">
        <f t="shared" si="208"/>
        <v>ND</v>
      </c>
      <c r="BH74" s="1" t="str">
        <f t="shared" si="209"/>
        <v>ND</v>
      </c>
      <c r="BI74" s="1" t="str">
        <f t="shared" si="210"/>
        <v>ND</v>
      </c>
      <c r="BJ74" s="1" t="str">
        <f t="shared" si="211"/>
        <v>ND</v>
      </c>
      <c r="BK74" s="1" t="str">
        <f t="shared" si="212"/>
        <v>ND</v>
      </c>
      <c r="BL74" s="1" t="str">
        <f t="shared" si="213"/>
        <v>ND</v>
      </c>
      <c r="BM74" s="1" t="str">
        <f t="shared" si="214"/>
        <v>ND</v>
      </c>
      <c r="BN74" s="1" t="str">
        <f t="shared" si="215"/>
        <v>ND</v>
      </c>
      <c r="BO74" s="1" t="str">
        <f t="shared" si="216"/>
        <v>ND</v>
      </c>
      <c r="BP74" s="1" t="str">
        <f t="shared" si="217"/>
        <v>ND</v>
      </c>
      <c r="BQ74" s="1" t="str">
        <f t="shared" si="218"/>
        <v>ND</v>
      </c>
      <c r="BR74" s="1" t="str">
        <f t="shared" si="219"/>
        <v>ND</v>
      </c>
      <c r="BS74" s="1" t="str">
        <f t="shared" si="220"/>
        <v>ND</v>
      </c>
      <c r="BT74" s="1" t="str">
        <f t="shared" si="221"/>
        <v>ND</v>
      </c>
      <c r="BU74" s="1" t="str">
        <f t="shared" si="222"/>
        <v>ND</v>
      </c>
      <c r="BV74" s="1" t="str">
        <f t="shared" si="223"/>
        <v>ND</v>
      </c>
      <c r="BW74" s="1" t="str">
        <f t="shared" si="224"/>
        <v>ND</v>
      </c>
      <c r="BX74" s="1" t="str">
        <f t="shared" si="225"/>
        <v>ND</v>
      </c>
      <c r="BY74" s="1" t="str">
        <f t="shared" si="226"/>
        <v>ND</v>
      </c>
      <c r="BZ74" s="1" t="str">
        <f t="shared" si="227"/>
        <v>ND</v>
      </c>
      <c r="CA74" s="1" t="str">
        <f t="shared" si="353"/>
        <v>ND</v>
      </c>
      <c r="CB74" s="1" t="str">
        <f t="shared" si="353"/>
        <v>ND</v>
      </c>
      <c r="CC74" s="1" t="str">
        <f t="shared" si="353"/>
        <v>ND</v>
      </c>
      <c r="CD74" s="1" t="str">
        <f t="shared" si="353"/>
        <v>ND</v>
      </c>
      <c r="CE74" s="1" t="str">
        <f t="shared" si="353"/>
        <v>ND</v>
      </c>
      <c r="CF74" s="1" t="str">
        <f t="shared" si="353"/>
        <v>ND</v>
      </c>
      <c r="CG74" s="1" t="str">
        <f t="shared" si="353"/>
        <v>ND</v>
      </c>
      <c r="CH74" s="1" t="str">
        <f t="shared" si="353"/>
        <v>ND</v>
      </c>
      <c r="CI74" s="1" t="str">
        <f t="shared" si="353"/>
        <v>ND</v>
      </c>
      <c r="CJ74" s="1" t="str">
        <f t="shared" si="353"/>
        <v>ND</v>
      </c>
      <c r="CK74" s="1" t="str">
        <f t="shared" si="353"/>
        <v>ND</v>
      </c>
      <c r="CL74" s="1" t="str">
        <f t="shared" si="354"/>
        <v>ND</v>
      </c>
      <c r="CM74" s="1" t="str">
        <f t="shared" si="354"/>
        <v>ND</v>
      </c>
      <c r="CN74" s="1" t="str">
        <f t="shared" si="354"/>
        <v>ND</v>
      </c>
      <c r="CO74" s="1" t="str">
        <f t="shared" si="354"/>
        <v>ND</v>
      </c>
      <c r="CP74" s="1" t="str">
        <f t="shared" si="354"/>
        <v>ND</v>
      </c>
      <c r="CQ74" s="1" t="str">
        <f t="shared" si="354"/>
        <v>ND</v>
      </c>
      <c r="CR74" s="1" t="str">
        <f t="shared" si="354"/>
        <v>ND</v>
      </c>
      <c r="CS74" s="1" t="str">
        <f t="shared" si="354"/>
        <v>ND</v>
      </c>
      <c r="CT74" s="1" t="str">
        <f t="shared" si="354"/>
        <v>ND</v>
      </c>
      <c r="CU74" s="1" t="str">
        <f t="shared" si="354"/>
        <v>ND</v>
      </c>
      <c r="CV74" s="1" t="str">
        <f t="shared" si="354"/>
        <v>ND</v>
      </c>
      <c r="CW74" s="1" t="str">
        <f t="shared" si="228"/>
        <v>ND</v>
      </c>
      <c r="CX74" s="1" t="str">
        <f t="shared" si="229"/>
        <v>ND</v>
      </c>
      <c r="CY74" s="1" t="str">
        <f t="shared" si="230"/>
        <v>ND</v>
      </c>
      <c r="CZ74" s="1" t="str">
        <f t="shared" si="231"/>
        <v>ND</v>
      </c>
      <c r="DA74" s="1" t="str">
        <f t="shared" si="232"/>
        <v>ND</v>
      </c>
      <c r="DB74" s="1" t="str">
        <f t="shared" si="233"/>
        <v>ND</v>
      </c>
      <c r="DC74" s="1" t="str">
        <f t="shared" si="234"/>
        <v>ND</v>
      </c>
      <c r="DD74" s="1" t="str">
        <f t="shared" si="235"/>
        <v>ND</v>
      </c>
      <c r="DE74" s="1" t="str">
        <f t="shared" si="236"/>
        <v>ND</v>
      </c>
      <c r="DF74" s="1" t="str">
        <f t="shared" si="237"/>
        <v>ND</v>
      </c>
      <c r="DG74" s="1" t="str">
        <f t="shared" si="238"/>
        <v>ND</v>
      </c>
      <c r="DH74" s="1" t="str">
        <f t="shared" si="239"/>
        <v>ND</v>
      </c>
      <c r="DI74" s="1" t="str">
        <f t="shared" si="240"/>
        <v>ND</v>
      </c>
      <c r="DJ74" s="1" t="str">
        <f t="shared" si="241"/>
        <v>ND</v>
      </c>
      <c r="DK74" s="1" t="str">
        <f t="shared" si="242"/>
        <v>ND</v>
      </c>
      <c r="DL74" s="1" t="str">
        <f t="shared" si="243"/>
        <v>ND</v>
      </c>
      <c r="DM74" s="1" t="str">
        <f t="shared" si="244"/>
        <v>ND</v>
      </c>
      <c r="DN74" s="1" t="str">
        <f t="shared" si="245"/>
        <v>ND</v>
      </c>
      <c r="DO74" s="1" t="str">
        <f t="shared" si="246"/>
        <v>ND</v>
      </c>
      <c r="DP74" s="1" t="str">
        <f t="shared" si="247"/>
        <v>ND</v>
      </c>
      <c r="DQ74" s="1" t="str">
        <f t="shared" si="248"/>
        <v>ND</v>
      </c>
      <c r="DR74" s="1" t="str">
        <f t="shared" si="249"/>
        <v>ND</v>
      </c>
      <c r="DS74" s="1" t="str">
        <f t="shared" si="250"/>
        <v>ND</v>
      </c>
      <c r="DT74" s="1" t="str">
        <f t="shared" si="251"/>
        <v>ND</v>
      </c>
      <c r="DU74" s="1" t="str">
        <f t="shared" si="252"/>
        <v>ND</v>
      </c>
      <c r="DV74" s="1" t="str">
        <f t="shared" si="253"/>
        <v>ND</v>
      </c>
      <c r="DW74" s="1" t="str">
        <f t="shared" si="254"/>
        <v>ND</v>
      </c>
      <c r="DX74" s="1" t="str">
        <f t="shared" si="255"/>
        <v>ND</v>
      </c>
      <c r="DY74" s="1" t="str">
        <f t="shared" si="256"/>
        <v>ND</v>
      </c>
      <c r="DZ74" s="1" t="str">
        <f t="shared" si="257"/>
        <v>ND</v>
      </c>
      <c r="EA74" s="1" t="str">
        <f t="shared" si="258"/>
        <v>ND</v>
      </c>
      <c r="EB74" s="1" t="str">
        <f t="shared" si="259"/>
        <v>ND</v>
      </c>
      <c r="EC74" s="1" t="str">
        <f t="shared" si="260"/>
        <v>ND</v>
      </c>
      <c r="ED74" s="1" t="str">
        <f t="shared" si="261"/>
        <v>ND</v>
      </c>
      <c r="EE74" s="1" t="str">
        <f t="shared" si="262"/>
        <v>ND</v>
      </c>
      <c r="EF74" s="1" t="str">
        <f t="shared" si="263"/>
        <v>ND</v>
      </c>
      <c r="EG74" s="1" t="str">
        <f t="shared" si="264"/>
        <v>ND</v>
      </c>
      <c r="EH74" s="1" t="str">
        <f t="shared" si="265"/>
        <v>ND</v>
      </c>
      <c r="EI74" s="1" t="str">
        <f t="shared" si="266"/>
        <v>ND</v>
      </c>
      <c r="EJ74" s="1" t="str">
        <f t="shared" si="267"/>
        <v>ND</v>
      </c>
      <c r="EK74" s="1" t="str">
        <f t="shared" si="268"/>
        <v>ND</v>
      </c>
      <c r="EL74" s="1" t="str">
        <f t="shared" si="269"/>
        <v>ND</v>
      </c>
      <c r="EM74" s="1" t="str">
        <f t="shared" si="270"/>
        <v>ND</v>
      </c>
      <c r="EN74" s="1" t="str">
        <f t="shared" si="271"/>
        <v>ND</v>
      </c>
      <c r="EO74" s="1" t="str">
        <f t="shared" si="355"/>
        <v>ND</v>
      </c>
      <c r="EP74" s="1" t="str">
        <f t="shared" si="355"/>
        <v>ND</v>
      </c>
      <c r="EQ74" s="1" t="str">
        <f t="shared" si="355"/>
        <v>ND</v>
      </c>
      <c r="ER74" s="1" t="str">
        <f t="shared" si="355"/>
        <v>ND</v>
      </c>
      <c r="ES74" s="1" t="str">
        <f t="shared" si="355"/>
        <v>ND</v>
      </c>
      <c r="ET74" s="1" t="str">
        <f t="shared" si="355"/>
        <v>ND</v>
      </c>
      <c r="EU74" s="1" t="str">
        <f t="shared" si="355"/>
        <v>ND</v>
      </c>
      <c r="EV74" s="1" t="str">
        <f t="shared" si="355"/>
        <v>ND</v>
      </c>
      <c r="EW74" s="1" t="str">
        <f t="shared" si="355"/>
        <v>ND</v>
      </c>
      <c r="EX74" s="1" t="str">
        <f t="shared" si="355"/>
        <v>ND</v>
      </c>
      <c r="EY74" s="1" t="str">
        <f t="shared" si="355"/>
        <v>ND</v>
      </c>
      <c r="EZ74" s="1" t="str">
        <f t="shared" si="356"/>
        <v>ND</v>
      </c>
      <c r="FA74" s="1" t="str">
        <f t="shared" si="356"/>
        <v>ND</v>
      </c>
      <c r="FB74" s="1" t="str">
        <f t="shared" si="356"/>
        <v>ND</v>
      </c>
      <c r="FC74" s="1" t="str">
        <f t="shared" si="356"/>
        <v>ND</v>
      </c>
      <c r="FD74" s="1" t="str">
        <f t="shared" si="356"/>
        <v>ND</v>
      </c>
      <c r="FE74" s="1" t="str">
        <f t="shared" si="356"/>
        <v>ND</v>
      </c>
      <c r="FF74" s="1" t="str">
        <f t="shared" si="356"/>
        <v>ND</v>
      </c>
      <c r="FG74" s="1" t="str">
        <f t="shared" si="356"/>
        <v>ND</v>
      </c>
      <c r="FH74" s="1" t="str">
        <f t="shared" si="356"/>
        <v>ND</v>
      </c>
      <c r="FI74" s="1" t="str">
        <f t="shared" si="356"/>
        <v>ND</v>
      </c>
      <c r="FJ74" s="1" t="str">
        <f t="shared" si="356"/>
        <v>ND</v>
      </c>
      <c r="FK74" s="1" t="str">
        <f t="shared" si="357"/>
        <v>ND</v>
      </c>
      <c r="FL74" s="1" t="str">
        <f t="shared" si="357"/>
        <v>ND</v>
      </c>
      <c r="FM74" s="1" t="str">
        <f t="shared" si="357"/>
        <v>ND</v>
      </c>
      <c r="FN74" s="1" t="str">
        <f t="shared" si="357"/>
        <v>ND</v>
      </c>
      <c r="FO74" s="1" t="str">
        <f t="shared" si="357"/>
        <v>ND</v>
      </c>
      <c r="FP74" s="1" t="str">
        <f t="shared" si="357"/>
        <v>ND</v>
      </c>
      <c r="FQ74" s="1" t="str">
        <f t="shared" si="357"/>
        <v>ND</v>
      </c>
      <c r="FR74" s="1" t="str">
        <f t="shared" si="357"/>
        <v>ND</v>
      </c>
      <c r="FS74" s="1" t="str">
        <f t="shared" si="357"/>
        <v>ND</v>
      </c>
      <c r="FT74" s="1" t="str">
        <f t="shared" si="357"/>
        <v>ND</v>
      </c>
      <c r="FU74" s="1" t="str">
        <f t="shared" si="357"/>
        <v>ND</v>
      </c>
      <c r="FV74" s="1" t="str">
        <f t="shared" si="272"/>
        <v>ND</v>
      </c>
      <c r="FW74" s="1" t="str">
        <f t="shared" si="273"/>
        <v>ND</v>
      </c>
      <c r="FX74" s="1" t="str">
        <f t="shared" si="274"/>
        <v>ND</v>
      </c>
      <c r="FY74" s="1" t="str">
        <f t="shared" si="275"/>
        <v>ND</v>
      </c>
      <c r="FZ74" s="1" t="str">
        <f t="shared" si="276"/>
        <v>ND</v>
      </c>
      <c r="GA74" s="1" t="str">
        <f t="shared" si="277"/>
        <v>ND</v>
      </c>
      <c r="GB74" s="1" t="str">
        <f t="shared" si="278"/>
        <v>ND</v>
      </c>
      <c r="GC74" s="1" t="str">
        <f t="shared" si="279"/>
        <v>ND</v>
      </c>
      <c r="GD74" s="1" t="str">
        <f t="shared" si="280"/>
        <v>ND</v>
      </c>
      <c r="GE74" s="1" t="str">
        <f t="shared" si="281"/>
        <v>ND</v>
      </c>
      <c r="GF74" s="1" t="str">
        <f t="shared" si="282"/>
        <v>ND</v>
      </c>
      <c r="GG74" s="1" t="str">
        <f t="shared" si="283"/>
        <v>ND</v>
      </c>
      <c r="GH74" s="1" t="str">
        <f t="shared" si="284"/>
        <v>ND</v>
      </c>
      <c r="GI74" s="1" t="str">
        <f t="shared" si="285"/>
        <v>ND</v>
      </c>
      <c r="GJ74" s="1" t="str">
        <f t="shared" si="286"/>
        <v>ND</v>
      </c>
      <c r="GK74" s="1" t="str">
        <f t="shared" si="287"/>
        <v>ND</v>
      </c>
      <c r="GL74" s="1" t="str">
        <f t="shared" si="288"/>
        <v>ND</v>
      </c>
      <c r="GM74" s="1" t="str">
        <f t="shared" si="289"/>
        <v>ND</v>
      </c>
      <c r="GN74" s="1" t="str">
        <f t="shared" si="290"/>
        <v>ND</v>
      </c>
      <c r="GO74" s="1" t="str">
        <f t="shared" si="291"/>
        <v>ND</v>
      </c>
      <c r="GP74" s="1" t="str">
        <f t="shared" si="292"/>
        <v>ND</v>
      </c>
      <c r="GQ74" s="1" t="str">
        <f t="shared" si="293"/>
        <v>ND</v>
      </c>
      <c r="GR74" s="1" t="str">
        <f t="shared" si="294"/>
        <v>ND</v>
      </c>
      <c r="GS74" s="1" t="str">
        <f t="shared" si="295"/>
        <v>ND</v>
      </c>
      <c r="GT74" s="1" t="str">
        <f t="shared" si="296"/>
        <v>ND</v>
      </c>
      <c r="GU74" s="1" t="str">
        <f t="shared" si="297"/>
        <v>ND</v>
      </c>
      <c r="GV74" s="1" t="str">
        <f t="shared" si="298"/>
        <v>ND</v>
      </c>
      <c r="GW74" s="1" t="str">
        <f t="shared" si="299"/>
        <v>ND</v>
      </c>
      <c r="GX74" s="1" t="str">
        <f t="shared" si="300"/>
        <v>ND</v>
      </c>
      <c r="GY74" s="1" t="str">
        <f t="shared" si="301"/>
        <v>ND</v>
      </c>
      <c r="GZ74" s="1" t="str">
        <f t="shared" si="302"/>
        <v>ND</v>
      </c>
      <c r="HA74" s="1" t="str">
        <f t="shared" si="303"/>
        <v>ND</v>
      </c>
      <c r="HB74" s="1" t="str">
        <f t="shared" si="304"/>
        <v>ND</v>
      </c>
      <c r="HC74" s="1" t="str">
        <f t="shared" si="305"/>
        <v>ND</v>
      </c>
      <c r="HD74" s="1" t="str">
        <f t="shared" si="306"/>
        <v>ND</v>
      </c>
      <c r="HE74" s="1" t="str">
        <f t="shared" si="307"/>
        <v>ND</v>
      </c>
      <c r="HF74" s="1" t="str">
        <f t="shared" si="308"/>
        <v>ND</v>
      </c>
      <c r="HG74" s="1" t="str">
        <f t="shared" si="309"/>
        <v>ND</v>
      </c>
      <c r="HH74" s="1" t="str">
        <f t="shared" si="310"/>
        <v>ND</v>
      </c>
      <c r="HI74" s="1" t="str">
        <f t="shared" si="311"/>
        <v>ND</v>
      </c>
      <c r="HJ74" s="1" t="str">
        <f t="shared" si="312"/>
        <v>ND</v>
      </c>
      <c r="HK74" s="1" t="str">
        <f t="shared" si="313"/>
        <v>ND</v>
      </c>
      <c r="HL74" s="1" t="str">
        <f t="shared" si="314"/>
        <v>ND</v>
      </c>
      <c r="HM74" s="1" t="str">
        <f t="shared" si="315"/>
        <v>ND</v>
      </c>
      <c r="HN74" s="1" t="str">
        <f t="shared" si="316"/>
        <v>ND</v>
      </c>
      <c r="HO74" s="1" t="str">
        <f t="shared" si="317"/>
        <v>ND</v>
      </c>
      <c r="HP74" s="1" t="str">
        <f t="shared" si="318"/>
        <v>ND</v>
      </c>
      <c r="HQ74" s="1" t="str">
        <f t="shared" si="319"/>
        <v>ND</v>
      </c>
      <c r="HR74" s="1" t="str">
        <f t="shared" si="320"/>
        <v>ND</v>
      </c>
      <c r="HS74" s="1" t="str">
        <f t="shared" si="321"/>
        <v>ND</v>
      </c>
      <c r="HT74" s="1" t="str">
        <f t="shared" si="322"/>
        <v>ND</v>
      </c>
      <c r="HU74" s="1" t="str">
        <f t="shared" si="323"/>
        <v>ND</v>
      </c>
      <c r="HV74" s="1" t="str">
        <f t="shared" si="324"/>
        <v>ND</v>
      </c>
      <c r="HW74" s="1" t="str">
        <f t="shared" si="325"/>
        <v>ND</v>
      </c>
      <c r="HX74" s="1" t="str">
        <f t="shared" si="326"/>
        <v>ND</v>
      </c>
      <c r="HY74" s="1" t="str">
        <f t="shared" si="327"/>
        <v>ND</v>
      </c>
      <c r="HZ74" s="1" t="str">
        <f t="shared" si="328"/>
        <v>ND</v>
      </c>
      <c r="IA74" s="1" t="str">
        <f t="shared" si="329"/>
        <v>ND</v>
      </c>
      <c r="IB74" s="1" t="str">
        <f t="shared" si="330"/>
        <v>ND</v>
      </c>
      <c r="IC74" s="1" t="str">
        <f t="shared" si="331"/>
        <v>ND</v>
      </c>
      <c r="ID74" s="1" t="str">
        <f t="shared" si="332"/>
        <v>ND</v>
      </c>
      <c r="IE74" s="1" t="str">
        <f t="shared" si="333"/>
        <v>ND</v>
      </c>
      <c r="IF74" s="1" t="str">
        <f t="shared" si="334"/>
        <v>ND</v>
      </c>
      <c r="IG74" s="1" t="str">
        <f t="shared" si="335"/>
        <v>ND</v>
      </c>
      <c r="IH74" s="1" t="str">
        <f t="shared" si="336"/>
        <v>ND</v>
      </c>
      <c r="II74" s="1" t="str">
        <f t="shared" si="337"/>
        <v>ND</v>
      </c>
    </row>
    <row r="75" spans="3:243" x14ac:dyDescent="0.25">
      <c r="C75" t="s">
        <v>72</v>
      </c>
      <c r="D75">
        <f>SUMIFS(DICCIONARIO[Cantidad],DICCIONARIO[Modelo],UNIFICADA[[#This Row],[Equipo]])</f>
        <v>0</v>
      </c>
      <c r="E75" s="1">
        <f>IFERROR(VLOOKUP($C75,EQUIPOS[],UNIFICADO!E$9,0),"")</f>
        <v>12</v>
      </c>
      <c r="F75" s="1">
        <f>IFERROR(VLOOKUP($C75,EQUIPOS[],UNIFICADO!F$9,0),"")</f>
        <v>6.6</v>
      </c>
      <c r="G75" s="1">
        <f>IFERROR(VLOOKUP($C75,EQUIPOS[],UNIFICADO!G$9,0),"")</f>
        <v>50</v>
      </c>
      <c r="H75" s="1">
        <f>IFERROR(VLOOKUP($C75,EQUIPOS[],UNIFICADO!H$9,0),"")</f>
        <v>4</v>
      </c>
      <c r="I75" s="1">
        <f>IFERROR(VLOOKUP($C75,EQUIPOS[],UNIFICADO!I$9,0),"")</f>
        <v>8</v>
      </c>
      <c r="J75" s="1" t="str">
        <f>IFERROR(VLOOKUP($C75,EQUIPOS[],UNIFICADO!J$9,0),"")</f>
        <v>64GB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2.2/2.0</v>
      </c>
      <c r="N75" s="1">
        <f>IFERROR(VLOOKUP($C75,EQUIPOS[],UNIFICADO!N$9,0),"")</f>
        <v>4</v>
      </c>
      <c r="O75" s="1">
        <f>IFERROR(VLOOKUP($C75,EQUIPOS[],UNIFICADO!O$9,0),"")</f>
        <v>195</v>
      </c>
      <c r="P75" s="1">
        <f>IFERROR(VLOOKUP($C75,EQUIPOS[],UNIFICADO!P$9,0),"")</f>
        <v>16.5</v>
      </c>
      <c r="Q75" s="1">
        <f>IFERROR(VLOOKUP($C75,EQUIPOS[],UNIFICADO!Q$9,0),"")</f>
        <v>7.64</v>
      </c>
      <c r="R75" s="1">
        <f>IFERROR(VLOOKUP($C75,EQUIPOS[],UNIFICADO!R$9,0),"")</f>
        <v>0.88</v>
      </c>
      <c r="S75" s="1">
        <f>IFERROR(VLOOKUP($C75,EQUIPOS[],UNIFICADO!S$9,0),"")</f>
        <v>5000</v>
      </c>
      <c r="T75" s="1">
        <f>IFERROR(VLOOKUP($C75,EQUIPOS[],UNIFICADO!T$9,0),"")</f>
        <v>4</v>
      </c>
      <c r="U75" s="1">
        <f>VLOOKUP(UNIFICADA[[#This Row],[Equipo]],EQUIPOS[],19,0)</f>
        <v>65</v>
      </c>
      <c r="V75" s="1" t="str">
        <f t="shared" ref="V75:V106" si="358">IFERROR(IF(V$9="ND","ND",VLOOKUP($C75,PAR,V$9,0)),"ND")</f>
        <v>ND</v>
      </c>
      <c r="W75" s="1" t="str">
        <f t="shared" ref="W75:W106" si="359">IFERROR(IF(W$9="ND","ND",VLOOKUP($C75,PRP,W$9,0)),"ND")</f>
        <v>ND</v>
      </c>
      <c r="X75" s="1" t="str">
        <f t="shared" si="351"/>
        <v>ND</v>
      </c>
      <c r="Y75" s="1" t="str">
        <f t="shared" si="351"/>
        <v>ND</v>
      </c>
      <c r="Z75" s="1" t="str">
        <f t="shared" si="352"/>
        <v>ND</v>
      </c>
      <c r="AA75" s="1" t="str">
        <f t="shared" si="352"/>
        <v>ND</v>
      </c>
      <c r="AB75" s="1" t="str">
        <f t="shared" si="352"/>
        <v>ND</v>
      </c>
      <c r="AC75" s="1" t="str">
        <f t="shared" si="352"/>
        <v>ND</v>
      </c>
      <c r="AD75" s="1" t="str">
        <f t="shared" si="352"/>
        <v>ND</v>
      </c>
      <c r="AE75" s="1" t="str">
        <f t="shared" si="352"/>
        <v>ND</v>
      </c>
      <c r="AF75" s="1" t="str">
        <f t="shared" si="352"/>
        <v>ND</v>
      </c>
      <c r="AG75" s="1" t="str">
        <f t="shared" si="352"/>
        <v>ND</v>
      </c>
      <c r="AH75" s="1" t="str">
        <f t="shared" si="352"/>
        <v>ND</v>
      </c>
      <c r="AI75" s="1" t="str">
        <f t="shared" ref="AI75:AI106" si="360">IFERROR(ROUNDUP(AJ75/6,2)+29.9,"ND")</f>
        <v>ND</v>
      </c>
      <c r="AJ75" s="1" t="str">
        <f t="shared" ref="AJ75:AJ106" si="361">IFERROR(IF(AJ$9="ND","ND",ROUNDUP(VALUE(VLOOKUP($C75,A6M,AJ$9,0))/6,2)),"ND")</f>
        <v>ND</v>
      </c>
      <c r="AK75" s="1" t="str">
        <f t="shared" ref="AK75:AK106" si="362">IFERROR(ROUNDUP(AL75/6,2)+39.9,"ND")</f>
        <v>ND</v>
      </c>
      <c r="AL75" s="1" t="str">
        <f t="shared" ref="AL75:AL106" si="363">IFERROR(IF(AL$9="ND","ND",ROUNDUP(VALUE(VLOOKUP($C75,A6M,AL$9,0))/6,2)),"ND")</f>
        <v>ND</v>
      </c>
      <c r="AM75" s="1" t="str">
        <f t="shared" ref="AM75:AM106" si="364">IFERROR(ROUNDUP(AN75/6,2)+49.9,"ND")</f>
        <v>ND</v>
      </c>
      <c r="AN75" s="1" t="str">
        <f t="shared" ref="AN75:AN106" si="365">IFERROR(IF(AN$9="ND","ND",VLOOKUP($C75,A6M,AN$9,0)),"ND")</f>
        <v>ND</v>
      </c>
      <c r="AO75" s="1" t="str">
        <f t="shared" ref="AO75:AO106" si="366">IFERROR(ROUNDUP(AP75/6,2)+55.9,"ND")</f>
        <v>ND</v>
      </c>
      <c r="AP75" s="1" t="str">
        <f t="shared" ref="AP75:AP106" si="367">IFERROR(IF(AP$9="ND","ND",VLOOKUP($C75,A6M,AP$9,0)),"ND")</f>
        <v>ND</v>
      </c>
      <c r="AQ75" s="1" t="str">
        <f t="shared" ref="AQ75:AQ106" si="368">IFERROR(ROUNDUP(AR75/6,2)+69.9,"ND")</f>
        <v>ND</v>
      </c>
      <c r="AR75" s="1" t="str">
        <f t="shared" ref="AR75:AR106" si="369">IFERROR(IF(AR$9="ND","ND",VLOOKUP($C75,A6M,AR$9,0)),"ND")</f>
        <v>ND</v>
      </c>
      <c r="AS75" s="1" t="str">
        <f t="shared" ref="AS75:AS106" si="370">IFERROR(ROUNDUP(AT75/6,2)+79.9,"ND")</f>
        <v>ND</v>
      </c>
      <c r="AT75" s="1" t="str">
        <f t="shared" ref="AT75:AT106" si="371">IFERROR(IF(AT$9="ND","ND",VLOOKUP($C75,A6M,AT$9,0)),"ND")</f>
        <v>ND</v>
      </c>
      <c r="AU75" s="1" t="str">
        <f t="shared" ref="AU75:AU106" si="372">IFERROR(ROUNDUP(AV75/6,2)+95.9,"ND")</f>
        <v>ND</v>
      </c>
      <c r="AV75" s="1" t="str">
        <f t="shared" ref="AV75:AV106" si="373">IFERROR(IF(AV$9="ND","ND",VLOOKUP($C75,A6M,AV$9,0)),"ND")</f>
        <v>ND</v>
      </c>
      <c r="AW75" s="1" t="str">
        <f t="shared" ref="AW75:AW106" si="374">IFERROR(ROUNDUP(AX75/6,2)+109.9,"ND")</f>
        <v>ND</v>
      </c>
      <c r="AX75" s="1" t="str">
        <f t="shared" ref="AX75:AX106" si="375">IFERROR(IF(AX$9="ND","ND",VLOOKUP($C75,A6M,AX$9,0)),"ND")</f>
        <v>ND</v>
      </c>
      <c r="AY75" s="1" t="str">
        <f t="shared" ref="AY75:AY106" si="376">IFERROR(ROUNDUP(AZ75/6,2)+159.9,"ND")</f>
        <v>ND</v>
      </c>
      <c r="AZ75" s="1" t="str">
        <f t="shared" ref="AZ75:AZ106" si="377">IFERROR(IF(AZ$9="ND","ND",VLOOKUP($C75,A6M,AZ$9,0)),"ND")</f>
        <v>ND</v>
      </c>
      <c r="BA75" s="1" t="str">
        <f t="shared" ref="BA75:BA106" si="378">IFERROR(ROUNDUP(BB75/6,2)+189.9,"ND")</f>
        <v>ND</v>
      </c>
      <c r="BB75" s="1" t="str">
        <f t="shared" ref="BB75:BB106" si="379">IFERROR(IF(BB$9="ND","ND",VLOOKUP($C75,A6M,BB$9,0)),"ND")</f>
        <v>ND</v>
      </c>
      <c r="BC75" s="1" t="str">
        <f t="shared" ref="BC75:BC106" si="380">IFERROR(ROUNDUP(BD75/6,2)+289.9,"ND")</f>
        <v>ND</v>
      </c>
      <c r="BD75" s="1" t="str">
        <f t="shared" ref="BD75:BD106" si="381">IFERROR(IF(BD$9="ND","ND",VLOOKUP($C75,A6M,BD$9,0)),"ND")</f>
        <v>ND</v>
      </c>
      <c r="BE75" s="1" t="str">
        <f t="shared" ref="BE75:BE106" si="382">IFERROR(ROUNDUP(BF75/12,2)+29.9,"ND")</f>
        <v>ND</v>
      </c>
      <c r="BF75" s="1" t="str">
        <f t="shared" ref="BF75:BF106" si="383">IFERROR(IF(BF$9="ND","ND",VLOOKUP($C75,A12M,BF$9,0)),"ND")</f>
        <v>ND</v>
      </c>
      <c r="BG75" s="1" t="str">
        <f t="shared" ref="BG75:BG106" si="384">IFERROR(ROUNDUP(BH75/12,2)+39.9,"ND")</f>
        <v>ND</v>
      </c>
      <c r="BH75" s="1" t="str">
        <f t="shared" ref="BH75:BH106" si="385">IFERROR(IF(BH$9="ND","ND",VLOOKUP($C75,A12M,BH$9,0)),"ND")</f>
        <v>ND</v>
      </c>
      <c r="BI75" s="1" t="str">
        <f t="shared" ref="BI75:BI106" si="386">IFERROR(ROUNDUP(BJ75/12,2)+49.9,"ND")</f>
        <v>ND</v>
      </c>
      <c r="BJ75" s="1" t="str">
        <f t="shared" ref="BJ75:BJ106" si="387">IFERROR(IF(BJ$9="ND","ND",VLOOKUP($C75,A12M,BJ$9,0)),"ND")</f>
        <v>ND</v>
      </c>
      <c r="BK75" s="1" t="str">
        <f t="shared" ref="BK75:BK106" si="388">IFERROR(ROUNDUP(BL75/12,2)+55.9,"ND")</f>
        <v>ND</v>
      </c>
      <c r="BL75" s="1" t="str">
        <f t="shared" ref="BL75:BL106" si="389">IFERROR(IF(BL$9="ND","ND",VLOOKUP($C75,A12M,BL$9,0)),"ND")</f>
        <v>ND</v>
      </c>
      <c r="BM75" s="1" t="str">
        <f t="shared" ref="BM75:BM106" si="390">IFERROR(ROUNDUP(BN75/12,2)+69.9,"ND")</f>
        <v>ND</v>
      </c>
      <c r="BN75" s="1" t="str">
        <f t="shared" ref="BN75:BN106" si="391">IFERROR(IF(BN$9="ND","ND",VLOOKUP($C75,A12M,BN$9,0)),"ND")</f>
        <v>ND</v>
      </c>
      <c r="BO75" s="1" t="str">
        <f t="shared" ref="BO75:BO106" si="392">IFERROR(ROUNDUP(BP75/12,2)+79.9,"ND")</f>
        <v>ND</v>
      </c>
      <c r="BP75" s="1" t="str">
        <f t="shared" ref="BP75:BP106" si="393">IFERROR(IF(BP$9="ND","ND",VLOOKUP($C75,A12M,BP$9,0)),"ND")</f>
        <v>ND</v>
      </c>
      <c r="BQ75" s="1" t="str">
        <f t="shared" ref="BQ75:BQ106" si="394">IFERROR(ROUNDUP(BR75/12,2)+95.9,"ND")</f>
        <v>ND</v>
      </c>
      <c r="BR75" s="1" t="str">
        <f t="shared" ref="BR75:BR106" si="395">IFERROR(IF(BR$9="ND","ND",VLOOKUP($C75,A12M,BR$9,0)),"ND")</f>
        <v>ND</v>
      </c>
      <c r="BS75" s="1" t="str">
        <f t="shared" ref="BS75:BS106" si="396">IFERROR(ROUNDUP(BT75/12,2)+109.9,"ND")</f>
        <v>ND</v>
      </c>
      <c r="BT75" s="1" t="str">
        <f t="shared" ref="BT75:BT106" si="397">IFERROR(IF(BT$9="ND","ND",VLOOKUP($C75,A12M,BT$9,0)),"ND")</f>
        <v>ND</v>
      </c>
      <c r="BU75" s="1" t="str">
        <f t="shared" ref="BU75:BU106" si="398">IFERROR(ROUNDUP(BV75/12,2)+159.9,"ND")</f>
        <v>ND</v>
      </c>
      <c r="BV75" s="1" t="str">
        <f t="shared" ref="BV75:BV106" si="399">IFERROR(IF(BV$9="ND","ND",VLOOKUP($C75,A12M,BV$9,0)),"ND")</f>
        <v>ND</v>
      </c>
      <c r="BW75" s="1" t="str">
        <f t="shared" ref="BW75:BW106" si="400">IFERROR(ROUNDUP(BX75/12,2)+189.9,"ND")</f>
        <v>ND</v>
      </c>
      <c r="BX75" s="1" t="str">
        <f t="shared" ref="BX75:BX106" si="401">IFERROR(IF(BX$9="ND","ND",VLOOKUP($C75,A12M,BX$9,0)),"ND")</f>
        <v>ND</v>
      </c>
      <c r="BY75" s="1" t="str">
        <f t="shared" ref="BY75:BY106" si="402">IFERROR(ROUNDUP(BZ75/12,2)+289.9,"ND")</f>
        <v>ND</v>
      </c>
      <c r="BZ75" s="1" t="str">
        <f t="shared" ref="BZ75:BZ106" si="403">IFERROR(IF(BZ$9="ND","ND",VLOOKUP($C75,A12M,BZ$9,0)),"ND")</f>
        <v>ND</v>
      </c>
      <c r="CA75" s="1" t="str">
        <f t="shared" si="353"/>
        <v>ND</v>
      </c>
      <c r="CB75" s="1" t="str">
        <f t="shared" si="353"/>
        <v>ND</v>
      </c>
      <c r="CC75" s="1" t="str">
        <f t="shared" si="353"/>
        <v>ND</v>
      </c>
      <c r="CD75" s="1" t="str">
        <f t="shared" si="353"/>
        <v>ND</v>
      </c>
      <c r="CE75" s="1" t="str">
        <f t="shared" si="353"/>
        <v>ND</v>
      </c>
      <c r="CF75" s="1" t="str">
        <f t="shared" si="353"/>
        <v>ND</v>
      </c>
      <c r="CG75" s="1" t="str">
        <f t="shared" si="353"/>
        <v>ND</v>
      </c>
      <c r="CH75" s="1" t="str">
        <f t="shared" si="353"/>
        <v>ND</v>
      </c>
      <c r="CI75" s="1" t="str">
        <f t="shared" si="353"/>
        <v>ND</v>
      </c>
      <c r="CJ75" s="1" t="str">
        <f t="shared" si="353"/>
        <v>ND</v>
      </c>
      <c r="CK75" s="1" t="str">
        <f t="shared" si="353"/>
        <v>ND</v>
      </c>
      <c r="CL75" s="1" t="str">
        <f t="shared" si="354"/>
        <v>ND</v>
      </c>
      <c r="CM75" s="1" t="str">
        <f t="shared" si="354"/>
        <v>ND</v>
      </c>
      <c r="CN75" s="1" t="str">
        <f t="shared" si="354"/>
        <v>ND</v>
      </c>
      <c r="CO75" s="1" t="str">
        <f t="shared" si="354"/>
        <v>ND</v>
      </c>
      <c r="CP75" s="1" t="str">
        <f t="shared" si="354"/>
        <v>ND</v>
      </c>
      <c r="CQ75" s="1" t="str">
        <f t="shared" si="354"/>
        <v>ND</v>
      </c>
      <c r="CR75" s="1" t="str">
        <f t="shared" si="354"/>
        <v>ND</v>
      </c>
      <c r="CS75" s="1" t="str">
        <f t="shared" si="354"/>
        <v>ND</v>
      </c>
      <c r="CT75" s="1" t="str">
        <f t="shared" si="354"/>
        <v>ND</v>
      </c>
      <c r="CU75" s="1" t="str">
        <f t="shared" si="354"/>
        <v>ND</v>
      </c>
      <c r="CV75" s="1" t="str">
        <f t="shared" si="354"/>
        <v>ND</v>
      </c>
      <c r="CW75" s="1" t="str">
        <f t="shared" ref="CW75:CW106" si="404">IFERROR(ROUNDUP(CX75/6,2)+29.9,"ND")</f>
        <v>ND</v>
      </c>
      <c r="CX75" s="1" t="str">
        <f t="shared" ref="CX75:CX106" si="405">IFERROR(IF(CX$9="ND","ND",VLOOKUP($C75,AC6M,CX$9,0)),"ND")</f>
        <v>ND</v>
      </c>
      <c r="CY75" s="1" t="str">
        <f t="shared" ref="CY75:CY106" si="406">IFERROR(ROUNDUP(CZ75/6,2)+39.9,"ND")</f>
        <v>ND</v>
      </c>
      <c r="CZ75" s="1" t="str">
        <f t="shared" ref="CZ75:CZ106" si="407">IFERROR(IF(CZ$9="ND","ND",VLOOKUP($C75,AC6M,CZ$9,0)),"ND")</f>
        <v>ND</v>
      </c>
      <c r="DA75" s="1" t="str">
        <f t="shared" ref="DA75:DA106" si="408">IFERROR(ROUNDUP(DB75/6,2)+49.9,"ND")</f>
        <v>ND</v>
      </c>
      <c r="DB75" s="1" t="str">
        <f t="shared" ref="DB75:DB106" si="409">IFERROR(IF(DB$9="ND","ND",VLOOKUP($C75,AC6M,DB$9,0)),"ND")</f>
        <v>ND</v>
      </c>
      <c r="DC75" s="1" t="str">
        <f t="shared" ref="DC75:DC106" si="410">IFERROR(ROUNDUP(DD75/6,2)+55.9,"ND")</f>
        <v>ND</v>
      </c>
      <c r="DD75" s="1" t="str">
        <f t="shared" ref="DD75:DD106" si="411">IFERROR(IF(DD$9="ND","ND",VLOOKUP($C75,AC6M,DD$9,0)),"ND")</f>
        <v>ND</v>
      </c>
      <c r="DE75" s="1" t="str">
        <f t="shared" ref="DE75:DE106" si="412">IFERROR(ROUNDUP(DF75/6,2)+69.9,"ND")</f>
        <v>ND</v>
      </c>
      <c r="DF75" s="1" t="str">
        <f t="shared" ref="DF75:DF106" si="413">IFERROR(IF(DF$9="ND","ND",VLOOKUP($C75,AC6M,DF$9,0)),"ND")</f>
        <v>ND</v>
      </c>
      <c r="DG75" s="1" t="str">
        <f t="shared" ref="DG75:DG106" si="414">IFERROR(ROUNDUP(DH75/6,2)+79.9,"ND")</f>
        <v>ND</v>
      </c>
      <c r="DH75" s="1" t="str">
        <f t="shared" ref="DH75:DH106" si="415">IFERROR(IF(DH$9="ND","ND",VLOOKUP($C75,AC6M,DH$9,0)),"ND")</f>
        <v>ND</v>
      </c>
      <c r="DI75" s="1" t="str">
        <f t="shared" ref="DI75:DI106" si="416">IFERROR(ROUNDUP(DJ75/6,2)+95.9,"ND")</f>
        <v>ND</v>
      </c>
      <c r="DJ75" s="1" t="str">
        <f t="shared" ref="DJ75:DJ106" si="417">IFERROR(IF(DJ$9="ND","ND",VLOOKUP($C75,AC6M,DJ$9,0)),"ND")</f>
        <v>ND</v>
      </c>
      <c r="DK75" s="1" t="str">
        <f t="shared" ref="DK75:DK106" si="418">IFERROR(ROUNDUP(DL75/6,2)+109.9,"ND")</f>
        <v>ND</v>
      </c>
      <c r="DL75" s="1" t="str">
        <f t="shared" ref="DL75:DL106" si="419">IFERROR(IF(DL$9="ND","ND",VLOOKUP($C75,AC6M,DL$9,0)),"ND")</f>
        <v>ND</v>
      </c>
      <c r="DM75" s="1" t="str">
        <f t="shared" ref="DM75:DM106" si="420">IFERROR(ROUNDUP(DN75/6,2)+159.9,"ND")</f>
        <v>ND</v>
      </c>
      <c r="DN75" s="1" t="str">
        <f t="shared" ref="DN75:DN106" si="421">IFERROR(IF(DN$9="ND","ND",VLOOKUP($C75,AC6M,DN$9,0)),"ND")</f>
        <v>ND</v>
      </c>
      <c r="DO75" s="1" t="str">
        <f t="shared" ref="DO75:DO106" si="422">IFERROR(ROUNDUP(DP75/6,2)+189.9,"ND")</f>
        <v>ND</v>
      </c>
      <c r="DP75" s="1" t="str">
        <f t="shared" ref="DP75:DP106" si="423">IFERROR(IF(DP$9="ND","ND",VLOOKUP($C75,AC6M,DP$9,0)),"ND")</f>
        <v>ND</v>
      </c>
      <c r="DQ75" s="1" t="str">
        <f t="shared" ref="DQ75:DQ106" si="424">IFERROR(ROUNDUP(DR75/6,2)+289.9,"ND")</f>
        <v>ND</v>
      </c>
      <c r="DR75" s="1" t="str">
        <f t="shared" ref="DR75:DR106" si="425">IFERROR(IF(DR$9="ND","ND",VLOOKUP($C75,AC6M,DR$9,0)),"ND")</f>
        <v>ND</v>
      </c>
      <c r="DS75" s="1" t="str">
        <f t="shared" ref="DS75:DS106" si="426">IFERROR(ROUNDUP(DT75/12,2)+29.9,"ND")</f>
        <v>ND</v>
      </c>
      <c r="DT75" s="1" t="str">
        <f t="shared" ref="DT75:DT106" si="427">IFERROR(IF(DT$9="ND","ND",VLOOKUP($C75,AC12M,DT$9,0)),"ND")</f>
        <v>ND</v>
      </c>
      <c r="DU75" s="1" t="str">
        <f t="shared" ref="DU75:DU106" si="428">IFERROR(ROUNDUP(DV75/12,2)+39.9,"ND")</f>
        <v>ND</v>
      </c>
      <c r="DV75" s="1" t="str">
        <f t="shared" ref="DV75:DV106" si="429">IFERROR(IF(DV$9="ND","ND",VLOOKUP($C75,AC12M,DV$9,0)),"ND")</f>
        <v>ND</v>
      </c>
      <c r="DW75" s="1" t="str">
        <f t="shared" ref="DW75:DW106" si="430">IFERROR(ROUNDUP(DX75/12,2)+49.9,"ND")</f>
        <v>ND</v>
      </c>
      <c r="DX75" s="1" t="str">
        <f t="shared" ref="DX75:DX106" si="431">IFERROR(IF(DX$9="ND","ND",VLOOKUP($C75,AC12M,DX$9,0)),"ND")</f>
        <v>ND</v>
      </c>
      <c r="DY75" s="1" t="str">
        <f t="shared" ref="DY75:DY106" si="432">IFERROR(ROUNDUP(DZ75/12,2)+55.9,"ND")</f>
        <v>ND</v>
      </c>
      <c r="DZ75" s="1" t="str">
        <f t="shared" ref="DZ75:DZ106" si="433">IFERROR(IF(DZ$9="ND","ND",VLOOKUP($C75,AC12M,DZ$9,0)),"ND")</f>
        <v>ND</v>
      </c>
      <c r="EA75" s="1" t="str">
        <f t="shared" ref="EA75:EA106" si="434">IFERROR(ROUNDUP(EB75/12,2)+69.9,"ND")</f>
        <v>ND</v>
      </c>
      <c r="EB75" s="1" t="str">
        <f t="shared" ref="EB75:EB106" si="435">IFERROR(IF(EB$9="ND","ND",VLOOKUP($C75,AC12M,EB$9,0)),"ND")</f>
        <v>ND</v>
      </c>
      <c r="EC75" s="1" t="str">
        <f t="shared" ref="EC75:EC106" si="436">IFERROR(ROUNDUP(ED75/12,2)+79.9,"ND")</f>
        <v>ND</v>
      </c>
      <c r="ED75" s="1" t="str">
        <f t="shared" ref="ED75:ED106" si="437">IFERROR(IF(ED$9="ND","ND",VLOOKUP($C75,AC12M,ED$9,0)),"ND")</f>
        <v>ND</v>
      </c>
      <c r="EE75" s="1" t="str">
        <f t="shared" ref="EE75:EE106" si="438">IFERROR(ROUNDUP(EF75/12,2)+95.9,"ND")</f>
        <v>ND</v>
      </c>
      <c r="EF75" s="1" t="str">
        <f t="shared" ref="EF75:EF106" si="439">IFERROR(IF(EF$9="ND","ND",VLOOKUP($C75,AC12M,EF$9,0)),"ND")</f>
        <v>ND</v>
      </c>
      <c r="EG75" s="1" t="str">
        <f t="shared" ref="EG75:EG106" si="440">IFERROR(ROUNDUP(EH75/12,2)+109.9,"ND")</f>
        <v>ND</v>
      </c>
      <c r="EH75" s="1" t="str">
        <f t="shared" ref="EH75:EH106" si="441">IFERROR(IF(EH$9="ND","ND",VLOOKUP($C75,AC12M,EH$9,0)),"ND")</f>
        <v>ND</v>
      </c>
      <c r="EI75" s="1" t="str">
        <f t="shared" ref="EI75:EI106" si="442">IFERROR(ROUNDUP(EJ75/12,2)+159.9,"ND")</f>
        <v>ND</v>
      </c>
      <c r="EJ75" s="1" t="str">
        <f t="shared" ref="EJ75:EJ106" si="443">IFERROR(IF(EJ$9="ND","ND",VLOOKUP($C75,AC12M,EJ$9,0)),"ND")</f>
        <v>ND</v>
      </c>
      <c r="EK75" s="1" t="str">
        <f t="shared" ref="EK75:EK106" si="444">IFERROR(ROUNDUP(EL75/12,2)+189.9,"ND")</f>
        <v>ND</v>
      </c>
      <c r="EL75" s="1" t="str">
        <f t="shared" ref="EL75:EL106" si="445">IFERROR(IF(EL$9="ND","ND",VLOOKUP($C75,AC12M,EL$9,0)),"ND")</f>
        <v>ND</v>
      </c>
      <c r="EM75" s="1" t="str">
        <f t="shared" ref="EM75:EM106" si="446">IFERROR(ROUNDUP(EN75/12,2)+289.9,"ND")</f>
        <v>ND</v>
      </c>
      <c r="EN75" s="1" t="str">
        <f t="shared" ref="EN75:EN106" si="447">IFERROR(IF(EN$9="ND","ND",VLOOKUP($C75,AC12M,EN$9,0)),"ND")</f>
        <v>ND</v>
      </c>
      <c r="EO75" s="1" t="str">
        <f t="shared" si="355"/>
        <v>ND</v>
      </c>
      <c r="EP75" s="1" t="str">
        <f t="shared" si="355"/>
        <v>ND</v>
      </c>
      <c r="EQ75" s="1" t="str">
        <f t="shared" si="355"/>
        <v>ND</v>
      </c>
      <c r="ER75" s="1" t="str">
        <f t="shared" si="355"/>
        <v>ND</v>
      </c>
      <c r="ES75" s="1" t="str">
        <f t="shared" si="355"/>
        <v>ND</v>
      </c>
      <c r="ET75" s="1" t="str">
        <f t="shared" si="355"/>
        <v>ND</v>
      </c>
      <c r="EU75" s="1" t="str">
        <f t="shared" si="355"/>
        <v>ND</v>
      </c>
      <c r="EV75" s="1" t="str">
        <f t="shared" si="355"/>
        <v>ND</v>
      </c>
      <c r="EW75" s="1" t="str">
        <f t="shared" si="355"/>
        <v>ND</v>
      </c>
      <c r="EX75" s="1" t="str">
        <f t="shared" si="355"/>
        <v>ND</v>
      </c>
      <c r="EY75" s="1" t="str">
        <f t="shared" si="355"/>
        <v>ND</v>
      </c>
      <c r="EZ75" s="1" t="str">
        <f t="shared" si="356"/>
        <v>ND</v>
      </c>
      <c r="FA75" s="1" t="str">
        <f t="shared" si="356"/>
        <v>ND</v>
      </c>
      <c r="FB75" s="1" t="str">
        <f t="shared" si="356"/>
        <v>ND</v>
      </c>
      <c r="FC75" s="1" t="str">
        <f t="shared" si="356"/>
        <v>ND</v>
      </c>
      <c r="FD75" s="1" t="str">
        <f t="shared" si="356"/>
        <v>ND</v>
      </c>
      <c r="FE75" s="1" t="str">
        <f t="shared" si="356"/>
        <v>ND</v>
      </c>
      <c r="FF75" s="1" t="str">
        <f t="shared" si="356"/>
        <v>ND</v>
      </c>
      <c r="FG75" s="1" t="str">
        <f t="shared" si="356"/>
        <v>ND</v>
      </c>
      <c r="FH75" s="1" t="str">
        <f t="shared" si="356"/>
        <v>ND</v>
      </c>
      <c r="FI75" s="1" t="str">
        <f t="shared" si="356"/>
        <v>ND</v>
      </c>
      <c r="FJ75" s="1" t="str">
        <f t="shared" si="356"/>
        <v>ND</v>
      </c>
      <c r="FK75" s="1" t="str">
        <f t="shared" si="357"/>
        <v>ND</v>
      </c>
      <c r="FL75" s="1" t="str">
        <f t="shared" si="357"/>
        <v>ND</v>
      </c>
      <c r="FM75" s="1" t="str">
        <f t="shared" si="357"/>
        <v>ND</v>
      </c>
      <c r="FN75" s="1" t="str">
        <f t="shared" si="357"/>
        <v>ND</v>
      </c>
      <c r="FO75" s="1" t="str">
        <f t="shared" si="357"/>
        <v>ND</v>
      </c>
      <c r="FP75" s="1" t="str">
        <f t="shared" si="357"/>
        <v>ND</v>
      </c>
      <c r="FQ75" s="1" t="str">
        <f t="shared" si="357"/>
        <v>ND</v>
      </c>
      <c r="FR75" s="1" t="str">
        <f t="shared" si="357"/>
        <v>ND</v>
      </c>
      <c r="FS75" s="1" t="str">
        <f t="shared" si="357"/>
        <v>ND</v>
      </c>
      <c r="FT75" s="1" t="str">
        <f t="shared" si="357"/>
        <v>ND</v>
      </c>
      <c r="FU75" s="1" t="str">
        <f t="shared" si="357"/>
        <v>ND</v>
      </c>
      <c r="FV75" s="1" t="str">
        <f t="shared" ref="FV75:FV106" si="448">IFERROR(ROUNDUP(FW75/6,2)+29.9,"ND")</f>
        <v>ND</v>
      </c>
      <c r="FW75" s="1" t="str">
        <f t="shared" ref="FW75:FW106" si="449">IFERROR(IF(FW$9="ND","ND",VLOOKUP($C75,LC6M,FW$9,0)),"ND")</f>
        <v>ND</v>
      </c>
      <c r="FX75" s="1" t="str">
        <f t="shared" ref="FX75:FX106" si="450">IFERROR(ROUNDUP(FY75/6,2)+39.9,"ND")</f>
        <v>ND</v>
      </c>
      <c r="FY75" s="1" t="str">
        <f t="shared" ref="FY75:FY106" si="451">IFERROR(IF(FY$9="ND","ND",VLOOKUP($C75,LC6M,FY$9,0)),"ND")</f>
        <v>ND</v>
      </c>
      <c r="FZ75" s="1" t="str">
        <f t="shared" ref="FZ75:FZ106" si="452">IFERROR(ROUNDUP(GA75/6,2)+49.9,"ND")</f>
        <v>ND</v>
      </c>
      <c r="GA75" s="1" t="str">
        <f t="shared" ref="GA75:GA106" si="453">IFERROR(IF(GA$9="ND","ND",VLOOKUP($C75,LC6M,GA$9,0)),"ND")</f>
        <v>ND</v>
      </c>
      <c r="GB75" s="1" t="str">
        <f t="shared" ref="GB75:GB106" si="454">IFERROR(ROUNDUP(GC75/6,2)+55.9,"ND")</f>
        <v>ND</v>
      </c>
      <c r="GC75" s="1" t="str">
        <f t="shared" ref="GC75:GC106" si="455">IFERROR(IF(GC$9="ND","ND",VLOOKUP($C75,LC6M,GC$9,0)),"ND")</f>
        <v>ND</v>
      </c>
      <c r="GD75" s="1" t="str">
        <f t="shared" ref="GD75:GD106" si="456">IFERROR(ROUNDUP(GE75/6,2)+69.9,"ND")</f>
        <v>ND</v>
      </c>
      <c r="GE75" s="1" t="str">
        <f t="shared" ref="GE75:GE106" si="457">IFERROR(IF(GE$9="ND","ND",VLOOKUP($C75,LC6M,GE$9,0)),"ND")</f>
        <v>ND</v>
      </c>
      <c r="GF75" s="1" t="str">
        <f t="shared" ref="GF75:GF106" si="458">IFERROR(ROUNDUP(GG75/6,2)+79.9,"ND")</f>
        <v>ND</v>
      </c>
      <c r="GG75" s="1" t="str">
        <f t="shared" ref="GG75:GG106" si="459">IFERROR(IF(GG$9="ND","ND",VLOOKUP($C75,LC6M,GG$9,0)),"ND")</f>
        <v>ND</v>
      </c>
      <c r="GH75" s="1" t="str">
        <f t="shared" ref="GH75:GH106" si="460">IFERROR(ROUNDUP(GI75/6,2)+95.9,"ND")</f>
        <v>ND</v>
      </c>
      <c r="GI75" s="1" t="str">
        <f t="shared" ref="GI75:GI106" si="461">IFERROR(IF(GI$9="ND","ND",VLOOKUP($C75,LC6M,GI$9,0)),"ND")</f>
        <v>ND</v>
      </c>
      <c r="GJ75" s="1" t="str">
        <f t="shared" ref="GJ75:GJ106" si="462">IFERROR(ROUNDUP(GK75/6,2)+109.9,"ND")</f>
        <v>ND</v>
      </c>
      <c r="GK75" s="1" t="str">
        <f t="shared" ref="GK75:GK106" si="463">IFERROR(IF(GK$9="ND","ND",VLOOKUP($C75,LC6M,GK$9,0)),"ND")</f>
        <v>ND</v>
      </c>
      <c r="GL75" s="1" t="str">
        <f t="shared" ref="GL75:GL106" si="464">IFERROR(ROUNDUP(GM75/6,2)+159.9,"ND")</f>
        <v>ND</v>
      </c>
      <c r="GM75" s="1" t="str">
        <f t="shared" ref="GM75:GM106" si="465">IFERROR(IF(GM$9="ND","ND",VLOOKUP($C75,LC6M,GM$9,0)),"ND")</f>
        <v>ND</v>
      </c>
      <c r="GN75" s="1" t="str">
        <f t="shared" ref="GN75:GN106" si="466">IFERROR(ROUNDUP(GO75/6,2)+189.9,"ND")</f>
        <v>ND</v>
      </c>
      <c r="GO75" s="1" t="str">
        <f t="shared" ref="GO75:GO106" si="467">IFERROR(IF(GO$9="ND","ND",VLOOKUP($C75,LC6M,GO$9,0)),"ND")</f>
        <v>ND</v>
      </c>
      <c r="GP75" s="1" t="str">
        <f t="shared" ref="GP75:GP106" si="468">IFERROR(ROUNDUP(GQ75/6,2)+289.9,"ND")</f>
        <v>ND</v>
      </c>
      <c r="GQ75" s="1" t="str">
        <f t="shared" ref="GQ75:GQ106" si="469">IFERROR(IF(GQ$9="ND","ND",VLOOKUP($C75,LC6M,GQ$9,0)),"ND")</f>
        <v>ND</v>
      </c>
      <c r="GR75" s="1" t="str">
        <f t="shared" ref="GR75:GR106" si="470">IFERROR(ROUNDUP(GS75/12,2)+29.9,"ND")</f>
        <v>ND</v>
      </c>
      <c r="GS75" s="1" t="str">
        <f t="shared" ref="GS75:GS106" si="471">IFERROR(IF(GS$9="ND","ND",VLOOKUP($C75,LP12M,GS$9,0)),"ND")</f>
        <v>ND</v>
      </c>
      <c r="GT75" s="1" t="str">
        <f t="shared" ref="GT75:GT106" si="472">IFERROR(ROUNDUP(GU75/12,2)+39.9,"ND")</f>
        <v>ND</v>
      </c>
      <c r="GU75" s="1" t="str">
        <f t="shared" ref="GU75:GU106" si="473">IFERROR(IF(GU$9="ND","ND",VLOOKUP($C75,LP12M,GU$9,0)),"ND")</f>
        <v>ND</v>
      </c>
      <c r="GV75" s="1" t="str">
        <f t="shared" ref="GV75:GV106" si="474">IFERROR(ROUNDUP(GW75/12,2)+49.9,"ND")</f>
        <v>ND</v>
      </c>
      <c r="GW75" s="1" t="str">
        <f t="shared" ref="GW75:GW106" si="475">IFERROR(IF(GW$9="ND","ND",VLOOKUP($C75,LP12M,GW$9,0)),"ND")</f>
        <v>ND</v>
      </c>
      <c r="GX75" s="1" t="str">
        <f t="shared" ref="GX75:GX106" si="476">IFERROR(ROUNDUP(GY75/12,2)+55.9,"ND")</f>
        <v>ND</v>
      </c>
      <c r="GY75" s="1" t="str">
        <f t="shared" ref="GY75:GY106" si="477">IFERROR(IF(GY$9="ND","ND",VLOOKUP($C75,LP12M,GY$9,0)),"ND")</f>
        <v>ND</v>
      </c>
      <c r="GZ75" s="1" t="str">
        <f t="shared" ref="GZ75:GZ106" si="478">IFERROR(ROUNDUP(HA75/12,2)+69.9,"ND")</f>
        <v>ND</v>
      </c>
      <c r="HA75" s="1" t="str">
        <f t="shared" ref="HA75:HA106" si="479">IFERROR(IF(HA$9="ND","ND",VLOOKUP($C75,LP12M,HA$9,0)),"ND")</f>
        <v>ND</v>
      </c>
      <c r="HB75" s="1" t="str">
        <f t="shared" ref="HB75:HB106" si="480">IFERROR(ROUNDUP(HC75/12,2)+79.9,"ND")</f>
        <v>ND</v>
      </c>
      <c r="HC75" s="1" t="str">
        <f t="shared" ref="HC75:HC106" si="481">IFERROR(IF(HC$9="ND","ND",VLOOKUP($C75,LP12M,HC$9,0)),"ND")</f>
        <v>ND</v>
      </c>
      <c r="HD75" s="1" t="str">
        <f t="shared" ref="HD75:HD106" si="482">IFERROR(ROUNDUP(HE75/12,2)+95.9,"ND")</f>
        <v>ND</v>
      </c>
      <c r="HE75" s="1" t="str">
        <f t="shared" ref="HE75:HE106" si="483">IFERROR(IF(HE$9="ND","ND",VLOOKUP($C75,LP12M,HE$9,0)),"ND")</f>
        <v>ND</v>
      </c>
      <c r="HF75" s="1" t="str">
        <f t="shared" ref="HF75:HF106" si="484">IFERROR(ROUNDUP(HG75/12,2)+109.9,"ND")</f>
        <v>ND</v>
      </c>
      <c r="HG75" s="1" t="str">
        <f t="shared" ref="HG75:HG106" si="485">IFERROR(IF(HG$9="ND","ND",VLOOKUP($C75,LP12M,HG$9,0)),"ND")</f>
        <v>ND</v>
      </c>
      <c r="HH75" s="1" t="str">
        <f t="shared" ref="HH75:HH106" si="486">IFERROR(ROUNDUP(HI75/12,2)+159.9,"ND")</f>
        <v>ND</v>
      </c>
      <c r="HI75" s="1" t="str">
        <f t="shared" ref="HI75:HI106" si="487">IFERROR(IF(HI$9="ND","ND",VLOOKUP($C75,LP12M,HI$9,0)),"ND")</f>
        <v>ND</v>
      </c>
      <c r="HJ75" s="1" t="str">
        <f t="shared" ref="HJ75:HJ106" si="488">IFERROR(ROUNDUP(HK75/12,2)+189.9,"ND")</f>
        <v>ND</v>
      </c>
      <c r="HK75" s="1" t="str">
        <f t="shared" ref="HK75:HK106" si="489">IFERROR(IF(HK$9="ND","ND",VLOOKUP($C75,LP12M,HK$9,0)),"ND")</f>
        <v>ND</v>
      </c>
      <c r="HL75" s="1" t="str">
        <f t="shared" ref="HL75:HL106" si="490">IFERROR(ROUNDUP(HM75/12,2)+289.9,"ND")</f>
        <v>ND</v>
      </c>
      <c r="HM75" s="1" t="str">
        <f t="shared" ref="HM75:HM106" si="491">IFERROR(IF(HM$9="ND","ND",VLOOKUP($C75,LP12M,HM$9,0)),"ND")</f>
        <v>ND</v>
      </c>
      <c r="HN75" s="1" t="str">
        <f t="shared" ref="HN75:HN106" si="492">IFERROR(ROUNDUP(HO75/12,2)+29.9,"ND")</f>
        <v>ND</v>
      </c>
      <c r="HO75" s="1" t="str">
        <f t="shared" ref="HO75:HO106" si="493">IFERROR(IF(HO$9="ND","ND",VLOOKUP($C75,LR12M,HO$9,0)),"ND")</f>
        <v>ND</v>
      </c>
      <c r="HP75" s="1" t="str">
        <f t="shared" ref="HP75:HP106" si="494">IFERROR(ROUNDUP(HQ75/12,2)+39.9,"ND")</f>
        <v>ND</v>
      </c>
      <c r="HQ75" s="1" t="str">
        <f t="shared" ref="HQ75:HQ106" si="495">IFERROR(IF(HQ$9="ND","ND",VLOOKUP($C75,LR12M,HQ$9,0)),"ND")</f>
        <v>ND</v>
      </c>
      <c r="HR75" s="1" t="str">
        <f t="shared" ref="HR75:HR106" si="496">IFERROR(ROUNDUP(HS75/12,2)+49.9,"ND")</f>
        <v>ND</v>
      </c>
      <c r="HS75" s="1" t="str">
        <f t="shared" ref="HS75:HS106" si="497">IFERROR(IF(HS$9="ND","ND",VLOOKUP($C75,LR12M,HS$9,0)),"ND")</f>
        <v>ND</v>
      </c>
      <c r="HT75" s="1" t="str">
        <f t="shared" ref="HT75:HT106" si="498">IFERROR(ROUNDUP(HU75/12,2)+55.9,"ND")</f>
        <v>ND</v>
      </c>
      <c r="HU75" s="1" t="str">
        <f t="shared" ref="HU75:HU106" si="499">IFERROR(IF(HU$9="ND","ND",VLOOKUP($C75,LR12M,HU$9,0)),"ND")</f>
        <v>ND</v>
      </c>
      <c r="HV75" s="1" t="str">
        <f t="shared" ref="HV75:HV106" si="500">IFERROR(ROUNDUP(HW75/12,2)+69.9,"ND")</f>
        <v>ND</v>
      </c>
      <c r="HW75" s="1" t="str">
        <f t="shared" ref="HW75:HW106" si="501">IFERROR(IF(HW$9="ND","ND",VLOOKUP($C75,LR12M,HW$9,0)),"ND")</f>
        <v>ND</v>
      </c>
      <c r="HX75" s="1" t="str">
        <f t="shared" ref="HX75:HX106" si="502">IFERROR(ROUNDUP(HY75/12,2)+79.9,"ND")</f>
        <v>ND</v>
      </c>
      <c r="HY75" s="1" t="str">
        <f t="shared" ref="HY75:HY106" si="503">IFERROR(IF(HY$9="ND","ND",VLOOKUP($C75,LR12M,HY$9,0)),"ND")</f>
        <v>ND</v>
      </c>
      <c r="HZ75" s="1" t="str">
        <f t="shared" ref="HZ75:HZ106" si="504">IFERROR(ROUNDUP(IA75/12,2)+95.9,"ND")</f>
        <v>ND</v>
      </c>
      <c r="IA75" s="1" t="str">
        <f t="shared" ref="IA75:IA106" si="505">IFERROR(IF(IA$9="ND","ND",VLOOKUP($C75,LR12M,IA$9,0)),"ND")</f>
        <v>ND</v>
      </c>
      <c r="IB75" s="1" t="str">
        <f t="shared" ref="IB75:IB106" si="506">IFERROR(ROUNDUP(IC75/12,2)+109.9,"ND")</f>
        <v>ND</v>
      </c>
      <c r="IC75" s="1" t="str">
        <f t="shared" ref="IC75:IC106" si="507">IFERROR(IF(IC$9="ND","ND",VLOOKUP($C75,LR12M,IC$9,0)),"ND")</f>
        <v>ND</v>
      </c>
      <c r="ID75" s="1" t="str">
        <f t="shared" ref="ID75:ID106" si="508">IFERROR(ROUNDUP(IE75/12,2)+159.9,"ND")</f>
        <v>ND</v>
      </c>
      <c r="IE75" s="1" t="str">
        <f t="shared" ref="IE75:IE106" si="509">IFERROR(IF(IE$9="ND","ND",VLOOKUP($C75,LR12M,IE$9,0)),"ND")</f>
        <v>ND</v>
      </c>
      <c r="IF75" s="1" t="str">
        <f t="shared" ref="IF75:IF106" si="510">IFERROR(ROUNDUP(IG75/12,2)+189.9,"ND")</f>
        <v>ND</v>
      </c>
      <c r="IG75" s="1" t="str">
        <f t="shared" ref="IG75:IG106" si="511">IFERROR(IF(IG$9="ND","ND",VLOOKUP($C75,LR12M,IG$9,0)),"ND")</f>
        <v>ND</v>
      </c>
      <c r="IH75" s="1" t="str">
        <f t="shared" ref="IH75:IH106" si="512">IFERROR(ROUNDUP(II75/12,2)+289.9,"ND")</f>
        <v>ND</v>
      </c>
      <c r="II75" s="1" t="str">
        <f t="shared" ref="II75:II106" si="513">IFERROR(IF(II$9="ND","ND",VLOOKUP($C75,LR12M,II$9,0)),"ND")</f>
        <v>ND</v>
      </c>
    </row>
    <row r="76" spans="3:243" x14ac:dyDescent="0.25">
      <c r="C76" t="s">
        <v>1013</v>
      </c>
      <c r="D76">
        <f>SUMIFS(DICCIONARIO[Cantidad],DICCIONARIO[Modelo],UNIFICADA[[#This Row],[Equipo]])</f>
        <v>74</v>
      </c>
      <c r="E76" s="1">
        <f>IFERROR(VLOOKUP($C76,EQUIPOS[],UNIFICADO!E$9,0),"")</f>
        <v>13</v>
      </c>
      <c r="F76" s="1" t="str">
        <f>IFERROR(VLOOKUP($C76,EQUIPOS[],UNIFICADO!F$9,0),"")</f>
        <v>6.6 LCD 60Hz</v>
      </c>
      <c r="G76" s="1">
        <f>IFERROR(VLOOKUP($C76,EQUIPOS[],UNIFICADO!G$9,0),"")</f>
        <v>50</v>
      </c>
      <c r="H76" s="1">
        <f>IFERROR(VLOOKUP($C76,EQUIPOS[],UNIFICADO!H$9,0),"")</f>
        <v>3</v>
      </c>
      <c r="I76" s="1">
        <f>IFERROR(VLOOKUP($C76,EQUIPOS[],UNIFICADO!I$9,0),"")</f>
        <v>13</v>
      </c>
      <c r="J76" s="1" t="str">
        <f>IFERROR(VLOOKUP($C76,EQUIPOS[],UNIFICADO!J$9,0),"")</f>
        <v>128GB</v>
      </c>
      <c r="K76" s="1">
        <f>IFERROR(VLOOKUP($C76,EQUIPOS[],UNIFICADO!K$9,0),"")</f>
        <v>1024</v>
      </c>
      <c r="L76" s="1">
        <f>IFERROR(VLOOKUP($C76,EQUIPOS[],UNIFICADO!L$9,0),"")</f>
        <v>8</v>
      </c>
      <c r="M76" s="1" t="str">
        <f>IFERROR(VLOOKUP($C76,EQUIPOS[],UNIFICADO!M$9,0),"")</f>
        <v>Exynos 850</v>
      </c>
      <c r="N76" s="1">
        <f>IFERROR(VLOOKUP($C76,EQUIPOS[],UNIFICADO!N$9,0),"")</f>
        <v>4</v>
      </c>
      <c r="O76" s="1">
        <f>IFERROR(VLOOKUP($C76,EQUIPOS[],UNIFICADO!O$9,0),"")</f>
        <v>202</v>
      </c>
      <c r="P76" s="1">
        <f>IFERROR(VLOOKUP($C76,EQUIPOS[],UNIFICADO!P$9,0),"")</f>
        <v>16.77</v>
      </c>
      <c r="Q76" s="1">
        <f>IFERROR(VLOOKUP($C76,EQUIPOS[],UNIFICADO!Q$9,0),"")</f>
        <v>7.8</v>
      </c>
      <c r="R76" s="1">
        <f>IFERROR(VLOOKUP($C76,EQUIPOS[],UNIFICADO!R$9,0),"")</f>
        <v>0.91</v>
      </c>
      <c r="S76" s="1">
        <f>IFERROR(VLOOKUP($C76,EQUIPOS[],UNIFICADO!S$9,0),"")</f>
        <v>5000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8"/>
        <v>ND</v>
      </c>
      <c r="W76" s="1" t="str">
        <f t="shared" si="359"/>
        <v>ND</v>
      </c>
      <c r="X76" s="1" t="str">
        <f t="shared" si="351"/>
        <v>ND</v>
      </c>
      <c r="Y76" s="1" t="str">
        <f t="shared" si="351"/>
        <v>ND</v>
      </c>
      <c r="Z76" s="1" t="str">
        <f t="shared" si="352"/>
        <v>ND</v>
      </c>
      <c r="AA76" s="1" t="str">
        <f t="shared" si="352"/>
        <v>ND</v>
      </c>
      <c r="AB76" s="1" t="str">
        <f t="shared" si="352"/>
        <v>ND</v>
      </c>
      <c r="AC76" s="1" t="str">
        <f t="shared" si="352"/>
        <v>ND</v>
      </c>
      <c r="AD76" s="1" t="str">
        <f t="shared" si="352"/>
        <v>ND</v>
      </c>
      <c r="AE76" s="1" t="str">
        <f t="shared" si="352"/>
        <v>ND</v>
      </c>
      <c r="AF76" s="1" t="str">
        <f t="shared" si="352"/>
        <v>ND</v>
      </c>
      <c r="AG76" s="1" t="str">
        <f t="shared" si="352"/>
        <v>ND</v>
      </c>
      <c r="AH76" s="1" t="str">
        <f t="shared" si="352"/>
        <v>ND</v>
      </c>
      <c r="AI76" s="1" t="str">
        <f t="shared" si="360"/>
        <v>ND</v>
      </c>
      <c r="AJ76" s="1" t="str">
        <f t="shared" si="361"/>
        <v>ND</v>
      </c>
      <c r="AK76" s="1" t="str">
        <f t="shared" si="362"/>
        <v>ND</v>
      </c>
      <c r="AL76" s="1" t="str">
        <f t="shared" si="363"/>
        <v>ND</v>
      </c>
      <c r="AM76" s="1" t="str">
        <f t="shared" si="364"/>
        <v>ND</v>
      </c>
      <c r="AN76" s="1" t="str">
        <f t="shared" si="365"/>
        <v>ND</v>
      </c>
      <c r="AO76" s="1" t="str">
        <f t="shared" si="366"/>
        <v>ND</v>
      </c>
      <c r="AP76" s="1" t="str">
        <f t="shared" si="367"/>
        <v>ND</v>
      </c>
      <c r="AQ76" s="1" t="str">
        <f t="shared" si="368"/>
        <v>ND</v>
      </c>
      <c r="AR76" s="1" t="str">
        <f t="shared" si="369"/>
        <v>ND</v>
      </c>
      <c r="AS76" s="1" t="str">
        <f t="shared" si="370"/>
        <v>ND</v>
      </c>
      <c r="AT76" s="1" t="str">
        <f t="shared" si="371"/>
        <v>ND</v>
      </c>
      <c r="AU76" s="1" t="str">
        <f t="shared" si="372"/>
        <v>ND</v>
      </c>
      <c r="AV76" s="1" t="str">
        <f t="shared" si="373"/>
        <v>ND</v>
      </c>
      <c r="AW76" s="1" t="str">
        <f t="shared" si="374"/>
        <v>ND</v>
      </c>
      <c r="AX76" s="1" t="str">
        <f t="shared" si="375"/>
        <v>ND</v>
      </c>
      <c r="AY76" s="1" t="str">
        <f t="shared" si="376"/>
        <v>ND</v>
      </c>
      <c r="AZ76" s="1" t="str">
        <f t="shared" si="377"/>
        <v>ND</v>
      </c>
      <c r="BA76" s="1" t="str">
        <f t="shared" si="378"/>
        <v>ND</v>
      </c>
      <c r="BB76" s="1" t="str">
        <f t="shared" si="379"/>
        <v>ND</v>
      </c>
      <c r="BC76" s="1" t="str">
        <f t="shared" si="380"/>
        <v>ND</v>
      </c>
      <c r="BD76" s="1" t="str">
        <f t="shared" si="381"/>
        <v>ND</v>
      </c>
      <c r="BE76" s="1" t="str">
        <f t="shared" si="382"/>
        <v>ND</v>
      </c>
      <c r="BF76" s="1" t="str">
        <f t="shared" si="383"/>
        <v>ND</v>
      </c>
      <c r="BG76" s="1" t="str">
        <f t="shared" si="384"/>
        <v>ND</v>
      </c>
      <c r="BH76" s="1" t="str">
        <f t="shared" si="385"/>
        <v>ND</v>
      </c>
      <c r="BI76" s="1" t="str">
        <f t="shared" si="386"/>
        <v>ND</v>
      </c>
      <c r="BJ76" s="1" t="str">
        <f t="shared" si="387"/>
        <v>ND</v>
      </c>
      <c r="BK76" s="1" t="str">
        <f t="shared" si="388"/>
        <v>ND</v>
      </c>
      <c r="BL76" s="1" t="str">
        <f t="shared" si="389"/>
        <v>ND</v>
      </c>
      <c r="BM76" s="1" t="str">
        <f t="shared" si="390"/>
        <v>ND</v>
      </c>
      <c r="BN76" s="1" t="str">
        <f t="shared" si="391"/>
        <v>ND</v>
      </c>
      <c r="BO76" s="1" t="str">
        <f t="shared" si="392"/>
        <v>ND</v>
      </c>
      <c r="BP76" s="1" t="str">
        <f t="shared" si="393"/>
        <v>ND</v>
      </c>
      <c r="BQ76" s="1" t="str">
        <f t="shared" si="394"/>
        <v>ND</v>
      </c>
      <c r="BR76" s="1" t="str">
        <f t="shared" si="395"/>
        <v>ND</v>
      </c>
      <c r="BS76" s="1" t="str">
        <f t="shared" si="396"/>
        <v>ND</v>
      </c>
      <c r="BT76" s="1" t="str">
        <f t="shared" si="397"/>
        <v>ND</v>
      </c>
      <c r="BU76" s="1" t="str">
        <f t="shared" si="398"/>
        <v>ND</v>
      </c>
      <c r="BV76" s="1" t="str">
        <f t="shared" si="399"/>
        <v>ND</v>
      </c>
      <c r="BW76" s="1" t="str">
        <f t="shared" si="400"/>
        <v>ND</v>
      </c>
      <c r="BX76" s="1" t="str">
        <f t="shared" si="401"/>
        <v>ND</v>
      </c>
      <c r="BY76" s="1" t="str">
        <f t="shared" si="402"/>
        <v>ND</v>
      </c>
      <c r="BZ76" s="1" t="str">
        <f t="shared" si="403"/>
        <v>ND</v>
      </c>
      <c r="CA76" s="1" t="str">
        <f t="shared" si="353"/>
        <v>ND</v>
      </c>
      <c r="CB76" s="1" t="str">
        <f t="shared" si="353"/>
        <v>ND</v>
      </c>
      <c r="CC76" s="1" t="str">
        <f t="shared" si="353"/>
        <v>ND</v>
      </c>
      <c r="CD76" s="1" t="str">
        <f t="shared" si="353"/>
        <v>ND</v>
      </c>
      <c r="CE76" s="1" t="str">
        <f t="shared" si="353"/>
        <v>ND</v>
      </c>
      <c r="CF76" s="1" t="str">
        <f t="shared" si="353"/>
        <v>ND</v>
      </c>
      <c r="CG76" s="1" t="str">
        <f t="shared" si="353"/>
        <v>ND</v>
      </c>
      <c r="CH76" s="1" t="str">
        <f t="shared" si="353"/>
        <v>ND</v>
      </c>
      <c r="CI76" s="1" t="str">
        <f t="shared" si="353"/>
        <v>ND</v>
      </c>
      <c r="CJ76" s="1" t="str">
        <f t="shared" si="353"/>
        <v>ND</v>
      </c>
      <c r="CK76" s="1" t="str">
        <f t="shared" si="353"/>
        <v>ND</v>
      </c>
      <c r="CL76" s="1" t="str">
        <f t="shared" si="354"/>
        <v>ND</v>
      </c>
      <c r="CM76" s="1" t="str">
        <f t="shared" si="354"/>
        <v>ND</v>
      </c>
      <c r="CN76" s="1" t="str">
        <f t="shared" si="354"/>
        <v>ND</v>
      </c>
      <c r="CO76" s="1" t="str">
        <f t="shared" si="354"/>
        <v>ND</v>
      </c>
      <c r="CP76" s="1" t="str">
        <f t="shared" si="354"/>
        <v>ND</v>
      </c>
      <c r="CQ76" s="1" t="str">
        <f t="shared" si="354"/>
        <v>ND</v>
      </c>
      <c r="CR76" s="1" t="str">
        <f t="shared" si="354"/>
        <v>ND</v>
      </c>
      <c r="CS76" s="1" t="str">
        <f t="shared" si="354"/>
        <v>ND</v>
      </c>
      <c r="CT76" s="1" t="str">
        <f t="shared" si="354"/>
        <v>ND</v>
      </c>
      <c r="CU76" s="1" t="str">
        <f t="shared" si="354"/>
        <v>ND</v>
      </c>
      <c r="CV76" s="1" t="str">
        <f t="shared" si="354"/>
        <v>ND</v>
      </c>
      <c r="CW76" s="1" t="str">
        <f t="shared" si="404"/>
        <v>ND</v>
      </c>
      <c r="CX76" s="1" t="str">
        <f t="shared" si="405"/>
        <v>ND</v>
      </c>
      <c r="CY76" s="1" t="str">
        <f t="shared" si="406"/>
        <v>ND</v>
      </c>
      <c r="CZ76" s="1" t="str">
        <f t="shared" si="407"/>
        <v>ND</v>
      </c>
      <c r="DA76" s="1" t="str">
        <f t="shared" si="408"/>
        <v>ND</v>
      </c>
      <c r="DB76" s="1" t="str">
        <f t="shared" si="409"/>
        <v>ND</v>
      </c>
      <c r="DC76" s="1" t="str">
        <f t="shared" si="410"/>
        <v>ND</v>
      </c>
      <c r="DD76" s="1" t="str">
        <f t="shared" si="411"/>
        <v>ND</v>
      </c>
      <c r="DE76" s="1" t="str">
        <f t="shared" si="412"/>
        <v>ND</v>
      </c>
      <c r="DF76" s="1" t="str">
        <f t="shared" si="413"/>
        <v>ND</v>
      </c>
      <c r="DG76" s="1" t="str">
        <f t="shared" si="414"/>
        <v>ND</v>
      </c>
      <c r="DH76" s="1" t="str">
        <f t="shared" si="415"/>
        <v>ND</v>
      </c>
      <c r="DI76" s="1" t="str">
        <f t="shared" si="416"/>
        <v>ND</v>
      </c>
      <c r="DJ76" s="1" t="str">
        <f t="shared" si="417"/>
        <v>ND</v>
      </c>
      <c r="DK76" s="1" t="str">
        <f t="shared" si="418"/>
        <v>ND</v>
      </c>
      <c r="DL76" s="1" t="str">
        <f t="shared" si="419"/>
        <v>ND</v>
      </c>
      <c r="DM76" s="1" t="str">
        <f t="shared" si="420"/>
        <v>ND</v>
      </c>
      <c r="DN76" s="1" t="str">
        <f t="shared" si="421"/>
        <v>ND</v>
      </c>
      <c r="DO76" s="1" t="str">
        <f t="shared" si="422"/>
        <v>ND</v>
      </c>
      <c r="DP76" s="1" t="str">
        <f t="shared" si="423"/>
        <v>ND</v>
      </c>
      <c r="DQ76" s="1" t="str">
        <f t="shared" si="424"/>
        <v>ND</v>
      </c>
      <c r="DR76" s="1" t="str">
        <f t="shared" si="425"/>
        <v>ND</v>
      </c>
      <c r="DS76" s="1" t="str">
        <f t="shared" si="426"/>
        <v>ND</v>
      </c>
      <c r="DT76" s="1" t="str">
        <f t="shared" si="427"/>
        <v>ND</v>
      </c>
      <c r="DU76" s="1" t="str">
        <f t="shared" si="428"/>
        <v>ND</v>
      </c>
      <c r="DV76" s="1" t="str">
        <f t="shared" si="429"/>
        <v>ND</v>
      </c>
      <c r="DW76" s="1" t="str">
        <f t="shared" si="430"/>
        <v>ND</v>
      </c>
      <c r="DX76" s="1" t="str">
        <f t="shared" si="431"/>
        <v>ND</v>
      </c>
      <c r="DY76" s="1" t="str">
        <f t="shared" si="432"/>
        <v>ND</v>
      </c>
      <c r="DZ76" s="1" t="str">
        <f t="shared" si="433"/>
        <v>ND</v>
      </c>
      <c r="EA76" s="1" t="str">
        <f t="shared" si="434"/>
        <v>ND</v>
      </c>
      <c r="EB76" s="1" t="str">
        <f t="shared" si="435"/>
        <v>ND</v>
      </c>
      <c r="EC76" s="1" t="str">
        <f t="shared" si="436"/>
        <v>ND</v>
      </c>
      <c r="ED76" s="1" t="str">
        <f t="shared" si="437"/>
        <v>ND</v>
      </c>
      <c r="EE76" s="1" t="str">
        <f t="shared" si="438"/>
        <v>ND</v>
      </c>
      <c r="EF76" s="1" t="str">
        <f t="shared" si="439"/>
        <v>ND</v>
      </c>
      <c r="EG76" s="1" t="str">
        <f t="shared" si="440"/>
        <v>ND</v>
      </c>
      <c r="EH76" s="1" t="str">
        <f t="shared" si="441"/>
        <v>ND</v>
      </c>
      <c r="EI76" s="1" t="str">
        <f t="shared" si="442"/>
        <v>ND</v>
      </c>
      <c r="EJ76" s="1" t="str">
        <f t="shared" si="443"/>
        <v>ND</v>
      </c>
      <c r="EK76" s="1" t="str">
        <f t="shared" si="444"/>
        <v>ND</v>
      </c>
      <c r="EL76" s="1" t="str">
        <f t="shared" si="445"/>
        <v>ND</v>
      </c>
      <c r="EM76" s="1" t="str">
        <f t="shared" si="446"/>
        <v>ND</v>
      </c>
      <c r="EN76" s="1" t="str">
        <f t="shared" si="447"/>
        <v>ND</v>
      </c>
      <c r="EO76" s="1" t="str">
        <f t="shared" si="355"/>
        <v>ND</v>
      </c>
      <c r="EP76" s="1" t="str">
        <f t="shared" si="355"/>
        <v>ND</v>
      </c>
      <c r="EQ76" s="1" t="str">
        <f t="shared" si="355"/>
        <v>ND</v>
      </c>
      <c r="ER76" s="1" t="str">
        <f t="shared" si="355"/>
        <v>ND</v>
      </c>
      <c r="ES76" s="1" t="str">
        <f t="shared" si="355"/>
        <v>ND</v>
      </c>
      <c r="ET76" s="1" t="str">
        <f t="shared" si="355"/>
        <v>ND</v>
      </c>
      <c r="EU76" s="1" t="str">
        <f t="shared" si="355"/>
        <v>ND</v>
      </c>
      <c r="EV76" s="1" t="str">
        <f t="shared" si="355"/>
        <v>ND</v>
      </c>
      <c r="EW76" s="1" t="str">
        <f t="shared" si="355"/>
        <v>ND</v>
      </c>
      <c r="EX76" s="1" t="str">
        <f t="shared" si="355"/>
        <v>ND</v>
      </c>
      <c r="EY76" s="1" t="str">
        <f t="shared" si="355"/>
        <v>ND</v>
      </c>
      <c r="EZ76" s="1" t="str">
        <f t="shared" si="356"/>
        <v>ND</v>
      </c>
      <c r="FA76" s="1" t="str">
        <f t="shared" si="356"/>
        <v>ND</v>
      </c>
      <c r="FB76" s="1" t="str">
        <f t="shared" si="356"/>
        <v>ND</v>
      </c>
      <c r="FC76" s="1" t="str">
        <f t="shared" si="356"/>
        <v>ND</v>
      </c>
      <c r="FD76" s="1" t="str">
        <f t="shared" si="356"/>
        <v>ND</v>
      </c>
      <c r="FE76" s="1" t="str">
        <f t="shared" si="356"/>
        <v>ND</v>
      </c>
      <c r="FF76" s="1" t="str">
        <f t="shared" si="356"/>
        <v>ND</v>
      </c>
      <c r="FG76" s="1" t="str">
        <f t="shared" si="356"/>
        <v>ND</v>
      </c>
      <c r="FH76" s="1" t="str">
        <f t="shared" si="356"/>
        <v>ND</v>
      </c>
      <c r="FI76" s="1" t="str">
        <f t="shared" si="356"/>
        <v>ND</v>
      </c>
      <c r="FJ76" s="1" t="str">
        <f t="shared" si="356"/>
        <v>ND</v>
      </c>
      <c r="FK76" s="1" t="str">
        <f t="shared" si="357"/>
        <v>ND</v>
      </c>
      <c r="FL76" s="1" t="str">
        <f t="shared" si="357"/>
        <v>ND</v>
      </c>
      <c r="FM76" s="1" t="str">
        <f t="shared" si="357"/>
        <v>ND</v>
      </c>
      <c r="FN76" s="1" t="str">
        <f t="shared" si="357"/>
        <v>ND</v>
      </c>
      <c r="FO76" s="1" t="str">
        <f t="shared" si="357"/>
        <v>ND</v>
      </c>
      <c r="FP76" s="1" t="str">
        <f t="shared" si="357"/>
        <v>ND</v>
      </c>
      <c r="FQ76" s="1" t="str">
        <f t="shared" si="357"/>
        <v>ND</v>
      </c>
      <c r="FR76" s="1" t="str">
        <f t="shared" si="357"/>
        <v>ND</v>
      </c>
      <c r="FS76" s="1" t="str">
        <f t="shared" si="357"/>
        <v>ND</v>
      </c>
      <c r="FT76" s="1" t="str">
        <f t="shared" si="357"/>
        <v>ND</v>
      </c>
      <c r="FU76" s="1" t="str">
        <f t="shared" si="357"/>
        <v>ND</v>
      </c>
      <c r="FV76" s="1" t="str">
        <f t="shared" si="448"/>
        <v>ND</v>
      </c>
      <c r="FW76" s="1" t="str">
        <f t="shared" si="449"/>
        <v>ND</v>
      </c>
      <c r="FX76" s="1" t="str">
        <f t="shared" si="450"/>
        <v>ND</v>
      </c>
      <c r="FY76" s="1" t="str">
        <f t="shared" si="451"/>
        <v>ND</v>
      </c>
      <c r="FZ76" s="1" t="str">
        <f t="shared" si="452"/>
        <v>ND</v>
      </c>
      <c r="GA76" s="1" t="str">
        <f t="shared" si="453"/>
        <v>ND</v>
      </c>
      <c r="GB76" s="1" t="str">
        <f t="shared" si="454"/>
        <v>ND</v>
      </c>
      <c r="GC76" s="1" t="str">
        <f t="shared" si="455"/>
        <v>ND</v>
      </c>
      <c r="GD76" s="1" t="str">
        <f t="shared" si="456"/>
        <v>ND</v>
      </c>
      <c r="GE76" s="1" t="str">
        <f t="shared" si="457"/>
        <v>ND</v>
      </c>
      <c r="GF76" s="1" t="str">
        <f t="shared" si="458"/>
        <v>ND</v>
      </c>
      <c r="GG76" s="1" t="str">
        <f t="shared" si="459"/>
        <v>ND</v>
      </c>
      <c r="GH76" s="1" t="str">
        <f t="shared" si="460"/>
        <v>ND</v>
      </c>
      <c r="GI76" s="1" t="str">
        <f t="shared" si="461"/>
        <v>ND</v>
      </c>
      <c r="GJ76" s="1" t="str">
        <f t="shared" si="462"/>
        <v>ND</v>
      </c>
      <c r="GK76" s="1" t="str">
        <f t="shared" si="463"/>
        <v>ND</v>
      </c>
      <c r="GL76" s="1" t="str">
        <f t="shared" si="464"/>
        <v>ND</v>
      </c>
      <c r="GM76" s="1" t="str">
        <f t="shared" si="465"/>
        <v>ND</v>
      </c>
      <c r="GN76" s="1" t="str">
        <f t="shared" si="466"/>
        <v>ND</v>
      </c>
      <c r="GO76" s="1" t="str">
        <f t="shared" si="467"/>
        <v>ND</v>
      </c>
      <c r="GP76" s="1" t="str">
        <f t="shared" si="468"/>
        <v>ND</v>
      </c>
      <c r="GQ76" s="1" t="str">
        <f t="shared" si="469"/>
        <v>ND</v>
      </c>
      <c r="GR76" s="1" t="str">
        <f t="shared" si="470"/>
        <v>ND</v>
      </c>
      <c r="GS76" s="1" t="str">
        <f t="shared" si="471"/>
        <v>ND</v>
      </c>
      <c r="GT76" s="1" t="str">
        <f t="shared" si="472"/>
        <v>ND</v>
      </c>
      <c r="GU76" s="1" t="str">
        <f t="shared" si="473"/>
        <v>ND</v>
      </c>
      <c r="GV76" s="1" t="str">
        <f t="shared" si="474"/>
        <v>ND</v>
      </c>
      <c r="GW76" s="1" t="str">
        <f t="shared" si="475"/>
        <v>ND</v>
      </c>
      <c r="GX76" s="1" t="str">
        <f t="shared" si="476"/>
        <v>ND</v>
      </c>
      <c r="GY76" s="1" t="str">
        <f t="shared" si="477"/>
        <v>ND</v>
      </c>
      <c r="GZ76" s="1" t="str">
        <f t="shared" si="478"/>
        <v>ND</v>
      </c>
      <c r="HA76" s="1" t="str">
        <f t="shared" si="479"/>
        <v>ND</v>
      </c>
      <c r="HB76" s="1" t="str">
        <f t="shared" si="480"/>
        <v>ND</v>
      </c>
      <c r="HC76" s="1" t="str">
        <f t="shared" si="481"/>
        <v>ND</v>
      </c>
      <c r="HD76" s="1" t="str">
        <f t="shared" si="482"/>
        <v>ND</v>
      </c>
      <c r="HE76" s="1" t="str">
        <f t="shared" si="483"/>
        <v>ND</v>
      </c>
      <c r="HF76" s="1" t="str">
        <f t="shared" si="484"/>
        <v>ND</v>
      </c>
      <c r="HG76" s="1" t="str">
        <f t="shared" si="485"/>
        <v>ND</v>
      </c>
      <c r="HH76" s="1" t="str">
        <f t="shared" si="486"/>
        <v>ND</v>
      </c>
      <c r="HI76" s="1" t="str">
        <f t="shared" si="487"/>
        <v>ND</v>
      </c>
      <c r="HJ76" s="1" t="str">
        <f t="shared" si="488"/>
        <v>ND</v>
      </c>
      <c r="HK76" s="1" t="str">
        <f t="shared" si="489"/>
        <v>ND</v>
      </c>
      <c r="HL76" s="1" t="str">
        <f t="shared" si="490"/>
        <v>ND</v>
      </c>
      <c r="HM76" s="1" t="str">
        <f t="shared" si="491"/>
        <v>ND</v>
      </c>
      <c r="HN76" s="1" t="str">
        <f t="shared" si="492"/>
        <v>ND</v>
      </c>
      <c r="HO76" s="1" t="str">
        <f t="shared" si="493"/>
        <v>ND</v>
      </c>
      <c r="HP76" s="1" t="str">
        <f t="shared" si="494"/>
        <v>ND</v>
      </c>
      <c r="HQ76" s="1" t="str">
        <f t="shared" si="495"/>
        <v>ND</v>
      </c>
      <c r="HR76" s="1" t="str">
        <f t="shared" si="496"/>
        <v>ND</v>
      </c>
      <c r="HS76" s="1" t="str">
        <f t="shared" si="497"/>
        <v>ND</v>
      </c>
      <c r="HT76" s="1" t="str">
        <f t="shared" si="498"/>
        <v>ND</v>
      </c>
      <c r="HU76" s="1" t="str">
        <f t="shared" si="499"/>
        <v>ND</v>
      </c>
      <c r="HV76" s="1" t="str">
        <f t="shared" si="500"/>
        <v>ND</v>
      </c>
      <c r="HW76" s="1" t="str">
        <f t="shared" si="501"/>
        <v>ND</v>
      </c>
      <c r="HX76" s="1" t="str">
        <f t="shared" si="502"/>
        <v>ND</v>
      </c>
      <c r="HY76" s="1" t="str">
        <f t="shared" si="503"/>
        <v>ND</v>
      </c>
      <c r="HZ76" s="1" t="str">
        <f t="shared" si="504"/>
        <v>ND</v>
      </c>
      <c r="IA76" s="1" t="str">
        <f t="shared" si="505"/>
        <v>ND</v>
      </c>
      <c r="IB76" s="1" t="str">
        <f t="shared" si="506"/>
        <v>ND</v>
      </c>
      <c r="IC76" s="1" t="str">
        <f t="shared" si="507"/>
        <v>ND</v>
      </c>
      <c r="ID76" s="1" t="str">
        <f t="shared" si="508"/>
        <v>ND</v>
      </c>
      <c r="IE76" s="1" t="str">
        <f t="shared" si="509"/>
        <v>ND</v>
      </c>
      <c r="IF76" s="1" t="str">
        <f t="shared" si="510"/>
        <v>ND</v>
      </c>
      <c r="IG76" s="1" t="str">
        <f t="shared" si="511"/>
        <v>ND</v>
      </c>
      <c r="IH76" s="1" t="str">
        <f t="shared" si="512"/>
        <v>ND</v>
      </c>
      <c r="II76" s="1" t="str">
        <f t="shared" si="513"/>
        <v>ND</v>
      </c>
    </row>
    <row r="77" spans="3:243" x14ac:dyDescent="0.25">
      <c r="C77" t="s">
        <v>25</v>
      </c>
      <c r="D77">
        <f>SUMIFS(DICCIONARIO[Cantidad],DICCIONARIO[Modelo],UNIFICADA[[#This Row],[Equipo]])</f>
        <v>0</v>
      </c>
      <c r="E77" s="1">
        <f>IFERROR(VLOOKUP($C77,EQUIPOS[],UNIFICADO!E$9,0),"")</f>
        <v>11</v>
      </c>
      <c r="F77" s="1">
        <f>IFERROR(VLOOKUP($C77,EQUIPOS[],UNIFICADO!F$9,0),"")</f>
        <v>6.6</v>
      </c>
      <c r="G77" s="1">
        <f>IFERROR(VLOOKUP($C77,EQUIPOS[],UNIFICADO!G$9,0),"")</f>
        <v>48</v>
      </c>
      <c r="H77" s="1">
        <f>IFERROR(VLOOKUP($C77,EQUIPOS[],UNIFICADO!H$9,0),"")</f>
        <v>3</v>
      </c>
      <c r="I77" s="1">
        <f>IFERROR(VLOOKUP($C77,EQUIPOS[],UNIFICADO!I$9,0),"")</f>
        <v>8</v>
      </c>
      <c r="J77" s="1" t="str">
        <f>IFERROR(VLOOKUP($C77,EQUIPOS[],UNIFICADO!J$9,0),"")</f>
        <v>128GB</v>
      </c>
      <c r="K77" s="1">
        <f>IFERROR(VLOOKUP($C77,EQUIPOS[],UNIFICADO!K$9,0),"")</f>
        <v>256</v>
      </c>
      <c r="L77" s="1">
        <f>IFERROR(VLOOKUP($C77,EQUIPOS[],UNIFICADO!L$9,0),"")</f>
        <v>8</v>
      </c>
      <c r="M77" s="1" t="str">
        <f>IFERROR(VLOOKUP($C77,EQUIPOS[],UNIFICADO!M$9,0),"")</f>
        <v>2.2/2.0</v>
      </c>
      <c r="N77" s="1">
        <f>IFERROR(VLOOKUP($C77,EQUIPOS[],UNIFICADO!N$9,0),"")</f>
        <v>4</v>
      </c>
      <c r="O77" s="1">
        <f>IFERROR(VLOOKUP($C77,EQUIPOS[],UNIFICADO!O$9,0),"")</f>
        <v>203</v>
      </c>
      <c r="P77" s="1">
        <f>IFERROR(VLOOKUP($C77,EQUIPOS[],UNIFICADO!P$9,0),"")</f>
        <v>16.7</v>
      </c>
      <c r="Q77" s="1">
        <f>IFERROR(VLOOKUP($C77,EQUIPOS[],UNIFICADO!Q$9,0),"")</f>
        <v>7.64</v>
      </c>
      <c r="R77" s="1">
        <f>IFERROR(VLOOKUP($C77,EQUIPOS[],UNIFICADO!R$9,0),"")</f>
        <v>0.9</v>
      </c>
      <c r="S77" s="1">
        <f>IFERROR(VLOOKUP($C77,EQUIPOS[],UNIFICADO!S$9,0),"")</f>
        <v>5000</v>
      </c>
      <c r="T77" s="1">
        <f>IFERROR(VLOOKUP($C77,EQUIPOS[],UNIFICADO!T$9,0),"")</f>
        <v>5</v>
      </c>
      <c r="U77" s="1">
        <f>VLOOKUP(UNIFICADA[[#This Row],[Equipo]],EQUIPOS[],19,0)</f>
        <v>67</v>
      </c>
      <c r="V77" s="1" t="str">
        <f t="shared" si="358"/>
        <v>ND</v>
      </c>
      <c r="W77" s="1" t="str">
        <f t="shared" si="359"/>
        <v>ND</v>
      </c>
      <c r="X77" s="1" t="str">
        <f t="shared" si="351"/>
        <v>ND</v>
      </c>
      <c r="Y77" s="1" t="str">
        <f t="shared" si="351"/>
        <v>ND</v>
      </c>
      <c r="Z77" s="1" t="str">
        <f t="shared" si="352"/>
        <v>ND</v>
      </c>
      <c r="AA77" s="1" t="str">
        <f t="shared" si="352"/>
        <v>ND</v>
      </c>
      <c r="AB77" s="1" t="str">
        <f t="shared" si="352"/>
        <v>ND</v>
      </c>
      <c r="AC77" s="1" t="str">
        <f t="shared" si="352"/>
        <v>ND</v>
      </c>
      <c r="AD77" s="1" t="str">
        <f t="shared" si="352"/>
        <v>ND</v>
      </c>
      <c r="AE77" s="1" t="str">
        <f t="shared" si="352"/>
        <v>ND</v>
      </c>
      <c r="AF77" s="1" t="str">
        <f t="shared" si="352"/>
        <v>ND</v>
      </c>
      <c r="AG77" s="1" t="str">
        <f t="shared" si="352"/>
        <v>ND</v>
      </c>
      <c r="AH77" s="1" t="str">
        <f t="shared" si="352"/>
        <v>ND</v>
      </c>
      <c r="AI77" s="1" t="str">
        <f t="shared" si="360"/>
        <v>ND</v>
      </c>
      <c r="AJ77" s="1" t="str">
        <f t="shared" si="361"/>
        <v>ND</v>
      </c>
      <c r="AK77" s="1" t="str">
        <f t="shared" si="362"/>
        <v>ND</v>
      </c>
      <c r="AL77" s="1" t="str">
        <f t="shared" si="363"/>
        <v>ND</v>
      </c>
      <c r="AM77" s="1" t="str">
        <f t="shared" si="364"/>
        <v>ND</v>
      </c>
      <c r="AN77" s="1" t="str">
        <f t="shared" si="365"/>
        <v>ND</v>
      </c>
      <c r="AO77" s="1" t="str">
        <f t="shared" si="366"/>
        <v>ND</v>
      </c>
      <c r="AP77" s="1" t="str">
        <f t="shared" si="367"/>
        <v>ND</v>
      </c>
      <c r="AQ77" s="1" t="str">
        <f t="shared" si="368"/>
        <v>ND</v>
      </c>
      <c r="AR77" s="1" t="str">
        <f t="shared" si="369"/>
        <v>ND</v>
      </c>
      <c r="AS77" s="1" t="str">
        <f t="shared" si="370"/>
        <v>ND</v>
      </c>
      <c r="AT77" s="1" t="str">
        <f t="shared" si="371"/>
        <v>ND</v>
      </c>
      <c r="AU77" s="1" t="str">
        <f t="shared" si="372"/>
        <v>ND</v>
      </c>
      <c r="AV77" s="1" t="str">
        <f t="shared" si="373"/>
        <v>ND</v>
      </c>
      <c r="AW77" s="1" t="str">
        <f t="shared" si="374"/>
        <v>ND</v>
      </c>
      <c r="AX77" s="1" t="str">
        <f t="shared" si="375"/>
        <v>ND</v>
      </c>
      <c r="AY77" s="1" t="str">
        <f t="shared" si="376"/>
        <v>ND</v>
      </c>
      <c r="AZ77" s="1" t="str">
        <f t="shared" si="377"/>
        <v>ND</v>
      </c>
      <c r="BA77" s="1" t="str">
        <f t="shared" si="378"/>
        <v>ND</v>
      </c>
      <c r="BB77" s="1" t="str">
        <f t="shared" si="379"/>
        <v>ND</v>
      </c>
      <c r="BC77" s="1" t="str">
        <f t="shared" si="380"/>
        <v>ND</v>
      </c>
      <c r="BD77" s="1" t="str">
        <f t="shared" si="381"/>
        <v>ND</v>
      </c>
      <c r="BE77" s="1" t="str">
        <f t="shared" si="382"/>
        <v>ND</v>
      </c>
      <c r="BF77" s="1" t="str">
        <f t="shared" si="383"/>
        <v>ND</v>
      </c>
      <c r="BG77" s="1" t="str">
        <f t="shared" si="384"/>
        <v>ND</v>
      </c>
      <c r="BH77" s="1" t="str">
        <f t="shared" si="385"/>
        <v>ND</v>
      </c>
      <c r="BI77" s="1" t="str">
        <f t="shared" si="386"/>
        <v>ND</v>
      </c>
      <c r="BJ77" s="1" t="str">
        <f t="shared" si="387"/>
        <v>ND</v>
      </c>
      <c r="BK77" s="1" t="str">
        <f t="shared" si="388"/>
        <v>ND</v>
      </c>
      <c r="BL77" s="1" t="str">
        <f t="shared" si="389"/>
        <v>ND</v>
      </c>
      <c r="BM77" s="1" t="str">
        <f t="shared" si="390"/>
        <v>ND</v>
      </c>
      <c r="BN77" s="1" t="str">
        <f t="shared" si="391"/>
        <v>ND</v>
      </c>
      <c r="BO77" s="1" t="str">
        <f t="shared" si="392"/>
        <v>ND</v>
      </c>
      <c r="BP77" s="1" t="str">
        <f t="shared" si="393"/>
        <v>ND</v>
      </c>
      <c r="BQ77" s="1" t="str">
        <f t="shared" si="394"/>
        <v>ND</v>
      </c>
      <c r="BR77" s="1" t="str">
        <f t="shared" si="395"/>
        <v>ND</v>
      </c>
      <c r="BS77" s="1" t="str">
        <f t="shared" si="396"/>
        <v>ND</v>
      </c>
      <c r="BT77" s="1" t="str">
        <f t="shared" si="397"/>
        <v>ND</v>
      </c>
      <c r="BU77" s="1" t="str">
        <f t="shared" si="398"/>
        <v>ND</v>
      </c>
      <c r="BV77" s="1" t="str">
        <f t="shared" si="399"/>
        <v>ND</v>
      </c>
      <c r="BW77" s="1" t="str">
        <f t="shared" si="400"/>
        <v>ND</v>
      </c>
      <c r="BX77" s="1" t="str">
        <f t="shared" si="401"/>
        <v>ND</v>
      </c>
      <c r="BY77" s="1" t="str">
        <f t="shared" si="402"/>
        <v>ND</v>
      </c>
      <c r="BZ77" s="1" t="str">
        <f t="shared" si="403"/>
        <v>ND</v>
      </c>
      <c r="CA77" s="1" t="str">
        <f t="shared" si="353"/>
        <v>ND</v>
      </c>
      <c r="CB77" s="1" t="str">
        <f t="shared" si="353"/>
        <v>ND</v>
      </c>
      <c r="CC77" s="1" t="str">
        <f t="shared" si="353"/>
        <v>ND</v>
      </c>
      <c r="CD77" s="1" t="str">
        <f t="shared" si="353"/>
        <v>ND</v>
      </c>
      <c r="CE77" s="1" t="str">
        <f t="shared" si="353"/>
        <v>ND</v>
      </c>
      <c r="CF77" s="1" t="str">
        <f t="shared" si="353"/>
        <v>ND</v>
      </c>
      <c r="CG77" s="1" t="str">
        <f t="shared" si="353"/>
        <v>ND</v>
      </c>
      <c r="CH77" s="1" t="str">
        <f t="shared" si="353"/>
        <v>ND</v>
      </c>
      <c r="CI77" s="1" t="str">
        <f t="shared" si="353"/>
        <v>ND</v>
      </c>
      <c r="CJ77" s="1" t="str">
        <f t="shared" si="353"/>
        <v>ND</v>
      </c>
      <c r="CK77" s="1" t="str">
        <f t="shared" si="353"/>
        <v>ND</v>
      </c>
      <c r="CL77" s="1" t="str">
        <f t="shared" si="354"/>
        <v>ND</v>
      </c>
      <c r="CM77" s="1" t="str">
        <f t="shared" si="354"/>
        <v>ND</v>
      </c>
      <c r="CN77" s="1" t="str">
        <f t="shared" si="354"/>
        <v>ND</v>
      </c>
      <c r="CO77" s="1" t="str">
        <f t="shared" si="354"/>
        <v>ND</v>
      </c>
      <c r="CP77" s="1" t="str">
        <f t="shared" si="354"/>
        <v>ND</v>
      </c>
      <c r="CQ77" s="1" t="str">
        <f t="shared" si="354"/>
        <v>ND</v>
      </c>
      <c r="CR77" s="1" t="str">
        <f t="shared" si="354"/>
        <v>ND</v>
      </c>
      <c r="CS77" s="1" t="str">
        <f t="shared" si="354"/>
        <v>ND</v>
      </c>
      <c r="CT77" s="1" t="str">
        <f t="shared" si="354"/>
        <v>ND</v>
      </c>
      <c r="CU77" s="1" t="str">
        <f t="shared" si="354"/>
        <v>ND</v>
      </c>
      <c r="CV77" s="1" t="str">
        <f t="shared" si="354"/>
        <v>ND</v>
      </c>
      <c r="CW77" s="1" t="str">
        <f t="shared" si="404"/>
        <v>ND</v>
      </c>
      <c r="CX77" s="1" t="str">
        <f t="shared" si="405"/>
        <v>ND</v>
      </c>
      <c r="CY77" s="1" t="str">
        <f t="shared" si="406"/>
        <v>ND</v>
      </c>
      <c r="CZ77" s="1" t="str">
        <f t="shared" si="407"/>
        <v>ND</v>
      </c>
      <c r="DA77" s="1" t="str">
        <f t="shared" si="408"/>
        <v>ND</v>
      </c>
      <c r="DB77" s="1" t="str">
        <f t="shared" si="409"/>
        <v>ND</v>
      </c>
      <c r="DC77" s="1" t="str">
        <f t="shared" si="410"/>
        <v>ND</v>
      </c>
      <c r="DD77" s="1" t="str">
        <f t="shared" si="411"/>
        <v>ND</v>
      </c>
      <c r="DE77" s="1" t="str">
        <f t="shared" si="412"/>
        <v>ND</v>
      </c>
      <c r="DF77" s="1" t="str">
        <f t="shared" si="413"/>
        <v>ND</v>
      </c>
      <c r="DG77" s="1" t="str">
        <f t="shared" si="414"/>
        <v>ND</v>
      </c>
      <c r="DH77" s="1" t="str">
        <f t="shared" si="415"/>
        <v>ND</v>
      </c>
      <c r="DI77" s="1" t="str">
        <f t="shared" si="416"/>
        <v>ND</v>
      </c>
      <c r="DJ77" s="1" t="str">
        <f t="shared" si="417"/>
        <v>ND</v>
      </c>
      <c r="DK77" s="1" t="str">
        <f t="shared" si="418"/>
        <v>ND</v>
      </c>
      <c r="DL77" s="1" t="str">
        <f t="shared" si="419"/>
        <v>ND</v>
      </c>
      <c r="DM77" s="1" t="str">
        <f t="shared" si="420"/>
        <v>ND</v>
      </c>
      <c r="DN77" s="1" t="str">
        <f t="shared" si="421"/>
        <v>ND</v>
      </c>
      <c r="DO77" s="1" t="str">
        <f t="shared" si="422"/>
        <v>ND</v>
      </c>
      <c r="DP77" s="1" t="str">
        <f t="shared" si="423"/>
        <v>ND</v>
      </c>
      <c r="DQ77" s="1" t="str">
        <f t="shared" si="424"/>
        <v>ND</v>
      </c>
      <c r="DR77" s="1" t="str">
        <f t="shared" si="425"/>
        <v>ND</v>
      </c>
      <c r="DS77" s="1" t="str">
        <f t="shared" si="426"/>
        <v>ND</v>
      </c>
      <c r="DT77" s="1" t="str">
        <f t="shared" si="427"/>
        <v>ND</v>
      </c>
      <c r="DU77" s="1" t="str">
        <f t="shared" si="428"/>
        <v>ND</v>
      </c>
      <c r="DV77" s="1" t="str">
        <f t="shared" si="429"/>
        <v>ND</v>
      </c>
      <c r="DW77" s="1" t="str">
        <f t="shared" si="430"/>
        <v>ND</v>
      </c>
      <c r="DX77" s="1" t="str">
        <f t="shared" si="431"/>
        <v>ND</v>
      </c>
      <c r="DY77" s="1" t="str">
        <f t="shared" si="432"/>
        <v>ND</v>
      </c>
      <c r="DZ77" s="1" t="str">
        <f t="shared" si="433"/>
        <v>ND</v>
      </c>
      <c r="EA77" s="1" t="str">
        <f t="shared" si="434"/>
        <v>ND</v>
      </c>
      <c r="EB77" s="1" t="str">
        <f t="shared" si="435"/>
        <v>ND</v>
      </c>
      <c r="EC77" s="1" t="str">
        <f t="shared" si="436"/>
        <v>ND</v>
      </c>
      <c r="ED77" s="1" t="str">
        <f t="shared" si="437"/>
        <v>ND</v>
      </c>
      <c r="EE77" s="1" t="str">
        <f t="shared" si="438"/>
        <v>ND</v>
      </c>
      <c r="EF77" s="1" t="str">
        <f t="shared" si="439"/>
        <v>ND</v>
      </c>
      <c r="EG77" s="1" t="str">
        <f t="shared" si="440"/>
        <v>ND</v>
      </c>
      <c r="EH77" s="1" t="str">
        <f t="shared" si="441"/>
        <v>ND</v>
      </c>
      <c r="EI77" s="1" t="str">
        <f t="shared" si="442"/>
        <v>ND</v>
      </c>
      <c r="EJ77" s="1" t="str">
        <f t="shared" si="443"/>
        <v>ND</v>
      </c>
      <c r="EK77" s="1" t="str">
        <f t="shared" si="444"/>
        <v>ND</v>
      </c>
      <c r="EL77" s="1" t="str">
        <f t="shared" si="445"/>
        <v>ND</v>
      </c>
      <c r="EM77" s="1" t="str">
        <f t="shared" si="446"/>
        <v>ND</v>
      </c>
      <c r="EN77" s="1" t="str">
        <f t="shared" si="447"/>
        <v>ND</v>
      </c>
      <c r="EO77" s="1" t="str">
        <f t="shared" si="355"/>
        <v>ND</v>
      </c>
      <c r="EP77" s="1" t="str">
        <f t="shared" si="355"/>
        <v>ND</v>
      </c>
      <c r="EQ77" s="1" t="str">
        <f t="shared" si="355"/>
        <v>ND</v>
      </c>
      <c r="ER77" s="1" t="str">
        <f t="shared" si="355"/>
        <v>ND</v>
      </c>
      <c r="ES77" s="1" t="str">
        <f t="shared" si="355"/>
        <v>ND</v>
      </c>
      <c r="ET77" s="1" t="str">
        <f t="shared" si="355"/>
        <v>ND</v>
      </c>
      <c r="EU77" s="1" t="str">
        <f t="shared" si="355"/>
        <v>ND</v>
      </c>
      <c r="EV77" s="1" t="str">
        <f t="shared" si="355"/>
        <v>ND</v>
      </c>
      <c r="EW77" s="1" t="str">
        <f t="shared" si="355"/>
        <v>ND</v>
      </c>
      <c r="EX77" s="1" t="str">
        <f t="shared" si="355"/>
        <v>ND</v>
      </c>
      <c r="EY77" s="1" t="str">
        <f t="shared" si="355"/>
        <v>ND</v>
      </c>
      <c r="EZ77" s="1" t="str">
        <f t="shared" si="356"/>
        <v>ND</v>
      </c>
      <c r="FA77" s="1" t="str">
        <f t="shared" si="356"/>
        <v>ND</v>
      </c>
      <c r="FB77" s="1" t="str">
        <f t="shared" si="356"/>
        <v>ND</v>
      </c>
      <c r="FC77" s="1" t="str">
        <f t="shared" si="356"/>
        <v>ND</v>
      </c>
      <c r="FD77" s="1" t="str">
        <f t="shared" si="356"/>
        <v>ND</v>
      </c>
      <c r="FE77" s="1" t="str">
        <f t="shared" si="356"/>
        <v>ND</v>
      </c>
      <c r="FF77" s="1" t="str">
        <f t="shared" si="356"/>
        <v>ND</v>
      </c>
      <c r="FG77" s="1" t="str">
        <f t="shared" si="356"/>
        <v>ND</v>
      </c>
      <c r="FH77" s="1" t="str">
        <f t="shared" si="356"/>
        <v>ND</v>
      </c>
      <c r="FI77" s="1" t="str">
        <f t="shared" si="356"/>
        <v>ND</v>
      </c>
      <c r="FJ77" s="1" t="str">
        <f t="shared" si="356"/>
        <v>ND</v>
      </c>
      <c r="FK77" s="1" t="str">
        <f t="shared" si="357"/>
        <v>ND</v>
      </c>
      <c r="FL77" s="1" t="str">
        <f t="shared" si="357"/>
        <v>ND</v>
      </c>
      <c r="FM77" s="1" t="str">
        <f t="shared" si="357"/>
        <v>ND</v>
      </c>
      <c r="FN77" s="1" t="str">
        <f t="shared" si="357"/>
        <v>ND</v>
      </c>
      <c r="FO77" s="1" t="str">
        <f t="shared" si="357"/>
        <v>ND</v>
      </c>
      <c r="FP77" s="1" t="str">
        <f t="shared" si="357"/>
        <v>ND</v>
      </c>
      <c r="FQ77" s="1" t="str">
        <f t="shared" si="357"/>
        <v>ND</v>
      </c>
      <c r="FR77" s="1" t="str">
        <f t="shared" si="357"/>
        <v>ND</v>
      </c>
      <c r="FS77" s="1" t="str">
        <f t="shared" si="357"/>
        <v>ND</v>
      </c>
      <c r="FT77" s="1" t="str">
        <f t="shared" si="357"/>
        <v>ND</v>
      </c>
      <c r="FU77" s="1" t="str">
        <f t="shared" si="357"/>
        <v>ND</v>
      </c>
      <c r="FV77" s="1" t="str">
        <f t="shared" si="448"/>
        <v>ND</v>
      </c>
      <c r="FW77" s="1" t="str">
        <f t="shared" si="449"/>
        <v>ND</v>
      </c>
      <c r="FX77" s="1" t="str">
        <f t="shared" si="450"/>
        <v>ND</v>
      </c>
      <c r="FY77" s="1" t="str">
        <f t="shared" si="451"/>
        <v>ND</v>
      </c>
      <c r="FZ77" s="1" t="str">
        <f t="shared" si="452"/>
        <v>ND</v>
      </c>
      <c r="GA77" s="1" t="str">
        <f t="shared" si="453"/>
        <v>ND</v>
      </c>
      <c r="GB77" s="1" t="str">
        <f t="shared" si="454"/>
        <v>ND</v>
      </c>
      <c r="GC77" s="1" t="str">
        <f t="shared" si="455"/>
        <v>ND</v>
      </c>
      <c r="GD77" s="1" t="str">
        <f t="shared" si="456"/>
        <v>ND</v>
      </c>
      <c r="GE77" s="1" t="str">
        <f t="shared" si="457"/>
        <v>ND</v>
      </c>
      <c r="GF77" s="1" t="str">
        <f t="shared" si="458"/>
        <v>ND</v>
      </c>
      <c r="GG77" s="1" t="str">
        <f t="shared" si="459"/>
        <v>ND</v>
      </c>
      <c r="GH77" s="1" t="str">
        <f t="shared" si="460"/>
        <v>ND</v>
      </c>
      <c r="GI77" s="1" t="str">
        <f t="shared" si="461"/>
        <v>ND</v>
      </c>
      <c r="GJ77" s="1" t="str">
        <f t="shared" si="462"/>
        <v>ND</v>
      </c>
      <c r="GK77" s="1" t="str">
        <f t="shared" si="463"/>
        <v>ND</v>
      </c>
      <c r="GL77" s="1" t="str">
        <f t="shared" si="464"/>
        <v>ND</v>
      </c>
      <c r="GM77" s="1" t="str">
        <f t="shared" si="465"/>
        <v>ND</v>
      </c>
      <c r="GN77" s="1" t="str">
        <f t="shared" si="466"/>
        <v>ND</v>
      </c>
      <c r="GO77" s="1" t="str">
        <f t="shared" si="467"/>
        <v>ND</v>
      </c>
      <c r="GP77" s="1" t="str">
        <f t="shared" si="468"/>
        <v>ND</v>
      </c>
      <c r="GQ77" s="1" t="str">
        <f t="shared" si="469"/>
        <v>ND</v>
      </c>
      <c r="GR77" s="1" t="str">
        <f t="shared" si="470"/>
        <v>ND</v>
      </c>
      <c r="GS77" s="1" t="str">
        <f t="shared" si="471"/>
        <v>ND</v>
      </c>
      <c r="GT77" s="1" t="str">
        <f t="shared" si="472"/>
        <v>ND</v>
      </c>
      <c r="GU77" s="1" t="str">
        <f t="shared" si="473"/>
        <v>ND</v>
      </c>
      <c r="GV77" s="1" t="str">
        <f t="shared" si="474"/>
        <v>ND</v>
      </c>
      <c r="GW77" s="1" t="str">
        <f t="shared" si="475"/>
        <v>ND</v>
      </c>
      <c r="GX77" s="1" t="str">
        <f t="shared" si="476"/>
        <v>ND</v>
      </c>
      <c r="GY77" s="1" t="str">
        <f t="shared" si="477"/>
        <v>ND</v>
      </c>
      <c r="GZ77" s="1" t="str">
        <f t="shared" si="478"/>
        <v>ND</v>
      </c>
      <c r="HA77" s="1" t="str">
        <f t="shared" si="479"/>
        <v>ND</v>
      </c>
      <c r="HB77" s="1" t="str">
        <f t="shared" si="480"/>
        <v>ND</v>
      </c>
      <c r="HC77" s="1" t="str">
        <f t="shared" si="481"/>
        <v>ND</v>
      </c>
      <c r="HD77" s="1" t="str">
        <f t="shared" si="482"/>
        <v>ND</v>
      </c>
      <c r="HE77" s="1" t="str">
        <f t="shared" si="483"/>
        <v>ND</v>
      </c>
      <c r="HF77" s="1" t="str">
        <f t="shared" si="484"/>
        <v>ND</v>
      </c>
      <c r="HG77" s="1" t="str">
        <f t="shared" si="485"/>
        <v>ND</v>
      </c>
      <c r="HH77" s="1" t="str">
        <f t="shared" si="486"/>
        <v>ND</v>
      </c>
      <c r="HI77" s="1" t="str">
        <f t="shared" si="487"/>
        <v>ND</v>
      </c>
      <c r="HJ77" s="1" t="str">
        <f t="shared" si="488"/>
        <v>ND</v>
      </c>
      <c r="HK77" s="1" t="str">
        <f t="shared" si="489"/>
        <v>ND</v>
      </c>
      <c r="HL77" s="1" t="str">
        <f t="shared" si="490"/>
        <v>ND</v>
      </c>
      <c r="HM77" s="1" t="str">
        <f t="shared" si="491"/>
        <v>ND</v>
      </c>
      <c r="HN77" s="1" t="str">
        <f t="shared" si="492"/>
        <v>ND</v>
      </c>
      <c r="HO77" s="1" t="str">
        <f t="shared" si="493"/>
        <v>ND</v>
      </c>
      <c r="HP77" s="1" t="str">
        <f t="shared" si="494"/>
        <v>ND</v>
      </c>
      <c r="HQ77" s="1" t="str">
        <f t="shared" si="495"/>
        <v>ND</v>
      </c>
      <c r="HR77" s="1" t="str">
        <f t="shared" si="496"/>
        <v>ND</v>
      </c>
      <c r="HS77" s="1" t="str">
        <f t="shared" si="497"/>
        <v>ND</v>
      </c>
      <c r="HT77" s="1" t="str">
        <f t="shared" si="498"/>
        <v>ND</v>
      </c>
      <c r="HU77" s="1" t="str">
        <f t="shared" si="499"/>
        <v>ND</v>
      </c>
      <c r="HV77" s="1" t="str">
        <f t="shared" si="500"/>
        <v>ND</v>
      </c>
      <c r="HW77" s="1" t="str">
        <f t="shared" si="501"/>
        <v>ND</v>
      </c>
      <c r="HX77" s="1" t="str">
        <f t="shared" si="502"/>
        <v>ND</v>
      </c>
      <c r="HY77" s="1" t="str">
        <f t="shared" si="503"/>
        <v>ND</v>
      </c>
      <c r="HZ77" s="1" t="str">
        <f t="shared" si="504"/>
        <v>ND</v>
      </c>
      <c r="IA77" s="1" t="str">
        <f t="shared" si="505"/>
        <v>ND</v>
      </c>
      <c r="IB77" s="1" t="str">
        <f t="shared" si="506"/>
        <v>ND</v>
      </c>
      <c r="IC77" s="1" t="str">
        <f t="shared" si="507"/>
        <v>ND</v>
      </c>
      <c r="ID77" s="1" t="str">
        <f t="shared" si="508"/>
        <v>ND</v>
      </c>
      <c r="IE77" s="1" t="str">
        <f t="shared" si="509"/>
        <v>ND</v>
      </c>
      <c r="IF77" s="1" t="str">
        <f t="shared" si="510"/>
        <v>ND</v>
      </c>
      <c r="IG77" s="1" t="str">
        <f t="shared" si="511"/>
        <v>ND</v>
      </c>
      <c r="IH77" s="1" t="str">
        <f t="shared" si="512"/>
        <v>ND</v>
      </c>
      <c r="II77" s="1" t="str">
        <f t="shared" si="513"/>
        <v>ND</v>
      </c>
    </row>
    <row r="78" spans="3:243" x14ac:dyDescent="0.25">
      <c r="C78" t="s">
        <v>26</v>
      </c>
      <c r="D78">
        <f>SUMIFS(DICCIONARIO[Cantidad],DICCIONARIO[Modelo],UNIFICADA[[#This Row],[Equipo]])</f>
        <v>0</v>
      </c>
      <c r="E78" s="1">
        <f>IFERROR(VLOOKUP($C78,EQUIPOS[],UNIFICADO!E$9,0),"")</f>
        <v>11</v>
      </c>
      <c r="F78" s="1">
        <f>IFERROR(VLOOKUP($C78,EQUIPOS[],UNIFICADO!F$9,0),"")</f>
        <v>6.4</v>
      </c>
      <c r="G78" s="1">
        <f>IFERROR(VLOOKUP($C78,EQUIPOS[],UNIFICADO!G$9,0),"")</f>
        <v>48</v>
      </c>
      <c r="H78" s="1">
        <f>IFERROR(VLOOKUP($C78,EQUIPOS[],UNIFICADO!H$9,0),"")</f>
        <v>4</v>
      </c>
      <c r="I78" s="1">
        <f>IFERROR(VLOOKUP($C78,EQUIPOS[],UNIFICADO!I$9,0),"")</f>
        <v>13</v>
      </c>
      <c r="J78" s="1" t="str">
        <f>IFERROR(VLOOKUP($C78,EQUIPOS[],UNIFICADO!J$9,0),"")</f>
        <v>64GB</v>
      </c>
      <c r="K78" s="1">
        <f>IFERROR(VLOOKUP($C78,EQUIPOS[],UNIFICADO!K$9,0),"")</f>
        <v>512</v>
      </c>
      <c r="L78" s="1">
        <f>IFERROR(VLOOKUP($C78,EQUIPOS[],UNIFICADO!L$9,0),"")</f>
        <v>8</v>
      </c>
      <c r="M78" s="1" t="str">
        <f>IFERROR(VLOOKUP($C78,EQUIPOS[],UNIFICADO!M$9,0),"")</f>
        <v>2.0/1.8</v>
      </c>
      <c r="N78" s="1">
        <f>IFERROR(VLOOKUP($C78,EQUIPOS[],UNIFICADO!N$9,0),"")</f>
        <v>4</v>
      </c>
      <c r="O78" s="1">
        <f>IFERROR(VLOOKUP($C78,EQUIPOS[],UNIFICADO!O$9,0),"")</f>
        <v>186</v>
      </c>
      <c r="P78" s="1">
        <f>IFERROR(VLOOKUP($C78,EQUIPOS[],UNIFICADO!P$9,0),"")</f>
        <v>15.9</v>
      </c>
      <c r="Q78" s="1">
        <f>IFERROR(VLOOKUP($C78,EQUIPOS[],UNIFICADO!Q$9,0),"")</f>
        <v>7.36</v>
      </c>
      <c r="R78" s="1">
        <f>IFERROR(VLOOKUP($C78,EQUIPOS[],UNIFICADO!R$9,0),"")</f>
        <v>0.84</v>
      </c>
      <c r="S78" s="1">
        <f>IFERROR(VLOOKUP($C78,EQUIPOS[],UNIFICADO!S$9,0),"")</f>
        <v>5000</v>
      </c>
      <c r="T78" s="1">
        <f>IFERROR(VLOOKUP($C78,EQUIPOS[],UNIFICADO!T$9,0),"")</f>
        <v>4</v>
      </c>
      <c r="U78" s="1">
        <f>VLOOKUP(UNIFICADA[[#This Row],[Equipo]],EQUIPOS[],19,0)</f>
        <v>68</v>
      </c>
      <c r="V78" s="1" t="str">
        <f t="shared" si="358"/>
        <v>ND</v>
      </c>
      <c r="W78" s="1" t="str">
        <f t="shared" si="359"/>
        <v>ND</v>
      </c>
      <c r="X78" s="1" t="str">
        <f t="shared" si="351"/>
        <v>ND</v>
      </c>
      <c r="Y78" s="1" t="str">
        <f t="shared" si="351"/>
        <v>ND</v>
      </c>
      <c r="Z78" s="1" t="str">
        <f t="shared" si="352"/>
        <v>ND</v>
      </c>
      <c r="AA78" s="1" t="str">
        <f t="shared" si="352"/>
        <v>ND</v>
      </c>
      <c r="AB78" s="1" t="str">
        <f t="shared" si="352"/>
        <v>ND</v>
      </c>
      <c r="AC78" s="1" t="str">
        <f t="shared" si="352"/>
        <v>ND</v>
      </c>
      <c r="AD78" s="1" t="str">
        <f t="shared" si="352"/>
        <v>ND</v>
      </c>
      <c r="AE78" s="1" t="str">
        <f t="shared" si="352"/>
        <v>ND</v>
      </c>
      <c r="AF78" s="1" t="str">
        <f t="shared" si="352"/>
        <v>ND</v>
      </c>
      <c r="AG78" s="1" t="str">
        <f t="shared" si="352"/>
        <v>ND</v>
      </c>
      <c r="AH78" s="1" t="str">
        <f t="shared" si="352"/>
        <v>ND</v>
      </c>
      <c r="AI78" s="1" t="str">
        <f t="shared" si="360"/>
        <v>ND</v>
      </c>
      <c r="AJ78" s="1" t="str">
        <f t="shared" si="361"/>
        <v>ND</v>
      </c>
      <c r="AK78" s="1" t="str">
        <f t="shared" si="362"/>
        <v>ND</v>
      </c>
      <c r="AL78" s="1" t="str">
        <f t="shared" si="363"/>
        <v>ND</v>
      </c>
      <c r="AM78" s="1" t="str">
        <f t="shared" si="364"/>
        <v>ND</v>
      </c>
      <c r="AN78" s="1" t="str">
        <f t="shared" si="365"/>
        <v>ND</v>
      </c>
      <c r="AO78" s="1" t="str">
        <f t="shared" si="366"/>
        <v>ND</v>
      </c>
      <c r="AP78" s="1" t="str">
        <f t="shared" si="367"/>
        <v>ND</v>
      </c>
      <c r="AQ78" s="1" t="str">
        <f t="shared" si="368"/>
        <v>ND</v>
      </c>
      <c r="AR78" s="1" t="str">
        <f t="shared" si="369"/>
        <v>ND</v>
      </c>
      <c r="AS78" s="1" t="str">
        <f t="shared" si="370"/>
        <v>ND</v>
      </c>
      <c r="AT78" s="1" t="str">
        <f t="shared" si="371"/>
        <v>ND</v>
      </c>
      <c r="AU78" s="1" t="str">
        <f t="shared" si="372"/>
        <v>ND</v>
      </c>
      <c r="AV78" s="1" t="str">
        <f t="shared" si="373"/>
        <v>ND</v>
      </c>
      <c r="AW78" s="1" t="str">
        <f t="shared" si="374"/>
        <v>ND</v>
      </c>
      <c r="AX78" s="1" t="str">
        <f t="shared" si="375"/>
        <v>ND</v>
      </c>
      <c r="AY78" s="1" t="str">
        <f t="shared" si="376"/>
        <v>ND</v>
      </c>
      <c r="AZ78" s="1" t="str">
        <f t="shared" si="377"/>
        <v>ND</v>
      </c>
      <c r="BA78" s="1" t="str">
        <f t="shared" si="378"/>
        <v>ND</v>
      </c>
      <c r="BB78" s="1" t="str">
        <f t="shared" si="379"/>
        <v>ND</v>
      </c>
      <c r="BC78" s="1" t="str">
        <f t="shared" si="380"/>
        <v>ND</v>
      </c>
      <c r="BD78" s="1" t="str">
        <f t="shared" si="381"/>
        <v>ND</v>
      </c>
      <c r="BE78" s="1" t="str">
        <f t="shared" si="382"/>
        <v>ND</v>
      </c>
      <c r="BF78" s="1" t="str">
        <f t="shared" si="383"/>
        <v>ND</v>
      </c>
      <c r="BG78" s="1" t="str">
        <f t="shared" si="384"/>
        <v>ND</v>
      </c>
      <c r="BH78" s="1" t="str">
        <f t="shared" si="385"/>
        <v>ND</v>
      </c>
      <c r="BI78" s="1" t="str">
        <f t="shared" si="386"/>
        <v>ND</v>
      </c>
      <c r="BJ78" s="1" t="str">
        <f t="shared" si="387"/>
        <v>ND</v>
      </c>
      <c r="BK78" s="1" t="str">
        <f t="shared" si="388"/>
        <v>ND</v>
      </c>
      <c r="BL78" s="1" t="str">
        <f t="shared" si="389"/>
        <v>ND</v>
      </c>
      <c r="BM78" s="1" t="str">
        <f t="shared" si="390"/>
        <v>ND</v>
      </c>
      <c r="BN78" s="1" t="str">
        <f t="shared" si="391"/>
        <v>ND</v>
      </c>
      <c r="BO78" s="1" t="str">
        <f t="shared" si="392"/>
        <v>ND</v>
      </c>
      <c r="BP78" s="1" t="str">
        <f t="shared" si="393"/>
        <v>ND</v>
      </c>
      <c r="BQ78" s="1" t="str">
        <f t="shared" si="394"/>
        <v>ND</v>
      </c>
      <c r="BR78" s="1" t="str">
        <f t="shared" si="395"/>
        <v>ND</v>
      </c>
      <c r="BS78" s="1" t="str">
        <f t="shared" si="396"/>
        <v>ND</v>
      </c>
      <c r="BT78" s="1" t="str">
        <f t="shared" si="397"/>
        <v>ND</v>
      </c>
      <c r="BU78" s="1" t="str">
        <f t="shared" si="398"/>
        <v>ND</v>
      </c>
      <c r="BV78" s="1" t="str">
        <f t="shared" si="399"/>
        <v>ND</v>
      </c>
      <c r="BW78" s="1" t="str">
        <f t="shared" si="400"/>
        <v>ND</v>
      </c>
      <c r="BX78" s="1" t="str">
        <f t="shared" si="401"/>
        <v>ND</v>
      </c>
      <c r="BY78" s="1" t="str">
        <f t="shared" si="402"/>
        <v>ND</v>
      </c>
      <c r="BZ78" s="1" t="str">
        <f t="shared" si="403"/>
        <v>ND</v>
      </c>
      <c r="CA78" s="1" t="str">
        <f t="shared" si="353"/>
        <v>ND</v>
      </c>
      <c r="CB78" s="1" t="str">
        <f t="shared" si="353"/>
        <v>ND</v>
      </c>
      <c r="CC78" s="1" t="str">
        <f t="shared" si="353"/>
        <v>ND</v>
      </c>
      <c r="CD78" s="1" t="str">
        <f t="shared" si="353"/>
        <v>ND</v>
      </c>
      <c r="CE78" s="1" t="str">
        <f t="shared" si="353"/>
        <v>ND</v>
      </c>
      <c r="CF78" s="1" t="str">
        <f t="shared" si="353"/>
        <v>ND</v>
      </c>
      <c r="CG78" s="1" t="str">
        <f t="shared" si="353"/>
        <v>ND</v>
      </c>
      <c r="CH78" s="1" t="str">
        <f t="shared" si="353"/>
        <v>ND</v>
      </c>
      <c r="CI78" s="1" t="str">
        <f t="shared" si="353"/>
        <v>ND</v>
      </c>
      <c r="CJ78" s="1" t="str">
        <f t="shared" si="353"/>
        <v>ND</v>
      </c>
      <c r="CK78" s="1" t="str">
        <f t="shared" si="353"/>
        <v>ND</v>
      </c>
      <c r="CL78" s="1" t="str">
        <f t="shared" si="354"/>
        <v>ND</v>
      </c>
      <c r="CM78" s="1" t="str">
        <f t="shared" si="354"/>
        <v>ND</v>
      </c>
      <c r="CN78" s="1" t="str">
        <f t="shared" si="354"/>
        <v>ND</v>
      </c>
      <c r="CO78" s="1" t="str">
        <f t="shared" si="354"/>
        <v>ND</v>
      </c>
      <c r="CP78" s="1" t="str">
        <f t="shared" si="354"/>
        <v>ND</v>
      </c>
      <c r="CQ78" s="1" t="str">
        <f t="shared" si="354"/>
        <v>ND</v>
      </c>
      <c r="CR78" s="1" t="str">
        <f t="shared" si="354"/>
        <v>ND</v>
      </c>
      <c r="CS78" s="1" t="str">
        <f t="shared" si="354"/>
        <v>ND</v>
      </c>
      <c r="CT78" s="1" t="str">
        <f t="shared" si="354"/>
        <v>ND</v>
      </c>
      <c r="CU78" s="1" t="str">
        <f t="shared" si="354"/>
        <v>ND</v>
      </c>
      <c r="CV78" s="1" t="str">
        <f t="shared" si="354"/>
        <v>ND</v>
      </c>
      <c r="CW78" s="1" t="str">
        <f t="shared" si="404"/>
        <v>ND</v>
      </c>
      <c r="CX78" s="1" t="str">
        <f t="shared" si="405"/>
        <v>ND</v>
      </c>
      <c r="CY78" s="1" t="str">
        <f t="shared" si="406"/>
        <v>ND</v>
      </c>
      <c r="CZ78" s="1" t="str">
        <f t="shared" si="407"/>
        <v>ND</v>
      </c>
      <c r="DA78" s="1" t="str">
        <f t="shared" si="408"/>
        <v>ND</v>
      </c>
      <c r="DB78" s="1" t="str">
        <f t="shared" si="409"/>
        <v>ND</v>
      </c>
      <c r="DC78" s="1" t="str">
        <f t="shared" si="410"/>
        <v>ND</v>
      </c>
      <c r="DD78" s="1" t="str">
        <f t="shared" si="411"/>
        <v>ND</v>
      </c>
      <c r="DE78" s="1" t="str">
        <f t="shared" si="412"/>
        <v>ND</v>
      </c>
      <c r="DF78" s="1" t="str">
        <f t="shared" si="413"/>
        <v>ND</v>
      </c>
      <c r="DG78" s="1" t="str">
        <f t="shared" si="414"/>
        <v>ND</v>
      </c>
      <c r="DH78" s="1" t="str">
        <f t="shared" si="415"/>
        <v>ND</v>
      </c>
      <c r="DI78" s="1" t="str">
        <f t="shared" si="416"/>
        <v>ND</v>
      </c>
      <c r="DJ78" s="1" t="str">
        <f t="shared" si="417"/>
        <v>ND</v>
      </c>
      <c r="DK78" s="1" t="str">
        <f t="shared" si="418"/>
        <v>ND</v>
      </c>
      <c r="DL78" s="1" t="str">
        <f t="shared" si="419"/>
        <v>ND</v>
      </c>
      <c r="DM78" s="1" t="str">
        <f t="shared" si="420"/>
        <v>ND</v>
      </c>
      <c r="DN78" s="1" t="str">
        <f t="shared" si="421"/>
        <v>ND</v>
      </c>
      <c r="DO78" s="1" t="str">
        <f t="shared" si="422"/>
        <v>ND</v>
      </c>
      <c r="DP78" s="1" t="str">
        <f t="shared" si="423"/>
        <v>ND</v>
      </c>
      <c r="DQ78" s="1" t="str">
        <f t="shared" si="424"/>
        <v>ND</v>
      </c>
      <c r="DR78" s="1" t="str">
        <f t="shared" si="425"/>
        <v>ND</v>
      </c>
      <c r="DS78" s="1" t="str">
        <f t="shared" si="426"/>
        <v>ND</v>
      </c>
      <c r="DT78" s="1" t="str">
        <f t="shared" si="427"/>
        <v>ND</v>
      </c>
      <c r="DU78" s="1" t="str">
        <f t="shared" si="428"/>
        <v>ND</v>
      </c>
      <c r="DV78" s="1" t="str">
        <f t="shared" si="429"/>
        <v>ND</v>
      </c>
      <c r="DW78" s="1" t="str">
        <f t="shared" si="430"/>
        <v>ND</v>
      </c>
      <c r="DX78" s="1" t="str">
        <f t="shared" si="431"/>
        <v>ND</v>
      </c>
      <c r="DY78" s="1" t="str">
        <f t="shared" si="432"/>
        <v>ND</v>
      </c>
      <c r="DZ78" s="1" t="str">
        <f t="shared" si="433"/>
        <v>ND</v>
      </c>
      <c r="EA78" s="1" t="str">
        <f t="shared" si="434"/>
        <v>ND</v>
      </c>
      <c r="EB78" s="1" t="str">
        <f t="shared" si="435"/>
        <v>ND</v>
      </c>
      <c r="EC78" s="1" t="str">
        <f t="shared" si="436"/>
        <v>ND</v>
      </c>
      <c r="ED78" s="1" t="str">
        <f t="shared" si="437"/>
        <v>ND</v>
      </c>
      <c r="EE78" s="1" t="str">
        <f t="shared" si="438"/>
        <v>ND</v>
      </c>
      <c r="EF78" s="1" t="str">
        <f t="shared" si="439"/>
        <v>ND</v>
      </c>
      <c r="EG78" s="1" t="str">
        <f t="shared" si="440"/>
        <v>ND</v>
      </c>
      <c r="EH78" s="1" t="str">
        <f t="shared" si="441"/>
        <v>ND</v>
      </c>
      <c r="EI78" s="1" t="str">
        <f t="shared" si="442"/>
        <v>ND</v>
      </c>
      <c r="EJ78" s="1" t="str">
        <f t="shared" si="443"/>
        <v>ND</v>
      </c>
      <c r="EK78" s="1" t="str">
        <f t="shared" si="444"/>
        <v>ND</v>
      </c>
      <c r="EL78" s="1" t="str">
        <f t="shared" si="445"/>
        <v>ND</v>
      </c>
      <c r="EM78" s="1" t="str">
        <f t="shared" si="446"/>
        <v>ND</v>
      </c>
      <c r="EN78" s="1" t="str">
        <f t="shared" si="447"/>
        <v>ND</v>
      </c>
      <c r="EO78" s="1" t="str">
        <f t="shared" si="355"/>
        <v>ND</v>
      </c>
      <c r="EP78" s="1" t="str">
        <f t="shared" si="355"/>
        <v>ND</v>
      </c>
      <c r="EQ78" s="1" t="str">
        <f t="shared" si="355"/>
        <v>ND</v>
      </c>
      <c r="ER78" s="1" t="str">
        <f t="shared" si="355"/>
        <v>ND</v>
      </c>
      <c r="ES78" s="1" t="str">
        <f t="shared" si="355"/>
        <v>ND</v>
      </c>
      <c r="ET78" s="1" t="str">
        <f t="shared" si="355"/>
        <v>ND</v>
      </c>
      <c r="EU78" s="1" t="str">
        <f t="shared" si="355"/>
        <v>ND</v>
      </c>
      <c r="EV78" s="1" t="str">
        <f t="shared" si="355"/>
        <v>ND</v>
      </c>
      <c r="EW78" s="1" t="str">
        <f t="shared" si="355"/>
        <v>ND</v>
      </c>
      <c r="EX78" s="1" t="str">
        <f t="shared" si="355"/>
        <v>ND</v>
      </c>
      <c r="EY78" s="1" t="str">
        <f t="shared" si="355"/>
        <v>ND</v>
      </c>
      <c r="EZ78" s="1" t="str">
        <f t="shared" si="356"/>
        <v>ND</v>
      </c>
      <c r="FA78" s="1" t="str">
        <f t="shared" si="356"/>
        <v>ND</v>
      </c>
      <c r="FB78" s="1" t="str">
        <f t="shared" si="356"/>
        <v>ND</v>
      </c>
      <c r="FC78" s="1" t="str">
        <f t="shared" si="356"/>
        <v>ND</v>
      </c>
      <c r="FD78" s="1" t="str">
        <f t="shared" si="356"/>
        <v>ND</v>
      </c>
      <c r="FE78" s="1" t="str">
        <f t="shared" si="356"/>
        <v>ND</v>
      </c>
      <c r="FF78" s="1" t="str">
        <f t="shared" si="356"/>
        <v>ND</v>
      </c>
      <c r="FG78" s="1" t="str">
        <f t="shared" si="356"/>
        <v>ND</v>
      </c>
      <c r="FH78" s="1" t="str">
        <f t="shared" si="356"/>
        <v>ND</v>
      </c>
      <c r="FI78" s="1" t="str">
        <f t="shared" si="356"/>
        <v>ND</v>
      </c>
      <c r="FJ78" s="1" t="str">
        <f t="shared" si="356"/>
        <v>ND</v>
      </c>
      <c r="FK78" s="1" t="str">
        <f t="shared" si="357"/>
        <v>ND</v>
      </c>
      <c r="FL78" s="1" t="str">
        <f t="shared" si="357"/>
        <v>ND</v>
      </c>
      <c r="FM78" s="1" t="str">
        <f t="shared" si="357"/>
        <v>ND</v>
      </c>
      <c r="FN78" s="1" t="str">
        <f t="shared" si="357"/>
        <v>ND</v>
      </c>
      <c r="FO78" s="1" t="str">
        <f t="shared" si="357"/>
        <v>ND</v>
      </c>
      <c r="FP78" s="1" t="str">
        <f t="shared" si="357"/>
        <v>ND</v>
      </c>
      <c r="FQ78" s="1" t="str">
        <f t="shared" si="357"/>
        <v>ND</v>
      </c>
      <c r="FR78" s="1" t="str">
        <f t="shared" si="357"/>
        <v>ND</v>
      </c>
      <c r="FS78" s="1" t="str">
        <f t="shared" si="357"/>
        <v>ND</v>
      </c>
      <c r="FT78" s="1" t="str">
        <f t="shared" si="357"/>
        <v>ND</v>
      </c>
      <c r="FU78" s="1" t="str">
        <f t="shared" si="357"/>
        <v>ND</v>
      </c>
      <c r="FV78" s="1" t="str">
        <f t="shared" si="448"/>
        <v>ND</v>
      </c>
      <c r="FW78" s="1" t="str">
        <f t="shared" si="449"/>
        <v>ND</v>
      </c>
      <c r="FX78" s="1" t="str">
        <f t="shared" si="450"/>
        <v>ND</v>
      </c>
      <c r="FY78" s="1" t="str">
        <f t="shared" si="451"/>
        <v>ND</v>
      </c>
      <c r="FZ78" s="1" t="str">
        <f t="shared" si="452"/>
        <v>ND</v>
      </c>
      <c r="GA78" s="1" t="str">
        <f t="shared" si="453"/>
        <v>ND</v>
      </c>
      <c r="GB78" s="1" t="str">
        <f t="shared" si="454"/>
        <v>ND</v>
      </c>
      <c r="GC78" s="1" t="str">
        <f t="shared" si="455"/>
        <v>ND</v>
      </c>
      <c r="GD78" s="1" t="str">
        <f t="shared" si="456"/>
        <v>ND</v>
      </c>
      <c r="GE78" s="1" t="str">
        <f t="shared" si="457"/>
        <v>ND</v>
      </c>
      <c r="GF78" s="1" t="str">
        <f t="shared" si="458"/>
        <v>ND</v>
      </c>
      <c r="GG78" s="1" t="str">
        <f t="shared" si="459"/>
        <v>ND</v>
      </c>
      <c r="GH78" s="1" t="str">
        <f t="shared" si="460"/>
        <v>ND</v>
      </c>
      <c r="GI78" s="1" t="str">
        <f t="shared" si="461"/>
        <v>ND</v>
      </c>
      <c r="GJ78" s="1" t="str">
        <f t="shared" si="462"/>
        <v>ND</v>
      </c>
      <c r="GK78" s="1" t="str">
        <f t="shared" si="463"/>
        <v>ND</v>
      </c>
      <c r="GL78" s="1" t="str">
        <f t="shared" si="464"/>
        <v>ND</v>
      </c>
      <c r="GM78" s="1" t="str">
        <f t="shared" si="465"/>
        <v>ND</v>
      </c>
      <c r="GN78" s="1" t="str">
        <f t="shared" si="466"/>
        <v>ND</v>
      </c>
      <c r="GO78" s="1" t="str">
        <f t="shared" si="467"/>
        <v>ND</v>
      </c>
      <c r="GP78" s="1" t="str">
        <f t="shared" si="468"/>
        <v>ND</v>
      </c>
      <c r="GQ78" s="1" t="str">
        <f t="shared" si="469"/>
        <v>ND</v>
      </c>
      <c r="GR78" s="1" t="str">
        <f t="shared" si="470"/>
        <v>ND</v>
      </c>
      <c r="GS78" s="1" t="str">
        <f t="shared" si="471"/>
        <v>ND</v>
      </c>
      <c r="GT78" s="1" t="str">
        <f t="shared" si="472"/>
        <v>ND</v>
      </c>
      <c r="GU78" s="1" t="str">
        <f t="shared" si="473"/>
        <v>ND</v>
      </c>
      <c r="GV78" s="1" t="str">
        <f t="shared" si="474"/>
        <v>ND</v>
      </c>
      <c r="GW78" s="1" t="str">
        <f t="shared" si="475"/>
        <v>ND</v>
      </c>
      <c r="GX78" s="1" t="str">
        <f t="shared" si="476"/>
        <v>ND</v>
      </c>
      <c r="GY78" s="1" t="str">
        <f t="shared" si="477"/>
        <v>ND</v>
      </c>
      <c r="GZ78" s="1" t="str">
        <f t="shared" si="478"/>
        <v>ND</v>
      </c>
      <c r="HA78" s="1" t="str">
        <f t="shared" si="479"/>
        <v>ND</v>
      </c>
      <c r="HB78" s="1" t="str">
        <f t="shared" si="480"/>
        <v>ND</v>
      </c>
      <c r="HC78" s="1" t="str">
        <f t="shared" si="481"/>
        <v>ND</v>
      </c>
      <c r="HD78" s="1" t="str">
        <f t="shared" si="482"/>
        <v>ND</v>
      </c>
      <c r="HE78" s="1" t="str">
        <f t="shared" si="483"/>
        <v>ND</v>
      </c>
      <c r="HF78" s="1" t="str">
        <f t="shared" si="484"/>
        <v>ND</v>
      </c>
      <c r="HG78" s="1" t="str">
        <f t="shared" si="485"/>
        <v>ND</v>
      </c>
      <c r="HH78" s="1" t="str">
        <f t="shared" si="486"/>
        <v>ND</v>
      </c>
      <c r="HI78" s="1" t="str">
        <f t="shared" si="487"/>
        <v>ND</v>
      </c>
      <c r="HJ78" s="1" t="str">
        <f t="shared" si="488"/>
        <v>ND</v>
      </c>
      <c r="HK78" s="1" t="str">
        <f t="shared" si="489"/>
        <v>ND</v>
      </c>
      <c r="HL78" s="1" t="str">
        <f t="shared" si="490"/>
        <v>ND</v>
      </c>
      <c r="HM78" s="1" t="str">
        <f t="shared" si="491"/>
        <v>ND</v>
      </c>
      <c r="HN78" s="1" t="str">
        <f t="shared" si="492"/>
        <v>ND</v>
      </c>
      <c r="HO78" s="1" t="str">
        <f t="shared" si="493"/>
        <v>ND</v>
      </c>
      <c r="HP78" s="1" t="str">
        <f t="shared" si="494"/>
        <v>ND</v>
      </c>
      <c r="HQ78" s="1" t="str">
        <f t="shared" si="495"/>
        <v>ND</v>
      </c>
      <c r="HR78" s="1" t="str">
        <f t="shared" si="496"/>
        <v>ND</v>
      </c>
      <c r="HS78" s="1" t="str">
        <f t="shared" si="497"/>
        <v>ND</v>
      </c>
      <c r="HT78" s="1" t="str">
        <f t="shared" si="498"/>
        <v>ND</v>
      </c>
      <c r="HU78" s="1" t="str">
        <f t="shared" si="499"/>
        <v>ND</v>
      </c>
      <c r="HV78" s="1" t="str">
        <f t="shared" si="500"/>
        <v>ND</v>
      </c>
      <c r="HW78" s="1" t="str">
        <f t="shared" si="501"/>
        <v>ND</v>
      </c>
      <c r="HX78" s="1" t="str">
        <f t="shared" si="502"/>
        <v>ND</v>
      </c>
      <c r="HY78" s="1" t="str">
        <f t="shared" si="503"/>
        <v>ND</v>
      </c>
      <c r="HZ78" s="1" t="str">
        <f t="shared" si="504"/>
        <v>ND</v>
      </c>
      <c r="IA78" s="1" t="str">
        <f t="shared" si="505"/>
        <v>ND</v>
      </c>
      <c r="IB78" s="1" t="str">
        <f t="shared" si="506"/>
        <v>ND</v>
      </c>
      <c r="IC78" s="1" t="str">
        <f t="shared" si="507"/>
        <v>ND</v>
      </c>
      <c r="ID78" s="1" t="str">
        <f t="shared" si="508"/>
        <v>ND</v>
      </c>
      <c r="IE78" s="1" t="str">
        <f t="shared" si="509"/>
        <v>ND</v>
      </c>
      <c r="IF78" s="1" t="str">
        <f t="shared" si="510"/>
        <v>ND</v>
      </c>
      <c r="IG78" s="1" t="str">
        <f t="shared" si="511"/>
        <v>ND</v>
      </c>
      <c r="IH78" s="1" t="str">
        <f t="shared" si="512"/>
        <v>ND</v>
      </c>
      <c r="II78" s="1" t="str">
        <f t="shared" si="513"/>
        <v>ND</v>
      </c>
    </row>
    <row r="79" spans="3:243" x14ac:dyDescent="0.25">
      <c r="C79" t="s">
        <v>79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6.6</v>
      </c>
      <c r="G79" s="1">
        <f>IFERROR(VLOOKUP($C79,EQUIPOS[],UNIFICADO!G$9,0),"")</f>
        <v>50</v>
      </c>
      <c r="H79" s="1">
        <f>IFERROR(VLOOKUP($C79,EQUIPOS[],UNIFICADO!H$9,0),"")</f>
        <v>4</v>
      </c>
      <c r="I79" s="1">
        <f>IFERROR(VLOOKUP($C79,EQUIPOS[],UNIFICADO!I$9,0),"")</f>
        <v>8</v>
      </c>
      <c r="J79" s="1" t="str">
        <f>IFERROR(VLOOKUP($C79,EQUIPOS[],UNIFICADO!J$9,0),"")</f>
        <v>128GB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2.4/1.9</v>
      </c>
      <c r="N79" s="1">
        <f>IFERROR(VLOOKUP($C79,EQUIPOS[],UNIFICADO!N$9,0),"")</f>
        <v>6</v>
      </c>
      <c r="O79" s="1">
        <f>IFERROR(VLOOKUP($C79,EQUIPOS[],UNIFICADO!O$9,0),"")</f>
        <v>195</v>
      </c>
      <c r="P79" s="1">
        <f>IFERROR(VLOOKUP($C79,EQUIPOS[],UNIFICADO!P$9,0),"")</f>
        <v>16.399999999999999</v>
      </c>
      <c r="Q79" s="1">
        <f>IFERROR(VLOOKUP($C79,EQUIPOS[],UNIFICADO!Q$9,0),"")</f>
        <v>7.69</v>
      </c>
      <c r="R79" s="1">
        <f>IFERROR(VLOOKUP($C79,EQUIPOS[],UNIFICADO!R$9,0),"")</f>
        <v>0.84</v>
      </c>
      <c r="S79" s="1">
        <f>IFERROR(VLOOKUP($C79,EQUIPOS[],UNIFICADO!S$9,0),"")</f>
        <v>5000</v>
      </c>
      <c r="T79" s="1">
        <f>IFERROR(VLOOKUP($C79,EQUIPOS[],UNIFICADO!T$9,0),"")</f>
        <v>4</v>
      </c>
      <c r="U79" s="1">
        <f>VLOOKUP(UNIFICADA[[#This Row],[Equipo]],EQUIPOS[],19,0)</f>
        <v>69</v>
      </c>
      <c r="V79" s="1" t="str">
        <f t="shared" si="358"/>
        <v>ND</v>
      </c>
      <c r="W79" s="1" t="str">
        <f t="shared" si="359"/>
        <v>ND</v>
      </c>
      <c r="X79" s="1" t="str">
        <f t="shared" si="351"/>
        <v>ND</v>
      </c>
      <c r="Y79" s="1" t="str">
        <f t="shared" si="351"/>
        <v>ND</v>
      </c>
      <c r="Z79" s="1" t="str">
        <f t="shared" si="352"/>
        <v>ND</v>
      </c>
      <c r="AA79" s="1" t="str">
        <f t="shared" si="352"/>
        <v>ND</v>
      </c>
      <c r="AB79" s="1" t="str">
        <f t="shared" si="352"/>
        <v>ND</v>
      </c>
      <c r="AC79" s="1" t="str">
        <f t="shared" si="352"/>
        <v>ND</v>
      </c>
      <c r="AD79" s="1" t="str">
        <f t="shared" si="352"/>
        <v>ND</v>
      </c>
      <c r="AE79" s="1" t="str">
        <f t="shared" si="352"/>
        <v>ND</v>
      </c>
      <c r="AF79" s="1" t="str">
        <f t="shared" si="352"/>
        <v>ND</v>
      </c>
      <c r="AG79" s="1" t="str">
        <f t="shared" si="352"/>
        <v>ND</v>
      </c>
      <c r="AH79" s="1" t="str">
        <f t="shared" si="352"/>
        <v>ND</v>
      </c>
      <c r="AI79" s="1" t="str">
        <f t="shared" si="360"/>
        <v>ND</v>
      </c>
      <c r="AJ79" s="1" t="str">
        <f t="shared" si="361"/>
        <v>ND</v>
      </c>
      <c r="AK79" s="1" t="str">
        <f t="shared" si="362"/>
        <v>ND</v>
      </c>
      <c r="AL79" s="1" t="str">
        <f t="shared" si="363"/>
        <v>ND</v>
      </c>
      <c r="AM79" s="1" t="str">
        <f t="shared" si="364"/>
        <v>ND</v>
      </c>
      <c r="AN79" s="1" t="str">
        <f t="shared" si="365"/>
        <v>ND</v>
      </c>
      <c r="AO79" s="1" t="str">
        <f t="shared" si="366"/>
        <v>ND</v>
      </c>
      <c r="AP79" s="1" t="str">
        <f t="shared" si="367"/>
        <v>ND</v>
      </c>
      <c r="AQ79" s="1" t="str">
        <f t="shared" si="368"/>
        <v>ND</v>
      </c>
      <c r="AR79" s="1" t="str">
        <f t="shared" si="369"/>
        <v>ND</v>
      </c>
      <c r="AS79" s="1" t="str">
        <f t="shared" si="370"/>
        <v>ND</v>
      </c>
      <c r="AT79" s="1" t="str">
        <f t="shared" si="371"/>
        <v>ND</v>
      </c>
      <c r="AU79" s="1" t="str">
        <f t="shared" si="372"/>
        <v>ND</v>
      </c>
      <c r="AV79" s="1" t="str">
        <f t="shared" si="373"/>
        <v>ND</v>
      </c>
      <c r="AW79" s="1" t="str">
        <f t="shared" si="374"/>
        <v>ND</v>
      </c>
      <c r="AX79" s="1" t="str">
        <f t="shared" si="375"/>
        <v>ND</v>
      </c>
      <c r="AY79" s="1" t="str">
        <f t="shared" si="376"/>
        <v>ND</v>
      </c>
      <c r="AZ79" s="1" t="str">
        <f t="shared" si="377"/>
        <v>ND</v>
      </c>
      <c r="BA79" s="1" t="str">
        <f t="shared" si="378"/>
        <v>ND</v>
      </c>
      <c r="BB79" s="1" t="str">
        <f t="shared" si="379"/>
        <v>ND</v>
      </c>
      <c r="BC79" s="1" t="str">
        <f t="shared" si="380"/>
        <v>ND</v>
      </c>
      <c r="BD79" s="1" t="str">
        <f t="shared" si="381"/>
        <v>ND</v>
      </c>
      <c r="BE79" s="1" t="str">
        <f t="shared" si="382"/>
        <v>ND</v>
      </c>
      <c r="BF79" s="1" t="str">
        <f t="shared" si="383"/>
        <v>ND</v>
      </c>
      <c r="BG79" s="1" t="str">
        <f t="shared" si="384"/>
        <v>ND</v>
      </c>
      <c r="BH79" s="1" t="str">
        <f t="shared" si="385"/>
        <v>ND</v>
      </c>
      <c r="BI79" s="1" t="str">
        <f t="shared" si="386"/>
        <v>ND</v>
      </c>
      <c r="BJ79" s="1" t="str">
        <f t="shared" si="387"/>
        <v>ND</v>
      </c>
      <c r="BK79" s="1" t="str">
        <f t="shared" si="388"/>
        <v>ND</v>
      </c>
      <c r="BL79" s="1" t="str">
        <f t="shared" si="389"/>
        <v>ND</v>
      </c>
      <c r="BM79" s="1" t="str">
        <f t="shared" si="390"/>
        <v>ND</v>
      </c>
      <c r="BN79" s="1" t="str">
        <f t="shared" si="391"/>
        <v>ND</v>
      </c>
      <c r="BO79" s="1" t="str">
        <f t="shared" si="392"/>
        <v>ND</v>
      </c>
      <c r="BP79" s="1" t="str">
        <f t="shared" si="393"/>
        <v>ND</v>
      </c>
      <c r="BQ79" s="1" t="str">
        <f t="shared" si="394"/>
        <v>ND</v>
      </c>
      <c r="BR79" s="1" t="str">
        <f t="shared" si="395"/>
        <v>ND</v>
      </c>
      <c r="BS79" s="1" t="str">
        <f t="shared" si="396"/>
        <v>ND</v>
      </c>
      <c r="BT79" s="1" t="str">
        <f t="shared" si="397"/>
        <v>ND</v>
      </c>
      <c r="BU79" s="1" t="str">
        <f t="shared" si="398"/>
        <v>ND</v>
      </c>
      <c r="BV79" s="1" t="str">
        <f t="shared" si="399"/>
        <v>ND</v>
      </c>
      <c r="BW79" s="1" t="str">
        <f t="shared" si="400"/>
        <v>ND</v>
      </c>
      <c r="BX79" s="1" t="str">
        <f t="shared" si="401"/>
        <v>ND</v>
      </c>
      <c r="BY79" s="1" t="str">
        <f t="shared" si="402"/>
        <v>ND</v>
      </c>
      <c r="BZ79" s="1" t="str">
        <f t="shared" si="403"/>
        <v>ND</v>
      </c>
      <c r="CA79" s="1" t="str">
        <f t="shared" si="353"/>
        <v>ND</v>
      </c>
      <c r="CB79" s="1" t="str">
        <f t="shared" si="353"/>
        <v>ND</v>
      </c>
      <c r="CC79" s="1" t="str">
        <f t="shared" si="353"/>
        <v>ND</v>
      </c>
      <c r="CD79" s="1" t="str">
        <f t="shared" si="353"/>
        <v>ND</v>
      </c>
      <c r="CE79" s="1" t="str">
        <f t="shared" si="353"/>
        <v>ND</v>
      </c>
      <c r="CF79" s="1" t="str">
        <f t="shared" si="353"/>
        <v>ND</v>
      </c>
      <c r="CG79" s="1" t="str">
        <f t="shared" si="353"/>
        <v>ND</v>
      </c>
      <c r="CH79" s="1" t="str">
        <f t="shared" si="353"/>
        <v>ND</v>
      </c>
      <c r="CI79" s="1" t="str">
        <f t="shared" si="353"/>
        <v>ND</v>
      </c>
      <c r="CJ79" s="1" t="str">
        <f t="shared" si="353"/>
        <v>ND</v>
      </c>
      <c r="CK79" s="1" t="str">
        <f t="shared" si="353"/>
        <v>ND</v>
      </c>
      <c r="CL79" s="1" t="str">
        <f t="shared" si="354"/>
        <v>ND</v>
      </c>
      <c r="CM79" s="1" t="str">
        <f t="shared" si="354"/>
        <v>ND</v>
      </c>
      <c r="CN79" s="1" t="str">
        <f t="shared" si="354"/>
        <v>ND</v>
      </c>
      <c r="CO79" s="1" t="str">
        <f t="shared" si="354"/>
        <v>ND</v>
      </c>
      <c r="CP79" s="1" t="str">
        <f t="shared" si="354"/>
        <v>ND</v>
      </c>
      <c r="CQ79" s="1" t="str">
        <f t="shared" si="354"/>
        <v>ND</v>
      </c>
      <c r="CR79" s="1" t="str">
        <f t="shared" si="354"/>
        <v>ND</v>
      </c>
      <c r="CS79" s="1" t="str">
        <f t="shared" si="354"/>
        <v>ND</v>
      </c>
      <c r="CT79" s="1" t="str">
        <f t="shared" si="354"/>
        <v>ND</v>
      </c>
      <c r="CU79" s="1" t="str">
        <f t="shared" si="354"/>
        <v>ND</v>
      </c>
      <c r="CV79" s="1" t="str">
        <f t="shared" si="354"/>
        <v>ND</v>
      </c>
      <c r="CW79" s="1" t="str">
        <f t="shared" si="404"/>
        <v>ND</v>
      </c>
      <c r="CX79" s="1" t="str">
        <f t="shared" si="405"/>
        <v>ND</v>
      </c>
      <c r="CY79" s="1" t="str">
        <f t="shared" si="406"/>
        <v>ND</v>
      </c>
      <c r="CZ79" s="1" t="str">
        <f t="shared" si="407"/>
        <v>ND</v>
      </c>
      <c r="DA79" s="1" t="str">
        <f t="shared" si="408"/>
        <v>ND</v>
      </c>
      <c r="DB79" s="1" t="str">
        <f t="shared" si="409"/>
        <v>ND</v>
      </c>
      <c r="DC79" s="1" t="str">
        <f t="shared" si="410"/>
        <v>ND</v>
      </c>
      <c r="DD79" s="1" t="str">
        <f t="shared" si="411"/>
        <v>ND</v>
      </c>
      <c r="DE79" s="1" t="str">
        <f t="shared" si="412"/>
        <v>ND</v>
      </c>
      <c r="DF79" s="1" t="str">
        <f t="shared" si="413"/>
        <v>ND</v>
      </c>
      <c r="DG79" s="1" t="str">
        <f t="shared" si="414"/>
        <v>ND</v>
      </c>
      <c r="DH79" s="1" t="str">
        <f t="shared" si="415"/>
        <v>ND</v>
      </c>
      <c r="DI79" s="1" t="str">
        <f t="shared" si="416"/>
        <v>ND</v>
      </c>
      <c r="DJ79" s="1" t="str">
        <f t="shared" si="417"/>
        <v>ND</v>
      </c>
      <c r="DK79" s="1" t="str">
        <f t="shared" si="418"/>
        <v>ND</v>
      </c>
      <c r="DL79" s="1" t="str">
        <f t="shared" si="419"/>
        <v>ND</v>
      </c>
      <c r="DM79" s="1" t="str">
        <f t="shared" si="420"/>
        <v>ND</v>
      </c>
      <c r="DN79" s="1" t="str">
        <f t="shared" si="421"/>
        <v>ND</v>
      </c>
      <c r="DO79" s="1" t="str">
        <f t="shared" si="422"/>
        <v>ND</v>
      </c>
      <c r="DP79" s="1" t="str">
        <f t="shared" si="423"/>
        <v>ND</v>
      </c>
      <c r="DQ79" s="1" t="str">
        <f t="shared" si="424"/>
        <v>ND</v>
      </c>
      <c r="DR79" s="1" t="str">
        <f t="shared" si="425"/>
        <v>ND</v>
      </c>
      <c r="DS79" s="1" t="str">
        <f t="shared" si="426"/>
        <v>ND</v>
      </c>
      <c r="DT79" s="1" t="str">
        <f t="shared" si="427"/>
        <v>ND</v>
      </c>
      <c r="DU79" s="1" t="str">
        <f t="shared" si="428"/>
        <v>ND</v>
      </c>
      <c r="DV79" s="1" t="str">
        <f t="shared" si="429"/>
        <v>ND</v>
      </c>
      <c r="DW79" s="1" t="str">
        <f t="shared" si="430"/>
        <v>ND</v>
      </c>
      <c r="DX79" s="1" t="str">
        <f t="shared" si="431"/>
        <v>ND</v>
      </c>
      <c r="DY79" s="1" t="str">
        <f t="shared" si="432"/>
        <v>ND</v>
      </c>
      <c r="DZ79" s="1" t="str">
        <f t="shared" si="433"/>
        <v>ND</v>
      </c>
      <c r="EA79" s="1" t="str">
        <f t="shared" si="434"/>
        <v>ND</v>
      </c>
      <c r="EB79" s="1" t="str">
        <f t="shared" si="435"/>
        <v>ND</v>
      </c>
      <c r="EC79" s="1" t="str">
        <f t="shared" si="436"/>
        <v>ND</v>
      </c>
      <c r="ED79" s="1" t="str">
        <f t="shared" si="437"/>
        <v>ND</v>
      </c>
      <c r="EE79" s="1" t="str">
        <f t="shared" si="438"/>
        <v>ND</v>
      </c>
      <c r="EF79" s="1" t="str">
        <f t="shared" si="439"/>
        <v>ND</v>
      </c>
      <c r="EG79" s="1" t="str">
        <f t="shared" si="440"/>
        <v>ND</v>
      </c>
      <c r="EH79" s="1" t="str">
        <f t="shared" si="441"/>
        <v>ND</v>
      </c>
      <c r="EI79" s="1" t="str">
        <f t="shared" si="442"/>
        <v>ND</v>
      </c>
      <c r="EJ79" s="1" t="str">
        <f t="shared" si="443"/>
        <v>ND</v>
      </c>
      <c r="EK79" s="1" t="str">
        <f t="shared" si="444"/>
        <v>ND</v>
      </c>
      <c r="EL79" s="1" t="str">
        <f t="shared" si="445"/>
        <v>ND</v>
      </c>
      <c r="EM79" s="1" t="str">
        <f t="shared" si="446"/>
        <v>ND</v>
      </c>
      <c r="EN79" s="1" t="str">
        <f t="shared" si="447"/>
        <v>ND</v>
      </c>
      <c r="EO79" s="1" t="str">
        <f t="shared" si="355"/>
        <v>ND</v>
      </c>
      <c r="EP79" s="1" t="str">
        <f t="shared" si="355"/>
        <v>ND</v>
      </c>
      <c r="EQ79" s="1" t="str">
        <f t="shared" si="355"/>
        <v>ND</v>
      </c>
      <c r="ER79" s="1" t="str">
        <f t="shared" si="355"/>
        <v>ND</v>
      </c>
      <c r="ES79" s="1" t="str">
        <f t="shared" si="355"/>
        <v>ND</v>
      </c>
      <c r="ET79" s="1" t="str">
        <f t="shared" si="355"/>
        <v>ND</v>
      </c>
      <c r="EU79" s="1" t="str">
        <f t="shared" si="355"/>
        <v>ND</v>
      </c>
      <c r="EV79" s="1" t="str">
        <f t="shared" si="355"/>
        <v>ND</v>
      </c>
      <c r="EW79" s="1" t="str">
        <f t="shared" si="355"/>
        <v>ND</v>
      </c>
      <c r="EX79" s="1" t="str">
        <f t="shared" si="355"/>
        <v>ND</v>
      </c>
      <c r="EY79" s="1" t="str">
        <f t="shared" si="355"/>
        <v>ND</v>
      </c>
      <c r="EZ79" s="1" t="str">
        <f t="shared" si="356"/>
        <v>ND</v>
      </c>
      <c r="FA79" s="1" t="str">
        <f t="shared" si="356"/>
        <v>ND</v>
      </c>
      <c r="FB79" s="1" t="str">
        <f t="shared" si="356"/>
        <v>ND</v>
      </c>
      <c r="FC79" s="1" t="str">
        <f t="shared" si="356"/>
        <v>ND</v>
      </c>
      <c r="FD79" s="1" t="str">
        <f t="shared" si="356"/>
        <v>ND</v>
      </c>
      <c r="FE79" s="1" t="str">
        <f t="shared" si="356"/>
        <v>ND</v>
      </c>
      <c r="FF79" s="1" t="str">
        <f t="shared" si="356"/>
        <v>ND</v>
      </c>
      <c r="FG79" s="1" t="str">
        <f t="shared" si="356"/>
        <v>ND</v>
      </c>
      <c r="FH79" s="1" t="str">
        <f t="shared" si="356"/>
        <v>ND</v>
      </c>
      <c r="FI79" s="1" t="str">
        <f t="shared" si="356"/>
        <v>ND</v>
      </c>
      <c r="FJ79" s="1" t="str">
        <f t="shared" si="356"/>
        <v>ND</v>
      </c>
      <c r="FK79" s="1" t="str">
        <f t="shared" si="357"/>
        <v>ND</v>
      </c>
      <c r="FL79" s="1" t="str">
        <f t="shared" si="357"/>
        <v>ND</v>
      </c>
      <c r="FM79" s="1" t="str">
        <f t="shared" si="357"/>
        <v>ND</v>
      </c>
      <c r="FN79" s="1" t="str">
        <f t="shared" si="357"/>
        <v>ND</v>
      </c>
      <c r="FO79" s="1" t="str">
        <f t="shared" si="357"/>
        <v>ND</v>
      </c>
      <c r="FP79" s="1" t="str">
        <f t="shared" si="357"/>
        <v>ND</v>
      </c>
      <c r="FQ79" s="1" t="str">
        <f t="shared" si="357"/>
        <v>ND</v>
      </c>
      <c r="FR79" s="1" t="str">
        <f t="shared" si="357"/>
        <v>ND</v>
      </c>
      <c r="FS79" s="1" t="str">
        <f t="shared" si="357"/>
        <v>ND</v>
      </c>
      <c r="FT79" s="1" t="str">
        <f t="shared" si="357"/>
        <v>ND</v>
      </c>
      <c r="FU79" s="1" t="str">
        <f t="shared" si="357"/>
        <v>ND</v>
      </c>
      <c r="FV79" s="1" t="str">
        <f t="shared" si="448"/>
        <v>ND</v>
      </c>
      <c r="FW79" s="1" t="str">
        <f t="shared" si="449"/>
        <v>ND</v>
      </c>
      <c r="FX79" s="1" t="str">
        <f t="shared" si="450"/>
        <v>ND</v>
      </c>
      <c r="FY79" s="1" t="str">
        <f t="shared" si="451"/>
        <v>ND</v>
      </c>
      <c r="FZ79" s="1" t="str">
        <f t="shared" si="452"/>
        <v>ND</v>
      </c>
      <c r="GA79" s="1" t="str">
        <f t="shared" si="453"/>
        <v>ND</v>
      </c>
      <c r="GB79" s="1" t="str">
        <f t="shared" si="454"/>
        <v>ND</v>
      </c>
      <c r="GC79" s="1" t="str">
        <f t="shared" si="455"/>
        <v>ND</v>
      </c>
      <c r="GD79" s="1" t="str">
        <f t="shared" si="456"/>
        <v>ND</v>
      </c>
      <c r="GE79" s="1" t="str">
        <f t="shared" si="457"/>
        <v>ND</v>
      </c>
      <c r="GF79" s="1" t="str">
        <f t="shared" si="458"/>
        <v>ND</v>
      </c>
      <c r="GG79" s="1" t="str">
        <f t="shared" si="459"/>
        <v>ND</v>
      </c>
      <c r="GH79" s="1" t="str">
        <f t="shared" si="460"/>
        <v>ND</v>
      </c>
      <c r="GI79" s="1" t="str">
        <f t="shared" si="461"/>
        <v>ND</v>
      </c>
      <c r="GJ79" s="1" t="str">
        <f t="shared" si="462"/>
        <v>ND</v>
      </c>
      <c r="GK79" s="1" t="str">
        <f t="shared" si="463"/>
        <v>ND</v>
      </c>
      <c r="GL79" s="1" t="str">
        <f t="shared" si="464"/>
        <v>ND</v>
      </c>
      <c r="GM79" s="1" t="str">
        <f t="shared" si="465"/>
        <v>ND</v>
      </c>
      <c r="GN79" s="1" t="str">
        <f t="shared" si="466"/>
        <v>ND</v>
      </c>
      <c r="GO79" s="1" t="str">
        <f t="shared" si="467"/>
        <v>ND</v>
      </c>
      <c r="GP79" s="1" t="str">
        <f t="shared" si="468"/>
        <v>ND</v>
      </c>
      <c r="GQ79" s="1" t="str">
        <f t="shared" si="469"/>
        <v>ND</v>
      </c>
      <c r="GR79" s="1" t="str">
        <f t="shared" si="470"/>
        <v>ND</v>
      </c>
      <c r="GS79" s="1" t="str">
        <f t="shared" si="471"/>
        <v>ND</v>
      </c>
      <c r="GT79" s="1" t="str">
        <f t="shared" si="472"/>
        <v>ND</v>
      </c>
      <c r="GU79" s="1" t="str">
        <f t="shared" si="473"/>
        <v>ND</v>
      </c>
      <c r="GV79" s="1" t="str">
        <f t="shared" si="474"/>
        <v>ND</v>
      </c>
      <c r="GW79" s="1" t="str">
        <f t="shared" si="475"/>
        <v>ND</v>
      </c>
      <c r="GX79" s="1" t="str">
        <f t="shared" si="476"/>
        <v>ND</v>
      </c>
      <c r="GY79" s="1" t="str">
        <f t="shared" si="477"/>
        <v>ND</v>
      </c>
      <c r="GZ79" s="1" t="str">
        <f t="shared" si="478"/>
        <v>ND</v>
      </c>
      <c r="HA79" s="1" t="str">
        <f t="shared" si="479"/>
        <v>ND</v>
      </c>
      <c r="HB79" s="1" t="str">
        <f t="shared" si="480"/>
        <v>ND</v>
      </c>
      <c r="HC79" s="1" t="str">
        <f t="shared" si="481"/>
        <v>ND</v>
      </c>
      <c r="HD79" s="1" t="str">
        <f t="shared" si="482"/>
        <v>ND</v>
      </c>
      <c r="HE79" s="1" t="str">
        <f t="shared" si="483"/>
        <v>ND</v>
      </c>
      <c r="HF79" s="1" t="str">
        <f t="shared" si="484"/>
        <v>ND</v>
      </c>
      <c r="HG79" s="1" t="str">
        <f t="shared" si="485"/>
        <v>ND</v>
      </c>
      <c r="HH79" s="1" t="str">
        <f t="shared" si="486"/>
        <v>ND</v>
      </c>
      <c r="HI79" s="1" t="str">
        <f t="shared" si="487"/>
        <v>ND</v>
      </c>
      <c r="HJ79" s="1" t="str">
        <f t="shared" si="488"/>
        <v>ND</v>
      </c>
      <c r="HK79" s="1" t="str">
        <f t="shared" si="489"/>
        <v>ND</v>
      </c>
      <c r="HL79" s="1" t="str">
        <f t="shared" si="490"/>
        <v>ND</v>
      </c>
      <c r="HM79" s="1" t="str">
        <f t="shared" si="491"/>
        <v>ND</v>
      </c>
      <c r="HN79" s="1" t="str">
        <f t="shared" si="492"/>
        <v>ND</v>
      </c>
      <c r="HO79" s="1" t="str">
        <f t="shared" si="493"/>
        <v>ND</v>
      </c>
      <c r="HP79" s="1" t="str">
        <f t="shared" si="494"/>
        <v>ND</v>
      </c>
      <c r="HQ79" s="1" t="str">
        <f t="shared" si="495"/>
        <v>ND</v>
      </c>
      <c r="HR79" s="1" t="str">
        <f t="shared" si="496"/>
        <v>ND</v>
      </c>
      <c r="HS79" s="1" t="str">
        <f t="shared" si="497"/>
        <v>ND</v>
      </c>
      <c r="HT79" s="1" t="str">
        <f t="shared" si="498"/>
        <v>ND</v>
      </c>
      <c r="HU79" s="1" t="str">
        <f t="shared" si="499"/>
        <v>ND</v>
      </c>
      <c r="HV79" s="1" t="str">
        <f t="shared" si="500"/>
        <v>ND</v>
      </c>
      <c r="HW79" s="1" t="str">
        <f t="shared" si="501"/>
        <v>ND</v>
      </c>
      <c r="HX79" s="1" t="str">
        <f t="shared" si="502"/>
        <v>ND</v>
      </c>
      <c r="HY79" s="1" t="str">
        <f t="shared" si="503"/>
        <v>ND</v>
      </c>
      <c r="HZ79" s="1" t="str">
        <f t="shared" si="504"/>
        <v>ND</v>
      </c>
      <c r="IA79" s="1" t="str">
        <f t="shared" si="505"/>
        <v>ND</v>
      </c>
      <c r="IB79" s="1" t="str">
        <f t="shared" si="506"/>
        <v>ND</v>
      </c>
      <c r="IC79" s="1" t="str">
        <f t="shared" si="507"/>
        <v>ND</v>
      </c>
      <c r="ID79" s="1" t="str">
        <f t="shared" si="508"/>
        <v>ND</v>
      </c>
      <c r="IE79" s="1" t="str">
        <f t="shared" si="509"/>
        <v>ND</v>
      </c>
      <c r="IF79" s="1" t="str">
        <f t="shared" si="510"/>
        <v>ND</v>
      </c>
      <c r="IG79" s="1" t="str">
        <f t="shared" si="511"/>
        <v>ND</v>
      </c>
      <c r="IH79" s="1" t="str">
        <f t="shared" si="512"/>
        <v>ND</v>
      </c>
      <c r="II79" s="1" t="str">
        <f t="shared" si="513"/>
        <v>ND</v>
      </c>
    </row>
    <row r="80" spans="3:243" x14ac:dyDescent="0.25">
      <c r="C80" t="s">
        <v>1051</v>
      </c>
      <c r="D80">
        <f>SUMIFS(DICCIONARIO[Cantidad],DICCIONARIO[Modelo],UNIFICADA[[#This Row],[Equipo]])</f>
        <v>28</v>
      </c>
      <c r="E80" s="1">
        <f>IFERROR(VLOOKUP($C80,EQUIPOS[],UNIFICADO!E$9,0),"")</f>
        <v>13</v>
      </c>
      <c r="F80" s="1" t="str">
        <f>IFERROR(VLOOKUP($C80,EQUIPOS[],UNIFICADO!F$9,0),"")</f>
        <v>6.5 AMOLED FullHD+</v>
      </c>
      <c r="G80" s="1">
        <f>IFERROR(VLOOKUP($C80,EQUIPOS[],UNIFICADO!G$9,0),"")</f>
        <v>50</v>
      </c>
      <c r="H80" s="1">
        <f>IFERROR(VLOOKUP($C80,EQUIPOS[],UNIFICADO!H$9,0),"")</f>
        <v>3</v>
      </c>
      <c r="I80" s="1">
        <f>IFERROR(VLOOKUP($C80,EQUIPOS[],UNIFICADO!I$9,0),"")</f>
        <v>13</v>
      </c>
      <c r="J80" s="1" t="str">
        <f>IFERROR(VLOOKUP($C80,EQUIPOS[],UNIFICADO!J$9,0),"")</f>
        <v>128GB</v>
      </c>
      <c r="K80" s="1">
        <f>IFERROR(VLOOKUP($C80,EQUIPOS[],UNIFICADO!K$9,0),"")</f>
        <v>1024</v>
      </c>
      <c r="L80" s="1">
        <f>IFERROR(VLOOKUP($C80,EQUIPOS[],UNIFICADO!L$9,0),"")</f>
        <v>8</v>
      </c>
      <c r="M80" s="1" t="str">
        <f>IFERROR(VLOOKUP($C80,EQUIPOS[],UNIFICADO!M$9,0),"")</f>
        <v>2.4/1.9</v>
      </c>
      <c r="N80" s="1">
        <f>IFERROR(VLOOKUP($C80,EQUIPOS[],UNIFICADO!N$9,0),"")</f>
        <v>6</v>
      </c>
      <c r="O80" s="1">
        <f>IFERROR(VLOOKUP($C80,EQUIPOS[],UNIFICADO!O$9,0),"")</f>
        <v>195</v>
      </c>
      <c r="P80" s="1">
        <f>IFERROR(VLOOKUP($C80,EQUIPOS[],UNIFICADO!P$9,0),"")</f>
        <v>16.2</v>
      </c>
      <c r="Q80" s="1">
        <f>IFERROR(VLOOKUP($C80,EQUIPOS[],UNIFICADO!Q$9,0),"")</f>
        <v>7.76</v>
      </c>
      <c r="R80" s="1">
        <f>IFERROR(VLOOKUP($C80,EQUIPOS[],UNIFICADO!R$9,0),"")</f>
        <v>0.83</v>
      </c>
      <c r="S80" s="1">
        <f>IFERROR(VLOOKUP($C80,EQUIPOS[],UNIFICADO!S$9,0),"")</f>
        <v>5000</v>
      </c>
      <c r="T80" s="1">
        <f>IFERROR(VLOOKUP($C80,EQUIPOS[],UNIFICADO!T$9,0),"")</f>
        <v>4</v>
      </c>
      <c r="U80" s="1">
        <f>VLOOKUP(UNIFICADA[[#This Row],[Equipo]],EQUIPOS[],19,0)</f>
        <v>70</v>
      </c>
      <c r="V80" s="1" t="str">
        <f t="shared" si="358"/>
        <v>ND</v>
      </c>
      <c r="W80" s="1" t="str">
        <f t="shared" si="359"/>
        <v>ND</v>
      </c>
      <c r="X80" s="1" t="str">
        <f t="shared" si="351"/>
        <v>ND</v>
      </c>
      <c r="Y80" s="1" t="str">
        <f t="shared" si="351"/>
        <v>ND</v>
      </c>
      <c r="Z80" s="1" t="str">
        <f t="shared" si="352"/>
        <v>ND</v>
      </c>
      <c r="AA80" s="1" t="str">
        <f t="shared" si="352"/>
        <v>ND</v>
      </c>
      <c r="AB80" s="1" t="str">
        <f t="shared" si="352"/>
        <v>ND</v>
      </c>
      <c r="AC80" s="1" t="str">
        <f t="shared" si="352"/>
        <v>ND</v>
      </c>
      <c r="AD80" s="1" t="str">
        <f t="shared" si="352"/>
        <v>ND</v>
      </c>
      <c r="AE80" s="1" t="str">
        <f t="shared" si="352"/>
        <v>ND</v>
      </c>
      <c r="AF80" s="1" t="str">
        <f t="shared" si="352"/>
        <v>ND</v>
      </c>
      <c r="AG80" s="1" t="str">
        <f t="shared" si="352"/>
        <v>ND</v>
      </c>
      <c r="AH80" s="1" t="str">
        <f t="shared" si="352"/>
        <v>ND</v>
      </c>
      <c r="AI80" s="1" t="str">
        <f t="shared" si="360"/>
        <v>ND</v>
      </c>
      <c r="AJ80" s="1" t="str">
        <f t="shared" si="361"/>
        <v>ND</v>
      </c>
      <c r="AK80" s="1" t="str">
        <f t="shared" si="362"/>
        <v>ND</v>
      </c>
      <c r="AL80" s="1" t="str">
        <f t="shared" si="363"/>
        <v>ND</v>
      </c>
      <c r="AM80" s="1" t="str">
        <f t="shared" si="364"/>
        <v>ND</v>
      </c>
      <c r="AN80" s="1" t="str">
        <f t="shared" si="365"/>
        <v>ND</v>
      </c>
      <c r="AO80" s="1" t="str">
        <f t="shared" si="366"/>
        <v>ND</v>
      </c>
      <c r="AP80" s="1" t="str">
        <f t="shared" si="367"/>
        <v>ND</v>
      </c>
      <c r="AQ80" s="1" t="str">
        <f t="shared" si="368"/>
        <v>ND</v>
      </c>
      <c r="AR80" s="1" t="str">
        <f t="shared" si="369"/>
        <v>ND</v>
      </c>
      <c r="AS80" s="1" t="str">
        <f t="shared" si="370"/>
        <v>ND</v>
      </c>
      <c r="AT80" s="1" t="str">
        <f t="shared" si="371"/>
        <v>ND</v>
      </c>
      <c r="AU80" s="1" t="str">
        <f t="shared" si="372"/>
        <v>ND</v>
      </c>
      <c r="AV80" s="1" t="str">
        <f t="shared" si="373"/>
        <v>ND</v>
      </c>
      <c r="AW80" s="1" t="str">
        <f t="shared" si="374"/>
        <v>ND</v>
      </c>
      <c r="AX80" s="1" t="str">
        <f t="shared" si="375"/>
        <v>ND</v>
      </c>
      <c r="AY80" s="1" t="str">
        <f t="shared" si="376"/>
        <v>ND</v>
      </c>
      <c r="AZ80" s="1" t="str">
        <f t="shared" si="377"/>
        <v>ND</v>
      </c>
      <c r="BA80" s="1" t="str">
        <f t="shared" si="378"/>
        <v>ND</v>
      </c>
      <c r="BB80" s="1" t="str">
        <f t="shared" si="379"/>
        <v>ND</v>
      </c>
      <c r="BC80" s="1" t="str">
        <f t="shared" si="380"/>
        <v>ND</v>
      </c>
      <c r="BD80" s="1" t="str">
        <f t="shared" si="381"/>
        <v>ND</v>
      </c>
      <c r="BE80" s="1" t="str">
        <f t="shared" si="382"/>
        <v>ND</v>
      </c>
      <c r="BF80" s="1" t="str">
        <f t="shared" si="383"/>
        <v>ND</v>
      </c>
      <c r="BG80" s="1" t="str">
        <f t="shared" si="384"/>
        <v>ND</v>
      </c>
      <c r="BH80" s="1" t="str">
        <f t="shared" si="385"/>
        <v>ND</v>
      </c>
      <c r="BI80" s="1" t="str">
        <f t="shared" si="386"/>
        <v>ND</v>
      </c>
      <c r="BJ80" s="1" t="str">
        <f t="shared" si="387"/>
        <v>ND</v>
      </c>
      <c r="BK80" s="1" t="str">
        <f t="shared" si="388"/>
        <v>ND</v>
      </c>
      <c r="BL80" s="1" t="str">
        <f t="shared" si="389"/>
        <v>ND</v>
      </c>
      <c r="BM80" s="1" t="str">
        <f t="shared" si="390"/>
        <v>ND</v>
      </c>
      <c r="BN80" s="1" t="str">
        <f t="shared" si="391"/>
        <v>ND</v>
      </c>
      <c r="BO80" s="1" t="str">
        <f t="shared" si="392"/>
        <v>ND</v>
      </c>
      <c r="BP80" s="1" t="str">
        <f t="shared" si="393"/>
        <v>ND</v>
      </c>
      <c r="BQ80" s="1" t="str">
        <f t="shared" si="394"/>
        <v>ND</v>
      </c>
      <c r="BR80" s="1" t="str">
        <f t="shared" si="395"/>
        <v>ND</v>
      </c>
      <c r="BS80" s="1" t="str">
        <f t="shared" si="396"/>
        <v>ND</v>
      </c>
      <c r="BT80" s="1" t="str">
        <f t="shared" si="397"/>
        <v>ND</v>
      </c>
      <c r="BU80" s="1" t="str">
        <f t="shared" si="398"/>
        <v>ND</v>
      </c>
      <c r="BV80" s="1" t="str">
        <f t="shared" si="399"/>
        <v>ND</v>
      </c>
      <c r="BW80" s="1" t="str">
        <f t="shared" si="400"/>
        <v>ND</v>
      </c>
      <c r="BX80" s="1" t="str">
        <f t="shared" si="401"/>
        <v>ND</v>
      </c>
      <c r="BY80" s="1" t="str">
        <f t="shared" si="402"/>
        <v>ND</v>
      </c>
      <c r="BZ80" s="1" t="str">
        <f t="shared" si="403"/>
        <v>ND</v>
      </c>
      <c r="CA80" s="1" t="str">
        <f t="shared" si="353"/>
        <v>ND</v>
      </c>
      <c r="CB80" s="1" t="str">
        <f t="shared" si="353"/>
        <v>ND</v>
      </c>
      <c r="CC80" s="1" t="str">
        <f t="shared" si="353"/>
        <v>ND</v>
      </c>
      <c r="CD80" s="1" t="str">
        <f t="shared" si="353"/>
        <v>ND</v>
      </c>
      <c r="CE80" s="1" t="str">
        <f t="shared" si="353"/>
        <v>ND</v>
      </c>
      <c r="CF80" s="1" t="str">
        <f t="shared" si="353"/>
        <v>ND</v>
      </c>
      <c r="CG80" s="1" t="str">
        <f t="shared" si="353"/>
        <v>ND</v>
      </c>
      <c r="CH80" s="1" t="str">
        <f t="shared" si="353"/>
        <v>ND</v>
      </c>
      <c r="CI80" s="1" t="str">
        <f t="shared" si="353"/>
        <v>ND</v>
      </c>
      <c r="CJ80" s="1" t="str">
        <f t="shared" si="353"/>
        <v>ND</v>
      </c>
      <c r="CK80" s="1" t="str">
        <f t="shared" si="353"/>
        <v>ND</v>
      </c>
      <c r="CL80" s="1" t="str">
        <f t="shared" si="354"/>
        <v>ND</v>
      </c>
      <c r="CM80" s="1" t="str">
        <f t="shared" si="354"/>
        <v>ND</v>
      </c>
      <c r="CN80" s="1" t="str">
        <f t="shared" si="354"/>
        <v>ND</v>
      </c>
      <c r="CO80" s="1" t="str">
        <f t="shared" si="354"/>
        <v>ND</v>
      </c>
      <c r="CP80" s="1" t="str">
        <f t="shared" si="354"/>
        <v>ND</v>
      </c>
      <c r="CQ80" s="1" t="str">
        <f t="shared" si="354"/>
        <v>ND</v>
      </c>
      <c r="CR80" s="1" t="str">
        <f t="shared" si="354"/>
        <v>ND</v>
      </c>
      <c r="CS80" s="1" t="str">
        <f t="shared" si="354"/>
        <v>ND</v>
      </c>
      <c r="CT80" s="1" t="str">
        <f t="shared" si="354"/>
        <v>ND</v>
      </c>
      <c r="CU80" s="1" t="str">
        <f t="shared" si="354"/>
        <v>ND</v>
      </c>
      <c r="CV80" s="1" t="str">
        <f t="shared" si="354"/>
        <v>ND</v>
      </c>
      <c r="CW80" s="1" t="str">
        <f t="shared" si="404"/>
        <v>ND</v>
      </c>
      <c r="CX80" s="1" t="str">
        <f t="shared" si="405"/>
        <v>ND</v>
      </c>
      <c r="CY80" s="1" t="str">
        <f t="shared" si="406"/>
        <v>ND</v>
      </c>
      <c r="CZ80" s="1" t="str">
        <f t="shared" si="407"/>
        <v>ND</v>
      </c>
      <c r="DA80" s="1" t="str">
        <f t="shared" si="408"/>
        <v>ND</v>
      </c>
      <c r="DB80" s="1" t="str">
        <f t="shared" si="409"/>
        <v>ND</v>
      </c>
      <c r="DC80" s="1" t="str">
        <f t="shared" si="410"/>
        <v>ND</v>
      </c>
      <c r="DD80" s="1" t="str">
        <f t="shared" si="411"/>
        <v>ND</v>
      </c>
      <c r="DE80" s="1" t="str">
        <f t="shared" si="412"/>
        <v>ND</v>
      </c>
      <c r="DF80" s="1" t="str">
        <f t="shared" si="413"/>
        <v>ND</v>
      </c>
      <c r="DG80" s="1" t="str">
        <f t="shared" si="414"/>
        <v>ND</v>
      </c>
      <c r="DH80" s="1" t="str">
        <f t="shared" si="415"/>
        <v>ND</v>
      </c>
      <c r="DI80" s="1" t="str">
        <f t="shared" si="416"/>
        <v>ND</v>
      </c>
      <c r="DJ80" s="1" t="str">
        <f t="shared" si="417"/>
        <v>ND</v>
      </c>
      <c r="DK80" s="1" t="str">
        <f t="shared" si="418"/>
        <v>ND</v>
      </c>
      <c r="DL80" s="1" t="str">
        <f t="shared" si="419"/>
        <v>ND</v>
      </c>
      <c r="DM80" s="1" t="str">
        <f t="shared" si="420"/>
        <v>ND</v>
      </c>
      <c r="DN80" s="1" t="str">
        <f t="shared" si="421"/>
        <v>ND</v>
      </c>
      <c r="DO80" s="1" t="str">
        <f t="shared" si="422"/>
        <v>ND</v>
      </c>
      <c r="DP80" s="1" t="str">
        <f t="shared" si="423"/>
        <v>ND</v>
      </c>
      <c r="DQ80" s="1" t="str">
        <f t="shared" si="424"/>
        <v>ND</v>
      </c>
      <c r="DR80" s="1" t="str">
        <f t="shared" si="425"/>
        <v>ND</v>
      </c>
      <c r="DS80" s="1" t="str">
        <f t="shared" si="426"/>
        <v>ND</v>
      </c>
      <c r="DT80" s="1" t="str">
        <f t="shared" si="427"/>
        <v>ND</v>
      </c>
      <c r="DU80" s="1" t="str">
        <f t="shared" si="428"/>
        <v>ND</v>
      </c>
      <c r="DV80" s="1" t="str">
        <f t="shared" si="429"/>
        <v>ND</v>
      </c>
      <c r="DW80" s="1" t="str">
        <f t="shared" si="430"/>
        <v>ND</v>
      </c>
      <c r="DX80" s="1" t="str">
        <f t="shared" si="431"/>
        <v>ND</v>
      </c>
      <c r="DY80" s="1" t="str">
        <f t="shared" si="432"/>
        <v>ND</v>
      </c>
      <c r="DZ80" s="1" t="str">
        <f t="shared" si="433"/>
        <v>ND</v>
      </c>
      <c r="EA80" s="1" t="str">
        <f t="shared" si="434"/>
        <v>ND</v>
      </c>
      <c r="EB80" s="1" t="str">
        <f t="shared" si="435"/>
        <v>ND</v>
      </c>
      <c r="EC80" s="1" t="str">
        <f t="shared" si="436"/>
        <v>ND</v>
      </c>
      <c r="ED80" s="1" t="str">
        <f t="shared" si="437"/>
        <v>ND</v>
      </c>
      <c r="EE80" s="1" t="str">
        <f t="shared" si="438"/>
        <v>ND</v>
      </c>
      <c r="EF80" s="1" t="str">
        <f t="shared" si="439"/>
        <v>ND</v>
      </c>
      <c r="EG80" s="1" t="str">
        <f t="shared" si="440"/>
        <v>ND</v>
      </c>
      <c r="EH80" s="1" t="str">
        <f t="shared" si="441"/>
        <v>ND</v>
      </c>
      <c r="EI80" s="1" t="str">
        <f t="shared" si="442"/>
        <v>ND</v>
      </c>
      <c r="EJ80" s="1" t="str">
        <f t="shared" si="443"/>
        <v>ND</v>
      </c>
      <c r="EK80" s="1" t="str">
        <f t="shared" si="444"/>
        <v>ND</v>
      </c>
      <c r="EL80" s="1" t="str">
        <f t="shared" si="445"/>
        <v>ND</v>
      </c>
      <c r="EM80" s="1" t="str">
        <f t="shared" si="446"/>
        <v>ND</v>
      </c>
      <c r="EN80" s="1" t="str">
        <f t="shared" si="447"/>
        <v>ND</v>
      </c>
      <c r="EO80" s="1" t="str">
        <f t="shared" si="355"/>
        <v>ND</v>
      </c>
      <c r="EP80" s="1" t="str">
        <f t="shared" si="355"/>
        <v>ND</v>
      </c>
      <c r="EQ80" s="1" t="str">
        <f t="shared" si="355"/>
        <v>ND</v>
      </c>
      <c r="ER80" s="1" t="str">
        <f t="shared" si="355"/>
        <v>ND</v>
      </c>
      <c r="ES80" s="1" t="str">
        <f t="shared" si="355"/>
        <v>ND</v>
      </c>
      <c r="ET80" s="1" t="str">
        <f t="shared" si="355"/>
        <v>ND</v>
      </c>
      <c r="EU80" s="1" t="str">
        <f t="shared" si="355"/>
        <v>ND</v>
      </c>
      <c r="EV80" s="1" t="str">
        <f t="shared" si="355"/>
        <v>ND</v>
      </c>
      <c r="EW80" s="1" t="str">
        <f t="shared" si="355"/>
        <v>ND</v>
      </c>
      <c r="EX80" s="1" t="str">
        <f t="shared" si="355"/>
        <v>ND</v>
      </c>
      <c r="EY80" s="1" t="str">
        <f t="shared" si="355"/>
        <v>ND</v>
      </c>
      <c r="EZ80" s="1" t="str">
        <f t="shared" si="356"/>
        <v>ND</v>
      </c>
      <c r="FA80" s="1" t="str">
        <f t="shared" si="356"/>
        <v>ND</v>
      </c>
      <c r="FB80" s="1" t="str">
        <f t="shared" si="356"/>
        <v>ND</v>
      </c>
      <c r="FC80" s="1" t="str">
        <f t="shared" si="356"/>
        <v>ND</v>
      </c>
      <c r="FD80" s="1" t="str">
        <f t="shared" si="356"/>
        <v>ND</v>
      </c>
      <c r="FE80" s="1" t="str">
        <f t="shared" si="356"/>
        <v>ND</v>
      </c>
      <c r="FF80" s="1" t="str">
        <f t="shared" si="356"/>
        <v>ND</v>
      </c>
      <c r="FG80" s="1" t="str">
        <f t="shared" si="356"/>
        <v>ND</v>
      </c>
      <c r="FH80" s="1" t="str">
        <f t="shared" si="356"/>
        <v>ND</v>
      </c>
      <c r="FI80" s="1" t="str">
        <f t="shared" si="356"/>
        <v>ND</v>
      </c>
      <c r="FJ80" s="1" t="str">
        <f t="shared" si="356"/>
        <v>ND</v>
      </c>
      <c r="FK80" s="1" t="str">
        <f t="shared" si="357"/>
        <v>ND</v>
      </c>
      <c r="FL80" s="1" t="str">
        <f t="shared" si="357"/>
        <v>ND</v>
      </c>
      <c r="FM80" s="1" t="str">
        <f t="shared" si="357"/>
        <v>ND</v>
      </c>
      <c r="FN80" s="1" t="str">
        <f t="shared" si="357"/>
        <v>ND</v>
      </c>
      <c r="FO80" s="1" t="str">
        <f t="shared" si="357"/>
        <v>ND</v>
      </c>
      <c r="FP80" s="1" t="str">
        <f t="shared" si="357"/>
        <v>ND</v>
      </c>
      <c r="FQ80" s="1" t="str">
        <f t="shared" si="357"/>
        <v>ND</v>
      </c>
      <c r="FR80" s="1" t="str">
        <f t="shared" si="357"/>
        <v>ND</v>
      </c>
      <c r="FS80" s="1" t="str">
        <f t="shared" si="357"/>
        <v>ND</v>
      </c>
      <c r="FT80" s="1" t="str">
        <f t="shared" si="357"/>
        <v>ND</v>
      </c>
      <c r="FU80" s="1" t="str">
        <f t="shared" si="357"/>
        <v>ND</v>
      </c>
      <c r="FV80" s="1" t="str">
        <f t="shared" si="448"/>
        <v>ND</v>
      </c>
      <c r="FW80" s="1" t="str">
        <f t="shared" si="449"/>
        <v>ND</v>
      </c>
      <c r="FX80" s="1" t="str">
        <f t="shared" si="450"/>
        <v>ND</v>
      </c>
      <c r="FY80" s="1" t="str">
        <f t="shared" si="451"/>
        <v>ND</v>
      </c>
      <c r="FZ80" s="1" t="str">
        <f t="shared" si="452"/>
        <v>ND</v>
      </c>
      <c r="GA80" s="1" t="str">
        <f t="shared" si="453"/>
        <v>ND</v>
      </c>
      <c r="GB80" s="1" t="str">
        <f t="shared" si="454"/>
        <v>ND</v>
      </c>
      <c r="GC80" s="1" t="str">
        <f t="shared" si="455"/>
        <v>ND</v>
      </c>
      <c r="GD80" s="1" t="str">
        <f t="shared" si="456"/>
        <v>ND</v>
      </c>
      <c r="GE80" s="1" t="str">
        <f t="shared" si="457"/>
        <v>ND</v>
      </c>
      <c r="GF80" s="1" t="str">
        <f t="shared" si="458"/>
        <v>ND</v>
      </c>
      <c r="GG80" s="1" t="str">
        <f t="shared" si="459"/>
        <v>ND</v>
      </c>
      <c r="GH80" s="1" t="str">
        <f t="shared" si="460"/>
        <v>ND</v>
      </c>
      <c r="GI80" s="1" t="str">
        <f t="shared" si="461"/>
        <v>ND</v>
      </c>
      <c r="GJ80" s="1" t="str">
        <f t="shared" si="462"/>
        <v>ND</v>
      </c>
      <c r="GK80" s="1" t="str">
        <f t="shared" si="463"/>
        <v>ND</v>
      </c>
      <c r="GL80" s="1" t="str">
        <f t="shared" si="464"/>
        <v>ND</v>
      </c>
      <c r="GM80" s="1" t="str">
        <f t="shared" si="465"/>
        <v>ND</v>
      </c>
      <c r="GN80" s="1" t="str">
        <f t="shared" si="466"/>
        <v>ND</v>
      </c>
      <c r="GO80" s="1" t="str">
        <f t="shared" si="467"/>
        <v>ND</v>
      </c>
      <c r="GP80" s="1" t="str">
        <f t="shared" si="468"/>
        <v>ND</v>
      </c>
      <c r="GQ80" s="1" t="str">
        <f t="shared" si="469"/>
        <v>ND</v>
      </c>
      <c r="GR80" s="1" t="str">
        <f t="shared" si="470"/>
        <v>ND</v>
      </c>
      <c r="GS80" s="1" t="str">
        <f t="shared" si="471"/>
        <v>ND</v>
      </c>
      <c r="GT80" s="1" t="str">
        <f t="shared" si="472"/>
        <v>ND</v>
      </c>
      <c r="GU80" s="1" t="str">
        <f t="shared" si="473"/>
        <v>ND</v>
      </c>
      <c r="GV80" s="1" t="str">
        <f t="shared" si="474"/>
        <v>ND</v>
      </c>
      <c r="GW80" s="1" t="str">
        <f t="shared" si="475"/>
        <v>ND</v>
      </c>
      <c r="GX80" s="1" t="str">
        <f t="shared" si="476"/>
        <v>ND</v>
      </c>
      <c r="GY80" s="1" t="str">
        <f t="shared" si="477"/>
        <v>ND</v>
      </c>
      <c r="GZ80" s="1" t="str">
        <f t="shared" si="478"/>
        <v>ND</v>
      </c>
      <c r="HA80" s="1" t="str">
        <f t="shared" si="479"/>
        <v>ND</v>
      </c>
      <c r="HB80" s="1" t="str">
        <f t="shared" si="480"/>
        <v>ND</v>
      </c>
      <c r="HC80" s="1" t="str">
        <f t="shared" si="481"/>
        <v>ND</v>
      </c>
      <c r="HD80" s="1" t="str">
        <f t="shared" si="482"/>
        <v>ND</v>
      </c>
      <c r="HE80" s="1" t="str">
        <f t="shared" si="483"/>
        <v>ND</v>
      </c>
      <c r="HF80" s="1" t="str">
        <f t="shared" si="484"/>
        <v>ND</v>
      </c>
      <c r="HG80" s="1" t="str">
        <f t="shared" si="485"/>
        <v>ND</v>
      </c>
      <c r="HH80" s="1" t="str">
        <f t="shared" si="486"/>
        <v>ND</v>
      </c>
      <c r="HI80" s="1" t="str">
        <f t="shared" si="487"/>
        <v>ND</v>
      </c>
      <c r="HJ80" s="1" t="str">
        <f t="shared" si="488"/>
        <v>ND</v>
      </c>
      <c r="HK80" s="1" t="str">
        <f t="shared" si="489"/>
        <v>ND</v>
      </c>
      <c r="HL80" s="1" t="str">
        <f t="shared" si="490"/>
        <v>ND</v>
      </c>
      <c r="HM80" s="1" t="str">
        <f t="shared" si="491"/>
        <v>ND</v>
      </c>
      <c r="HN80" s="1" t="str">
        <f t="shared" si="492"/>
        <v>ND</v>
      </c>
      <c r="HO80" s="1" t="str">
        <f t="shared" si="493"/>
        <v>ND</v>
      </c>
      <c r="HP80" s="1" t="str">
        <f t="shared" si="494"/>
        <v>ND</v>
      </c>
      <c r="HQ80" s="1" t="str">
        <f t="shared" si="495"/>
        <v>ND</v>
      </c>
      <c r="HR80" s="1" t="str">
        <f t="shared" si="496"/>
        <v>ND</v>
      </c>
      <c r="HS80" s="1" t="str">
        <f t="shared" si="497"/>
        <v>ND</v>
      </c>
      <c r="HT80" s="1" t="str">
        <f t="shared" si="498"/>
        <v>ND</v>
      </c>
      <c r="HU80" s="1" t="str">
        <f t="shared" si="499"/>
        <v>ND</v>
      </c>
      <c r="HV80" s="1" t="str">
        <f t="shared" si="500"/>
        <v>ND</v>
      </c>
      <c r="HW80" s="1" t="str">
        <f t="shared" si="501"/>
        <v>ND</v>
      </c>
      <c r="HX80" s="1" t="str">
        <f t="shared" si="502"/>
        <v>ND</v>
      </c>
      <c r="HY80" s="1" t="str">
        <f t="shared" si="503"/>
        <v>ND</v>
      </c>
      <c r="HZ80" s="1" t="str">
        <f t="shared" si="504"/>
        <v>ND</v>
      </c>
      <c r="IA80" s="1" t="str">
        <f t="shared" si="505"/>
        <v>ND</v>
      </c>
      <c r="IB80" s="1" t="str">
        <f t="shared" si="506"/>
        <v>ND</v>
      </c>
      <c r="IC80" s="1" t="str">
        <f t="shared" si="507"/>
        <v>ND</v>
      </c>
      <c r="ID80" s="1" t="str">
        <f t="shared" si="508"/>
        <v>ND</v>
      </c>
      <c r="IE80" s="1" t="str">
        <f t="shared" si="509"/>
        <v>ND</v>
      </c>
      <c r="IF80" s="1" t="str">
        <f t="shared" si="510"/>
        <v>ND</v>
      </c>
      <c r="IG80" s="1" t="str">
        <f t="shared" si="511"/>
        <v>ND</v>
      </c>
      <c r="IH80" s="1" t="str">
        <f t="shared" si="512"/>
        <v>ND</v>
      </c>
      <c r="II80" s="1" t="str">
        <f t="shared" si="513"/>
        <v>ND</v>
      </c>
    </row>
    <row r="81" spans="3:243" x14ac:dyDescent="0.25">
      <c r="C81" t="s">
        <v>27</v>
      </c>
      <c r="D81">
        <f>SUMIFS(DICCIONARIO[Cantidad],DICCIONARIO[Modelo],UNIFICADA[[#This Row],[Equipo]])</f>
        <v>0</v>
      </c>
      <c r="E81" s="1">
        <f>IFERROR(VLOOKUP($C81,EQUIPOS[],UNIFICADO!E$9,0),"")</f>
        <v>11</v>
      </c>
      <c r="F81" s="1">
        <f>IFERROR(VLOOKUP($C81,EQUIPOS[],UNIFICADO!F$9,0),"")</f>
        <v>6.4</v>
      </c>
      <c r="G81" s="1">
        <f>IFERROR(VLOOKUP($C81,EQUIPOS[],UNIFICADO!G$9,0),"")</f>
        <v>64</v>
      </c>
      <c r="H81" s="1">
        <f>IFERROR(VLOOKUP($C81,EQUIPOS[],UNIFICADO!H$9,0),"")</f>
        <v>4</v>
      </c>
      <c r="I81" s="1">
        <f>IFERROR(VLOOKUP($C81,EQUIPOS[],UNIFICADO!I$9,0),"")</f>
        <v>20</v>
      </c>
      <c r="J81" s="1" t="str">
        <f>IFERROR(VLOOKUP($C81,EQUIPOS[],UNIFICADO!J$9,0),"")</f>
        <v>128GB</v>
      </c>
      <c r="K81" s="1">
        <f>IFERROR(VLOOKUP($C81,EQUIPOS[],UNIFICADO!K$9,0),"")</f>
        <v>512</v>
      </c>
      <c r="L81" s="1">
        <f>IFERROR(VLOOKUP($C81,EQUIPOS[],UNIFICADO!L$9,0),"")</f>
        <v>8</v>
      </c>
      <c r="M81" s="1" t="str">
        <f>IFERROR(VLOOKUP($C81,EQUIPOS[],UNIFICADO!M$9,0),"")</f>
        <v>2.0/1.8</v>
      </c>
      <c r="N81" s="1">
        <f>IFERROR(VLOOKUP($C81,EQUIPOS[],UNIFICADO!N$9,0),"")</f>
        <v>4</v>
      </c>
      <c r="O81" s="1">
        <f>IFERROR(VLOOKUP($C81,EQUIPOS[],UNIFICADO!O$9,0),"")</f>
        <v>184</v>
      </c>
      <c r="P81" s="1">
        <f>IFERROR(VLOOKUP($C81,EQUIPOS[],UNIFICADO!P$9,0),"")</f>
        <v>15.8</v>
      </c>
      <c r="Q81" s="1">
        <f>IFERROR(VLOOKUP($C81,EQUIPOS[],UNIFICADO!Q$9,0),"")</f>
        <v>7.36</v>
      </c>
      <c r="R81" s="1">
        <f>IFERROR(VLOOKUP($C81,EQUIPOS[],UNIFICADO!R$9,0),"")</f>
        <v>0.84</v>
      </c>
      <c r="S81" s="1">
        <f>IFERROR(VLOOKUP($C81,EQUIPOS[],UNIFICADO!S$9,0),"")</f>
        <v>5000</v>
      </c>
      <c r="T81" s="1">
        <f>IFERROR(VLOOKUP($C81,EQUIPOS[],UNIFICADO!T$9,0),"")</f>
        <v>4</v>
      </c>
      <c r="U81" s="1">
        <f>VLOOKUP(UNIFICADA[[#This Row],[Equipo]],EQUIPOS[],19,0)</f>
        <v>71</v>
      </c>
      <c r="V81" s="1" t="str">
        <f t="shared" si="358"/>
        <v>ND</v>
      </c>
      <c r="W81" s="1" t="str">
        <f t="shared" si="359"/>
        <v>ND</v>
      </c>
      <c r="X81" s="1" t="str">
        <f t="shared" si="351"/>
        <v>ND</v>
      </c>
      <c r="Y81" s="1" t="str">
        <f t="shared" si="351"/>
        <v>ND</v>
      </c>
      <c r="Z81" s="1" t="str">
        <f t="shared" ref="Z81:AH90" si="514">IFERROR(IF(Z$9="ND","ND",VLOOKUP($C81,AC,Z$9,0)),"ND")</f>
        <v>ND</v>
      </c>
      <c r="AA81" s="1" t="str">
        <f t="shared" si="514"/>
        <v>ND</v>
      </c>
      <c r="AB81" s="1" t="str">
        <f t="shared" si="514"/>
        <v>ND</v>
      </c>
      <c r="AC81" s="1" t="str">
        <f t="shared" si="514"/>
        <v>ND</v>
      </c>
      <c r="AD81" s="1" t="str">
        <f t="shared" si="514"/>
        <v>ND</v>
      </c>
      <c r="AE81" s="1" t="str">
        <f t="shared" si="514"/>
        <v>ND</v>
      </c>
      <c r="AF81" s="1" t="str">
        <f t="shared" si="514"/>
        <v>ND</v>
      </c>
      <c r="AG81" s="1" t="str">
        <f t="shared" si="514"/>
        <v>ND</v>
      </c>
      <c r="AH81" s="1" t="str">
        <f t="shared" si="514"/>
        <v>ND</v>
      </c>
      <c r="AI81" s="1" t="str">
        <f t="shared" si="360"/>
        <v>ND</v>
      </c>
      <c r="AJ81" s="1" t="str">
        <f t="shared" si="361"/>
        <v>ND</v>
      </c>
      <c r="AK81" s="1" t="str">
        <f t="shared" si="362"/>
        <v>ND</v>
      </c>
      <c r="AL81" s="1" t="str">
        <f t="shared" si="363"/>
        <v>ND</v>
      </c>
      <c r="AM81" s="1" t="str">
        <f t="shared" si="364"/>
        <v>ND</v>
      </c>
      <c r="AN81" s="1" t="str">
        <f t="shared" si="365"/>
        <v>ND</v>
      </c>
      <c r="AO81" s="1" t="str">
        <f t="shared" si="366"/>
        <v>ND</v>
      </c>
      <c r="AP81" s="1" t="str">
        <f t="shared" si="367"/>
        <v>ND</v>
      </c>
      <c r="AQ81" s="1" t="str">
        <f t="shared" si="368"/>
        <v>ND</v>
      </c>
      <c r="AR81" s="1" t="str">
        <f t="shared" si="369"/>
        <v>ND</v>
      </c>
      <c r="AS81" s="1" t="str">
        <f t="shared" si="370"/>
        <v>ND</v>
      </c>
      <c r="AT81" s="1" t="str">
        <f t="shared" si="371"/>
        <v>ND</v>
      </c>
      <c r="AU81" s="1" t="str">
        <f t="shared" si="372"/>
        <v>ND</v>
      </c>
      <c r="AV81" s="1" t="str">
        <f t="shared" si="373"/>
        <v>ND</v>
      </c>
      <c r="AW81" s="1" t="str">
        <f t="shared" si="374"/>
        <v>ND</v>
      </c>
      <c r="AX81" s="1" t="str">
        <f t="shared" si="375"/>
        <v>ND</v>
      </c>
      <c r="AY81" s="1" t="str">
        <f t="shared" si="376"/>
        <v>ND</v>
      </c>
      <c r="AZ81" s="1" t="str">
        <f t="shared" si="377"/>
        <v>ND</v>
      </c>
      <c r="BA81" s="1" t="str">
        <f t="shared" si="378"/>
        <v>ND</v>
      </c>
      <c r="BB81" s="1" t="str">
        <f t="shared" si="379"/>
        <v>ND</v>
      </c>
      <c r="BC81" s="1" t="str">
        <f t="shared" si="380"/>
        <v>ND</v>
      </c>
      <c r="BD81" s="1" t="str">
        <f t="shared" si="381"/>
        <v>ND</v>
      </c>
      <c r="BE81" s="1" t="str">
        <f t="shared" si="382"/>
        <v>ND</v>
      </c>
      <c r="BF81" s="1" t="str">
        <f t="shared" si="383"/>
        <v>ND</v>
      </c>
      <c r="BG81" s="1" t="str">
        <f t="shared" si="384"/>
        <v>ND</v>
      </c>
      <c r="BH81" s="1" t="str">
        <f t="shared" si="385"/>
        <v>ND</v>
      </c>
      <c r="BI81" s="1" t="str">
        <f t="shared" si="386"/>
        <v>ND</v>
      </c>
      <c r="BJ81" s="1" t="str">
        <f t="shared" si="387"/>
        <v>ND</v>
      </c>
      <c r="BK81" s="1" t="str">
        <f t="shared" si="388"/>
        <v>ND</v>
      </c>
      <c r="BL81" s="1" t="str">
        <f t="shared" si="389"/>
        <v>ND</v>
      </c>
      <c r="BM81" s="1" t="str">
        <f t="shared" si="390"/>
        <v>ND</v>
      </c>
      <c r="BN81" s="1" t="str">
        <f t="shared" si="391"/>
        <v>ND</v>
      </c>
      <c r="BO81" s="1" t="str">
        <f t="shared" si="392"/>
        <v>ND</v>
      </c>
      <c r="BP81" s="1" t="str">
        <f t="shared" si="393"/>
        <v>ND</v>
      </c>
      <c r="BQ81" s="1" t="str">
        <f t="shared" si="394"/>
        <v>ND</v>
      </c>
      <c r="BR81" s="1" t="str">
        <f t="shared" si="395"/>
        <v>ND</v>
      </c>
      <c r="BS81" s="1" t="str">
        <f t="shared" si="396"/>
        <v>ND</v>
      </c>
      <c r="BT81" s="1" t="str">
        <f t="shared" si="397"/>
        <v>ND</v>
      </c>
      <c r="BU81" s="1" t="str">
        <f t="shared" si="398"/>
        <v>ND</v>
      </c>
      <c r="BV81" s="1" t="str">
        <f t="shared" si="399"/>
        <v>ND</v>
      </c>
      <c r="BW81" s="1" t="str">
        <f t="shared" si="400"/>
        <v>ND</v>
      </c>
      <c r="BX81" s="1" t="str">
        <f t="shared" si="401"/>
        <v>ND</v>
      </c>
      <c r="BY81" s="1" t="str">
        <f t="shared" si="402"/>
        <v>ND</v>
      </c>
      <c r="BZ81" s="1" t="str">
        <f t="shared" si="403"/>
        <v>ND</v>
      </c>
      <c r="CA81" s="1" t="str">
        <f t="shared" ref="CA81:CK90" si="515">IFERROR(IF(CA$9="ND","ND",VLOOKUP($C81,FULLC,CA$9,0)),"ND")</f>
        <v>ND</v>
      </c>
      <c r="CB81" s="1" t="str">
        <f t="shared" si="515"/>
        <v>ND</v>
      </c>
      <c r="CC81" s="1" t="str">
        <f t="shared" si="515"/>
        <v>ND</v>
      </c>
      <c r="CD81" s="1" t="str">
        <f t="shared" si="515"/>
        <v>ND</v>
      </c>
      <c r="CE81" s="1" t="str">
        <f t="shared" si="515"/>
        <v>ND</v>
      </c>
      <c r="CF81" s="1" t="str">
        <f t="shared" si="515"/>
        <v>ND</v>
      </c>
      <c r="CG81" s="1" t="str">
        <f t="shared" si="515"/>
        <v>ND</v>
      </c>
      <c r="CH81" s="1" t="str">
        <f t="shared" si="515"/>
        <v>ND</v>
      </c>
      <c r="CI81" s="1" t="str">
        <f t="shared" si="515"/>
        <v>ND</v>
      </c>
      <c r="CJ81" s="1" t="str">
        <f t="shared" si="515"/>
        <v>ND</v>
      </c>
      <c r="CK81" s="1" t="str">
        <f t="shared" si="515"/>
        <v>ND</v>
      </c>
      <c r="CL81" s="1" t="str">
        <f t="shared" ref="CL81:CV90" si="516">IFERROR(IF(CL$9="ND","ND",VLOOKUP($C81,LINA,CL$9,0)),"ND")</f>
        <v>ND</v>
      </c>
      <c r="CM81" s="1" t="str">
        <f t="shared" si="516"/>
        <v>ND</v>
      </c>
      <c r="CN81" s="1" t="str">
        <f t="shared" si="516"/>
        <v>ND</v>
      </c>
      <c r="CO81" s="1" t="str">
        <f t="shared" si="516"/>
        <v>ND</v>
      </c>
      <c r="CP81" s="1" t="str">
        <f t="shared" si="516"/>
        <v>ND</v>
      </c>
      <c r="CQ81" s="1" t="str">
        <f t="shared" si="516"/>
        <v>ND</v>
      </c>
      <c r="CR81" s="1" t="str">
        <f t="shared" si="516"/>
        <v>ND</v>
      </c>
      <c r="CS81" s="1" t="str">
        <f t="shared" si="516"/>
        <v>ND</v>
      </c>
      <c r="CT81" s="1" t="str">
        <f t="shared" si="516"/>
        <v>ND</v>
      </c>
      <c r="CU81" s="1" t="str">
        <f t="shared" si="516"/>
        <v>ND</v>
      </c>
      <c r="CV81" s="1" t="str">
        <f t="shared" si="516"/>
        <v>ND</v>
      </c>
      <c r="CW81" s="1" t="str">
        <f t="shared" si="404"/>
        <v>ND</v>
      </c>
      <c r="CX81" s="1" t="str">
        <f t="shared" si="405"/>
        <v>ND</v>
      </c>
      <c r="CY81" s="1" t="str">
        <f t="shared" si="406"/>
        <v>ND</v>
      </c>
      <c r="CZ81" s="1" t="str">
        <f t="shared" si="407"/>
        <v>ND</v>
      </c>
      <c r="DA81" s="1" t="str">
        <f t="shared" si="408"/>
        <v>ND</v>
      </c>
      <c r="DB81" s="1" t="str">
        <f t="shared" si="409"/>
        <v>ND</v>
      </c>
      <c r="DC81" s="1" t="str">
        <f t="shared" si="410"/>
        <v>ND</v>
      </c>
      <c r="DD81" s="1" t="str">
        <f t="shared" si="411"/>
        <v>ND</v>
      </c>
      <c r="DE81" s="1" t="str">
        <f t="shared" si="412"/>
        <v>ND</v>
      </c>
      <c r="DF81" s="1" t="str">
        <f t="shared" si="413"/>
        <v>ND</v>
      </c>
      <c r="DG81" s="1" t="str">
        <f t="shared" si="414"/>
        <v>ND</v>
      </c>
      <c r="DH81" s="1" t="str">
        <f t="shared" si="415"/>
        <v>ND</v>
      </c>
      <c r="DI81" s="1" t="str">
        <f t="shared" si="416"/>
        <v>ND</v>
      </c>
      <c r="DJ81" s="1" t="str">
        <f t="shared" si="417"/>
        <v>ND</v>
      </c>
      <c r="DK81" s="1" t="str">
        <f t="shared" si="418"/>
        <v>ND</v>
      </c>
      <c r="DL81" s="1" t="str">
        <f t="shared" si="419"/>
        <v>ND</v>
      </c>
      <c r="DM81" s="1" t="str">
        <f t="shared" si="420"/>
        <v>ND</v>
      </c>
      <c r="DN81" s="1" t="str">
        <f t="shared" si="421"/>
        <v>ND</v>
      </c>
      <c r="DO81" s="1" t="str">
        <f t="shared" si="422"/>
        <v>ND</v>
      </c>
      <c r="DP81" s="1" t="str">
        <f t="shared" si="423"/>
        <v>ND</v>
      </c>
      <c r="DQ81" s="1" t="str">
        <f t="shared" si="424"/>
        <v>ND</v>
      </c>
      <c r="DR81" s="1" t="str">
        <f t="shared" si="425"/>
        <v>ND</v>
      </c>
      <c r="DS81" s="1" t="str">
        <f t="shared" si="426"/>
        <v>ND</v>
      </c>
      <c r="DT81" s="1" t="str">
        <f t="shared" si="427"/>
        <v>ND</v>
      </c>
      <c r="DU81" s="1" t="str">
        <f t="shared" si="428"/>
        <v>ND</v>
      </c>
      <c r="DV81" s="1" t="str">
        <f t="shared" si="429"/>
        <v>ND</v>
      </c>
      <c r="DW81" s="1" t="str">
        <f t="shared" si="430"/>
        <v>ND</v>
      </c>
      <c r="DX81" s="1" t="str">
        <f t="shared" si="431"/>
        <v>ND</v>
      </c>
      <c r="DY81" s="1" t="str">
        <f t="shared" si="432"/>
        <v>ND</v>
      </c>
      <c r="DZ81" s="1" t="str">
        <f t="shared" si="433"/>
        <v>ND</v>
      </c>
      <c r="EA81" s="1" t="str">
        <f t="shared" si="434"/>
        <v>ND</v>
      </c>
      <c r="EB81" s="1" t="str">
        <f t="shared" si="435"/>
        <v>ND</v>
      </c>
      <c r="EC81" s="1" t="str">
        <f t="shared" si="436"/>
        <v>ND</v>
      </c>
      <c r="ED81" s="1" t="str">
        <f t="shared" si="437"/>
        <v>ND</v>
      </c>
      <c r="EE81" s="1" t="str">
        <f t="shared" si="438"/>
        <v>ND</v>
      </c>
      <c r="EF81" s="1" t="str">
        <f t="shared" si="439"/>
        <v>ND</v>
      </c>
      <c r="EG81" s="1" t="str">
        <f t="shared" si="440"/>
        <v>ND</v>
      </c>
      <c r="EH81" s="1" t="str">
        <f t="shared" si="441"/>
        <v>ND</v>
      </c>
      <c r="EI81" s="1" t="str">
        <f t="shared" si="442"/>
        <v>ND</v>
      </c>
      <c r="EJ81" s="1" t="str">
        <f t="shared" si="443"/>
        <v>ND</v>
      </c>
      <c r="EK81" s="1" t="str">
        <f t="shared" si="444"/>
        <v>ND</v>
      </c>
      <c r="EL81" s="1" t="str">
        <f t="shared" si="445"/>
        <v>ND</v>
      </c>
      <c r="EM81" s="1" t="str">
        <f t="shared" si="446"/>
        <v>ND</v>
      </c>
      <c r="EN81" s="1" t="str">
        <f t="shared" si="447"/>
        <v>ND</v>
      </c>
      <c r="EO81" s="1" t="str">
        <f t="shared" ref="EO81:EY90" si="517">IFERROR(IF(EO$9="ND","ND",VLOOKUP($C81,PAR,EO$9,0)),"ND")</f>
        <v>ND</v>
      </c>
      <c r="EP81" s="1" t="str">
        <f t="shared" si="517"/>
        <v>ND</v>
      </c>
      <c r="EQ81" s="1" t="str">
        <f t="shared" si="517"/>
        <v>ND</v>
      </c>
      <c r="ER81" s="1" t="str">
        <f t="shared" si="517"/>
        <v>ND</v>
      </c>
      <c r="ES81" s="1" t="str">
        <f t="shared" si="517"/>
        <v>ND</v>
      </c>
      <c r="ET81" s="1" t="str">
        <f t="shared" si="517"/>
        <v>ND</v>
      </c>
      <c r="EU81" s="1" t="str">
        <f t="shared" si="517"/>
        <v>ND</v>
      </c>
      <c r="EV81" s="1" t="str">
        <f t="shared" si="517"/>
        <v>ND</v>
      </c>
      <c r="EW81" s="1" t="str">
        <f t="shared" si="517"/>
        <v>ND</v>
      </c>
      <c r="EX81" s="1" t="str">
        <f t="shared" si="517"/>
        <v>ND</v>
      </c>
      <c r="EY81" s="1" t="str">
        <f t="shared" si="517"/>
        <v>ND</v>
      </c>
      <c r="EZ81" s="1" t="str">
        <f t="shared" ref="EZ81:FJ90" si="518">IFERROR(IF(EZ$9="ND","ND",VLOOKUP($C81,PE,EZ$9,0)),"ND")</f>
        <v>ND</v>
      </c>
      <c r="FA81" s="1" t="str">
        <f t="shared" si="518"/>
        <v>ND</v>
      </c>
      <c r="FB81" s="1" t="str">
        <f t="shared" si="518"/>
        <v>ND</v>
      </c>
      <c r="FC81" s="1" t="str">
        <f t="shared" si="518"/>
        <v>ND</v>
      </c>
      <c r="FD81" s="1" t="str">
        <f t="shared" si="518"/>
        <v>ND</v>
      </c>
      <c r="FE81" s="1" t="str">
        <f t="shared" si="518"/>
        <v>ND</v>
      </c>
      <c r="FF81" s="1" t="str">
        <f t="shared" si="518"/>
        <v>ND</v>
      </c>
      <c r="FG81" s="1" t="str">
        <f t="shared" si="518"/>
        <v>ND</v>
      </c>
      <c r="FH81" s="1" t="str">
        <f t="shared" si="518"/>
        <v>ND</v>
      </c>
      <c r="FI81" s="1" t="str">
        <f t="shared" si="518"/>
        <v>ND</v>
      </c>
      <c r="FJ81" s="1" t="str">
        <f t="shared" si="518"/>
        <v>ND</v>
      </c>
      <c r="FK81" s="1" t="str">
        <f t="shared" ref="FK81:FU90" si="519">IFERROR(IF(FK$9="ND","ND",VLOOKUP($C81,RE,FK$9,0)),"ND")</f>
        <v>ND</v>
      </c>
      <c r="FL81" s="1" t="str">
        <f t="shared" si="519"/>
        <v>ND</v>
      </c>
      <c r="FM81" s="1" t="str">
        <f t="shared" si="519"/>
        <v>ND</v>
      </c>
      <c r="FN81" s="1" t="str">
        <f t="shared" si="519"/>
        <v>ND</v>
      </c>
      <c r="FO81" s="1" t="str">
        <f t="shared" si="519"/>
        <v>ND</v>
      </c>
      <c r="FP81" s="1" t="str">
        <f t="shared" si="519"/>
        <v>ND</v>
      </c>
      <c r="FQ81" s="1" t="str">
        <f t="shared" si="519"/>
        <v>ND</v>
      </c>
      <c r="FR81" s="1" t="str">
        <f t="shared" si="519"/>
        <v>ND</v>
      </c>
      <c r="FS81" s="1" t="str">
        <f t="shared" si="519"/>
        <v>ND</v>
      </c>
      <c r="FT81" s="1" t="str">
        <f t="shared" si="519"/>
        <v>ND</v>
      </c>
      <c r="FU81" s="1" t="str">
        <f t="shared" si="519"/>
        <v>ND</v>
      </c>
      <c r="FV81" s="1" t="str">
        <f t="shared" si="448"/>
        <v>ND</v>
      </c>
      <c r="FW81" s="1" t="str">
        <f t="shared" si="449"/>
        <v>ND</v>
      </c>
      <c r="FX81" s="1" t="str">
        <f t="shared" si="450"/>
        <v>ND</v>
      </c>
      <c r="FY81" s="1" t="str">
        <f t="shared" si="451"/>
        <v>ND</v>
      </c>
      <c r="FZ81" s="1" t="str">
        <f t="shared" si="452"/>
        <v>ND</v>
      </c>
      <c r="GA81" s="1" t="str">
        <f t="shared" si="453"/>
        <v>ND</v>
      </c>
      <c r="GB81" s="1" t="str">
        <f t="shared" si="454"/>
        <v>ND</v>
      </c>
      <c r="GC81" s="1" t="str">
        <f t="shared" si="455"/>
        <v>ND</v>
      </c>
      <c r="GD81" s="1" t="str">
        <f t="shared" si="456"/>
        <v>ND</v>
      </c>
      <c r="GE81" s="1" t="str">
        <f t="shared" si="457"/>
        <v>ND</v>
      </c>
      <c r="GF81" s="1" t="str">
        <f t="shared" si="458"/>
        <v>ND</v>
      </c>
      <c r="GG81" s="1" t="str">
        <f t="shared" si="459"/>
        <v>ND</v>
      </c>
      <c r="GH81" s="1" t="str">
        <f t="shared" si="460"/>
        <v>ND</v>
      </c>
      <c r="GI81" s="1" t="str">
        <f t="shared" si="461"/>
        <v>ND</v>
      </c>
      <c r="GJ81" s="1" t="str">
        <f t="shared" si="462"/>
        <v>ND</v>
      </c>
      <c r="GK81" s="1" t="str">
        <f t="shared" si="463"/>
        <v>ND</v>
      </c>
      <c r="GL81" s="1" t="str">
        <f t="shared" si="464"/>
        <v>ND</v>
      </c>
      <c r="GM81" s="1" t="str">
        <f t="shared" si="465"/>
        <v>ND</v>
      </c>
      <c r="GN81" s="1" t="str">
        <f t="shared" si="466"/>
        <v>ND</v>
      </c>
      <c r="GO81" s="1" t="str">
        <f t="shared" si="467"/>
        <v>ND</v>
      </c>
      <c r="GP81" s="1" t="str">
        <f t="shared" si="468"/>
        <v>ND</v>
      </c>
      <c r="GQ81" s="1" t="str">
        <f t="shared" si="469"/>
        <v>ND</v>
      </c>
      <c r="GR81" s="1" t="str">
        <f t="shared" si="470"/>
        <v>ND</v>
      </c>
      <c r="GS81" s="1" t="str">
        <f t="shared" si="471"/>
        <v>ND</v>
      </c>
      <c r="GT81" s="1" t="str">
        <f t="shared" si="472"/>
        <v>ND</v>
      </c>
      <c r="GU81" s="1" t="str">
        <f t="shared" si="473"/>
        <v>ND</v>
      </c>
      <c r="GV81" s="1" t="str">
        <f t="shared" si="474"/>
        <v>ND</v>
      </c>
      <c r="GW81" s="1" t="str">
        <f t="shared" si="475"/>
        <v>ND</v>
      </c>
      <c r="GX81" s="1" t="str">
        <f t="shared" si="476"/>
        <v>ND</v>
      </c>
      <c r="GY81" s="1" t="str">
        <f t="shared" si="477"/>
        <v>ND</v>
      </c>
      <c r="GZ81" s="1" t="str">
        <f t="shared" si="478"/>
        <v>ND</v>
      </c>
      <c r="HA81" s="1" t="str">
        <f t="shared" si="479"/>
        <v>ND</v>
      </c>
      <c r="HB81" s="1" t="str">
        <f t="shared" si="480"/>
        <v>ND</v>
      </c>
      <c r="HC81" s="1" t="str">
        <f t="shared" si="481"/>
        <v>ND</v>
      </c>
      <c r="HD81" s="1" t="str">
        <f t="shared" si="482"/>
        <v>ND</v>
      </c>
      <c r="HE81" s="1" t="str">
        <f t="shared" si="483"/>
        <v>ND</v>
      </c>
      <c r="HF81" s="1" t="str">
        <f t="shared" si="484"/>
        <v>ND</v>
      </c>
      <c r="HG81" s="1" t="str">
        <f t="shared" si="485"/>
        <v>ND</v>
      </c>
      <c r="HH81" s="1" t="str">
        <f t="shared" si="486"/>
        <v>ND</v>
      </c>
      <c r="HI81" s="1" t="str">
        <f t="shared" si="487"/>
        <v>ND</v>
      </c>
      <c r="HJ81" s="1" t="str">
        <f t="shared" si="488"/>
        <v>ND</v>
      </c>
      <c r="HK81" s="1" t="str">
        <f t="shared" si="489"/>
        <v>ND</v>
      </c>
      <c r="HL81" s="1" t="str">
        <f t="shared" si="490"/>
        <v>ND</v>
      </c>
      <c r="HM81" s="1" t="str">
        <f t="shared" si="491"/>
        <v>ND</v>
      </c>
      <c r="HN81" s="1" t="str">
        <f t="shared" si="492"/>
        <v>ND</v>
      </c>
      <c r="HO81" s="1" t="str">
        <f t="shared" si="493"/>
        <v>ND</v>
      </c>
      <c r="HP81" s="1" t="str">
        <f t="shared" si="494"/>
        <v>ND</v>
      </c>
      <c r="HQ81" s="1" t="str">
        <f t="shared" si="495"/>
        <v>ND</v>
      </c>
      <c r="HR81" s="1" t="str">
        <f t="shared" si="496"/>
        <v>ND</v>
      </c>
      <c r="HS81" s="1" t="str">
        <f t="shared" si="497"/>
        <v>ND</v>
      </c>
      <c r="HT81" s="1" t="str">
        <f t="shared" si="498"/>
        <v>ND</v>
      </c>
      <c r="HU81" s="1" t="str">
        <f t="shared" si="499"/>
        <v>ND</v>
      </c>
      <c r="HV81" s="1" t="str">
        <f t="shared" si="500"/>
        <v>ND</v>
      </c>
      <c r="HW81" s="1" t="str">
        <f t="shared" si="501"/>
        <v>ND</v>
      </c>
      <c r="HX81" s="1" t="str">
        <f t="shared" si="502"/>
        <v>ND</v>
      </c>
      <c r="HY81" s="1" t="str">
        <f t="shared" si="503"/>
        <v>ND</v>
      </c>
      <c r="HZ81" s="1" t="str">
        <f t="shared" si="504"/>
        <v>ND</v>
      </c>
      <c r="IA81" s="1" t="str">
        <f t="shared" si="505"/>
        <v>ND</v>
      </c>
      <c r="IB81" s="1" t="str">
        <f t="shared" si="506"/>
        <v>ND</v>
      </c>
      <c r="IC81" s="1" t="str">
        <f t="shared" si="507"/>
        <v>ND</v>
      </c>
      <c r="ID81" s="1" t="str">
        <f t="shared" si="508"/>
        <v>ND</v>
      </c>
      <c r="IE81" s="1" t="str">
        <f t="shared" si="509"/>
        <v>ND</v>
      </c>
      <c r="IF81" s="1" t="str">
        <f t="shared" si="510"/>
        <v>ND</v>
      </c>
      <c r="IG81" s="1" t="str">
        <f t="shared" si="511"/>
        <v>ND</v>
      </c>
      <c r="IH81" s="1" t="str">
        <f t="shared" si="512"/>
        <v>ND</v>
      </c>
      <c r="II81" s="1" t="str">
        <f t="shared" si="513"/>
        <v>ND</v>
      </c>
    </row>
    <row r="82" spans="3:243" x14ac:dyDescent="0.25">
      <c r="C82" t="s">
        <v>81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6.5</v>
      </c>
      <c r="G82" s="1">
        <f>IFERROR(VLOOKUP($C82,EQUIPOS[],UNIFICADO!G$9,0),"")</f>
        <v>48</v>
      </c>
      <c r="H82" s="1">
        <f>IFERROR(VLOOKUP($C82,EQUIPOS[],UNIFICADO!H$9,0),"")</f>
        <v>4</v>
      </c>
      <c r="I82" s="1">
        <f>IFERROR(VLOOKUP($C82,EQUIPOS[],UNIFICADO!I$9,0),"")</f>
        <v>13</v>
      </c>
      <c r="J82" s="1" t="str">
        <f>IFERROR(VLOOKUP($C82,EQUIPOS[],UNIFICADO!J$9,0),"")</f>
        <v>128GB</v>
      </c>
      <c r="K82" s="1">
        <f>IFERROR(VLOOKUP($C82,EQUIPOS[],UNIFICADO!K$9,0),"")</f>
        <v>256</v>
      </c>
      <c r="L82" s="1">
        <f>IFERROR(VLOOKUP($C82,EQUIPOS[],UNIFICADO!L$9,0),"")</f>
        <v>8</v>
      </c>
      <c r="M82" s="1" t="str">
        <f>IFERROR(VLOOKUP($C82,EQUIPOS[],UNIFICADO!M$9,0),"")</f>
        <v>2.4/2</v>
      </c>
      <c r="N82" s="1">
        <f>IFERROR(VLOOKUP($C82,EQUIPOS[],UNIFICADO!N$9,0),"")</f>
        <v>6</v>
      </c>
      <c r="O82" s="1">
        <f>IFERROR(VLOOKUP($C82,EQUIPOS[],UNIFICADO!O$9,0),"")</f>
        <v>186</v>
      </c>
      <c r="P82" s="1">
        <f>IFERROR(VLOOKUP($C82,EQUIPOS[],UNIFICADO!P$9,0),"")</f>
        <v>16.899999999999999</v>
      </c>
      <c r="Q82" s="1">
        <f>IFERROR(VLOOKUP($C82,EQUIPOS[],UNIFICADO!Q$9,0),"")</f>
        <v>7.5</v>
      </c>
      <c r="R82" s="1">
        <f>IFERROR(VLOOKUP($C82,EQUIPOS[],UNIFICADO!R$9,0),"")</f>
        <v>0.81</v>
      </c>
      <c r="S82" s="1">
        <f>IFERROR(VLOOKUP($C82,EQUIPOS[],UNIFICADO!S$9,0),"")</f>
        <v>5000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8"/>
        <v>ND</v>
      </c>
      <c r="W82" s="1" t="str">
        <f t="shared" si="359"/>
        <v>ND</v>
      </c>
      <c r="X82" s="1" t="str">
        <f t="shared" si="351"/>
        <v>ND</v>
      </c>
      <c r="Y82" s="1" t="str">
        <f t="shared" si="351"/>
        <v>ND</v>
      </c>
      <c r="Z82" s="1" t="str">
        <f t="shared" si="514"/>
        <v>ND</v>
      </c>
      <c r="AA82" s="1" t="str">
        <f t="shared" si="514"/>
        <v>ND</v>
      </c>
      <c r="AB82" s="1" t="str">
        <f t="shared" si="514"/>
        <v>ND</v>
      </c>
      <c r="AC82" s="1" t="str">
        <f t="shared" si="514"/>
        <v>ND</v>
      </c>
      <c r="AD82" s="1" t="str">
        <f t="shared" si="514"/>
        <v>ND</v>
      </c>
      <c r="AE82" s="1" t="str">
        <f t="shared" si="514"/>
        <v>ND</v>
      </c>
      <c r="AF82" s="1" t="str">
        <f t="shared" si="514"/>
        <v>ND</v>
      </c>
      <c r="AG82" s="1" t="str">
        <f t="shared" si="514"/>
        <v>ND</v>
      </c>
      <c r="AH82" s="1" t="str">
        <f t="shared" si="514"/>
        <v>ND</v>
      </c>
      <c r="AI82" s="1" t="str">
        <f t="shared" si="360"/>
        <v>ND</v>
      </c>
      <c r="AJ82" s="1" t="str">
        <f t="shared" si="361"/>
        <v>ND</v>
      </c>
      <c r="AK82" s="1" t="str">
        <f t="shared" si="362"/>
        <v>ND</v>
      </c>
      <c r="AL82" s="1" t="str">
        <f t="shared" si="363"/>
        <v>ND</v>
      </c>
      <c r="AM82" s="1" t="str">
        <f t="shared" si="364"/>
        <v>ND</v>
      </c>
      <c r="AN82" s="1" t="str">
        <f t="shared" si="365"/>
        <v>ND</v>
      </c>
      <c r="AO82" s="1" t="str">
        <f t="shared" si="366"/>
        <v>ND</v>
      </c>
      <c r="AP82" s="1" t="str">
        <f t="shared" si="367"/>
        <v>ND</v>
      </c>
      <c r="AQ82" s="1" t="str">
        <f t="shared" si="368"/>
        <v>ND</v>
      </c>
      <c r="AR82" s="1" t="str">
        <f t="shared" si="369"/>
        <v>ND</v>
      </c>
      <c r="AS82" s="1" t="str">
        <f t="shared" si="370"/>
        <v>ND</v>
      </c>
      <c r="AT82" s="1" t="str">
        <f t="shared" si="371"/>
        <v>ND</v>
      </c>
      <c r="AU82" s="1" t="str">
        <f t="shared" si="372"/>
        <v>ND</v>
      </c>
      <c r="AV82" s="1" t="str">
        <f t="shared" si="373"/>
        <v>ND</v>
      </c>
      <c r="AW82" s="1" t="str">
        <f t="shared" si="374"/>
        <v>ND</v>
      </c>
      <c r="AX82" s="1" t="str">
        <f t="shared" si="375"/>
        <v>ND</v>
      </c>
      <c r="AY82" s="1" t="str">
        <f t="shared" si="376"/>
        <v>ND</v>
      </c>
      <c r="AZ82" s="1" t="str">
        <f t="shared" si="377"/>
        <v>ND</v>
      </c>
      <c r="BA82" s="1" t="str">
        <f t="shared" si="378"/>
        <v>ND</v>
      </c>
      <c r="BB82" s="1" t="str">
        <f t="shared" si="379"/>
        <v>ND</v>
      </c>
      <c r="BC82" s="1" t="str">
        <f t="shared" si="380"/>
        <v>ND</v>
      </c>
      <c r="BD82" s="1" t="str">
        <f t="shared" si="381"/>
        <v>ND</v>
      </c>
      <c r="BE82" s="1" t="str">
        <f t="shared" si="382"/>
        <v>ND</v>
      </c>
      <c r="BF82" s="1" t="str">
        <f t="shared" si="383"/>
        <v>ND</v>
      </c>
      <c r="BG82" s="1" t="str">
        <f t="shared" si="384"/>
        <v>ND</v>
      </c>
      <c r="BH82" s="1" t="str">
        <f t="shared" si="385"/>
        <v>ND</v>
      </c>
      <c r="BI82" s="1" t="str">
        <f t="shared" si="386"/>
        <v>ND</v>
      </c>
      <c r="BJ82" s="1" t="str">
        <f t="shared" si="387"/>
        <v>ND</v>
      </c>
      <c r="BK82" s="1" t="str">
        <f t="shared" si="388"/>
        <v>ND</v>
      </c>
      <c r="BL82" s="1" t="str">
        <f t="shared" si="389"/>
        <v>ND</v>
      </c>
      <c r="BM82" s="1" t="str">
        <f t="shared" si="390"/>
        <v>ND</v>
      </c>
      <c r="BN82" s="1" t="str">
        <f t="shared" si="391"/>
        <v>ND</v>
      </c>
      <c r="BO82" s="1" t="str">
        <f t="shared" si="392"/>
        <v>ND</v>
      </c>
      <c r="BP82" s="1" t="str">
        <f t="shared" si="393"/>
        <v>ND</v>
      </c>
      <c r="BQ82" s="1" t="str">
        <f t="shared" si="394"/>
        <v>ND</v>
      </c>
      <c r="BR82" s="1" t="str">
        <f t="shared" si="395"/>
        <v>ND</v>
      </c>
      <c r="BS82" s="1" t="str">
        <f t="shared" si="396"/>
        <v>ND</v>
      </c>
      <c r="BT82" s="1" t="str">
        <f t="shared" si="397"/>
        <v>ND</v>
      </c>
      <c r="BU82" s="1" t="str">
        <f t="shared" si="398"/>
        <v>ND</v>
      </c>
      <c r="BV82" s="1" t="str">
        <f t="shared" si="399"/>
        <v>ND</v>
      </c>
      <c r="BW82" s="1" t="str">
        <f t="shared" si="400"/>
        <v>ND</v>
      </c>
      <c r="BX82" s="1" t="str">
        <f t="shared" si="401"/>
        <v>ND</v>
      </c>
      <c r="BY82" s="1" t="str">
        <f t="shared" si="402"/>
        <v>ND</v>
      </c>
      <c r="BZ82" s="1" t="str">
        <f t="shared" si="403"/>
        <v>ND</v>
      </c>
      <c r="CA82" s="1" t="str">
        <f t="shared" si="515"/>
        <v>ND</v>
      </c>
      <c r="CB82" s="1" t="str">
        <f t="shared" si="515"/>
        <v>ND</v>
      </c>
      <c r="CC82" s="1" t="str">
        <f t="shared" si="515"/>
        <v>ND</v>
      </c>
      <c r="CD82" s="1" t="str">
        <f t="shared" si="515"/>
        <v>ND</v>
      </c>
      <c r="CE82" s="1" t="str">
        <f t="shared" si="515"/>
        <v>ND</v>
      </c>
      <c r="CF82" s="1" t="str">
        <f t="shared" si="515"/>
        <v>ND</v>
      </c>
      <c r="CG82" s="1" t="str">
        <f t="shared" si="515"/>
        <v>ND</v>
      </c>
      <c r="CH82" s="1" t="str">
        <f t="shared" si="515"/>
        <v>ND</v>
      </c>
      <c r="CI82" s="1" t="str">
        <f t="shared" si="515"/>
        <v>ND</v>
      </c>
      <c r="CJ82" s="1" t="str">
        <f t="shared" si="515"/>
        <v>ND</v>
      </c>
      <c r="CK82" s="1" t="str">
        <f t="shared" si="515"/>
        <v>ND</v>
      </c>
      <c r="CL82" s="1" t="str">
        <f t="shared" si="516"/>
        <v>ND</v>
      </c>
      <c r="CM82" s="1" t="str">
        <f t="shared" si="516"/>
        <v>ND</v>
      </c>
      <c r="CN82" s="1" t="str">
        <f t="shared" si="516"/>
        <v>ND</v>
      </c>
      <c r="CO82" s="1" t="str">
        <f t="shared" si="516"/>
        <v>ND</v>
      </c>
      <c r="CP82" s="1" t="str">
        <f t="shared" si="516"/>
        <v>ND</v>
      </c>
      <c r="CQ82" s="1" t="str">
        <f t="shared" si="516"/>
        <v>ND</v>
      </c>
      <c r="CR82" s="1" t="str">
        <f t="shared" si="516"/>
        <v>ND</v>
      </c>
      <c r="CS82" s="1" t="str">
        <f t="shared" si="516"/>
        <v>ND</v>
      </c>
      <c r="CT82" s="1" t="str">
        <f t="shared" si="516"/>
        <v>ND</v>
      </c>
      <c r="CU82" s="1" t="str">
        <f t="shared" si="516"/>
        <v>ND</v>
      </c>
      <c r="CV82" s="1" t="str">
        <f t="shared" si="516"/>
        <v>ND</v>
      </c>
      <c r="CW82" s="1" t="str">
        <f t="shared" si="404"/>
        <v>ND</v>
      </c>
      <c r="CX82" s="1" t="str">
        <f t="shared" si="405"/>
        <v>ND</v>
      </c>
      <c r="CY82" s="1" t="str">
        <f t="shared" si="406"/>
        <v>ND</v>
      </c>
      <c r="CZ82" s="1" t="str">
        <f t="shared" si="407"/>
        <v>ND</v>
      </c>
      <c r="DA82" s="1" t="str">
        <f t="shared" si="408"/>
        <v>ND</v>
      </c>
      <c r="DB82" s="1" t="str">
        <f t="shared" si="409"/>
        <v>ND</v>
      </c>
      <c r="DC82" s="1" t="str">
        <f t="shared" si="410"/>
        <v>ND</v>
      </c>
      <c r="DD82" s="1" t="str">
        <f t="shared" si="411"/>
        <v>ND</v>
      </c>
      <c r="DE82" s="1" t="str">
        <f t="shared" si="412"/>
        <v>ND</v>
      </c>
      <c r="DF82" s="1" t="str">
        <f t="shared" si="413"/>
        <v>ND</v>
      </c>
      <c r="DG82" s="1" t="str">
        <f t="shared" si="414"/>
        <v>ND</v>
      </c>
      <c r="DH82" s="1" t="str">
        <f t="shared" si="415"/>
        <v>ND</v>
      </c>
      <c r="DI82" s="1" t="str">
        <f t="shared" si="416"/>
        <v>ND</v>
      </c>
      <c r="DJ82" s="1" t="str">
        <f t="shared" si="417"/>
        <v>ND</v>
      </c>
      <c r="DK82" s="1" t="str">
        <f t="shared" si="418"/>
        <v>ND</v>
      </c>
      <c r="DL82" s="1" t="str">
        <f t="shared" si="419"/>
        <v>ND</v>
      </c>
      <c r="DM82" s="1" t="str">
        <f t="shared" si="420"/>
        <v>ND</v>
      </c>
      <c r="DN82" s="1" t="str">
        <f t="shared" si="421"/>
        <v>ND</v>
      </c>
      <c r="DO82" s="1" t="str">
        <f t="shared" si="422"/>
        <v>ND</v>
      </c>
      <c r="DP82" s="1" t="str">
        <f t="shared" si="423"/>
        <v>ND</v>
      </c>
      <c r="DQ82" s="1" t="str">
        <f t="shared" si="424"/>
        <v>ND</v>
      </c>
      <c r="DR82" s="1" t="str">
        <f t="shared" si="425"/>
        <v>ND</v>
      </c>
      <c r="DS82" s="1" t="str">
        <f t="shared" si="426"/>
        <v>ND</v>
      </c>
      <c r="DT82" s="1" t="str">
        <f t="shared" si="427"/>
        <v>ND</v>
      </c>
      <c r="DU82" s="1" t="str">
        <f t="shared" si="428"/>
        <v>ND</v>
      </c>
      <c r="DV82" s="1" t="str">
        <f t="shared" si="429"/>
        <v>ND</v>
      </c>
      <c r="DW82" s="1" t="str">
        <f t="shared" si="430"/>
        <v>ND</v>
      </c>
      <c r="DX82" s="1" t="str">
        <f t="shared" si="431"/>
        <v>ND</v>
      </c>
      <c r="DY82" s="1" t="str">
        <f t="shared" si="432"/>
        <v>ND</v>
      </c>
      <c r="DZ82" s="1" t="str">
        <f t="shared" si="433"/>
        <v>ND</v>
      </c>
      <c r="EA82" s="1" t="str">
        <f t="shared" si="434"/>
        <v>ND</v>
      </c>
      <c r="EB82" s="1" t="str">
        <f t="shared" si="435"/>
        <v>ND</v>
      </c>
      <c r="EC82" s="1" t="str">
        <f t="shared" si="436"/>
        <v>ND</v>
      </c>
      <c r="ED82" s="1" t="str">
        <f t="shared" si="437"/>
        <v>ND</v>
      </c>
      <c r="EE82" s="1" t="str">
        <f t="shared" si="438"/>
        <v>ND</v>
      </c>
      <c r="EF82" s="1" t="str">
        <f t="shared" si="439"/>
        <v>ND</v>
      </c>
      <c r="EG82" s="1" t="str">
        <f t="shared" si="440"/>
        <v>ND</v>
      </c>
      <c r="EH82" s="1" t="str">
        <f t="shared" si="441"/>
        <v>ND</v>
      </c>
      <c r="EI82" s="1" t="str">
        <f t="shared" si="442"/>
        <v>ND</v>
      </c>
      <c r="EJ82" s="1" t="str">
        <f t="shared" si="443"/>
        <v>ND</v>
      </c>
      <c r="EK82" s="1" t="str">
        <f t="shared" si="444"/>
        <v>ND</v>
      </c>
      <c r="EL82" s="1" t="str">
        <f t="shared" si="445"/>
        <v>ND</v>
      </c>
      <c r="EM82" s="1" t="str">
        <f t="shared" si="446"/>
        <v>ND</v>
      </c>
      <c r="EN82" s="1" t="str">
        <f t="shared" si="447"/>
        <v>ND</v>
      </c>
      <c r="EO82" s="1" t="str">
        <f t="shared" si="517"/>
        <v>ND</v>
      </c>
      <c r="EP82" s="1" t="str">
        <f t="shared" si="517"/>
        <v>ND</v>
      </c>
      <c r="EQ82" s="1" t="str">
        <f t="shared" si="517"/>
        <v>ND</v>
      </c>
      <c r="ER82" s="1" t="str">
        <f t="shared" si="517"/>
        <v>ND</v>
      </c>
      <c r="ES82" s="1" t="str">
        <f t="shared" si="517"/>
        <v>ND</v>
      </c>
      <c r="ET82" s="1" t="str">
        <f t="shared" si="517"/>
        <v>ND</v>
      </c>
      <c r="EU82" s="1" t="str">
        <f t="shared" si="517"/>
        <v>ND</v>
      </c>
      <c r="EV82" s="1" t="str">
        <f t="shared" si="517"/>
        <v>ND</v>
      </c>
      <c r="EW82" s="1" t="str">
        <f t="shared" si="517"/>
        <v>ND</v>
      </c>
      <c r="EX82" s="1" t="str">
        <f t="shared" si="517"/>
        <v>ND</v>
      </c>
      <c r="EY82" s="1" t="str">
        <f t="shared" si="517"/>
        <v>ND</v>
      </c>
      <c r="EZ82" s="1" t="str">
        <f t="shared" si="518"/>
        <v>ND</v>
      </c>
      <c r="FA82" s="1" t="str">
        <f t="shared" si="518"/>
        <v>ND</v>
      </c>
      <c r="FB82" s="1" t="str">
        <f t="shared" si="518"/>
        <v>ND</v>
      </c>
      <c r="FC82" s="1" t="str">
        <f t="shared" si="518"/>
        <v>ND</v>
      </c>
      <c r="FD82" s="1" t="str">
        <f t="shared" si="518"/>
        <v>ND</v>
      </c>
      <c r="FE82" s="1" t="str">
        <f t="shared" si="518"/>
        <v>ND</v>
      </c>
      <c r="FF82" s="1" t="str">
        <f t="shared" si="518"/>
        <v>ND</v>
      </c>
      <c r="FG82" s="1" t="str">
        <f t="shared" si="518"/>
        <v>ND</v>
      </c>
      <c r="FH82" s="1" t="str">
        <f t="shared" si="518"/>
        <v>ND</v>
      </c>
      <c r="FI82" s="1" t="str">
        <f t="shared" si="518"/>
        <v>ND</v>
      </c>
      <c r="FJ82" s="1" t="str">
        <f t="shared" si="518"/>
        <v>ND</v>
      </c>
      <c r="FK82" s="1" t="str">
        <f t="shared" si="519"/>
        <v>ND</v>
      </c>
      <c r="FL82" s="1" t="str">
        <f t="shared" si="519"/>
        <v>ND</v>
      </c>
      <c r="FM82" s="1" t="str">
        <f t="shared" si="519"/>
        <v>ND</v>
      </c>
      <c r="FN82" s="1" t="str">
        <f t="shared" si="519"/>
        <v>ND</v>
      </c>
      <c r="FO82" s="1" t="str">
        <f t="shared" si="519"/>
        <v>ND</v>
      </c>
      <c r="FP82" s="1" t="str">
        <f t="shared" si="519"/>
        <v>ND</v>
      </c>
      <c r="FQ82" s="1" t="str">
        <f t="shared" si="519"/>
        <v>ND</v>
      </c>
      <c r="FR82" s="1" t="str">
        <f t="shared" si="519"/>
        <v>ND</v>
      </c>
      <c r="FS82" s="1" t="str">
        <f t="shared" si="519"/>
        <v>ND</v>
      </c>
      <c r="FT82" s="1" t="str">
        <f t="shared" si="519"/>
        <v>ND</v>
      </c>
      <c r="FU82" s="1" t="str">
        <f t="shared" si="519"/>
        <v>ND</v>
      </c>
      <c r="FV82" s="1" t="str">
        <f t="shared" si="448"/>
        <v>ND</v>
      </c>
      <c r="FW82" s="1" t="str">
        <f t="shared" si="449"/>
        <v>ND</v>
      </c>
      <c r="FX82" s="1" t="str">
        <f t="shared" si="450"/>
        <v>ND</v>
      </c>
      <c r="FY82" s="1" t="str">
        <f t="shared" si="451"/>
        <v>ND</v>
      </c>
      <c r="FZ82" s="1" t="str">
        <f t="shared" si="452"/>
        <v>ND</v>
      </c>
      <c r="GA82" s="1" t="str">
        <f t="shared" si="453"/>
        <v>ND</v>
      </c>
      <c r="GB82" s="1" t="str">
        <f t="shared" si="454"/>
        <v>ND</v>
      </c>
      <c r="GC82" s="1" t="str">
        <f t="shared" si="455"/>
        <v>ND</v>
      </c>
      <c r="GD82" s="1" t="str">
        <f t="shared" si="456"/>
        <v>ND</v>
      </c>
      <c r="GE82" s="1" t="str">
        <f t="shared" si="457"/>
        <v>ND</v>
      </c>
      <c r="GF82" s="1" t="str">
        <f t="shared" si="458"/>
        <v>ND</v>
      </c>
      <c r="GG82" s="1" t="str">
        <f t="shared" si="459"/>
        <v>ND</v>
      </c>
      <c r="GH82" s="1" t="str">
        <f t="shared" si="460"/>
        <v>ND</v>
      </c>
      <c r="GI82" s="1" t="str">
        <f t="shared" si="461"/>
        <v>ND</v>
      </c>
      <c r="GJ82" s="1" t="str">
        <f t="shared" si="462"/>
        <v>ND</v>
      </c>
      <c r="GK82" s="1" t="str">
        <f t="shared" si="463"/>
        <v>ND</v>
      </c>
      <c r="GL82" s="1" t="str">
        <f t="shared" si="464"/>
        <v>ND</v>
      </c>
      <c r="GM82" s="1" t="str">
        <f t="shared" si="465"/>
        <v>ND</v>
      </c>
      <c r="GN82" s="1" t="str">
        <f t="shared" si="466"/>
        <v>ND</v>
      </c>
      <c r="GO82" s="1" t="str">
        <f t="shared" si="467"/>
        <v>ND</v>
      </c>
      <c r="GP82" s="1" t="str">
        <f t="shared" si="468"/>
        <v>ND</v>
      </c>
      <c r="GQ82" s="1" t="str">
        <f t="shared" si="469"/>
        <v>ND</v>
      </c>
      <c r="GR82" s="1" t="str">
        <f t="shared" si="470"/>
        <v>ND</v>
      </c>
      <c r="GS82" s="1" t="str">
        <f t="shared" si="471"/>
        <v>ND</v>
      </c>
      <c r="GT82" s="1" t="str">
        <f t="shared" si="472"/>
        <v>ND</v>
      </c>
      <c r="GU82" s="1" t="str">
        <f t="shared" si="473"/>
        <v>ND</v>
      </c>
      <c r="GV82" s="1" t="str">
        <f t="shared" si="474"/>
        <v>ND</v>
      </c>
      <c r="GW82" s="1" t="str">
        <f t="shared" si="475"/>
        <v>ND</v>
      </c>
      <c r="GX82" s="1" t="str">
        <f t="shared" si="476"/>
        <v>ND</v>
      </c>
      <c r="GY82" s="1" t="str">
        <f t="shared" si="477"/>
        <v>ND</v>
      </c>
      <c r="GZ82" s="1" t="str">
        <f t="shared" si="478"/>
        <v>ND</v>
      </c>
      <c r="HA82" s="1" t="str">
        <f t="shared" si="479"/>
        <v>ND</v>
      </c>
      <c r="HB82" s="1" t="str">
        <f t="shared" si="480"/>
        <v>ND</v>
      </c>
      <c r="HC82" s="1" t="str">
        <f t="shared" si="481"/>
        <v>ND</v>
      </c>
      <c r="HD82" s="1" t="str">
        <f t="shared" si="482"/>
        <v>ND</v>
      </c>
      <c r="HE82" s="1" t="str">
        <f t="shared" si="483"/>
        <v>ND</v>
      </c>
      <c r="HF82" s="1" t="str">
        <f t="shared" si="484"/>
        <v>ND</v>
      </c>
      <c r="HG82" s="1" t="str">
        <f t="shared" si="485"/>
        <v>ND</v>
      </c>
      <c r="HH82" s="1" t="str">
        <f t="shared" si="486"/>
        <v>ND</v>
      </c>
      <c r="HI82" s="1" t="str">
        <f t="shared" si="487"/>
        <v>ND</v>
      </c>
      <c r="HJ82" s="1" t="str">
        <f t="shared" si="488"/>
        <v>ND</v>
      </c>
      <c r="HK82" s="1" t="str">
        <f t="shared" si="489"/>
        <v>ND</v>
      </c>
      <c r="HL82" s="1" t="str">
        <f t="shared" si="490"/>
        <v>ND</v>
      </c>
      <c r="HM82" s="1" t="str">
        <f t="shared" si="491"/>
        <v>ND</v>
      </c>
      <c r="HN82" s="1" t="str">
        <f t="shared" si="492"/>
        <v>ND</v>
      </c>
      <c r="HO82" s="1" t="str">
        <f t="shared" si="493"/>
        <v>ND</v>
      </c>
      <c r="HP82" s="1" t="str">
        <f t="shared" si="494"/>
        <v>ND</v>
      </c>
      <c r="HQ82" s="1" t="str">
        <f t="shared" si="495"/>
        <v>ND</v>
      </c>
      <c r="HR82" s="1" t="str">
        <f t="shared" si="496"/>
        <v>ND</v>
      </c>
      <c r="HS82" s="1" t="str">
        <f t="shared" si="497"/>
        <v>ND</v>
      </c>
      <c r="HT82" s="1" t="str">
        <f t="shared" si="498"/>
        <v>ND</v>
      </c>
      <c r="HU82" s="1" t="str">
        <f t="shared" si="499"/>
        <v>ND</v>
      </c>
      <c r="HV82" s="1" t="str">
        <f t="shared" si="500"/>
        <v>ND</v>
      </c>
      <c r="HW82" s="1" t="str">
        <f t="shared" si="501"/>
        <v>ND</v>
      </c>
      <c r="HX82" s="1" t="str">
        <f t="shared" si="502"/>
        <v>ND</v>
      </c>
      <c r="HY82" s="1" t="str">
        <f t="shared" si="503"/>
        <v>ND</v>
      </c>
      <c r="HZ82" s="1" t="str">
        <f t="shared" si="504"/>
        <v>ND</v>
      </c>
      <c r="IA82" s="1" t="str">
        <f t="shared" si="505"/>
        <v>ND</v>
      </c>
      <c r="IB82" s="1" t="str">
        <f t="shared" si="506"/>
        <v>ND</v>
      </c>
      <c r="IC82" s="1" t="str">
        <f t="shared" si="507"/>
        <v>ND</v>
      </c>
      <c r="ID82" s="1" t="str">
        <f t="shared" si="508"/>
        <v>ND</v>
      </c>
      <c r="IE82" s="1" t="str">
        <f t="shared" si="509"/>
        <v>ND</v>
      </c>
      <c r="IF82" s="1" t="str">
        <f t="shared" si="510"/>
        <v>ND</v>
      </c>
      <c r="IG82" s="1" t="str">
        <f t="shared" si="511"/>
        <v>ND</v>
      </c>
      <c r="IH82" s="1" t="str">
        <f t="shared" si="512"/>
        <v>ND</v>
      </c>
      <c r="II82" s="1" t="str">
        <f t="shared" si="513"/>
        <v>ND</v>
      </c>
    </row>
    <row r="83" spans="3:243" x14ac:dyDescent="0.25">
      <c r="C83" t="s">
        <v>1014</v>
      </c>
      <c r="D83">
        <f>SUMIFS(DICCIONARIO[Cantidad],DICCIONARIO[Modelo],UNIFICADA[[#This Row],[Equipo]])</f>
        <v>47</v>
      </c>
      <c r="E83" s="1">
        <f>IFERROR(VLOOKUP($C83,EQUIPOS[],UNIFICADO!E$9,0),"")</f>
        <v>13</v>
      </c>
      <c r="F83" s="1" t="str">
        <f>IFERROR(VLOOKUP($C83,EQUIPOS[],UNIFICADO!F$9,0),"")</f>
        <v>6.6 Full HD+ 120Hz</v>
      </c>
      <c r="G83" s="1" t="str">
        <f>IFERROR(VLOOKUP($C83,EQUIPOS[],UNIFICADO!G$9,0),"")</f>
        <v>48 MP f/1.8</v>
      </c>
      <c r="H83" s="1">
        <f>IFERROR(VLOOKUP($C83,EQUIPOS[],UNIFICADO!H$9,0),"")</f>
        <v>3</v>
      </c>
      <c r="I83" s="1" t="str">
        <f>IFERROR(VLOOKUP($C83,EQUIPOS[],UNIFICADO!I$9,0),"")</f>
        <v>13 MP f/2.2</v>
      </c>
      <c r="J83" s="1" t="str">
        <f>IFERROR(VLOOKUP($C83,EQUIPOS[],UNIFICADO!J$9,0),"")</f>
        <v>128GB</v>
      </c>
      <c r="K83" s="1">
        <f>IFERROR(VLOOKUP($C83,EQUIPOS[],UNIFICADO!K$9,0),"")</f>
        <v>1024</v>
      </c>
      <c r="L83" s="1">
        <f>IFERROR(VLOOKUP($C83,EQUIPOS[],UNIFICADO!L$9,0),"")</f>
        <v>8</v>
      </c>
      <c r="M83" s="1" t="str">
        <f>IFERROR(VLOOKUP($C83,EQUIPOS[],UNIFICADO!M$9,0),"")</f>
        <v>Mdtk Dimensity 1080</v>
      </c>
      <c r="N83" s="1">
        <f>IFERROR(VLOOKUP($C83,EQUIPOS[],UNIFICADO!N$9,0),"")</f>
        <v>8</v>
      </c>
      <c r="O83" s="1">
        <f>IFERROR(VLOOKUP($C83,EQUIPOS[],UNIFICADO!O$9,0),"")</f>
        <v>199</v>
      </c>
      <c r="P83" s="1">
        <f>IFERROR(VLOOKUP($C83,EQUIPOS[],UNIFICADO!P$9,0),"")</f>
        <v>16.100000000000001</v>
      </c>
      <c r="Q83" s="1">
        <f>IFERROR(VLOOKUP($C83,EQUIPOS[],UNIFICADO!Q$9,0),"")</f>
        <v>7.81</v>
      </c>
      <c r="R83" s="1">
        <f>IFERROR(VLOOKUP($C83,EQUIPOS[],UNIFICADO!R$9,0),"")</f>
        <v>0.82</v>
      </c>
      <c r="S83" s="1">
        <f>IFERROR(VLOOKUP($C83,EQUIPOS[],UNIFICADO!S$9,0),"")</f>
        <v>5000</v>
      </c>
      <c r="T83" s="1">
        <f>IFERROR(VLOOKUP($C83,EQUIPOS[],UNIFICADO!T$9,0),"")</f>
        <v>4.5</v>
      </c>
      <c r="U83" s="1">
        <f>VLOOKUP(UNIFICADA[[#This Row],[Equipo]],EQUIPOS[],19,0)</f>
        <v>73</v>
      </c>
      <c r="V83" s="1" t="str">
        <f t="shared" si="358"/>
        <v>ND</v>
      </c>
      <c r="W83" s="1" t="str">
        <f t="shared" si="359"/>
        <v>ND</v>
      </c>
      <c r="X83" s="1" t="str">
        <f t="shared" si="351"/>
        <v>ND</v>
      </c>
      <c r="Y83" s="1" t="str">
        <f t="shared" si="351"/>
        <v>ND</v>
      </c>
      <c r="Z83" s="1" t="str">
        <f t="shared" si="514"/>
        <v>ND</v>
      </c>
      <c r="AA83" s="1" t="str">
        <f t="shared" si="514"/>
        <v>ND</v>
      </c>
      <c r="AB83" s="1" t="str">
        <f t="shared" si="514"/>
        <v>ND</v>
      </c>
      <c r="AC83" s="1" t="str">
        <f t="shared" si="514"/>
        <v>ND</v>
      </c>
      <c r="AD83" s="1" t="str">
        <f t="shared" si="514"/>
        <v>ND</v>
      </c>
      <c r="AE83" s="1" t="str">
        <f t="shared" si="514"/>
        <v>ND</v>
      </c>
      <c r="AF83" s="1" t="str">
        <f t="shared" si="514"/>
        <v>ND</v>
      </c>
      <c r="AG83" s="1" t="str">
        <f t="shared" si="514"/>
        <v>ND</v>
      </c>
      <c r="AH83" s="1" t="str">
        <f t="shared" si="514"/>
        <v>ND</v>
      </c>
      <c r="AI83" s="1" t="str">
        <f t="shared" si="360"/>
        <v>ND</v>
      </c>
      <c r="AJ83" s="1" t="str">
        <f t="shared" si="361"/>
        <v>ND</v>
      </c>
      <c r="AK83" s="1" t="str">
        <f t="shared" si="362"/>
        <v>ND</v>
      </c>
      <c r="AL83" s="1" t="str">
        <f t="shared" si="363"/>
        <v>ND</v>
      </c>
      <c r="AM83" s="1" t="str">
        <f t="shared" si="364"/>
        <v>ND</v>
      </c>
      <c r="AN83" s="1" t="str">
        <f t="shared" si="365"/>
        <v>ND</v>
      </c>
      <c r="AO83" s="1" t="str">
        <f t="shared" si="366"/>
        <v>ND</v>
      </c>
      <c r="AP83" s="1" t="str">
        <f t="shared" si="367"/>
        <v>ND</v>
      </c>
      <c r="AQ83" s="1" t="str">
        <f t="shared" si="368"/>
        <v>ND</v>
      </c>
      <c r="AR83" s="1" t="str">
        <f t="shared" si="369"/>
        <v>ND</v>
      </c>
      <c r="AS83" s="1" t="str">
        <f t="shared" si="370"/>
        <v>ND</v>
      </c>
      <c r="AT83" s="1" t="str">
        <f t="shared" si="371"/>
        <v>ND</v>
      </c>
      <c r="AU83" s="1" t="str">
        <f t="shared" si="372"/>
        <v>ND</v>
      </c>
      <c r="AV83" s="1" t="str">
        <f t="shared" si="373"/>
        <v>ND</v>
      </c>
      <c r="AW83" s="1" t="str">
        <f t="shared" si="374"/>
        <v>ND</v>
      </c>
      <c r="AX83" s="1" t="str">
        <f t="shared" si="375"/>
        <v>ND</v>
      </c>
      <c r="AY83" s="1" t="str">
        <f t="shared" si="376"/>
        <v>ND</v>
      </c>
      <c r="AZ83" s="1" t="str">
        <f t="shared" si="377"/>
        <v>ND</v>
      </c>
      <c r="BA83" s="1" t="str">
        <f t="shared" si="378"/>
        <v>ND</v>
      </c>
      <c r="BB83" s="1" t="str">
        <f t="shared" si="379"/>
        <v>ND</v>
      </c>
      <c r="BC83" s="1" t="str">
        <f t="shared" si="380"/>
        <v>ND</v>
      </c>
      <c r="BD83" s="1" t="str">
        <f t="shared" si="381"/>
        <v>ND</v>
      </c>
      <c r="BE83" s="1" t="str">
        <f t="shared" si="382"/>
        <v>ND</v>
      </c>
      <c r="BF83" s="1" t="str">
        <f t="shared" si="383"/>
        <v>ND</v>
      </c>
      <c r="BG83" s="1" t="str">
        <f t="shared" si="384"/>
        <v>ND</v>
      </c>
      <c r="BH83" s="1" t="str">
        <f t="shared" si="385"/>
        <v>ND</v>
      </c>
      <c r="BI83" s="1" t="str">
        <f t="shared" si="386"/>
        <v>ND</v>
      </c>
      <c r="BJ83" s="1" t="str">
        <f t="shared" si="387"/>
        <v>ND</v>
      </c>
      <c r="BK83" s="1" t="str">
        <f t="shared" si="388"/>
        <v>ND</v>
      </c>
      <c r="BL83" s="1" t="str">
        <f t="shared" si="389"/>
        <v>ND</v>
      </c>
      <c r="BM83" s="1" t="str">
        <f t="shared" si="390"/>
        <v>ND</v>
      </c>
      <c r="BN83" s="1" t="str">
        <f t="shared" si="391"/>
        <v>ND</v>
      </c>
      <c r="BO83" s="1" t="str">
        <f t="shared" si="392"/>
        <v>ND</v>
      </c>
      <c r="BP83" s="1" t="str">
        <f t="shared" si="393"/>
        <v>ND</v>
      </c>
      <c r="BQ83" s="1" t="str">
        <f t="shared" si="394"/>
        <v>ND</v>
      </c>
      <c r="BR83" s="1" t="str">
        <f t="shared" si="395"/>
        <v>ND</v>
      </c>
      <c r="BS83" s="1" t="str">
        <f t="shared" si="396"/>
        <v>ND</v>
      </c>
      <c r="BT83" s="1" t="str">
        <f t="shared" si="397"/>
        <v>ND</v>
      </c>
      <c r="BU83" s="1" t="str">
        <f t="shared" si="398"/>
        <v>ND</v>
      </c>
      <c r="BV83" s="1" t="str">
        <f t="shared" si="399"/>
        <v>ND</v>
      </c>
      <c r="BW83" s="1" t="str">
        <f t="shared" si="400"/>
        <v>ND</v>
      </c>
      <c r="BX83" s="1" t="str">
        <f t="shared" si="401"/>
        <v>ND</v>
      </c>
      <c r="BY83" s="1" t="str">
        <f t="shared" si="402"/>
        <v>ND</v>
      </c>
      <c r="BZ83" s="1" t="str">
        <f t="shared" si="403"/>
        <v>ND</v>
      </c>
      <c r="CA83" s="1" t="str">
        <f t="shared" si="515"/>
        <v>ND</v>
      </c>
      <c r="CB83" s="1" t="str">
        <f t="shared" si="515"/>
        <v>ND</v>
      </c>
      <c r="CC83" s="1" t="str">
        <f t="shared" si="515"/>
        <v>ND</v>
      </c>
      <c r="CD83" s="1" t="str">
        <f t="shared" si="515"/>
        <v>ND</v>
      </c>
      <c r="CE83" s="1" t="str">
        <f t="shared" si="515"/>
        <v>ND</v>
      </c>
      <c r="CF83" s="1" t="str">
        <f t="shared" si="515"/>
        <v>ND</v>
      </c>
      <c r="CG83" s="1" t="str">
        <f t="shared" si="515"/>
        <v>ND</v>
      </c>
      <c r="CH83" s="1" t="str">
        <f t="shared" si="515"/>
        <v>ND</v>
      </c>
      <c r="CI83" s="1" t="str">
        <f t="shared" si="515"/>
        <v>ND</v>
      </c>
      <c r="CJ83" s="1" t="str">
        <f t="shared" si="515"/>
        <v>ND</v>
      </c>
      <c r="CK83" s="1" t="str">
        <f t="shared" si="515"/>
        <v>ND</v>
      </c>
      <c r="CL83" s="1" t="str">
        <f t="shared" si="516"/>
        <v>ND</v>
      </c>
      <c r="CM83" s="1" t="str">
        <f t="shared" si="516"/>
        <v>ND</v>
      </c>
      <c r="CN83" s="1" t="str">
        <f t="shared" si="516"/>
        <v>ND</v>
      </c>
      <c r="CO83" s="1" t="str">
        <f t="shared" si="516"/>
        <v>ND</v>
      </c>
      <c r="CP83" s="1" t="str">
        <f t="shared" si="516"/>
        <v>ND</v>
      </c>
      <c r="CQ83" s="1" t="str">
        <f t="shared" si="516"/>
        <v>ND</v>
      </c>
      <c r="CR83" s="1" t="str">
        <f t="shared" si="516"/>
        <v>ND</v>
      </c>
      <c r="CS83" s="1" t="str">
        <f t="shared" si="516"/>
        <v>ND</v>
      </c>
      <c r="CT83" s="1" t="str">
        <f t="shared" si="516"/>
        <v>ND</v>
      </c>
      <c r="CU83" s="1" t="str">
        <f t="shared" si="516"/>
        <v>ND</v>
      </c>
      <c r="CV83" s="1" t="str">
        <f t="shared" si="516"/>
        <v>ND</v>
      </c>
      <c r="CW83" s="1" t="str">
        <f t="shared" si="404"/>
        <v>ND</v>
      </c>
      <c r="CX83" s="1" t="str">
        <f t="shared" si="405"/>
        <v>ND</v>
      </c>
      <c r="CY83" s="1" t="str">
        <f t="shared" si="406"/>
        <v>ND</v>
      </c>
      <c r="CZ83" s="1" t="str">
        <f t="shared" si="407"/>
        <v>ND</v>
      </c>
      <c r="DA83" s="1" t="str">
        <f t="shared" si="408"/>
        <v>ND</v>
      </c>
      <c r="DB83" s="1" t="str">
        <f t="shared" si="409"/>
        <v>ND</v>
      </c>
      <c r="DC83" s="1" t="str">
        <f t="shared" si="410"/>
        <v>ND</v>
      </c>
      <c r="DD83" s="1" t="str">
        <f t="shared" si="411"/>
        <v>ND</v>
      </c>
      <c r="DE83" s="1" t="str">
        <f t="shared" si="412"/>
        <v>ND</v>
      </c>
      <c r="DF83" s="1" t="str">
        <f t="shared" si="413"/>
        <v>ND</v>
      </c>
      <c r="DG83" s="1" t="str">
        <f t="shared" si="414"/>
        <v>ND</v>
      </c>
      <c r="DH83" s="1" t="str">
        <f t="shared" si="415"/>
        <v>ND</v>
      </c>
      <c r="DI83" s="1" t="str">
        <f t="shared" si="416"/>
        <v>ND</v>
      </c>
      <c r="DJ83" s="1" t="str">
        <f t="shared" si="417"/>
        <v>ND</v>
      </c>
      <c r="DK83" s="1" t="str">
        <f t="shared" si="418"/>
        <v>ND</v>
      </c>
      <c r="DL83" s="1" t="str">
        <f t="shared" si="419"/>
        <v>ND</v>
      </c>
      <c r="DM83" s="1" t="str">
        <f t="shared" si="420"/>
        <v>ND</v>
      </c>
      <c r="DN83" s="1" t="str">
        <f t="shared" si="421"/>
        <v>ND</v>
      </c>
      <c r="DO83" s="1" t="str">
        <f t="shared" si="422"/>
        <v>ND</v>
      </c>
      <c r="DP83" s="1" t="str">
        <f t="shared" si="423"/>
        <v>ND</v>
      </c>
      <c r="DQ83" s="1" t="str">
        <f t="shared" si="424"/>
        <v>ND</v>
      </c>
      <c r="DR83" s="1" t="str">
        <f t="shared" si="425"/>
        <v>ND</v>
      </c>
      <c r="DS83" s="1" t="str">
        <f t="shared" si="426"/>
        <v>ND</v>
      </c>
      <c r="DT83" s="1" t="str">
        <f t="shared" si="427"/>
        <v>ND</v>
      </c>
      <c r="DU83" s="1" t="str">
        <f t="shared" si="428"/>
        <v>ND</v>
      </c>
      <c r="DV83" s="1" t="str">
        <f t="shared" si="429"/>
        <v>ND</v>
      </c>
      <c r="DW83" s="1" t="str">
        <f t="shared" si="430"/>
        <v>ND</v>
      </c>
      <c r="DX83" s="1" t="str">
        <f t="shared" si="431"/>
        <v>ND</v>
      </c>
      <c r="DY83" s="1" t="str">
        <f t="shared" si="432"/>
        <v>ND</v>
      </c>
      <c r="DZ83" s="1" t="str">
        <f t="shared" si="433"/>
        <v>ND</v>
      </c>
      <c r="EA83" s="1" t="str">
        <f t="shared" si="434"/>
        <v>ND</v>
      </c>
      <c r="EB83" s="1" t="str">
        <f t="shared" si="435"/>
        <v>ND</v>
      </c>
      <c r="EC83" s="1" t="str">
        <f t="shared" si="436"/>
        <v>ND</v>
      </c>
      <c r="ED83" s="1" t="str">
        <f t="shared" si="437"/>
        <v>ND</v>
      </c>
      <c r="EE83" s="1" t="str">
        <f t="shared" si="438"/>
        <v>ND</v>
      </c>
      <c r="EF83" s="1" t="str">
        <f t="shared" si="439"/>
        <v>ND</v>
      </c>
      <c r="EG83" s="1" t="str">
        <f t="shared" si="440"/>
        <v>ND</v>
      </c>
      <c r="EH83" s="1" t="str">
        <f t="shared" si="441"/>
        <v>ND</v>
      </c>
      <c r="EI83" s="1" t="str">
        <f t="shared" si="442"/>
        <v>ND</v>
      </c>
      <c r="EJ83" s="1" t="str">
        <f t="shared" si="443"/>
        <v>ND</v>
      </c>
      <c r="EK83" s="1" t="str">
        <f t="shared" si="444"/>
        <v>ND</v>
      </c>
      <c r="EL83" s="1" t="str">
        <f t="shared" si="445"/>
        <v>ND</v>
      </c>
      <c r="EM83" s="1" t="str">
        <f t="shared" si="446"/>
        <v>ND</v>
      </c>
      <c r="EN83" s="1" t="str">
        <f t="shared" si="447"/>
        <v>ND</v>
      </c>
      <c r="EO83" s="1" t="str">
        <f t="shared" si="517"/>
        <v>ND</v>
      </c>
      <c r="EP83" s="1" t="str">
        <f t="shared" si="517"/>
        <v>ND</v>
      </c>
      <c r="EQ83" s="1" t="str">
        <f t="shared" si="517"/>
        <v>ND</v>
      </c>
      <c r="ER83" s="1" t="str">
        <f t="shared" si="517"/>
        <v>ND</v>
      </c>
      <c r="ES83" s="1" t="str">
        <f t="shared" si="517"/>
        <v>ND</v>
      </c>
      <c r="ET83" s="1" t="str">
        <f t="shared" si="517"/>
        <v>ND</v>
      </c>
      <c r="EU83" s="1" t="str">
        <f t="shared" si="517"/>
        <v>ND</v>
      </c>
      <c r="EV83" s="1" t="str">
        <f t="shared" si="517"/>
        <v>ND</v>
      </c>
      <c r="EW83" s="1" t="str">
        <f t="shared" si="517"/>
        <v>ND</v>
      </c>
      <c r="EX83" s="1" t="str">
        <f t="shared" si="517"/>
        <v>ND</v>
      </c>
      <c r="EY83" s="1" t="str">
        <f t="shared" si="517"/>
        <v>ND</v>
      </c>
      <c r="EZ83" s="1" t="str">
        <f t="shared" si="518"/>
        <v>ND</v>
      </c>
      <c r="FA83" s="1" t="str">
        <f t="shared" si="518"/>
        <v>ND</v>
      </c>
      <c r="FB83" s="1" t="str">
        <f t="shared" si="518"/>
        <v>ND</v>
      </c>
      <c r="FC83" s="1" t="str">
        <f t="shared" si="518"/>
        <v>ND</v>
      </c>
      <c r="FD83" s="1" t="str">
        <f t="shared" si="518"/>
        <v>ND</v>
      </c>
      <c r="FE83" s="1" t="str">
        <f t="shared" si="518"/>
        <v>ND</v>
      </c>
      <c r="FF83" s="1" t="str">
        <f t="shared" si="518"/>
        <v>ND</v>
      </c>
      <c r="FG83" s="1" t="str">
        <f t="shared" si="518"/>
        <v>ND</v>
      </c>
      <c r="FH83" s="1" t="str">
        <f t="shared" si="518"/>
        <v>ND</v>
      </c>
      <c r="FI83" s="1" t="str">
        <f t="shared" si="518"/>
        <v>ND</v>
      </c>
      <c r="FJ83" s="1" t="str">
        <f t="shared" si="518"/>
        <v>ND</v>
      </c>
      <c r="FK83" s="1" t="str">
        <f t="shared" si="519"/>
        <v>ND</v>
      </c>
      <c r="FL83" s="1" t="str">
        <f t="shared" si="519"/>
        <v>ND</v>
      </c>
      <c r="FM83" s="1" t="str">
        <f t="shared" si="519"/>
        <v>ND</v>
      </c>
      <c r="FN83" s="1" t="str">
        <f t="shared" si="519"/>
        <v>ND</v>
      </c>
      <c r="FO83" s="1" t="str">
        <f t="shared" si="519"/>
        <v>ND</v>
      </c>
      <c r="FP83" s="1" t="str">
        <f t="shared" si="519"/>
        <v>ND</v>
      </c>
      <c r="FQ83" s="1" t="str">
        <f t="shared" si="519"/>
        <v>ND</v>
      </c>
      <c r="FR83" s="1" t="str">
        <f t="shared" si="519"/>
        <v>ND</v>
      </c>
      <c r="FS83" s="1" t="str">
        <f t="shared" si="519"/>
        <v>ND</v>
      </c>
      <c r="FT83" s="1" t="str">
        <f t="shared" si="519"/>
        <v>ND</v>
      </c>
      <c r="FU83" s="1" t="str">
        <f t="shared" si="519"/>
        <v>ND</v>
      </c>
      <c r="FV83" s="1" t="str">
        <f t="shared" si="448"/>
        <v>ND</v>
      </c>
      <c r="FW83" s="1" t="str">
        <f t="shared" si="449"/>
        <v>ND</v>
      </c>
      <c r="FX83" s="1" t="str">
        <f t="shared" si="450"/>
        <v>ND</v>
      </c>
      <c r="FY83" s="1" t="str">
        <f t="shared" si="451"/>
        <v>ND</v>
      </c>
      <c r="FZ83" s="1" t="str">
        <f t="shared" si="452"/>
        <v>ND</v>
      </c>
      <c r="GA83" s="1" t="str">
        <f t="shared" si="453"/>
        <v>ND</v>
      </c>
      <c r="GB83" s="1" t="str">
        <f t="shared" si="454"/>
        <v>ND</v>
      </c>
      <c r="GC83" s="1" t="str">
        <f t="shared" si="455"/>
        <v>ND</v>
      </c>
      <c r="GD83" s="1" t="str">
        <f t="shared" si="456"/>
        <v>ND</v>
      </c>
      <c r="GE83" s="1" t="str">
        <f t="shared" si="457"/>
        <v>ND</v>
      </c>
      <c r="GF83" s="1" t="str">
        <f t="shared" si="458"/>
        <v>ND</v>
      </c>
      <c r="GG83" s="1" t="str">
        <f t="shared" si="459"/>
        <v>ND</v>
      </c>
      <c r="GH83" s="1" t="str">
        <f t="shared" si="460"/>
        <v>ND</v>
      </c>
      <c r="GI83" s="1" t="str">
        <f t="shared" si="461"/>
        <v>ND</v>
      </c>
      <c r="GJ83" s="1" t="str">
        <f t="shared" si="462"/>
        <v>ND</v>
      </c>
      <c r="GK83" s="1" t="str">
        <f t="shared" si="463"/>
        <v>ND</v>
      </c>
      <c r="GL83" s="1" t="str">
        <f t="shared" si="464"/>
        <v>ND</v>
      </c>
      <c r="GM83" s="1" t="str">
        <f t="shared" si="465"/>
        <v>ND</v>
      </c>
      <c r="GN83" s="1" t="str">
        <f t="shared" si="466"/>
        <v>ND</v>
      </c>
      <c r="GO83" s="1" t="str">
        <f t="shared" si="467"/>
        <v>ND</v>
      </c>
      <c r="GP83" s="1" t="str">
        <f t="shared" si="468"/>
        <v>ND</v>
      </c>
      <c r="GQ83" s="1" t="str">
        <f t="shared" si="469"/>
        <v>ND</v>
      </c>
      <c r="GR83" s="1" t="str">
        <f t="shared" si="470"/>
        <v>ND</v>
      </c>
      <c r="GS83" s="1" t="str">
        <f t="shared" si="471"/>
        <v>ND</v>
      </c>
      <c r="GT83" s="1" t="str">
        <f t="shared" si="472"/>
        <v>ND</v>
      </c>
      <c r="GU83" s="1" t="str">
        <f t="shared" si="473"/>
        <v>ND</v>
      </c>
      <c r="GV83" s="1" t="str">
        <f t="shared" si="474"/>
        <v>ND</v>
      </c>
      <c r="GW83" s="1" t="str">
        <f t="shared" si="475"/>
        <v>ND</v>
      </c>
      <c r="GX83" s="1" t="str">
        <f t="shared" si="476"/>
        <v>ND</v>
      </c>
      <c r="GY83" s="1" t="str">
        <f t="shared" si="477"/>
        <v>ND</v>
      </c>
      <c r="GZ83" s="1" t="str">
        <f t="shared" si="478"/>
        <v>ND</v>
      </c>
      <c r="HA83" s="1" t="str">
        <f t="shared" si="479"/>
        <v>ND</v>
      </c>
      <c r="HB83" s="1" t="str">
        <f t="shared" si="480"/>
        <v>ND</v>
      </c>
      <c r="HC83" s="1" t="str">
        <f t="shared" si="481"/>
        <v>ND</v>
      </c>
      <c r="HD83" s="1" t="str">
        <f t="shared" si="482"/>
        <v>ND</v>
      </c>
      <c r="HE83" s="1" t="str">
        <f t="shared" si="483"/>
        <v>ND</v>
      </c>
      <c r="HF83" s="1" t="str">
        <f t="shared" si="484"/>
        <v>ND</v>
      </c>
      <c r="HG83" s="1" t="str">
        <f t="shared" si="485"/>
        <v>ND</v>
      </c>
      <c r="HH83" s="1" t="str">
        <f t="shared" si="486"/>
        <v>ND</v>
      </c>
      <c r="HI83" s="1" t="str">
        <f t="shared" si="487"/>
        <v>ND</v>
      </c>
      <c r="HJ83" s="1" t="str">
        <f t="shared" si="488"/>
        <v>ND</v>
      </c>
      <c r="HK83" s="1" t="str">
        <f t="shared" si="489"/>
        <v>ND</v>
      </c>
      <c r="HL83" s="1" t="str">
        <f t="shared" si="490"/>
        <v>ND</v>
      </c>
      <c r="HM83" s="1" t="str">
        <f t="shared" si="491"/>
        <v>ND</v>
      </c>
      <c r="HN83" s="1" t="str">
        <f t="shared" si="492"/>
        <v>ND</v>
      </c>
      <c r="HO83" s="1" t="str">
        <f t="shared" si="493"/>
        <v>ND</v>
      </c>
      <c r="HP83" s="1" t="str">
        <f t="shared" si="494"/>
        <v>ND</v>
      </c>
      <c r="HQ83" s="1" t="str">
        <f t="shared" si="495"/>
        <v>ND</v>
      </c>
      <c r="HR83" s="1" t="str">
        <f t="shared" si="496"/>
        <v>ND</v>
      </c>
      <c r="HS83" s="1" t="str">
        <f t="shared" si="497"/>
        <v>ND</v>
      </c>
      <c r="HT83" s="1" t="str">
        <f t="shared" si="498"/>
        <v>ND</v>
      </c>
      <c r="HU83" s="1" t="str">
        <f t="shared" si="499"/>
        <v>ND</v>
      </c>
      <c r="HV83" s="1" t="str">
        <f t="shared" si="500"/>
        <v>ND</v>
      </c>
      <c r="HW83" s="1" t="str">
        <f t="shared" si="501"/>
        <v>ND</v>
      </c>
      <c r="HX83" s="1" t="str">
        <f t="shared" si="502"/>
        <v>ND</v>
      </c>
      <c r="HY83" s="1" t="str">
        <f t="shared" si="503"/>
        <v>ND</v>
      </c>
      <c r="HZ83" s="1" t="str">
        <f t="shared" si="504"/>
        <v>ND</v>
      </c>
      <c r="IA83" s="1" t="str">
        <f t="shared" si="505"/>
        <v>ND</v>
      </c>
      <c r="IB83" s="1" t="str">
        <f t="shared" si="506"/>
        <v>ND</v>
      </c>
      <c r="IC83" s="1" t="str">
        <f t="shared" si="507"/>
        <v>ND</v>
      </c>
      <c r="ID83" s="1" t="str">
        <f t="shared" si="508"/>
        <v>ND</v>
      </c>
      <c r="IE83" s="1" t="str">
        <f t="shared" si="509"/>
        <v>ND</v>
      </c>
      <c r="IF83" s="1" t="str">
        <f t="shared" si="510"/>
        <v>ND</v>
      </c>
      <c r="IG83" s="1" t="str">
        <f t="shared" si="511"/>
        <v>ND</v>
      </c>
      <c r="IH83" s="1" t="str">
        <f t="shared" si="512"/>
        <v>ND</v>
      </c>
      <c r="II83" s="1" t="str">
        <f t="shared" si="513"/>
        <v>ND</v>
      </c>
    </row>
    <row r="84" spans="3:243" x14ac:dyDescent="0.25">
      <c r="C84" t="s">
        <v>28</v>
      </c>
      <c r="D84">
        <f>SUMIFS(DICCIONARIO[Cantidad],DICCIONARIO[Modelo],UNIFICADA[[#This Row],[Equipo]])</f>
        <v>0</v>
      </c>
      <c r="E84" s="1">
        <f>IFERROR(VLOOKUP($C84,EQUIPOS[],UNIFICADO!E$9,0),"")</f>
        <v>11</v>
      </c>
      <c r="F84" s="1">
        <f>IFERROR(VLOOKUP($C84,EQUIPOS[],UNIFICADO!F$9,0),"")</f>
        <v>6.5</v>
      </c>
      <c r="G84" s="1">
        <f>IFERROR(VLOOKUP($C84,EQUIPOS[],UNIFICADO!G$9,0),"")</f>
        <v>64</v>
      </c>
      <c r="H84" s="1">
        <f>IFERROR(VLOOKUP($C84,EQUIPOS[],UNIFICADO!H$9,0),"")</f>
        <v>4</v>
      </c>
      <c r="I84" s="1">
        <f>IFERROR(VLOOKUP($C84,EQUIPOS[],UNIFICADO!I$9,0),"")</f>
        <v>32</v>
      </c>
      <c r="J84" s="1" t="str">
        <f>IFERROR(VLOOKUP($C84,EQUIPOS[],UNIFICADO!J$9,0),"")</f>
        <v>128GB</v>
      </c>
      <c r="K84" s="1">
        <f>IFERROR(VLOOKUP($C84,EQUIPOS[],UNIFICADO!K$9,0),"")</f>
        <v>512</v>
      </c>
      <c r="L84" s="1">
        <f>IFERROR(VLOOKUP($C84,EQUIPOS[],UNIFICADO!L$9,0),"")</f>
        <v>8</v>
      </c>
      <c r="M84" s="1" t="str">
        <f>IFERROR(VLOOKUP($C84,EQUIPOS[],UNIFICADO!M$9,0),"")</f>
        <v>2.3/1.8</v>
      </c>
      <c r="N84" s="1">
        <f>IFERROR(VLOOKUP($C84,EQUIPOS[],UNIFICADO!N$9,0),"")</f>
        <v>4</v>
      </c>
      <c r="O84" s="1">
        <f>IFERROR(VLOOKUP($C84,EQUIPOS[],UNIFICADO!O$9,0),"")</f>
        <v>189</v>
      </c>
      <c r="P84" s="1">
        <f>IFERROR(VLOOKUP($C84,EQUIPOS[],UNIFICADO!P$9,0),"")</f>
        <v>15.9</v>
      </c>
      <c r="Q84" s="1">
        <f>IFERROR(VLOOKUP($C84,EQUIPOS[],UNIFICADO!Q$9,0),"")</f>
        <v>7.51</v>
      </c>
      <c r="R84" s="1">
        <f>IFERROR(VLOOKUP($C84,EQUIPOS[],UNIFICADO!R$9,0),"")</f>
        <v>0.84</v>
      </c>
      <c r="S84" s="1">
        <f>IFERROR(VLOOKUP($C84,EQUIPOS[],UNIFICADO!S$9,0),"")</f>
        <v>4500</v>
      </c>
      <c r="T84" s="1">
        <f>IFERROR(VLOOKUP($C84,EQUIPOS[],UNIFICADO!T$9,0),"")</f>
        <v>4</v>
      </c>
      <c r="U84" s="1">
        <f>VLOOKUP(UNIFICADA[[#This Row],[Equipo]],EQUIPOS[],19,0)</f>
        <v>74</v>
      </c>
      <c r="V84" s="1" t="str">
        <f t="shared" si="358"/>
        <v>ND</v>
      </c>
      <c r="W84" s="1" t="str">
        <f t="shared" si="359"/>
        <v>ND</v>
      </c>
      <c r="X84" s="1" t="str">
        <f t="shared" si="351"/>
        <v>ND</v>
      </c>
      <c r="Y84" s="1" t="str">
        <f t="shared" si="351"/>
        <v>ND</v>
      </c>
      <c r="Z84" s="1" t="str">
        <f t="shared" si="514"/>
        <v>ND</v>
      </c>
      <c r="AA84" s="1" t="str">
        <f t="shared" si="514"/>
        <v>ND</v>
      </c>
      <c r="AB84" s="1" t="str">
        <f t="shared" si="514"/>
        <v>ND</v>
      </c>
      <c r="AC84" s="1" t="str">
        <f t="shared" si="514"/>
        <v>ND</v>
      </c>
      <c r="AD84" s="1" t="str">
        <f t="shared" si="514"/>
        <v>ND</v>
      </c>
      <c r="AE84" s="1" t="str">
        <f t="shared" si="514"/>
        <v>ND</v>
      </c>
      <c r="AF84" s="1" t="str">
        <f t="shared" si="514"/>
        <v>ND</v>
      </c>
      <c r="AG84" s="1" t="str">
        <f t="shared" si="514"/>
        <v>ND</v>
      </c>
      <c r="AH84" s="1" t="str">
        <f t="shared" si="514"/>
        <v>ND</v>
      </c>
      <c r="AI84" s="1" t="str">
        <f t="shared" si="360"/>
        <v>ND</v>
      </c>
      <c r="AJ84" s="1" t="str">
        <f t="shared" si="361"/>
        <v>ND</v>
      </c>
      <c r="AK84" s="1" t="str">
        <f t="shared" si="362"/>
        <v>ND</v>
      </c>
      <c r="AL84" s="1" t="str">
        <f t="shared" si="363"/>
        <v>ND</v>
      </c>
      <c r="AM84" s="1" t="str">
        <f t="shared" si="364"/>
        <v>ND</v>
      </c>
      <c r="AN84" s="1" t="str">
        <f t="shared" si="365"/>
        <v>ND</v>
      </c>
      <c r="AO84" s="1" t="str">
        <f t="shared" si="366"/>
        <v>ND</v>
      </c>
      <c r="AP84" s="1" t="str">
        <f t="shared" si="367"/>
        <v>ND</v>
      </c>
      <c r="AQ84" s="1" t="str">
        <f t="shared" si="368"/>
        <v>ND</v>
      </c>
      <c r="AR84" s="1" t="str">
        <f t="shared" si="369"/>
        <v>ND</v>
      </c>
      <c r="AS84" s="1" t="str">
        <f t="shared" si="370"/>
        <v>ND</v>
      </c>
      <c r="AT84" s="1" t="str">
        <f t="shared" si="371"/>
        <v>ND</v>
      </c>
      <c r="AU84" s="1" t="str">
        <f t="shared" si="372"/>
        <v>ND</v>
      </c>
      <c r="AV84" s="1" t="str">
        <f t="shared" si="373"/>
        <v>ND</v>
      </c>
      <c r="AW84" s="1" t="str">
        <f t="shared" si="374"/>
        <v>ND</v>
      </c>
      <c r="AX84" s="1" t="str">
        <f t="shared" si="375"/>
        <v>ND</v>
      </c>
      <c r="AY84" s="1" t="str">
        <f t="shared" si="376"/>
        <v>ND</v>
      </c>
      <c r="AZ84" s="1" t="str">
        <f t="shared" si="377"/>
        <v>ND</v>
      </c>
      <c r="BA84" s="1" t="str">
        <f t="shared" si="378"/>
        <v>ND</v>
      </c>
      <c r="BB84" s="1" t="str">
        <f t="shared" si="379"/>
        <v>ND</v>
      </c>
      <c r="BC84" s="1" t="str">
        <f t="shared" si="380"/>
        <v>ND</v>
      </c>
      <c r="BD84" s="1" t="str">
        <f t="shared" si="381"/>
        <v>ND</v>
      </c>
      <c r="BE84" s="1" t="str">
        <f t="shared" si="382"/>
        <v>ND</v>
      </c>
      <c r="BF84" s="1" t="str">
        <f t="shared" si="383"/>
        <v>ND</v>
      </c>
      <c r="BG84" s="1" t="str">
        <f t="shared" si="384"/>
        <v>ND</v>
      </c>
      <c r="BH84" s="1" t="str">
        <f t="shared" si="385"/>
        <v>ND</v>
      </c>
      <c r="BI84" s="1" t="str">
        <f t="shared" si="386"/>
        <v>ND</v>
      </c>
      <c r="BJ84" s="1" t="str">
        <f t="shared" si="387"/>
        <v>ND</v>
      </c>
      <c r="BK84" s="1" t="str">
        <f t="shared" si="388"/>
        <v>ND</v>
      </c>
      <c r="BL84" s="1" t="str">
        <f t="shared" si="389"/>
        <v>ND</v>
      </c>
      <c r="BM84" s="1" t="str">
        <f t="shared" si="390"/>
        <v>ND</v>
      </c>
      <c r="BN84" s="1" t="str">
        <f t="shared" si="391"/>
        <v>ND</v>
      </c>
      <c r="BO84" s="1" t="str">
        <f t="shared" si="392"/>
        <v>ND</v>
      </c>
      <c r="BP84" s="1" t="str">
        <f t="shared" si="393"/>
        <v>ND</v>
      </c>
      <c r="BQ84" s="1" t="str">
        <f t="shared" si="394"/>
        <v>ND</v>
      </c>
      <c r="BR84" s="1" t="str">
        <f t="shared" si="395"/>
        <v>ND</v>
      </c>
      <c r="BS84" s="1" t="str">
        <f t="shared" si="396"/>
        <v>ND</v>
      </c>
      <c r="BT84" s="1" t="str">
        <f t="shared" si="397"/>
        <v>ND</v>
      </c>
      <c r="BU84" s="1" t="str">
        <f t="shared" si="398"/>
        <v>ND</v>
      </c>
      <c r="BV84" s="1" t="str">
        <f t="shared" si="399"/>
        <v>ND</v>
      </c>
      <c r="BW84" s="1" t="str">
        <f t="shared" si="400"/>
        <v>ND</v>
      </c>
      <c r="BX84" s="1" t="str">
        <f t="shared" si="401"/>
        <v>ND</v>
      </c>
      <c r="BY84" s="1" t="str">
        <f t="shared" si="402"/>
        <v>ND</v>
      </c>
      <c r="BZ84" s="1" t="str">
        <f t="shared" si="403"/>
        <v>ND</v>
      </c>
      <c r="CA84" s="1" t="str">
        <f t="shared" si="515"/>
        <v>ND</v>
      </c>
      <c r="CB84" s="1" t="str">
        <f t="shared" si="515"/>
        <v>ND</v>
      </c>
      <c r="CC84" s="1" t="str">
        <f t="shared" si="515"/>
        <v>ND</v>
      </c>
      <c r="CD84" s="1" t="str">
        <f t="shared" si="515"/>
        <v>ND</v>
      </c>
      <c r="CE84" s="1" t="str">
        <f t="shared" si="515"/>
        <v>ND</v>
      </c>
      <c r="CF84" s="1" t="str">
        <f t="shared" si="515"/>
        <v>ND</v>
      </c>
      <c r="CG84" s="1" t="str">
        <f t="shared" si="515"/>
        <v>ND</v>
      </c>
      <c r="CH84" s="1" t="str">
        <f t="shared" si="515"/>
        <v>ND</v>
      </c>
      <c r="CI84" s="1" t="str">
        <f t="shared" si="515"/>
        <v>ND</v>
      </c>
      <c r="CJ84" s="1" t="str">
        <f t="shared" si="515"/>
        <v>ND</v>
      </c>
      <c r="CK84" s="1" t="str">
        <f t="shared" si="515"/>
        <v>ND</v>
      </c>
      <c r="CL84" s="1" t="str">
        <f t="shared" si="516"/>
        <v>ND</v>
      </c>
      <c r="CM84" s="1" t="str">
        <f t="shared" si="516"/>
        <v>ND</v>
      </c>
      <c r="CN84" s="1" t="str">
        <f t="shared" si="516"/>
        <v>ND</v>
      </c>
      <c r="CO84" s="1" t="str">
        <f t="shared" si="516"/>
        <v>ND</v>
      </c>
      <c r="CP84" s="1" t="str">
        <f t="shared" si="516"/>
        <v>ND</v>
      </c>
      <c r="CQ84" s="1" t="str">
        <f t="shared" si="516"/>
        <v>ND</v>
      </c>
      <c r="CR84" s="1" t="str">
        <f t="shared" si="516"/>
        <v>ND</v>
      </c>
      <c r="CS84" s="1" t="str">
        <f t="shared" si="516"/>
        <v>ND</v>
      </c>
      <c r="CT84" s="1" t="str">
        <f t="shared" si="516"/>
        <v>ND</v>
      </c>
      <c r="CU84" s="1" t="str">
        <f t="shared" si="516"/>
        <v>ND</v>
      </c>
      <c r="CV84" s="1" t="str">
        <f t="shared" si="516"/>
        <v>ND</v>
      </c>
      <c r="CW84" s="1" t="str">
        <f t="shared" si="404"/>
        <v>ND</v>
      </c>
      <c r="CX84" s="1" t="str">
        <f t="shared" si="405"/>
        <v>ND</v>
      </c>
      <c r="CY84" s="1" t="str">
        <f t="shared" si="406"/>
        <v>ND</v>
      </c>
      <c r="CZ84" s="1" t="str">
        <f t="shared" si="407"/>
        <v>ND</v>
      </c>
      <c r="DA84" s="1" t="str">
        <f t="shared" si="408"/>
        <v>ND</v>
      </c>
      <c r="DB84" s="1" t="str">
        <f t="shared" si="409"/>
        <v>ND</v>
      </c>
      <c r="DC84" s="1" t="str">
        <f t="shared" si="410"/>
        <v>ND</v>
      </c>
      <c r="DD84" s="1" t="str">
        <f t="shared" si="411"/>
        <v>ND</v>
      </c>
      <c r="DE84" s="1" t="str">
        <f t="shared" si="412"/>
        <v>ND</v>
      </c>
      <c r="DF84" s="1" t="str">
        <f t="shared" si="413"/>
        <v>ND</v>
      </c>
      <c r="DG84" s="1" t="str">
        <f t="shared" si="414"/>
        <v>ND</v>
      </c>
      <c r="DH84" s="1" t="str">
        <f t="shared" si="415"/>
        <v>ND</v>
      </c>
      <c r="DI84" s="1" t="str">
        <f t="shared" si="416"/>
        <v>ND</v>
      </c>
      <c r="DJ84" s="1" t="str">
        <f t="shared" si="417"/>
        <v>ND</v>
      </c>
      <c r="DK84" s="1" t="str">
        <f t="shared" si="418"/>
        <v>ND</v>
      </c>
      <c r="DL84" s="1" t="str">
        <f t="shared" si="419"/>
        <v>ND</v>
      </c>
      <c r="DM84" s="1" t="str">
        <f t="shared" si="420"/>
        <v>ND</v>
      </c>
      <c r="DN84" s="1" t="str">
        <f t="shared" si="421"/>
        <v>ND</v>
      </c>
      <c r="DO84" s="1" t="str">
        <f t="shared" si="422"/>
        <v>ND</v>
      </c>
      <c r="DP84" s="1" t="str">
        <f t="shared" si="423"/>
        <v>ND</v>
      </c>
      <c r="DQ84" s="1" t="str">
        <f t="shared" si="424"/>
        <v>ND</v>
      </c>
      <c r="DR84" s="1" t="str">
        <f t="shared" si="425"/>
        <v>ND</v>
      </c>
      <c r="DS84" s="1" t="str">
        <f t="shared" si="426"/>
        <v>ND</v>
      </c>
      <c r="DT84" s="1" t="str">
        <f t="shared" si="427"/>
        <v>ND</v>
      </c>
      <c r="DU84" s="1" t="str">
        <f t="shared" si="428"/>
        <v>ND</v>
      </c>
      <c r="DV84" s="1" t="str">
        <f t="shared" si="429"/>
        <v>ND</v>
      </c>
      <c r="DW84" s="1" t="str">
        <f t="shared" si="430"/>
        <v>ND</v>
      </c>
      <c r="DX84" s="1" t="str">
        <f t="shared" si="431"/>
        <v>ND</v>
      </c>
      <c r="DY84" s="1" t="str">
        <f t="shared" si="432"/>
        <v>ND</v>
      </c>
      <c r="DZ84" s="1" t="str">
        <f t="shared" si="433"/>
        <v>ND</v>
      </c>
      <c r="EA84" s="1" t="str">
        <f t="shared" si="434"/>
        <v>ND</v>
      </c>
      <c r="EB84" s="1" t="str">
        <f t="shared" si="435"/>
        <v>ND</v>
      </c>
      <c r="EC84" s="1" t="str">
        <f t="shared" si="436"/>
        <v>ND</v>
      </c>
      <c r="ED84" s="1" t="str">
        <f t="shared" si="437"/>
        <v>ND</v>
      </c>
      <c r="EE84" s="1" t="str">
        <f t="shared" si="438"/>
        <v>ND</v>
      </c>
      <c r="EF84" s="1" t="str">
        <f t="shared" si="439"/>
        <v>ND</v>
      </c>
      <c r="EG84" s="1" t="str">
        <f t="shared" si="440"/>
        <v>ND</v>
      </c>
      <c r="EH84" s="1" t="str">
        <f t="shared" si="441"/>
        <v>ND</v>
      </c>
      <c r="EI84" s="1" t="str">
        <f t="shared" si="442"/>
        <v>ND</v>
      </c>
      <c r="EJ84" s="1" t="str">
        <f t="shared" si="443"/>
        <v>ND</v>
      </c>
      <c r="EK84" s="1" t="str">
        <f t="shared" si="444"/>
        <v>ND</v>
      </c>
      <c r="EL84" s="1" t="str">
        <f t="shared" si="445"/>
        <v>ND</v>
      </c>
      <c r="EM84" s="1" t="str">
        <f t="shared" si="446"/>
        <v>ND</v>
      </c>
      <c r="EN84" s="1" t="str">
        <f t="shared" si="447"/>
        <v>ND</v>
      </c>
      <c r="EO84" s="1" t="str">
        <f t="shared" si="517"/>
        <v>ND</v>
      </c>
      <c r="EP84" s="1" t="str">
        <f t="shared" si="517"/>
        <v>ND</v>
      </c>
      <c r="EQ84" s="1" t="str">
        <f t="shared" si="517"/>
        <v>ND</v>
      </c>
      <c r="ER84" s="1" t="str">
        <f t="shared" si="517"/>
        <v>ND</v>
      </c>
      <c r="ES84" s="1" t="str">
        <f t="shared" si="517"/>
        <v>ND</v>
      </c>
      <c r="ET84" s="1" t="str">
        <f t="shared" si="517"/>
        <v>ND</v>
      </c>
      <c r="EU84" s="1" t="str">
        <f t="shared" si="517"/>
        <v>ND</v>
      </c>
      <c r="EV84" s="1" t="str">
        <f t="shared" si="517"/>
        <v>ND</v>
      </c>
      <c r="EW84" s="1" t="str">
        <f t="shared" si="517"/>
        <v>ND</v>
      </c>
      <c r="EX84" s="1" t="str">
        <f t="shared" si="517"/>
        <v>ND</v>
      </c>
      <c r="EY84" s="1" t="str">
        <f t="shared" si="517"/>
        <v>ND</v>
      </c>
      <c r="EZ84" s="1" t="str">
        <f t="shared" si="518"/>
        <v>ND</v>
      </c>
      <c r="FA84" s="1" t="str">
        <f t="shared" si="518"/>
        <v>ND</v>
      </c>
      <c r="FB84" s="1" t="str">
        <f t="shared" si="518"/>
        <v>ND</v>
      </c>
      <c r="FC84" s="1" t="str">
        <f t="shared" si="518"/>
        <v>ND</v>
      </c>
      <c r="FD84" s="1" t="str">
        <f t="shared" si="518"/>
        <v>ND</v>
      </c>
      <c r="FE84" s="1" t="str">
        <f t="shared" si="518"/>
        <v>ND</v>
      </c>
      <c r="FF84" s="1" t="str">
        <f t="shared" si="518"/>
        <v>ND</v>
      </c>
      <c r="FG84" s="1" t="str">
        <f t="shared" si="518"/>
        <v>ND</v>
      </c>
      <c r="FH84" s="1" t="str">
        <f t="shared" si="518"/>
        <v>ND</v>
      </c>
      <c r="FI84" s="1" t="str">
        <f t="shared" si="518"/>
        <v>ND</v>
      </c>
      <c r="FJ84" s="1" t="str">
        <f t="shared" si="518"/>
        <v>ND</v>
      </c>
      <c r="FK84" s="1" t="str">
        <f t="shared" si="519"/>
        <v>ND</v>
      </c>
      <c r="FL84" s="1" t="str">
        <f t="shared" si="519"/>
        <v>ND</v>
      </c>
      <c r="FM84" s="1" t="str">
        <f t="shared" si="519"/>
        <v>ND</v>
      </c>
      <c r="FN84" s="1" t="str">
        <f t="shared" si="519"/>
        <v>ND</v>
      </c>
      <c r="FO84" s="1" t="str">
        <f t="shared" si="519"/>
        <v>ND</v>
      </c>
      <c r="FP84" s="1" t="str">
        <f t="shared" si="519"/>
        <v>ND</v>
      </c>
      <c r="FQ84" s="1" t="str">
        <f t="shared" si="519"/>
        <v>ND</v>
      </c>
      <c r="FR84" s="1" t="str">
        <f t="shared" si="519"/>
        <v>ND</v>
      </c>
      <c r="FS84" s="1" t="str">
        <f t="shared" si="519"/>
        <v>ND</v>
      </c>
      <c r="FT84" s="1" t="str">
        <f t="shared" si="519"/>
        <v>ND</v>
      </c>
      <c r="FU84" s="1" t="str">
        <f t="shared" si="519"/>
        <v>ND</v>
      </c>
      <c r="FV84" s="1" t="str">
        <f t="shared" si="448"/>
        <v>ND</v>
      </c>
      <c r="FW84" s="1" t="str">
        <f t="shared" si="449"/>
        <v>ND</v>
      </c>
      <c r="FX84" s="1" t="str">
        <f t="shared" si="450"/>
        <v>ND</v>
      </c>
      <c r="FY84" s="1" t="str">
        <f t="shared" si="451"/>
        <v>ND</v>
      </c>
      <c r="FZ84" s="1" t="str">
        <f t="shared" si="452"/>
        <v>ND</v>
      </c>
      <c r="GA84" s="1" t="str">
        <f t="shared" si="453"/>
        <v>ND</v>
      </c>
      <c r="GB84" s="1" t="str">
        <f t="shared" si="454"/>
        <v>ND</v>
      </c>
      <c r="GC84" s="1" t="str">
        <f t="shared" si="455"/>
        <v>ND</v>
      </c>
      <c r="GD84" s="1" t="str">
        <f t="shared" si="456"/>
        <v>ND</v>
      </c>
      <c r="GE84" s="1" t="str">
        <f t="shared" si="457"/>
        <v>ND</v>
      </c>
      <c r="GF84" s="1" t="str">
        <f t="shared" si="458"/>
        <v>ND</v>
      </c>
      <c r="GG84" s="1" t="str">
        <f t="shared" si="459"/>
        <v>ND</v>
      </c>
      <c r="GH84" s="1" t="str">
        <f t="shared" si="460"/>
        <v>ND</v>
      </c>
      <c r="GI84" s="1" t="str">
        <f t="shared" si="461"/>
        <v>ND</v>
      </c>
      <c r="GJ84" s="1" t="str">
        <f t="shared" si="462"/>
        <v>ND</v>
      </c>
      <c r="GK84" s="1" t="str">
        <f t="shared" si="463"/>
        <v>ND</v>
      </c>
      <c r="GL84" s="1" t="str">
        <f t="shared" si="464"/>
        <v>ND</v>
      </c>
      <c r="GM84" s="1" t="str">
        <f t="shared" si="465"/>
        <v>ND</v>
      </c>
      <c r="GN84" s="1" t="str">
        <f t="shared" si="466"/>
        <v>ND</v>
      </c>
      <c r="GO84" s="1" t="str">
        <f t="shared" si="467"/>
        <v>ND</v>
      </c>
      <c r="GP84" s="1" t="str">
        <f t="shared" si="468"/>
        <v>ND</v>
      </c>
      <c r="GQ84" s="1" t="str">
        <f t="shared" si="469"/>
        <v>ND</v>
      </c>
      <c r="GR84" s="1" t="str">
        <f t="shared" si="470"/>
        <v>ND</v>
      </c>
      <c r="GS84" s="1" t="str">
        <f t="shared" si="471"/>
        <v>ND</v>
      </c>
      <c r="GT84" s="1" t="str">
        <f t="shared" si="472"/>
        <v>ND</v>
      </c>
      <c r="GU84" s="1" t="str">
        <f t="shared" si="473"/>
        <v>ND</v>
      </c>
      <c r="GV84" s="1" t="str">
        <f t="shared" si="474"/>
        <v>ND</v>
      </c>
      <c r="GW84" s="1" t="str">
        <f t="shared" si="475"/>
        <v>ND</v>
      </c>
      <c r="GX84" s="1" t="str">
        <f t="shared" si="476"/>
        <v>ND</v>
      </c>
      <c r="GY84" s="1" t="str">
        <f t="shared" si="477"/>
        <v>ND</v>
      </c>
      <c r="GZ84" s="1" t="str">
        <f t="shared" si="478"/>
        <v>ND</v>
      </c>
      <c r="HA84" s="1" t="str">
        <f t="shared" si="479"/>
        <v>ND</v>
      </c>
      <c r="HB84" s="1" t="str">
        <f t="shared" si="480"/>
        <v>ND</v>
      </c>
      <c r="HC84" s="1" t="str">
        <f t="shared" si="481"/>
        <v>ND</v>
      </c>
      <c r="HD84" s="1" t="str">
        <f t="shared" si="482"/>
        <v>ND</v>
      </c>
      <c r="HE84" s="1" t="str">
        <f t="shared" si="483"/>
        <v>ND</v>
      </c>
      <c r="HF84" s="1" t="str">
        <f t="shared" si="484"/>
        <v>ND</v>
      </c>
      <c r="HG84" s="1" t="str">
        <f t="shared" si="485"/>
        <v>ND</v>
      </c>
      <c r="HH84" s="1" t="str">
        <f t="shared" si="486"/>
        <v>ND</v>
      </c>
      <c r="HI84" s="1" t="str">
        <f t="shared" si="487"/>
        <v>ND</v>
      </c>
      <c r="HJ84" s="1" t="str">
        <f t="shared" si="488"/>
        <v>ND</v>
      </c>
      <c r="HK84" s="1" t="str">
        <f t="shared" si="489"/>
        <v>ND</v>
      </c>
      <c r="HL84" s="1" t="str">
        <f t="shared" si="490"/>
        <v>ND</v>
      </c>
      <c r="HM84" s="1" t="str">
        <f t="shared" si="491"/>
        <v>ND</v>
      </c>
      <c r="HN84" s="1" t="str">
        <f t="shared" si="492"/>
        <v>ND</v>
      </c>
      <c r="HO84" s="1" t="str">
        <f t="shared" si="493"/>
        <v>ND</v>
      </c>
      <c r="HP84" s="1" t="str">
        <f t="shared" si="494"/>
        <v>ND</v>
      </c>
      <c r="HQ84" s="1" t="str">
        <f t="shared" si="495"/>
        <v>ND</v>
      </c>
      <c r="HR84" s="1" t="str">
        <f t="shared" si="496"/>
        <v>ND</v>
      </c>
      <c r="HS84" s="1" t="str">
        <f t="shared" si="497"/>
        <v>ND</v>
      </c>
      <c r="HT84" s="1" t="str">
        <f t="shared" si="498"/>
        <v>ND</v>
      </c>
      <c r="HU84" s="1" t="str">
        <f t="shared" si="499"/>
        <v>ND</v>
      </c>
      <c r="HV84" s="1" t="str">
        <f t="shared" si="500"/>
        <v>ND</v>
      </c>
      <c r="HW84" s="1" t="str">
        <f t="shared" si="501"/>
        <v>ND</v>
      </c>
      <c r="HX84" s="1" t="str">
        <f t="shared" si="502"/>
        <v>ND</v>
      </c>
      <c r="HY84" s="1" t="str">
        <f t="shared" si="503"/>
        <v>ND</v>
      </c>
      <c r="HZ84" s="1" t="str">
        <f t="shared" si="504"/>
        <v>ND</v>
      </c>
      <c r="IA84" s="1" t="str">
        <f t="shared" si="505"/>
        <v>ND</v>
      </c>
      <c r="IB84" s="1" t="str">
        <f t="shared" si="506"/>
        <v>ND</v>
      </c>
      <c r="IC84" s="1" t="str">
        <f t="shared" si="507"/>
        <v>ND</v>
      </c>
      <c r="ID84" s="1" t="str">
        <f t="shared" si="508"/>
        <v>ND</v>
      </c>
      <c r="IE84" s="1" t="str">
        <f t="shared" si="509"/>
        <v>ND</v>
      </c>
      <c r="IF84" s="1" t="str">
        <f t="shared" si="510"/>
        <v>ND</v>
      </c>
      <c r="IG84" s="1" t="str">
        <f t="shared" si="511"/>
        <v>ND</v>
      </c>
      <c r="IH84" s="1" t="str">
        <f t="shared" si="512"/>
        <v>ND</v>
      </c>
      <c r="II84" s="1" t="str">
        <f t="shared" si="513"/>
        <v>ND</v>
      </c>
    </row>
    <row r="85" spans="3:243" x14ac:dyDescent="0.25">
      <c r="C85" t="s">
        <v>29</v>
      </c>
      <c r="D85">
        <f>SUMIFS(DICCIONARIO[Cantidad],DICCIONARIO[Modelo],UNIFICADA[[#This Row],[Equipo]])</f>
        <v>0</v>
      </c>
      <c r="E85" s="1">
        <f>IFERROR(VLOOKUP($C85,EQUIPOS[],UNIFICADO!E$9,0),"")</f>
        <v>11</v>
      </c>
      <c r="F85" s="1">
        <f>IFERROR(VLOOKUP($C85,EQUIPOS[],UNIFICADO!F$9,0),"")</f>
        <v>6.5</v>
      </c>
      <c r="G85" s="1">
        <f>IFERROR(VLOOKUP($C85,EQUIPOS[],UNIFICADO!G$9,0),"")</f>
        <v>64</v>
      </c>
      <c r="H85" s="1">
        <f>IFERROR(VLOOKUP($C85,EQUIPOS[],UNIFICADO!H$9,0),"")</f>
        <v>4</v>
      </c>
      <c r="I85" s="1">
        <f>IFERROR(VLOOKUP($C85,EQUIPOS[],UNIFICADO!I$9,0),"")</f>
        <v>32</v>
      </c>
      <c r="J85" s="1" t="str">
        <f>IFERROR(VLOOKUP($C85,EQUIPOS[],UNIFICADO!J$9,0),"")</f>
        <v>128GB</v>
      </c>
      <c r="K85" s="1">
        <f>IFERROR(VLOOKUP($C85,EQUIPOS[],UNIFICADO!K$9,0),"")</f>
        <v>256</v>
      </c>
      <c r="L85" s="1">
        <f>IFERROR(VLOOKUP($C85,EQUIPOS[],UNIFICADO!L$9,0),"")</f>
        <v>8</v>
      </c>
      <c r="M85" s="1" t="str">
        <f>IFERROR(VLOOKUP($C85,EQUIPOS[],UNIFICADO!M$9,0),"")</f>
        <v>2.4/1.9</v>
      </c>
      <c r="N85" s="1">
        <f>IFERROR(VLOOKUP($C85,EQUIPOS[],UNIFICADO!N$9,0),"")</f>
        <v>6</v>
      </c>
      <c r="O85" s="1">
        <f>IFERROR(VLOOKUP($C85,EQUIPOS[],UNIFICADO!O$9,0),"")</f>
        <v>189</v>
      </c>
      <c r="P85" s="1">
        <f>IFERROR(VLOOKUP($C85,EQUIPOS[],UNIFICADO!P$9,0),"")</f>
        <v>15.9</v>
      </c>
      <c r="Q85" s="1">
        <f>IFERROR(VLOOKUP($C85,EQUIPOS[],UNIFICADO!Q$9,0),"")</f>
        <v>7.51</v>
      </c>
      <c r="R85" s="1">
        <f>IFERROR(VLOOKUP($C85,EQUIPOS[],UNIFICADO!R$9,0),"")</f>
        <v>0.84</v>
      </c>
      <c r="S85" s="1">
        <f>IFERROR(VLOOKUP($C85,EQUIPOS[],UNIFICADO!S$9,0),"")</f>
        <v>4500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8"/>
        <v>ND</v>
      </c>
      <c r="W85" s="1" t="str">
        <f t="shared" si="359"/>
        <v>ND</v>
      </c>
      <c r="X85" s="1" t="str">
        <f t="shared" si="351"/>
        <v>ND</v>
      </c>
      <c r="Y85" s="1" t="str">
        <f t="shared" si="351"/>
        <v>ND</v>
      </c>
      <c r="Z85" s="1" t="str">
        <f t="shared" si="514"/>
        <v>ND</v>
      </c>
      <c r="AA85" s="1" t="str">
        <f t="shared" si="514"/>
        <v>ND</v>
      </c>
      <c r="AB85" s="1" t="str">
        <f t="shared" si="514"/>
        <v>ND</v>
      </c>
      <c r="AC85" s="1" t="str">
        <f t="shared" si="514"/>
        <v>ND</v>
      </c>
      <c r="AD85" s="1" t="str">
        <f t="shared" si="514"/>
        <v>ND</v>
      </c>
      <c r="AE85" s="1" t="str">
        <f t="shared" si="514"/>
        <v>ND</v>
      </c>
      <c r="AF85" s="1" t="str">
        <f t="shared" si="514"/>
        <v>ND</v>
      </c>
      <c r="AG85" s="1" t="str">
        <f t="shared" si="514"/>
        <v>ND</v>
      </c>
      <c r="AH85" s="1" t="str">
        <f t="shared" si="514"/>
        <v>ND</v>
      </c>
      <c r="AI85" s="1" t="str">
        <f t="shared" si="360"/>
        <v>ND</v>
      </c>
      <c r="AJ85" s="1" t="str">
        <f t="shared" si="361"/>
        <v>ND</v>
      </c>
      <c r="AK85" s="1" t="str">
        <f t="shared" si="362"/>
        <v>ND</v>
      </c>
      <c r="AL85" s="1" t="str">
        <f t="shared" si="363"/>
        <v>ND</v>
      </c>
      <c r="AM85" s="1" t="str">
        <f t="shared" si="364"/>
        <v>ND</v>
      </c>
      <c r="AN85" s="1" t="str">
        <f t="shared" si="365"/>
        <v>ND</v>
      </c>
      <c r="AO85" s="1" t="str">
        <f t="shared" si="366"/>
        <v>ND</v>
      </c>
      <c r="AP85" s="1" t="str">
        <f t="shared" si="367"/>
        <v>ND</v>
      </c>
      <c r="AQ85" s="1" t="str">
        <f t="shared" si="368"/>
        <v>ND</v>
      </c>
      <c r="AR85" s="1" t="str">
        <f t="shared" si="369"/>
        <v>ND</v>
      </c>
      <c r="AS85" s="1" t="str">
        <f t="shared" si="370"/>
        <v>ND</v>
      </c>
      <c r="AT85" s="1" t="str">
        <f t="shared" si="371"/>
        <v>ND</v>
      </c>
      <c r="AU85" s="1" t="str">
        <f t="shared" si="372"/>
        <v>ND</v>
      </c>
      <c r="AV85" s="1" t="str">
        <f t="shared" si="373"/>
        <v>ND</v>
      </c>
      <c r="AW85" s="1" t="str">
        <f t="shared" si="374"/>
        <v>ND</v>
      </c>
      <c r="AX85" s="1" t="str">
        <f t="shared" si="375"/>
        <v>ND</v>
      </c>
      <c r="AY85" s="1" t="str">
        <f t="shared" si="376"/>
        <v>ND</v>
      </c>
      <c r="AZ85" s="1" t="str">
        <f t="shared" si="377"/>
        <v>ND</v>
      </c>
      <c r="BA85" s="1" t="str">
        <f t="shared" si="378"/>
        <v>ND</v>
      </c>
      <c r="BB85" s="1" t="str">
        <f t="shared" si="379"/>
        <v>ND</v>
      </c>
      <c r="BC85" s="1" t="str">
        <f t="shared" si="380"/>
        <v>ND</v>
      </c>
      <c r="BD85" s="1" t="str">
        <f t="shared" si="381"/>
        <v>ND</v>
      </c>
      <c r="BE85" s="1" t="str">
        <f t="shared" si="382"/>
        <v>ND</v>
      </c>
      <c r="BF85" s="1" t="str">
        <f t="shared" si="383"/>
        <v>ND</v>
      </c>
      <c r="BG85" s="1" t="str">
        <f t="shared" si="384"/>
        <v>ND</v>
      </c>
      <c r="BH85" s="1" t="str">
        <f t="shared" si="385"/>
        <v>ND</v>
      </c>
      <c r="BI85" s="1" t="str">
        <f t="shared" si="386"/>
        <v>ND</v>
      </c>
      <c r="BJ85" s="1" t="str">
        <f t="shared" si="387"/>
        <v>ND</v>
      </c>
      <c r="BK85" s="1" t="str">
        <f t="shared" si="388"/>
        <v>ND</v>
      </c>
      <c r="BL85" s="1" t="str">
        <f t="shared" si="389"/>
        <v>ND</v>
      </c>
      <c r="BM85" s="1" t="str">
        <f t="shared" si="390"/>
        <v>ND</v>
      </c>
      <c r="BN85" s="1" t="str">
        <f t="shared" si="391"/>
        <v>ND</v>
      </c>
      <c r="BO85" s="1" t="str">
        <f t="shared" si="392"/>
        <v>ND</v>
      </c>
      <c r="BP85" s="1" t="str">
        <f t="shared" si="393"/>
        <v>ND</v>
      </c>
      <c r="BQ85" s="1" t="str">
        <f t="shared" si="394"/>
        <v>ND</v>
      </c>
      <c r="BR85" s="1" t="str">
        <f t="shared" si="395"/>
        <v>ND</v>
      </c>
      <c r="BS85" s="1" t="str">
        <f t="shared" si="396"/>
        <v>ND</v>
      </c>
      <c r="BT85" s="1" t="str">
        <f t="shared" si="397"/>
        <v>ND</v>
      </c>
      <c r="BU85" s="1" t="str">
        <f t="shared" si="398"/>
        <v>ND</v>
      </c>
      <c r="BV85" s="1" t="str">
        <f t="shared" si="399"/>
        <v>ND</v>
      </c>
      <c r="BW85" s="1" t="str">
        <f t="shared" si="400"/>
        <v>ND</v>
      </c>
      <c r="BX85" s="1" t="str">
        <f t="shared" si="401"/>
        <v>ND</v>
      </c>
      <c r="BY85" s="1" t="str">
        <f t="shared" si="402"/>
        <v>ND</v>
      </c>
      <c r="BZ85" s="1" t="str">
        <f t="shared" si="403"/>
        <v>ND</v>
      </c>
      <c r="CA85" s="1" t="str">
        <f t="shared" si="515"/>
        <v>ND</v>
      </c>
      <c r="CB85" s="1" t="str">
        <f t="shared" si="515"/>
        <v>ND</v>
      </c>
      <c r="CC85" s="1" t="str">
        <f t="shared" si="515"/>
        <v>ND</v>
      </c>
      <c r="CD85" s="1" t="str">
        <f t="shared" si="515"/>
        <v>ND</v>
      </c>
      <c r="CE85" s="1" t="str">
        <f t="shared" si="515"/>
        <v>ND</v>
      </c>
      <c r="CF85" s="1" t="str">
        <f t="shared" si="515"/>
        <v>ND</v>
      </c>
      <c r="CG85" s="1" t="str">
        <f t="shared" si="515"/>
        <v>ND</v>
      </c>
      <c r="CH85" s="1" t="str">
        <f t="shared" si="515"/>
        <v>ND</v>
      </c>
      <c r="CI85" s="1" t="str">
        <f t="shared" si="515"/>
        <v>ND</v>
      </c>
      <c r="CJ85" s="1" t="str">
        <f t="shared" si="515"/>
        <v>ND</v>
      </c>
      <c r="CK85" s="1" t="str">
        <f t="shared" si="515"/>
        <v>ND</v>
      </c>
      <c r="CL85" s="1" t="str">
        <f t="shared" si="516"/>
        <v>ND</v>
      </c>
      <c r="CM85" s="1" t="str">
        <f t="shared" si="516"/>
        <v>ND</v>
      </c>
      <c r="CN85" s="1" t="str">
        <f t="shared" si="516"/>
        <v>ND</v>
      </c>
      <c r="CO85" s="1" t="str">
        <f t="shared" si="516"/>
        <v>ND</v>
      </c>
      <c r="CP85" s="1" t="str">
        <f t="shared" si="516"/>
        <v>ND</v>
      </c>
      <c r="CQ85" s="1" t="str">
        <f t="shared" si="516"/>
        <v>ND</v>
      </c>
      <c r="CR85" s="1" t="str">
        <f t="shared" si="516"/>
        <v>ND</v>
      </c>
      <c r="CS85" s="1" t="str">
        <f t="shared" si="516"/>
        <v>ND</v>
      </c>
      <c r="CT85" s="1" t="str">
        <f t="shared" si="516"/>
        <v>ND</v>
      </c>
      <c r="CU85" s="1" t="str">
        <f t="shared" si="516"/>
        <v>ND</v>
      </c>
      <c r="CV85" s="1" t="str">
        <f t="shared" si="516"/>
        <v>ND</v>
      </c>
      <c r="CW85" s="1" t="str">
        <f t="shared" si="404"/>
        <v>ND</v>
      </c>
      <c r="CX85" s="1" t="str">
        <f t="shared" si="405"/>
        <v>ND</v>
      </c>
      <c r="CY85" s="1" t="str">
        <f t="shared" si="406"/>
        <v>ND</v>
      </c>
      <c r="CZ85" s="1" t="str">
        <f t="shared" si="407"/>
        <v>ND</v>
      </c>
      <c r="DA85" s="1" t="str">
        <f t="shared" si="408"/>
        <v>ND</v>
      </c>
      <c r="DB85" s="1" t="str">
        <f t="shared" si="409"/>
        <v>ND</v>
      </c>
      <c r="DC85" s="1" t="str">
        <f t="shared" si="410"/>
        <v>ND</v>
      </c>
      <c r="DD85" s="1" t="str">
        <f t="shared" si="411"/>
        <v>ND</v>
      </c>
      <c r="DE85" s="1" t="str">
        <f t="shared" si="412"/>
        <v>ND</v>
      </c>
      <c r="DF85" s="1" t="str">
        <f t="shared" si="413"/>
        <v>ND</v>
      </c>
      <c r="DG85" s="1" t="str">
        <f t="shared" si="414"/>
        <v>ND</v>
      </c>
      <c r="DH85" s="1" t="str">
        <f t="shared" si="415"/>
        <v>ND</v>
      </c>
      <c r="DI85" s="1" t="str">
        <f t="shared" si="416"/>
        <v>ND</v>
      </c>
      <c r="DJ85" s="1" t="str">
        <f t="shared" si="417"/>
        <v>ND</v>
      </c>
      <c r="DK85" s="1" t="str">
        <f t="shared" si="418"/>
        <v>ND</v>
      </c>
      <c r="DL85" s="1" t="str">
        <f t="shared" si="419"/>
        <v>ND</v>
      </c>
      <c r="DM85" s="1" t="str">
        <f t="shared" si="420"/>
        <v>ND</v>
      </c>
      <c r="DN85" s="1" t="str">
        <f t="shared" si="421"/>
        <v>ND</v>
      </c>
      <c r="DO85" s="1" t="str">
        <f t="shared" si="422"/>
        <v>ND</v>
      </c>
      <c r="DP85" s="1" t="str">
        <f t="shared" si="423"/>
        <v>ND</v>
      </c>
      <c r="DQ85" s="1" t="str">
        <f t="shared" si="424"/>
        <v>ND</v>
      </c>
      <c r="DR85" s="1" t="str">
        <f t="shared" si="425"/>
        <v>ND</v>
      </c>
      <c r="DS85" s="1" t="str">
        <f t="shared" si="426"/>
        <v>ND</v>
      </c>
      <c r="DT85" s="1" t="str">
        <f t="shared" si="427"/>
        <v>ND</v>
      </c>
      <c r="DU85" s="1" t="str">
        <f t="shared" si="428"/>
        <v>ND</v>
      </c>
      <c r="DV85" s="1" t="str">
        <f t="shared" si="429"/>
        <v>ND</v>
      </c>
      <c r="DW85" s="1" t="str">
        <f t="shared" si="430"/>
        <v>ND</v>
      </c>
      <c r="DX85" s="1" t="str">
        <f t="shared" si="431"/>
        <v>ND</v>
      </c>
      <c r="DY85" s="1" t="str">
        <f t="shared" si="432"/>
        <v>ND</v>
      </c>
      <c r="DZ85" s="1" t="str">
        <f t="shared" si="433"/>
        <v>ND</v>
      </c>
      <c r="EA85" s="1" t="str">
        <f t="shared" si="434"/>
        <v>ND</v>
      </c>
      <c r="EB85" s="1" t="str">
        <f t="shared" si="435"/>
        <v>ND</v>
      </c>
      <c r="EC85" s="1" t="str">
        <f t="shared" si="436"/>
        <v>ND</v>
      </c>
      <c r="ED85" s="1" t="str">
        <f t="shared" si="437"/>
        <v>ND</v>
      </c>
      <c r="EE85" s="1" t="str">
        <f t="shared" si="438"/>
        <v>ND</v>
      </c>
      <c r="EF85" s="1" t="str">
        <f t="shared" si="439"/>
        <v>ND</v>
      </c>
      <c r="EG85" s="1" t="str">
        <f t="shared" si="440"/>
        <v>ND</v>
      </c>
      <c r="EH85" s="1" t="str">
        <f t="shared" si="441"/>
        <v>ND</v>
      </c>
      <c r="EI85" s="1" t="str">
        <f t="shared" si="442"/>
        <v>ND</v>
      </c>
      <c r="EJ85" s="1" t="str">
        <f t="shared" si="443"/>
        <v>ND</v>
      </c>
      <c r="EK85" s="1" t="str">
        <f t="shared" si="444"/>
        <v>ND</v>
      </c>
      <c r="EL85" s="1" t="str">
        <f t="shared" si="445"/>
        <v>ND</v>
      </c>
      <c r="EM85" s="1" t="str">
        <f t="shared" si="446"/>
        <v>ND</v>
      </c>
      <c r="EN85" s="1" t="str">
        <f t="shared" si="447"/>
        <v>ND</v>
      </c>
      <c r="EO85" s="1" t="str">
        <f t="shared" si="517"/>
        <v>ND</v>
      </c>
      <c r="EP85" s="1" t="str">
        <f t="shared" si="517"/>
        <v>ND</v>
      </c>
      <c r="EQ85" s="1" t="str">
        <f t="shared" si="517"/>
        <v>ND</v>
      </c>
      <c r="ER85" s="1" t="str">
        <f t="shared" si="517"/>
        <v>ND</v>
      </c>
      <c r="ES85" s="1" t="str">
        <f t="shared" si="517"/>
        <v>ND</v>
      </c>
      <c r="ET85" s="1" t="str">
        <f t="shared" si="517"/>
        <v>ND</v>
      </c>
      <c r="EU85" s="1" t="str">
        <f t="shared" si="517"/>
        <v>ND</v>
      </c>
      <c r="EV85" s="1" t="str">
        <f t="shared" si="517"/>
        <v>ND</v>
      </c>
      <c r="EW85" s="1" t="str">
        <f t="shared" si="517"/>
        <v>ND</v>
      </c>
      <c r="EX85" s="1" t="str">
        <f t="shared" si="517"/>
        <v>ND</v>
      </c>
      <c r="EY85" s="1" t="str">
        <f t="shared" si="517"/>
        <v>ND</v>
      </c>
      <c r="EZ85" s="1" t="str">
        <f t="shared" si="518"/>
        <v>ND</v>
      </c>
      <c r="FA85" s="1" t="str">
        <f t="shared" si="518"/>
        <v>ND</v>
      </c>
      <c r="FB85" s="1" t="str">
        <f t="shared" si="518"/>
        <v>ND</v>
      </c>
      <c r="FC85" s="1" t="str">
        <f t="shared" si="518"/>
        <v>ND</v>
      </c>
      <c r="FD85" s="1" t="str">
        <f t="shared" si="518"/>
        <v>ND</v>
      </c>
      <c r="FE85" s="1" t="str">
        <f t="shared" si="518"/>
        <v>ND</v>
      </c>
      <c r="FF85" s="1" t="str">
        <f t="shared" si="518"/>
        <v>ND</v>
      </c>
      <c r="FG85" s="1" t="str">
        <f t="shared" si="518"/>
        <v>ND</v>
      </c>
      <c r="FH85" s="1" t="str">
        <f t="shared" si="518"/>
        <v>ND</v>
      </c>
      <c r="FI85" s="1" t="str">
        <f t="shared" si="518"/>
        <v>ND</v>
      </c>
      <c r="FJ85" s="1" t="str">
        <f t="shared" si="518"/>
        <v>ND</v>
      </c>
      <c r="FK85" s="1" t="str">
        <f t="shared" si="519"/>
        <v>ND</v>
      </c>
      <c r="FL85" s="1" t="str">
        <f t="shared" si="519"/>
        <v>ND</v>
      </c>
      <c r="FM85" s="1" t="str">
        <f t="shared" si="519"/>
        <v>ND</v>
      </c>
      <c r="FN85" s="1" t="str">
        <f t="shared" si="519"/>
        <v>ND</v>
      </c>
      <c r="FO85" s="1" t="str">
        <f t="shared" si="519"/>
        <v>ND</v>
      </c>
      <c r="FP85" s="1" t="str">
        <f t="shared" si="519"/>
        <v>ND</v>
      </c>
      <c r="FQ85" s="1" t="str">
        <f t="shared" si="519"/>
        <v>ND</v>
      </c>
      <c r="FR85" s="1" t="str">
        <f t="shared" si="519"/>
        <v>ND</v>
      </c>
      <c r="FS85" s="1" t="str">
        <f t="shared" si="519"/>
        <v>ND</v>
      </c>
      <c r="FT85" s="1" t="str">
        <f t="shared" si="519"/>
        <v>ND</v>
      </c>
      <c r="FU85" s="1" t="str">
        <f t="shared" si="519"/>
        <v>ND</v>
      </c>
      <c r="FV85" s="1" t="str">
        <f t="shared" si="448"/>
        <v>ND</v>
      </c>
      <c r="FW85" s="1" t="str">
        <f t="shared" si="449"/>
        <v>ND</v>
      </c>
      <c r="FX85" s="1" t="str">
        <f t="shared" si="450"/>
        <v>ND</v>
      </c>
      <c r="FY85" s="1" t="str">
        <f t="shared" si="451"/>
        <v>ND</v>
      </c>
      <c r="FZ85" s="1" t="str">
        <f t="shared" si="452"/>
        <v>ND</v>
      </c>
      <c r="GA85" s="1" t="str">
        <f t="shared" si="453"/>
        <v>ND</v>
      </c>
      <c r="GB85" s="1" t="str">
        <f t="shared" si="454"/>
        <v>ND</v>
      </c>
      <c r="GC85" s="1" t="str">
        <f t="shared" si="455"/>
        <v>ND</v>
      </c>
      <c r="GD85" s="1" t="str">
        <f t="shared" si="456"/>
        <v>ND</v>
      </c>
      <c r="GE85" s="1" t="str">
        <f t="shared" si="457"/>
        <v>ND</v>
      </c>
      <c r="GF85" s="1" t="str">
        <f t="shared" si="458"/>
        <v>ND</v>
      </c>
      <c r="GG85" s="1" t="str">
        <f t="shared" si="459"/>
        <v>ND</v>
      </c>
      <c r="GH85" s="1" t="str">
        <f t="shared" si="460"/>
        <v>ND</v>
      </c>
      <c r="GI85" s="1" t="str">
        <f t="shared" si="461"/>
        <v>ND</v>
      </c>
      <c r="GJ85" s="1" t="str">
        <f t="shared" si="462"/>
        <v>ND</v>
      </c>
      <c r="GK85" s="1" t="str">
        <f t="shared" si="463"/>
        <v>ND</v>
      </c>
      <c r="GL85" s="1" t="str">
        <f t="shared" si="464"/>
        <v>ND</v>
      </c>
      <c r="GM85" s="1" t="str">
        <f t="shared" si="465"/>
        <v>ND</v>
      </c>
      <c r="GN85" s="1" t="str">
        <f t="shared" si="466"/>
        <v>ND</v>
      </c>
      <c r="GO85" s="1" t="str">
        <f t="shared" si="467"/>
        <v>ND</v>
      </c>
      <c r="GP85" s="1" t="str">
        <f t="shared" si="468"/>
        <v>ND</v>
      </c>
      <c r="GQ85" s="1" t="str">
        <f t="shared" si="469"/>
        <v>ND</v>
      </c>
      <c r="GR85" s="1" t="str">
        <f t="shared" si="470"/>
        <v>ND</v>
      </c>
      <c r="GS85" s="1" t="str">
        <f t="shared" si="471"/>
        <v>ND</v>
      </c>
      <c r="GT85" s="1" t="str">
        <f t="shared" si="472"/>
        <v>ND</v>
      </c>
      <c r="GU85" s="1" t="str">
        <f t="shared" si="473"/>
        <v>ND</v>
      </c>
      <c r="GV85" s="1" t="str">
        <f t="shared" si="474"/>
        <v>ND</v>
      </c>
      <c r="GW85" s="1" t="str">
        <f t="shared" si="475"/>
        <v>ND</v>
      </c>
      <c r="GX85" s="1" t="str">
        <f t="shared" si="476"/>
        <v>ND</v>
      </c>
      <c r="GY85" s="1" t="str">
        <f t="shared" si="477"/>
        <v>ND</v>
      </c>
      <c r="GZ85" s="1" t="str">
        <f t="shared" si="478"/>
        <v>ND</v>
      </c>
      <c r="HA85" s="1" t="str">
        <f t="shared" si="479"/>
        <v>ND</v>
      </c>
      <c r="HB85" s="1" t="str">
        <f t="shared" si="480"/>
        <v>ND</v>
      </c>
      <c r="HC85" s="1" t="str">
        <f t="shared" si="481"/>
        <v>ND</v>
      </c>
      <c r="HD85" s="1" t="str">
        <f t="shared" si="482"/>
        <v>ND</v>
      </c>
      <c r="HE85" s="1" t="str">
        <f t="shared" si="483"/>
        <v>ND</v>
      </c>
      <c r="HF85" s="1" t="str">
        <f t="shared" si="484"/>
        <v>ND</v>
      </c>
      <c r="HG85" s="1" t="str">
        <f t="shared" si="485"/>
        <v>ND</v>
      </c>
      <c r="HH85" s="1" t="str">
        <f t="shared" si="486"/>
        <v>ND</v>
      </c>
      <c r="HI85" s="1" t="str">
        <f t="shared" si="487"/>
        <v>ND</v>
      </c>
      <c r="HJ85" s="1" t="str">
        <f t="shared" si="488"/>
        <v>ND</v>
      </c>
      <c r="HK85" s="1" t="str">
        <f t="shared" si="489"/>
        <v>ND</v>
      </c>
      <c r="HL85" s="1" t="str">
        <f t="shared" si="490"/>
        <v>ND</v>
      </c>
      <c r="HM85" s="1" t="str">
        <f t="shared" si="491"/>
        <v>ND</v>
      </c>
      <c r="HN85" s="1" t="str">
        <f t="shared" si="492"/>
        <v>ND</v>
      </c>
      <c r="HO85" s="1" t="str">
        <f t="shared" si="493"/>
        <v>ND</v>
      </c>
      <c r="HP85" s="1" t="str">
        <f t="shared" si="494"/>
        <v>ND</v>
      </c>
      <c r="HQ85" s="1" t="str">
        <f t="shared" si="495"/>
        <v>ND</v>
      </c>
      <c r="HR85" s="1" t="str">
        <f t="shared" si="496"/>
        <v>ND</v>
      </c>
      <c r="HS85" s="1" t="str">
        <f t="shared" si="497"/>
        <v>ND</v>
      </c>
      <c r="HT85" s="1" t="str">
        <f t="shared" si="498"/>
        <v>ND</v>
      </c>
      <c r="HU85" s="1" t="str">
        <f t="shared" si="499"/>
        <v>ND</v>
      </c>
      <c r="HV85" s="1" t="str">
        <f t="shared" si="500"/>
        <v>ND</v>
      </c>
      <c r="HW85" s="1" t="str">
        <f t="shared" si="501"/>
        <v>ND</v>
      </c>
      <c r="HX85" s="1" t="str">
        <f t="shared" si="502"/>
        <v>ND</v>
      </c>
      <c r="HY85" s="1" t="str">
        <f t="shared" si="503"/>
        <v>ND</v>
      </c>
      <c r="HZ85" s="1" t="str">
        <f t="shared" si="504"/>
        <v>ND</v>
      </c>
      <c r="IA85" s="1" t="str">
        <f t="shared" si="505"/>
        <v>ND</v>
      </c>
      <c r="IB85" s="1" t="str">
        <f t="shared" si="506"/>
        <v>ND</v>
      </c>
      <c r="IC85" s="1" t="str">
        <f t="shared" si="507"/>
        <v>ND</v>
      </c>
      <c r="ID85" s="1" t="str">
        <f t="shared" si="508"/>
        <v>ND</v>
      </c>
      <c r="IE85" s="1" t="str">
        <f t="shared" si="509"/>
        <v>ND</v>
      </c>
      <c r="IF85" s="1" t="str">
        <f t="shared" si="510"/>
        <v>ND</v>
      </c>
      <c r="IG85" s="1" t="str">
        <f t="shared" si="511"/>
        <v>ND</v>
      </c>
      <c r="IH85" s="1" t="str">
        <f t="shared" si="512"/>
        <v>ND</v>
      </c>
      <c r="II85" s="1" t="str">
        <f t="shared" si="513"/>
        <v>ND</v>
      </c>
    </row>
    <row r="86" spans="3:243" x14ac:dyDescent="0.25">
      <c r="C86" t="s">
        <v>73</v>
      </c>
      <c r="D86">
        <f>SUMIFS(DICCIONARIO[Cantidad],DICCIONARIO[Modelo],UNIFICADA[[#This Row],[Equipo]])</f>
        <v>0</v>
      </c>
      <c r="E86" s="1">
        <f>IFERROR(VLOOKUP($C86,EQUIPOS[],UNIFICADO!E$9,0),"")</f>
        <v>12</v>
      </c>
      <c r="F86" s="1">
        <f>IFERROR(VLOOKUP($C86,EQUIPOS[],UNIFICADO!F$9,0),"")</f>
        <v>6.5</v>
      </c>
      <c r="G86" s="1">
        <f>IFERROR(VLOOKUP($C86,EQUIPOS[],UNIFICADO!G$9,0),"")</f>
        <v>64</v>
      </c>
      <c r="H86" s="1">
        <f>IFERROR(VLOOKUP($C86,EQUIPOS[],UNIFICADO!H$9,0),"")</f>
        <v>4</v>
      </c>
      <c r="I86" s="1">
        <f>IFERROR(VLOOKUP($C86,EQUIPOS[],UNIFICADO!I$9,0),"")</f>
        <v>32</v>
      </c>
      <c r="J86" s="1" t="str">
        <f>IFERROR(VLOOKUP($C86,EQUIPOS[],UNIFICADO!J$9,0),"")</f>
        <v>128GB</v>
      </c>
      <c r="K86" s="1">
        <f>IFERROR(VLOOKUP($C86,EQUIPOS[],UNIFICADO!K$9,0),"")</f>
        <v>256</v>
      </c>
      <c r="L86" s="1">
        <f>IFERROR(VLOOKUP($C86,EQUIPOS[],UNIFICADO!L$9,0),"")</f>
        <v>8</v>
      </c>
      <c r="M86" s="1" t="str">
        <f>IFERROR(VLOOKUP($C86,EQUIPOS[],UNIFICADO!M$9,0),"")</f>
        <v>2.4/2.0</v>
      </c>
      <c r="N86" s="1">
        <f>IFERROR(VLOOKUP($C86,EQUIPOS[],UNIFICADO!N$9,0),"")</f>
        <v>6</v>
      </c>
      <c r="O86" s="1">
        <f>IFERROR(VLOOKUP($C86,EQUIPOS[],UNIFICADO!O$9,0),"")</f>
        <v>189</v>
      </c>
      <c r="P86" s="1">
        <f>IFERROR(VLOOKUP($C86,EQUIPOS[],UNIFICADO!P$9,0),"")</f>
        <v>15.9</v>
      </c>
      <c r="Q86" s="1">
        <f>IFERROR(VLOOKUP($C86,EQUIPOS[],UNIFICADO!Q$9,0),"")</f>
        <v>7.48</v>
      </c>
      <c r="R86" s="1">
        <f>IFERROR(VLOOKUP($C86,EQUIPOS[],UNIFICADO!R$9,0),"")</f>
        <v>0.81</v>
      </c>
      <c r="S86" s="1">
        <f>IFERROR(VLOOKUP($C86,EQUIPOS[],UNIFICADO!S$9,0),"")</f>
        <v>5000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8"/>
        <v>ND</v>
      </c>
      <c r="W86" s="1" t="str">
        <f t="shared" si="359"/>
        <v>ND</v>
      </c>
      <c r="X86" s="1" t="str">
        <f t="shared" si="351"/>
        <v>ND</v>
      </c>
      <c r="Y86" s="1" t="str">
        <f t="shared" si="351"/>
        <v>ND</v>
      </c>
      <c r="Z86" s="1" t="str">
        <f t="shared" si="514"/>
        <v>ND</v>
      </c>
      <c r="AA86" s="1" t="str">
        <f t="shared" si="514"/>
        <v>ND</v>
      </c>
      <c r="AB86" s="1" t="str">
        <f t="shared" si="514"/>
        <v>ND</v>
      </c>
      <c r="AC86" s="1" t="str">
        <f t="shared" si="514"/>
        <v>ND</v>
      </c>
      <c r="AD86" s="1" t="str">
        <f t="shared" si="514"/>
        <v>ND</v>
      </c>
      <c r="AE86" s="1" t="str">
        <f t="shared" si="514"/>
        <v>ND</v>
      </c>
      <c r="AF86" s="1" t="str">
        <f t="shared" si="514"/>
        <v>ND</v>
      </c>
      <c r="AG86" s="1" t="str">
        <f t="shared" si="514"/>
        <v>ND</v>
      </c>
      <c r="AH86" s="1" t="str">
        <f t="shared" si="514"/>
        <v>ND</v>
      </c>
      <c r="AI86" s="1" t="str">
        <f t="shared" si="360"/>
        <v>ND</v>
      </c>
      <c r="AJ86" s="1" t="str">
        <f t="shared" si="361"/>
        <v>ND</v>
      </c>
      <c r="AK86" s="1" t="str">
        <f t="shared" si="362"/>
        <v>ND</v>
      </c>
      <c r="AL86" s="1" t="str">
        <f t="shared" si="363"/>
        <v>ND</v>
      </c>
      <c r="AM86" s="1" t="str">
        <f t="shared" si="364"/>
        <v>ND</v>
      </c>
      <c r="AN86" s="1" t="str">
        <f t="shared" si="365"/>
        <v>ND</v>
      </c>
      <c r="AO86" s="1" t="str">
        <f t="shared" si="366"/>
        <v>ND</v>
      </c>
      <c r="AP86" s="1" t="str">
        <f t="shared" si="367"/>
        <v>ND</v>
      </c>
      <c r="AQ86" s="1" t="str">
        <f t="shared" si="368"/>
        <v>ND</v>
      </c>
      <c r="AR86" s="1" t="str">
        <f t="shared" si="369"/>
        <v>ND</v>
      </c>
      <c r="AS86" s="1" t="str">
        <f t="shared" si="370"/>
        <v>ND</v>
      </c>
      <c r="AT86" s="1" t="str">
        <f t="shared" si="371"/>
        <v>ND</v>
      </c>
      <c r="AU86" s="1" t="str">
        <f t="shared" si="372"/>
        <v>ND</v>
      </c>
      <c r="AV86" s="1" t="str">
        <f t="shared" si="373"/>
        <v>ND</v>
      </c>
      <c r="AW86" s="1" t="str">
        <f t="shared" si="374"/>
        <v>ND</v>
      </c>
      <c r="AX86" s="1" t="str">
        <f t="shared" si="375"/>
        <v>ND</v>
      </c>
      <c r="AY86" s="1" t="str">
        <f t="shared" si="376"/>
        <v>ND</v>
      </c>
      <c r="AZ86" s="1" t="str">
        <f t="shared" si="377"/>
        <v>ND</v>
      </c>
      <c r="BA86" s="1" t="str">
        <f t="shared" si="378"/>
        <v>ND</v>
      </c>
      <c r="BB86" s="1" t="str">
        <f t="shared" si="379"/>
        <v>ND</v>
      </c>
      <c r="BC86" s="1" t="str">
        <f t="shared" si="380"/>
        <v>ND</v>
      </c>
      <c r="BD86" s="1" t="str">
        <f t="shared" si="381"/>
        <v>ND</v>
      </c>
      <c r="BE86" s="1" t="str">
        <f t="shared" si="382"/>
        <v>ND</v>
      </c>
      <c r="BF86" s="1" t="str">
        <f t="shared" si="383"/>
        <v>ND</v>
      </c>
      <c r="BG86" s="1" t="str">
        <f t="shared" si="384"/>
        <v>ND</v>
      </c>
      <c r="BH86" s="1" t="str">
        <f t="shared" si="385"/>
        <v>ND</v>
      </c>
      <c r="BI86" s="1" t="str">
        <f t="shared" si="386"/>
        <v>ND</v>
      </c>
      <c r="BJ86" s="1" t="str">
        <f t="shared" si="387"/>
        <v>ND</v>
      </c>
      <c r="BK86" s="1" t="str">
        <f t="shared" si="388"/>
        <v>ND</v>
      </c>
      <c r="BL86" s="1" t="str">
        <f t="shared" si="389"/>
        <v>ND</v>
      </c>
      <c r="BM86" s="1" t="str">
        <f t="shared" si="390"/>
        <v>ND</v>
      </c>
      <c r="BN86" s="1" t="str">
        <f t="shared" si="391"/>
        <v>ND</v>
      </c>
      <c r="BO86" s="1" t="str">
        <f t="shared" si="392"/>
        <v>ND</v>
      </c>
      <c r="BP86" s="1" t="str">
        <f t="shared" si="393"/>
        <v>ND</v>
      </c>
      <c r="BQ86" s="1" t="str">
        <f t="shared" si="394"/>
        <v>ND</v>
      </c>
      <c r="BR86" s="1" t="str">
        <f t="shared" si="395"/>
        <v>ND</v>
      </c>
      <c r="BS86" s="1" t="str">
        <f t="shared" si="396"/>
        <v>ND</v>
      </c>
      <c r="BT86" s="1" t="str">
        <f t="shared" si="397"/>
        <v>ND</v>
      </c>
      <c r="BU86" s="1" t="str">
        <f t="shared" si="398"/>
        <v>ND</v>
      </c>
      <c r="BV86" s="1" t="str">
        <f t="shared" si="399"/>
        <v>ND</v>
      </c>
      <c r="BW86" s="1" t="str">
        <f t="shared" si="400"/>
        <v>ND</v>
      </c>
      <c r="BX86" s="1" t="str">
        <f t="shared" si="401"/>
        <v>ND</v>
      </c>
      <c r="BY86" s="1" t="str">
        <f t="shared" si="402"/>
        <v>ND</v>
      </c>
      <c r="BZ86" s="1" t="str">
        <f t="shared" si="403"/>
        <v>ND</v>
      </c>
      <c r="CA86" s="1" t="str">
        <f t="shared" si="515"/>
        <v>ND</v>
      </c>
      <c r="CB86" s="1" t="str">
        <f t="shared" si="515"/>
        <v>ND</v>
      </c>
      <c r="CC86" s="1" t="str">
        <f t="shared" si="515"/>
        <v>ND</v>
      </c>
      <c r="CD86" s="1" t="str">
        <f t="shared" si="515"/>
        <v>ND</v>
      </c>
      <c r="CE86" s="1" t="str">
        <f t="shared" si="515"/>
        <v>ND</v>
      </c>
      <c r="CF86" s="1" t="str">
        <f t="shared" si="515"/>
        <v>ND</v>
      </c>
      <c r="CG86" s="1" t="str">
        <f t="shared" si="515"/>
        <v>ND</v>
      </c>
      <c r="CH86" s="1" t="str">
        <f t="shared" si="515"/>
        <v>ND</v>
      </c>
      <c r="CI86" s="1" t="str">
        <f t="shared" si="515"/>
        <v>ND</v>
      </c>
      <c r="CJ86" s="1" t="str">
        <f t="shared" si="515"/>
        <v>ND</v>
      </c>
      <c r="CK86" s="1" t="str">
        <f t="shared" si="515"/>
        <v>ND</v>
      </c>
      <c r="CL86" s="1" t="str">
        <f t="shared" si="516"/>
        <v>ND</v>
      </c>
      <c r="CM86" s="1" t="str">
        <f t="shared" si="516"/>
        <v>ND</v>
      </c>
      <c r="CN86" s="1" t="str">
        <f t="shared" si="516"/>
        <v>ND</v>
      </c>
      <c r="CO86" s="1" t="str">
        <f t="shared" si="516"/>
        <v>ND</v>
      </c>
      <c r="CP86" s="1" t="str">
        <f t="shared" si="516"/>
        <v>ND</v>
      </c>
      <c r="CQ86" s="1" t="str">
        <f t="shared" si="516"/>
        <v>ND</v>
      </c>
      <c r="CR86" s="1" t="str">
        <f t="shared" si="516"/>
        <v>ND</v>
      </c>
      <c r="CS86" s="1" t="str">
        <f t="shared" si="516"/>
        <v>ND</v>
      </c>
      <c r="CT86" s="1" t="str">
        <f t="shared" si="516"/>
        <v>ND</v>
      </c>
      <c r="CU86" s="1" t="str">
        <f t="shared" si="516"/>
        <v>ND</v>
      </c>
      <c r="CV86" s="1" t="str">
        <f t="shared" si="516"/>
        <v>ND</v>
      </c>
      <c r="CW86" s="1" t="str">
        <f t="shared" si="404"/>
        <v>ND</v>
      </c>
      <c r="CX86" s="1" t="str">
        <f t="shared" si="405"/>
        <v>ND</v>
      </c>
      <c r="CY86" s="1" t="str">
        <f t="shared" si="406"/>
        <v>ND</v>
      </c>
      <c r="CZ86" s="1" t="str">
        <f t="shared" si="407"/>
        <v>ND</v>
      </c>
      <c r="DA86" s="1" t="str">
        <f t="shared" si="408"/>
        <v>ND</v>
      </c>
      <c r="DB86" s="1" t="str">
        <f t="shared" si="409"/>
        <v>ND</v>
      </c>
      <c r="DC86" s="1" t="str">
        <f t="shared" si="410"/>
        <v>ND</v>
      </c>
      <c r="DD86" s="1" t="str">
        <f t="shared" si="411"/>
        <v>ND</v>
      </c>
      <c r="DE86" s="1" t="str">
        <f t="shared" si="412"/>
        <v>ND</v>
      </c>
      <c r="DF86" s="1" t="str">
        <f t="shared" si="413"/>
        <v>ND</v>
      </c>
      <c r="DG86" s="1" t="str">
        <f t="shared" si="414"/>
        <v>ND</v>
      </c>
      <c r="DH86" s="1" t="str">
        <f t="shared" si="415"/>
        <v>ND</v>
      </c>
      <c r="DI86" s="1" t="str">
        <f t="shared" si="416"/>
        <v>ND</v>
      </c>
      <c r="DJ86" s="1" t="str">
        <f t="shared" si="417"/>
        <v>ND</v>
      </c>
      <c r="DK86" s="1" t="str">
        <f t="shared" si="418"/>
        <v>ND</v>
      </c>
      <c r="DL86" s="1" t="str">
        <f t="shared" si="419"/>
        <v>ND</v>
      </c>
      <c r="DM86" s="1" t="str">
        <f t="shared" si="420"/>
        <v>ND</v>
      </c>
      <c r="DN86" s="1" t="str">
        <f t="shared" si="421"/>
        <v>ND</v>
      </c>
      <c r="DO86" s="1" t="str">
        <f t="shared" si="422"/>
        <v>ND</v>
      </c>
      <c r="DP86" s="1" t="str">
        <f t="shared" si="423"/>
        <v>ND</v>
      </c>
      <c r="DQ86" s="1" t="str">
        <f t="shared" si="424"/>
        <v>ND</v>
      </c>
      <c r="DR86" s="1" t="str">
        <f t="shared" si="425"/>
        <v>ND</v>
      </c>
      <c r="DS86" s="1" t="str">
        <f t="shared" si="426"/>
        <v>ND</v>
      </c>
      <c r="DT86" s="1" t="str">
        <f t="shared" si="427"/>
        <v>ND</v>
      </c>
      <c r="DU86" s="1" t="str">
        <f t="shared" si="428"/>
        <v>ND</v>
      </c>
      <c r="DV86" s="1" t="str">
        <f t="shared" si="429"/>
        <v>ND</v>
      </c>
      <c r="DW86" s="1" t="str">
        <f t="shared" si="430"/>
        <v>ND</v>
      </c>
      <c r="DX86" s="1" t="str">
        <f t="shared" si="431"/>
        <v>ND</v>
      </c>
      <c r="DY86" s="1" t="str">
        <f t="shared" si="432"/>
        <v>ND</v>
      </c>
      <c r="DZ86" s="1" t="str">
        <f t="shared" si="433"/>
        <v>ND</v>
      </c>
      <c r="EA86" s="1" t="str">
        <f t="shared" si="434"/>
        <v>ND</v>
      </c>
      <c r="EB86" s="1" t="str">
        <f t="shared" si="435"/>
        <v>ND</v>
      </c>
      <c r="EC86" s="1" t="str">
        <f t="shared" si="436"/>
        <v>ND</v>
      </c>
      <c r="ED86" s="1" t="str">
        <f t="shared" si="437"/>
        <v>ND</v>
      </c>
      <c r="EE86" s="1" t="str">
        <f t="shared" si="438"/>
        <v>ND</v>
      </c>
      <c r="EF86" s="1" t="str">
        <f t="shared" si="439"/>
        <v>ND</v>
      </c>
      <c r="EG86" s="1" t="str">
        <f t="shared" si="440"/>
        <v>ND</v>
      </c>
      <c r="EH86" s="1" t="str">
        <f t="shared" si="441"/>
        <v>ND</v>
      </c>
      <c r="EI86" s="1" t="str">
        <f t="shared" si="442"/>
        <v>ND</v>
      </c>
      <c r="EJ86" s="1" t="str">
        <f t="shared" si="443"/>
        <v>ND</v>
      </c>
      <c r="EK86" s="1" t="str">
        <f t="shared" si="444"/>
        <v>ND</v>
      </c>
      <c r="EL86" s="1" t="str">
        <f t="shared" si="445"/>
        <v>ND</v>
      </c>
      <c r="EM86" s="1" t="str">
        <f t="shared" si="446"/>
        <v>ND</v>
      </c>
      <c r="EN86" s="1" t="str">
        <f t="shared" si="447"/>
        <v>ND</v>
      </c>
      <c r="EO86" s="1" t="str">
        <f t="shared" si="517"/>
        <v>ND</v>
      </c>
      <c r="EP86" s="1" t="str">
        <f t="shared" si="517"/>
        <v>ND</v>
      </c>
      <c r="EQ86" s="1" t="str">
        <f t="shared" si="517"/>
        <v>ND</v>
      </c>
      <c r="ER86" s="1" t="str">
        <f t="shared" si="517"/>
        <v>ND</v>
      </c>
      <c r="ES86" s="1" t="str">
        <f t="shared" si="517"/>
        <v>ND</v>
      </c>
      <c r="ET86" s="1" t="str">
        <f t="shared" si="517"/>
        <v>ND</v>
      </c>
      <c r="EU86" s="1" t="str">
        <f t="shared" si="517"/>
        <v>ND</v>
      </c>
      <c r="EV86" s="1" t="str">
        <f t="shared" si="517"/>
        <v>ND</v>
      </c>
      <c r="EW86" s="1" t="str">
        <f t="shared" si="517"/>
        <v>ND</v>
      </c>
      <c r="EX86" s="1" t="str">
        <f t="shared" si="517"/>
        <v>ND</v>
      </c>
      <c r="EY86" s="1" t="str">
        <f t="shared" si="517"/>
        <v>ND</v>
      </c>
      <c r="EZ86" s="1" t="str">
        <f t="shared" si="518"/>
        <v>ND</v>
      </c>
      <c r="FA86" s="1" t="str">
        <f t="shared" si="518"/>
        <v>ND</v>
      </c>
      <c r="FB86" s="1" t="str">
        <f t="shared" si="518"/>
        <v>ND</v>
      </c>
      <c r="FC86" s="1" t="str">
        <f t="shared" si="518"/>
        <v>ND</v>
      </c>
      <c r="FD86" s="1" t="str">
        <f t="shared" si="518"/>
        <v>ND</v>
      </c>
      <c r="FE86" s="1" t="str">
        <f t="shared" si="518"/>
        <v>ND</v>
      </c>
      <c r="FF86" s="1" t="str">
        <f t="shared" si="518"/>
        <v>ND</v>
      </c>
      <c r="FG86" s="1" t="str">
        <f t="shared" si="518"/>
        <v>ND</v>
      </c>
      <c r="FH86" s="1" t="str">
        <f t="shared" si="518"/>
        <v>ND</v>
      </c>
      <c r="FI86" s="1" t="str">
        <f t="shared" si="518"/>
        <v>ND</v>
      </c>
      <c r="FJ86" s="1" t="str">
        <f t="shared" si="518"/>
        <v>ND</v>
      </c>
      <c r="FK86" s="1" t="str">
        <f t="shared" si="519"/>
        <v>ND</v>
      </c>
      <c r="FL86" s="1" t="str">
        <f t="shared" si="519"/>
        <v>ND</v>
      </c>
      <c r="FM86" s="1" t="str">
        <f t="shared" si="519"/>
        <v>ND</v>
      </c>
      <c r="FN86" s="1" t="str">
        <f t="shared" si="519"/>
        <v>ND</v>
      </c>
      <c r="FO86" s="1" t="str">
        <f t="shared" si="519"/>
        <v>ND</v>
      </c>
      <c r="FP86" s="1" t="str">
        <f t="shared" si="519"/>
        <v>ND</v>
      </c>
      <c r="FQ86" s="1" t="str">
        <f t="shared" si="519"/>
        <v>ND</v>
      </c>
      <c r="FR86" s="1" t="str">
        <f t="shared" si="519"/>
        <v>ND</v>
      </c>
      <c r="FS86" s="1" t="str">
        <f t="shared" si="519"/>
        <v>ND</v>
      </c>
      <c r="FT86" s="1" t="str">
        <f t="shared" si="519"/>
        <v>ND</v>
      </c>
      <c r="FU86" s="1" t="str">
        <f t="shared" si="519"/>
        <v>ND</v>
      </c>
      <c r="FV86" s="1" t="str">
        <f t="shared" si="448"/>
        <v>ND</v>
      </c>
      <c r="FW86" s="1" t="str">
        <f t="shared" si="449"/>
        <v>ND</v>
      </c>
      <c r="FX86" s="1" t="str">
        <f t="shared" si="450"/>
        <v>ND</v>
      </c>
      <c r="FY86" s="1" t="str">
        <f t="shared" si="451"/>
        <v>ND</v>
      </c>
      <c r="FZ86" s="1" t="str">
        <f t="shared" si="452"/>
        <v>ND</v>
      </c>
      <c r="GA86" s="1" t="str">
        <f t="shared" si="453"/>
        <v>ND</v>
      </c>
      <c r="GB86" s="1" t="str">
        <f t="shared" si="454"/>
        <v>ND</v>
      </c>
      <c r="GC86" s="1" t="str">
        <f t="shared" si="455"/>
        <v>ND</v>
      </c>
      <c r="GD86" s="1" t="str">
        <f t="shared" si="456"/>
        <v>ND</v>
      </c>
      <c r="GE86" s="1" t="str">
        <f t="shared" si="457"/>
        <v>ND</v>
      </c>
      <c r="GF86" s="1" t="str">
        <f t="shared" si="458"/>
        <v>ND</v>
      </c>
      <c r="GG86" s="1" t="str">
        <f t="shared" si="459"/>
        <v>ND</v>
      </c>
      <c r="GH86" s="1" t="str">
        <f t="shared" si="460"/>
        <v>ND</v>
      </c>
      <c r="GI86" s="1" t="str">
        <f t="shared" si="461"/>
        <v>ND</v>
      </c>
      <c r="GJ86" s="1" t="str">
        <f t="shared" si="462"/>
        <v>ND</v>
      </c>
      <c r="GK86" s="1" t="str">
        <f t="shared" si="463"/>
        <v>ND</v>
      </c>
      <c r="GL86" s="1" t="str">
        <f t="shared" si="464"/>
        <v>ND</v>
      </c>
      <c r="GM86" s="1" t="str">
        <f t="shared" si="465"/>
        <v>ND</v>
      </c>
      <c r="GN86" s="1" t="str">
        <f t="shared" si="466"/>
        <v>ND</v>
      </c>
      <c r="GO86" s="1" t="str">
        <f t="shared" si="467"/>
        <v>ND</v>
      </c>
      <c r="GP86" s="1" t="str">
        <f t="shared" si="468"/>
        <v>ND</v>
      </c>
      <c r="GQ86" s="1" t="str">
        <f t="shared" si="469"/>
        <v>ND</v>
      </c>
      <c r="GR86" s="1" t="str">
        <f t="shared" si="470"/>
        <v>ND</v>
      </c>
      <c r="GS86" s="1" t="str">
        <f t="shared" si="471"/>
        <v>ND</v>
      </c>
      <c r="GT86" s="1" t="str">
        <f t="shared" si="472"/>
        <v>ND</v>
      </c>
      <c r="GU86" s="1" t="str">
        <f t="shared" si="473"/>
        <v>ND</v>
      </c>
      <c r="GV86" s="1" t="str">
        <f t="shared" si="474"/>
        <v>ND</v>
      </c>
      <c r="GW86" s="1" t="str">
        <f t="shared" si="475"/>
        <v>ND</v>
      </c>
      <c r="GX86" s="1" t="str">
        <f t="shared" si="476"/>
        <v>ND</v>
      </c>
      <c r="GY86" s="1" t="str">
        <f t="shared" si="477"/>
        <v>ND</v>
      </c>
      <c r="GZ86" s="1" t="str">
        <f t="shared" si="478"/>
        <v>ND</v>
      </c>
      <c r="HA86" s="1" t="str">
        <f t="shared" si="479"/>
        <v>ND</v>
      </c>
      <c r="HB86" s="1" t="str">
        <f t="shared" si="480"/>
        <v>ND</v>
      </c>
      <c r="HC86" s="1" t="str">
        <f t="shared" si="481"/>
        <v>ND</v>
      </c>
      <c r="HD86" s="1" t="str">
        <f t="shared" si="482"/>
        <v>ND</v>
      </c>
      <c r="HE86" s="1" t="str">
        <f t="shared" si="483"/>
        <v>ND</v>
      </c>
      <c r="HF86" s="1" t="str">
        <f t="shared" si="484"/>
        <v>ND</v>
      </c>
      <c r="HG86" s="1" t="str">
        <f t="shared" si="485"/>
        <v>ND</v>
      </c>
      <c r="HH86" s="1" t="str">
        <f t="shared" si="486"/>
        <v>ND</v>
      </c>
      <c r="HI86" s="1" t="str">
        <f t="shared" si="487"/>
        <v>ND</v>
      </c>
      <c r="HJ86" s="1" t="str">
        <f t="shared" si="488"/>
        <v>ND</v>
      </c>
      <c r="HK86" s="1" t="str">
        <f t="shared" si="489"/>
        <v>ND</v>
      </c>
      <c r="HL86" s="1" t="str">
        <f t="shared" si="490"/>
        <v>ND</v>
      </c>
      <c r="HM86" s="1" t="str">
        <f t="shared" si="491"/>
        <v>ND</v>
      </c>
      <c r="HN86" s="1" t="str">
        <f t="shared" si="492"/>
        <v>ND</v>
      </c>
      <c r="HO86" s="1" t="str">
        <f t="shared" si="493"/>
        <v>ND</v>
      </c>
      <c r="HP86" s="1" t="str">
        <f t="shared" si="494"/>
        <v>ND</v>
      </c>
      <c r="HQ86" s="1" t="str">
        <f t="shared" si="495"/>
        <v>ND</v>
      </c>
      <c r="HR86" s="1" t="str">
        <f t="shared" si="496"/>
        <v>ND</v>
      </c>
      <c r="HS86" s="1" t="str">
        <f t="shared" si="497"/>
        <v>ND</v>
      </c>
      <c r="HT86" s="1" t="str">
        <f t="shared" si="498"/>
        <v>ND</v>
      </c>
      <c r="HU86" s="1" t="str">
        <f t="shared" si="499"/>
        <v>ND</v>
      </c>
      <c r="HV86" s="1" t="str">
        <f t="shared" si="500"/>
        <v>ND</v>
      </c>
      <c r="HW86" s="1" t="str">
        <f t="shared" si="501"/>
        <v>ND</v>
      </c>
      <c r="HX86" s="1" t="str">
        <f t="shared" si="502"/>
        <v>ND</v>
      </c>
      <c r="HY86" s="1" t="str">
        <f t="shared" si="503"/>
        <v>ND</v>
      </c>
      <c r="HZ86" s="1" t="str">
        <f t="shared" si="504"/>
        <v>ND</v>
      </c>
      <c r="IA86" s="1" t="str">
        <f t="shared" si="505"/>
        <v>ND</v>
      </c>
      <c r="IB86" s="1" t="str">
        <f t="shared" si="506"/>
        <v>ND</v>
      </c>
      <c r="IC86" s="1" t="str">
        <f t="shared" si="507"/>
        <v>ND</v>
      </c>
      <c r="ID86" s="1" t="str">
        <f t="shared" si="508"/>
        <v>ND</v>
      </c>
      <c r="IE86" s="1" t="str">
        <f t="shared" si="509"/>
        <v>ND</v>
      </c>
      <c r="IF86" s="1" t="str">
        <f t="shared" si="510"/>
        <v>ND</v>
      </c>
      <c r="IG86" s="1" t="str">
        <f t="shared" si="511"/>
        <v>ND</v>
      </c>
      <c r="IH86" s="1" t="str">
        <f t="shared" si="512"/>
        <v>ND</v>
      </c>
      <c r="II86" s="1" t="str">
        <f t="shared" si="513"/>
        <v>ND</v>
      </c>
    </row>
    <row r="87" spans="3:243" x14ac:dyDescent="0.25">
      <c r="C87" t="s">
        <v>1015</v>
      </c>
      <c r="D87">
        <f>SUMIFS(DICCIONARIO[Cantidad],DICCIONARIO[Modelo],UNIFICADA[[#This Row],[Equipo]])</f>
        <v>54</v>
      </c>
      <c r="E87" s="1">
        <f>IFERROR(VLOOKUP($C87,EQUIPOS[],UNIFICADO!E$9,0),"")</f>
        <v>13</v>
      </c>
      <c r="F87" s="1" t="str">
        <f>IFERROR(VLOOKUP($C87,EQUIPOS[],UNIFICADO!F$9,0),"")</f>
        <v>6.4 Full HD+ 120Hz</v>
      </c>
      <c r="G87" s="1" t="str">
        <f>IFERROR(VLOOKUP($C87,EQUIPOS[],UNIFICADO!G$9,0),"")</f>
        <v>50 Mpx, f/1.8</v>
      </c>
      <c r="H87" s="1">
        <f>IFERROR(VLOOKUP($C87,EQUIPOS[],UNIFICADO!H$9,0),"")</f>
        <v>3</v>
      </c>
      <c r="I87" s="1" t="str">
        <f>IFERROR(VLOOKUP($C87,EQUIPOS[],UNIFICADO!I$9,0),"")</f>
        <v>32 Mpx f/2.2</v>
      </c>
      <c r="J87" s="1" t="str">
        <f>IFERROR(VLOOKUP($C87,EQUIPOS[],UNIFICADO!J$9,0),"")</f>
        <v>256GB</v>
      </c>
      <c r="K87" s="1">
        <f>IFERROR(VLOOKUP($C87,EQUIPOS[],UNIFICADO!K$9,0),"")</f>
        <v>1024</v>
      </c>
      <c r="L87" s="1">
        <f>IFERROR(VLOOKUP($C87,EQUIPOS[],UNIFICADO!L$9,0),"")</f>
        <v>8</v>
      </c>
      <c r="M87" s="1" t="str">
        <f>IFERROR(VLOOKUP($C87,EQUIPOS[],UNIFICADO!M$9,0),"")</f>
        <v>Exynos 1380</v>
      </c>
      <c r="N87" s="1">
        <f>IFERROR(VLOOKUP($C87,EQUIPOS[],UNIFICADO!N$9,0),"")</f>
        <v>8</v>
      </c>
      <c r="O87" s="1">
        <f>IFERROR(VLOOKUP($C87,EQUIPOS[],UNIFICADO!O$9,0),"")</f>
        <v>202</v>
      </c>
      <c r="P87" s="1">
        <f>IFERROR(VLOOKUP($C87,EQUIPOS[],UNIFICADO!P$9,0),"")</f>
        <v>15.82</v>
      </c>
      <c r="Q87" s="1">
        <f>IFERROR(VLOOKUP($C87,EQUIPOS[],UNIFICADO!Q$9,0),"")</f>
        <v>7.67</v>
      </c>
      <c r="R87" s="1">
        <f>IFERROR(VLOOKUP($C87,EQUIPOS[],UNIFICADO!R$9,0),"")</f>
        <v>0.82</v>
      </c>
      <c r="S87" s="1">
        <f>IFERROR(VLOOKUP($C87,EQUIPOS[],UNIFICADO!S$9,0),"")</f>
        <v>5000</v>
      </c>
      <c r="T87" s="1">
        <f>IFERROR(VLOOKUP($C87,EQUIPOS[],UNIFICADO!T$9,0),"")</f>
        <v>4.5</v>
      </c>
      <c r="U87" s="1">
        <f>VLOOKUP(UNIFICADA[[#This Row],[Equipo]],EQUIPOS[],19,0)</f>
        <v>77</v>
      </c>
      <c r="V87" s="1" t="str">
        <f t="shared" si="358"/>
        <v>ND</v>
      </c>
      <c r="W87" s="1" t="str">
        <f t="shared" si="359"/>
        <v>ND</v>
      </c>
      <c r="X87" s="1" t="str">
        <f t="shared" si="351"/>
        <v>ND</v>
      </c>
      <c r="Y87" s="1" t="str">
        <f t="shared" si="351"/>
        <v>ND</v>
      </c>
      <c r="Z87" s="1" t="str">
        <f t="shared" si="514"/>
        <v>ND</v>
      </c>
      <c r="AA87" s="1" t="str">
        <f t="shared" si="514"/>
        <v>ND</v>
      </c>
      <c r="AB87" s="1" t="str">
        <f t="shared" si="514"/>
        <v>ND</v>
      </c>
      <c r="AC87" s="1" t="str">
        <f t="shared" si="514"/>
        <v>ND</v>
      </c>
      <c r="AD87" s="1" t="str">
        <f t="shared" si="514"/>
        <v>ND</v>
      </c>
      <c r="AE87" s="1" t="str">
        <f t="shared" si="514"/>
        <v>ND</v>
      </c>
      <c r="AF87" s="1" t="str">
        <f t="shared" si="514"/>
        <v>ND</v>
      </c>
      <c r="AG87" s="1" t="str">
        <f t="shared" si="514"/>
        <v>ND</v>
      </c>
      <c r="AH87" s="1" t="str">
        <f t="shared" si="514"/>
        <v>ND</v>
      </c>
      <c r="AI87" s="1" t="str">
        <f t="shared" si="360"/>
        <v>ND</v>
      </c>
      <c r="AJ87" s="1" t="str">
        <f t="shared" si="361"/>
        <v>ND</v>
      </c>
      <c r="AK87" s="1" t="str">
        <f t="shared" si="362"/>
        <v>ND</v>
      </c>
      <c r="AL87" s="1" t="str">
        <f t="shared" si="363"/>
        <v>ND</v>
      </c>
      <c r="AM87" s="1" t="str">
        <f t="shared" si="364"/>
        <v>ND</v>
      </c>
      <c r="AN87" s="1" t="str">
        <f t="shared" si="365"/>
        <v>ND</v>
      </c>
      <c r="AO87" s="1" t="str">
        <f t="shared" si="366"/>
        <v>ND</v>
      </c>
      <c r="AP87" s="1" t="str">
        <f t="shared" si="367"/>
        <v>ND</v>
      </c>
      <c r="AQ87" s="1" t="str">
        <f t="shared" si="368"/>
        <v>ND</v>
      </c>
      <c r="AR87" s="1" t="str">
        <f t="shared" si="369"/>
        <v>ND</v>
      </c>
      <c r="AS87" s="1" t="str">
        <f t="shared" si="370"/>
        <v>ND</v>
      </c>
      <c r="AT87" s="1" t="str">
        <f t="shared" si="371"/>
        <v>ND</v>
      </c>
      <c r="AU87" s="1" t="str">
        <f t="shared" si="372"/>
        <v>ND</v>
      </c>
      <c r="AV87" s="1" t="str">
        <f t="shared" si="373"/>
        <v>ND</v>
      </c>
      <c r="AW87" s="1" t="str">
        <f t="shared" si="374"/>
        <v>ND</v>
      </c>
      <c r="AX87" s="1" t="str">
        <f t="shared" si="375"/>
        <v>ND</v>
      </c>
      <c r="AY87" s="1" t="str">
        <f t="shared" si="376"/>
        <v>ND</v>
      </c>
      <c r="AZ87" s="1" t="str">
        <f t="shared" si="377"/>
        <v>ND</v>
      </c>
      <c r="BA87" s="1" t="str">
        <f t="shared" si="378"/>
        <v>ND</v>
      </c>
      <c r="BB87" s="1" t="str">
        <f t="shared" si="379"/>
        <v>ND</v>
      </c>
      <c r="BC87" s="1" t="str">
        <f t="shared" si="380"/>
        <v>ND</v>
      </c>
      <c r="BD87" s="1" t="str">
        <f t="shared" si="381"/>
        <v>ND</v>
      </c>
      <c r="BE87" s="1" t="str">
        <f t="shared" si="382"/>
        <v>ND</v>
      </c>
      <c r="BF87" s="1" t="str">
        <f t="shared" si="383"/>
        <v>ND</v>
      </c>
      <c r="BG87" s="1" t="str">
        <f t="shared" si="384"/>
        <v>ND</v>
      </c>
      <c r="BH87" s="1" t="str">
        <f t="shared" si="385"/>
        <v>ND</v>
      </c>
      <c r="BI87" s="1" t="str">
        <f t="shared" si="386"/>
        <v>ND</v>
      </c>
      <c r="BJ87" s="1" t="str">
        <f t="shared" si="387"/>
        <v>ND</v>
      </c>
      <c r="BK87" s="1" t="str">
        <f t="shared" si="388"/>
        <v>ND</v>
      </c>
      <c r="BL87" s="1" t="str">
        <f t="shared" si="389"/>
        <v>ND</v>
      </c>
      <c r="BM87" s="1" t="str">
        <f t="shared" si="390"/>
        <v>ND</v>
      </c>
      <c r="BN87" s="1" t="str">
        <f t="shared" si="391"/>
        <v>ND</v>
      </c>
      <c r="BO87" s="1" t="str">
        <f t="shared" si="392"/>
        <v>ND</v>
      </c>
      <c r="BP87" s="1" t="str">
        <f t="shared" si="393"/>
        <v>ND</v>
      </c>
      <c r="BQ87" s="1" t="str">
        <f t="shared" si="394"/>
        <v>ND</v>
      </c>
      <c r="BR87" s="1" t="str">
        <f t="shared" si="395"/>
        <v>ND</v>
      </c>
      <c r="BS87" s="1" t="str">
        <f t="shared" si="396"/>
        <v>ND</v>
      </c>
      <c r="BT87" s="1" t="str">
        <f t="shared" si="397"/>
        <v>ND</v>
      </c>
      <c r="BU87" s="1" t="str">
        <f t="shared" si="398"/>
        <v>ND</v>
      </c>
      <c r="BV87" s="1" t="str">
        <f t="shared" si="399"/>
        <v>ND</v>
      </c>
      <c r="BW87" s="1" t="str">
        <f t="shared" si="400"/>
        <v>ND</v>
      </c>
      <c r="BX87" s="1" t="str">
        <f t="shared" si="401"/>
        <v>ND</v>
      </c>
      <c r="BY87" s="1" t="str">
        <f t="shared" si="402"/>
        <v>ND</v>
      </c>
      <c r="BZ87" s="1" t="str">
        <f t="shared" si="403"/>
        <v>ND</v>
      </c>
      <c r="CA87" s="1" t="str">
        <f t="shared" si="515"/>
        <v>ND</v>
      </c>
      <c r="CB87" s="1" t="str">
        <f t="shared" si="515"/>
        <v>ND</v>
      </c>
      <c r="CC87" s="1" t="str">
        <f t="shared" si="515"/>
        <v>ND</v>
      </c>
      <c r="CD87" s="1" t="str">
        <f t="shared" si="515"/>
        <v>ND</v>
      </c>
      <c r="CE87" s="1" t="str">
        <f t="shared" si="515"/>
        <v>ND</v>
      </c>
      <c r="CF87" s="1" t="str">
        <f t="shared" si="515"/>
        <v>ND</v>
      </c>
      <c r="CG87" s="1" t="str">
        <f t="shared" si="515"/>
        <v>ND</v>
      </c>
      <c r="CH87" s="1" t="str">
        <f t="shared" si="515"/>
        <v>ND</v>
      </c>
      <c r="CI87" s="1" t="str">
        <f t="shared" si="515"/>
        <v>ND</v>
      </c>
      <c r="CJ87" s="1" t="str">
        <f t="shared" si="515"/>
        <v>ND</v>
      </c>
      <c r="CK87" s="1" t="str">
        <f t="shared" si="515"/>
        <v>ND</v>
      </c>
      <c r="CL87" s="1" t="str">
        <f t="shared" si="516"/>
        <v>ND</v>
      </c>
      <c r="CM87" s="1" t="str">
        <f t="shared" si="516"/>
        <v>ND</v>
      </c>
      <c r="CN87" s="1" t="str">
        <f t="shared" si="516"/>
        <v>ND</v>
      </c>
      <c r="CO87" s="1" t="str">
        <f t="shared" si="516"/>
        <v>ND</v>
      </c>
      <c r="CP87" s="1" t="str">
        <f t="shared" si="516"/>
        <v>ND</v>
      </c>
      <c r="CQ87" s="1" t="str">
        <f t="shared" si="516"/>
        <v>ND</v>
      </c>
      <c r="CR87" s="1" t="str">
        <f t="shared" si="516"/>
        <v>ND</v>
      </c>
      <c r="CS87" s="1" t="str">
        <f t="shared" si="516"/>
        <v>ND</v>
      </c>
      <c r="CT87" s="1" t="str">
        <f t="shared" si="516"/>
        <v>ND</v>
      </c>
      <c r="CU87" s="1" t="str">
        <f t="shared" si="516"/>
        <v>ND</v>
      </c>
      <c r="CV87" s="1" t="str">
        <f t="shared" si="516"/>
        <v>ND</v>
      </c>
      <c r="CW87" s="1" t="str">
        <f t="shared" si="404"/>
        <v>ND</v>
      </c>
      <c r="CX87" s="1" t="str">
        <f t="shared" si="405"/>
        <v>ND</v>
      </c>
      <c r="CY87" s="1" t="str">
        <f t="shared" si="406"/>
        <v>ND</v>
      </c>
      <c r="CZ87" s="1" t="str">
        <f t="shared" si="407"/>
        <v>ND</v>
      </c>
      <c r="DA87" s="1" t="str">
        <f t="shared" si="408"/>
        <v>ND</v>
      </c>
      <c r="DB87" s="1" t="str">
        <f t="shared" si="409"/>
        <v>ND</v>
      </c>
      <c r="DC87" s="1" t="str">
        <f t="shared" si="410"/>
        <v>ND</v>
      </c>
      <c r="DD87" s="1" t="str">
        <f t="shared" si="411"/>
        <v>ND</v>
      </c>
      <c r="DE87" s="1" t="str">
        <f t="shared" si="412"/>
        <v>ND</v>
      </c>
      <c r="DF87" s="1" t="str">
        <f t="shared" si="413"/>
        <v>ND</v>
      </c>
      <c r="DG87" s="1" t="str">
        <f t="shared" si="414"/>
        <v>ND</v>
      </c>
      <c r="DH87" s="1" t="str">
        <f t="shared" si="415"/>
        <v>ND</v>
      </c>
      <c r="DI87" s="1" t="str">
        <f t="shared" si="416"/>
        <v>ND</v>
      </c>
      <c r="DJ87" s="1" t="str">
        <f t="shared" si="417"/>
        <v>ND</v>
      </c>
      <c r="DK87" s="1" t="str">
        <f t="shared" si="418"/>
        <v>ND</v>
      </c>
      <c r="DL87" s="1" t="str">
        <f t="shared" si="419"/>
        <v>ND</v>
      </c>
      <c r="DM87" s="1" t="str">
        <f t="shared" si="420"/>
        <v>ND</v>
      </c>
      <c r="DN87" s="1" t="str">
        <f t="shared" si="421"/>
        <v>ND</v>
      </c>
      <c r="DO87" s="1" t="str">
        <f t="shared" si="422"/>
        <v>ND</v>
      </c>
      <c r="DP87" s="1" t="str">
        <f t="shared" si="423"/>
        <v>ND</v>
      </c>
      <c r="DQ87" s="1" t="str">
        <f t="shared" si="424"/>
        <v>ND</v>
      </c>
      <c r="DR87" s="1" t="str">
        <f t="shared" si="425"/>
        <v>ND</v>
      </c>
      <c r="DS87" s="1" t="str">
        <f t="shared" si="426"/>
        <v>ND</v>
      </c>
      <c r="DT87" s="1" t="str">
        <f t="shared" si="427"/>
        <v>ND</v>
      </c>
      <c r="DU87" s="1" t="str">
        <f t="shared" si="428"/>
        <v>ND</v>
      </c>
      <c r="DV87" s="1" t="str">
        <f t="shared" si="429"/>
        <v>ND</v>
      </c>
      <c r="DW87" s="1" t="str">
        <f t="shared" si="430"/>
        <v>ND</v>
      </c>
      <c r="DX87" s="1" t="str">
        <f t="shared" si="431"/>
        <v>ND</v>
      </c>
      <c r="DY87" s="1" t="str">
        <f t="shared" si="432"/>
        <v>ND</v>
      </c>
      <c r="DZ87" s="1" t="str">
        <f t="shared" si="433"/>
        <v>ND</v>
      </c>
      <c r="EA87" s="1" t="str">
        <f t="shared" si="434"/>
        <v>ND</v>
      </c>
      <c r="EB87" s="1" t="str">
        <f t="shared" si="435"/>
        <v>ND</v>
      </c>
      <c r="EC87" s="1" t="str">
        <f t="shared" si="436"/>
        <v>ND</v>
      </c>
      <c r="ED87" s="1" t="str">
        <f t="shared" si="437"/>
        <v>ND</v>
      </c>
      <c r="EE87" s="1" t="str">
        <f t="shared" si="438"/>
        <v>ND</v>
      </c>
      <c r="EF87" s="1" t="str">
        <f t="shared" si="439"/>
        <v>ND</v>
      </c>
      <c r="EG87" s="1" t="str">
        <f t="shared" si="440"/>
        <v>ND</v>
      </c>
      <c r="EH87" s="1" t="str">
        <f t="shared" si="441"/>
        <v>ND</v>
      </c>
      <c r="EI87" s="1" t="str">
        <f t="shared" si="442"/>
        <v>ND</v>
      </c>
      <c r="EJ87" s="1" t="str">
        <f t="shared" si="443"/>
        <v>ND</v>
      </c>
      <c r="EK87" s="1" t="str">
        <f t="shared" si="444"/>
        <v>ND</v>
      </c>
      <c r="EL87" s="1" t="str">
        <f t="shared" si="445"/>
        <v>ND</v>
      </c>
      <c r="EM87" s="1" t="str">
        <f t="shared" si="446"/>
        <v>ND</v>
      </c>
      <c r="EN87" s="1" t="str">
        <f t="shared" si="447"/>
        <v>ND</v>
      </c>
      <c r="EO87" s="1" t="str">
        <f t="shared" si="517"/>
        <v>ND</v>
      </c>
      <c r="EP87" s="1" t="str">
        <f t="shared" si="517"/>
        <v>ND</v>
      </c>
      <c r="EQ87" s="1" t="str">
        <f t="shared" si="517"/>
        <v>ND</v>
      </c>
      <c r="ER87" s="1" t="str">
        <f t="shared" si="517"/>
        <v>ND</v>
      </c>
      <c r="ES87" s="1" t="str">
        <f t="shared" si="517"/>
        <v>ND</v>
      </c>
      <c r="ET87" s="1" t="str">
        <f t="shared" si="517"/>
        <v>ND</v>
      </c>
      <c r="EU87" s="1" t="str">
        <f t="shared" si="517"/>
        <v>ND</v>
      </c>
      <c r="EV87" s="1" t="str">
        <f t="shared" si="517"/>
        <v>ND</v>
      </c>
      <c r="EW87" s="1" t="str">
        <f t="shared" si="517"/>
        <v>ND</v>
      </c>
      <c r="EX87" s="1" t="str">
        <f t="shared" si="517"/>
        <v>ND</v>
      </c>
      <c r="EY87" s="1" t="str">
        <f t="shared" si="517"/>
        <v>ND</v>
      </c>
      <c r="EZ87" s="1" t="str">
        <f t="shared" si="518"/>
        <v>ND</v>
      </c>
      <c r="FA87" s="1" t="str">
        <f t="shared" si="518"/>
        <v>ND</v>
      </c>
      <c r="FB87" s="1" t="str">
        <f t="shared" si="518"/>
        <v>ND</v>
      </c>
      <c r="FC87" s="1" t="str">
        <f t="shared" si="518"/>
        <v>ND</v>
      </c>
      <c r="FD87" s="1" t="str">
        <f t="shared" si="518"/>
        <v>ND</v>
      </c>
      <c r="FE87" s="1" t="str">
        <f t="shared" si="518"/>
        <v>ND</v>
      </c>
      <c r="FF87" s="1" t="str">
        <f t="shared" si="518"/>
        <v>ND</v>
      </c>
      <c r="FG87" s="1" t="str">
        <f t="shared" si="518"/>
        <v>ND</v>
      </c>
      <c r="FH87" s="1" t="str">
        <f t="shared" si="518"/>
        <v>ND</v>
      </c>
      <c r="FI87" s="1" t="str">
        <f t="shared" si="518"/>
        <v>ND</v>
      </c>
      <c r="FJ87" s="1" t="str">
        <f t="shared" si="518"/>
        <v>ND</v>
      </c>
      <c r="FK87" s="1" t="str">
        <f t="shared" si="519"/>
        <v>ND</v>
      </c>
      <c r="FL87" s="1" t="str">
        <f t="shared" si="519"/>
        <v>ND</v>
      </c>
      <c r="FM87" s="1" t="str">
        <f t="shared" si="519"/>
        <v>ND</v>
      </c>
      <c r="FN87" s="1" t="str">
        <f t="shared" si="519"/>
        <v>ND</v>
      </c>
      <c r="FO87" s="1" t="str">
        <f t="shared" si="519"/>
        <v>ND</v>
      </c>
      <c r="FP87" s="1" t="str">
        <f t="shared" si="519"/>
        <v>ND</v>
      </c>
      <c r="FQ87" s="1" t="str">
        <f t="shared" si="519"/>
        <v>ND</v>
      </c>
      <c r="FR87" s="1" t="str">
        <f t="shared" si="519"/>
        <v>ND</v>
      </c>
      <c r="FS87" s="1" t="str">
        <f t="shared" si="519"/>
        <v>ND</v>
      </c>
      <c r="FT87" s="1" t="str">
        <f t="shared" si="519"/>
        <v>ND</v>
      </c>
      <c r="FU87" s="1" t="str">
        <f t="shared" si="519"/>
        <v>ND</v>
      </c>
      <c r="FV87" s="1" t="str">
        <f t="shared" si="448"/>
        <v>ND</v>
      </c>
      <c r="FW87" s="1" t="str">
        <f t="shared" si="449"/>
        <v>ND</v>
      </c>
      <c r="FX87" s="1" t="str">
        <f t="shared" si="450"/>
        <v>ND</v>
      </c>
      <c r="FY87" s="1" t="str">
        <f t="shared" si="451"/>
        <v>ND</v>
      </c>
      <c r="FZ87" s="1" t="str">
        <f t="shared" si="452"/>
        <v>ND</v>
      </c>
      <c r="GA87" s="1" t="str">
        <f t="shared" si="453"/>
        <v>ND</v>
      </c>
      <c r="GB87" s="1" t="str">
        <f t="shared" si="454"/>
        <v>ND</v>
      </c>
      <c r="GC87" s="1" t="str">
        <f t="shared" si="455"/>
        <v>ND</v>
      </c>
      <c r="GD87" s="1" t="str">
        <f t="shared" si="456"/>
        <v>ND</v>
      </c>
      <c r="GE87" s="1" t="str">
        <f t="shared" si="457"/>
        <v>ND</v>
      </c>
      <c r="GF87" s="1" t="str">
        <f t="shared" si="458"/>
        <v>ND</v>
      </c>
      <c r="GG87" s="1" t="str">
        <f t="shared" si="459"/>
        <v>ND</v>
      </c>
      <c r="GH87" s="1" t="str">
        <f t="shared" si="460"/>
        <v>ND</v>
      </c>
      <c r="GI87" s="1" t="str">
        <f t="shared" si="461"/>
        <v>ND</v>
      </c>
      <c r="GJ87" s="1" t="str">
        <f t="shared" si="462"/>
        <v>ND</v>
      </c>
      <c r="GK87" s="1" t="str">
        <f t="shared" si="463"/>
        <v>ND</v>
      </c>
      <c r="GL87" s="1" t="str">
        <f t="shared" si="464"/>
        <v>ND</v>
      </c>
      <c r="GM87" s="1" t="str">
        <f t="shared" si="465"/>
        <v>ND</v>
      </c>
      <c r="GN87" s="1" t="str">
        <f t="shared" si="466"/>
        <v>ND</v>
      </c>
      <c r="GO87" s="1" t="str">
        <f t="shared" si="467"/>
        <v>ND</v>
      </c>
      <c r="GP87" s="1" t="str">
        <f t="shared" si="468"/>
        <v>ND</v>
      </c>
      <c r="GQ87" s="1" t="str">
        <f t="shared" si="469"/>
        <v>ND</v>
      </c>
      <c r="GR87" s="1" t="str">
        <f t="shared" si="470"/>
        <v>ND</v>
      </c>
      <c r="GS87" s="1" t="str">
        <f t="shared" si="471"/>
        <v>ND</v>
      </c>
      <c r="GT87" s="1" t="str">
        <f t="shared" si="472"/>
        <v>ND</v>
      </c>
      <c r="GU87" s="1" t="str">
        <f t="shared" si="473"/>
        <v>ND</v>
      </c>
      <c r="GV87" s="1" t="str">
        <f t="shared" si="474"/>
        <v>ND</v>
      </c>
      <c r="GW87" s="1" t="str">
        <f t="shared" si="475"/>
        <v>ND</v>
      </c>
      <c r="GX87" s="1" t="str">
        <f t="shared" si="476"/>
        <v>ND</v>
      </c>
      <c r="GY87" s="1" t="str">
        <f t="shared" si="477"/>
        <v>ND</v>
      </c>
      <c r="GZ87" s="1" t="str">
        <f t="shared" si="478"/>
        <v>ND</v>
      </c>
      <c r="HA87" s="1" t="str">
        <f t="shared" si="479"/>
        <v>ND</v>
      </c>
      <c r="HB87" s="1" t="str">
        <f t="shared" si="480"/>
        <v>ND</v>
      </c>
      <c r="HC87" s="1" t="str">
        <f t="shared" si="481"/>
        <v>ND</v>
      </c>
      <c r="HD87" s="1" t="str">
        <f t="shared" si="482"/>
        <v>ND</v>
      </c>
      <c r="HE87" s="1" t="str">
        <f t="shared" si="483"/>
        <v>ND</v>
      </c>
      <c r="HF87" s="1" t="str">
        <f t="shared" si="484"/>
        <v>ND</v>
      </c>
      <c r="HG87" s="1" t="str">
        <f t="shared" si="485"/>
        <v>ND</v>
      </c>
      <c r="HH87" s="1" t="str">
        <f t="shared" si="486"/>
        <v>ND</v>
      </c>
      <c r="HI87" s="1" t="str">
        <f t="shared" si="487"/>
        <v>ND</v>
      </c>
      <c r="HJ87" s="1" t="str">
        <f t="shared" si="488"/>
        <v>ND</v>
      </c>
      <c r="HK87" s="1" t="str">
        <f t="shared" si="489"/>
        <v>ND</v>
      </c>
      <c r="HL87" s="1" t="str">
        <f t="shared" si="490"/>
        <v>ND</v>
      </c>
      <c r="HM87" s="1" t="str">
        <f t="shared" si="491"/>
        <v>ND</v>
      </c>
      <c r="HN87" s="1" t="str">
        <f t="shared" si="492"/>
        <v>ND</v>
      </c>
      <c r="HO87" s="1" t="str">
        <f t="shared" si="493"/>
        <v>ND</v>
      </c>
      <c r="HP87" s="1" t="str">
        <f t="shared" si="494"/>
        <v>ND</v>
      </c>
      <c r="HQ87" s="1" t="str">
        <f t="shared" si="495"/>
        <v>ND</v>
      </c>
      <c r="HR87" s="1" t="str">
        <f t="shared" si="496"/>
        <v>ND</v>
      </c>
      <c r="HS87" s="1" t="str">
        <f t="shared" si="497"/>
        <v>ND</v>
      </c>
      <c r="HT87" s="1" t="str">
        <f t="shared" si="498"/>
        <v>ND</v>
      </c>
      <c r="HU87" s="1" t="str">
        <f t="shared" si="499"/>
        <v>ND</v>
      </c>
      <c r="HV87" s="1" t="str">
        <f t="shared" si="500"/>
        <v>ND</v>
      </c>
      <c r="HW87" s="1" t="str">
        <f t="shared" si="501"/>
        <v>ND</v>
      </c>
      <c r="HX87" s="1" t="str">
        <f t="shared" si="502"/>
        <v>ND</v>
      </c>
      <c r="HY87" s="1" t="str">
        <f t="shared" si="503"/>
        <v>ND</v>
      </c>
      <c r="HZ87" s="1" t="str">
        <f t="shared" si="504"/>
        <v>ND</v>
      </c>
      <c r="IA87" s="1" t="str">
        <f t="shared" si="505"/>
        <v>ND</v>
      </c>
      <c r="IB87" s="1" t="str">
        <f t="shared" si="506"/>
        <v>ND</v>
      </c>
      <c r="IC87" s="1" t="str">
        <f t="shared" si="507"/>
        <v>ND</v>
      </c>
      <c r="ID87" s="1" t="str">
        <f t="shared" si="508"/>
        <v>ND</v>
      </c>
      <c r="IE87" s="1" t="str">
        <f t="shared" si="509"/>
        <v>ND</v>
      </c>
      <c r="IF87" s="1" t="str">
        <f t="shared" si="510"/>
        <v>ND</v>
      </c>
      <c r="IG87" s="1" t="str">
        <f t="shared" si="511"/>
        <v>ND</v>
      </c>
      <c r="IH87" s="1" t="str">
        <f t="shared" si="512"/>
        <v>ND</v>
      </c>
      <c r="II87" s="1" t="str">
        <f t="shared" si="513"/>
        <v>ND</v>
      </c>
    </row>
    <row r="88" spans="3:243" x14ac:dyDescent="0.25">
      <c r="C88" t="s">
        <v>30</v>
      </c>
      <c r="D88">
        <f>SUMIFS(DICCIONARIO[Cantidad],DICCIONARIO[Modelo],UNIFICADA[[#This Row],[Equipo]])</f>
        <v>0</v>
      </c>
      <c r="E88" s="1">
        <f>IFERROR(VLOOKUP($C88,EQUIPOS[],UNIFICADO!E$9,0),"")</f>
        <v>12</v>
      </c>
      <c r="F88" s="1">
        <f>IFERROR(VLOOKUP($C88,EQUIPOS[],UNIFICADO!F$9,0),"")</f>
        <v>6.3</v>
      </c>
      <c r="G88" s="1">
        <f>IFERROR(VLOOKUP($C88,EQUIPOS[],UNIFICADO!G$9,0),"")</f>
        <v>16</v>
      </c>
      <c r="H88" s="1">
        <f>IFERROR(VLOOKUP($C88,EQUIPOS[],UNIFICADO!H$9,0),"")</f>
        <v>3</v>
      </c>
      <c r="I88" s="1">
        <f>IFERROR(VLOOKUP($C88,EQUIPOS[],UNIFICADO!I$9,0),"")</f>
        <v>10</v>
      </c>
      <c r="J88" s="1" t="str">
        <f>IFERROR(VLOOKUP($C88,EQUIPOS[],UNIFICADO!J$9,0),"")</f>
        <v>256GB</v>
      </c>
      <c r="K88" s="1">
        <f>IFERROR(VLOOKUP($C88,EQUIPOS[],UNIFICADO!K$9,0),"")</f>
        <v>256</v>
      </c>
      <c r="L88" s="1">
        <f>IFERROR(VLOOKUP($C88,EQUIPOS[],UNIFICADO!L$9,0),"")</f>
        <v>8</v>
      </c>
      <c r="M88" s="1" t="str">
        <f>IFERROR(VLOOKUP($C88,EQUIPOS[],UNIFICADO!M$9,0),"")</f>
        <v>1.9/2.7</v>
      </c>
      <c r="N88" s="1">
        <f>IFERROR(VLOOKUP($C88,EQUIPOS[],UNIFICADO!N$9,0),"")</f>
        <v>8</v>
      </c>
      <c r="O88" s="1">
        <f>IFERROR(VLOOKUP($C88,EQUIPOS[],UNIFICADO!O$9,0),"")</f>
        <v>168</v>
      </c>
      <c r="P88" s="1">
        <f>IFERROR(VLOOKUP($C88,EQUIPOS[],UNIFICADO!P$9,0),"")</f>
        <v>15.1</v>
      </c>
      <c r="Q88" s="1">
        <f>IFERROR(VLOOKUP($C88,EQUIPOS[],UNIFICADO!Q$9,0),"")</f>
        <v>7.18</v>
      </c>
      <c r="R88" s="1">
        <f>IFERROR(VLOOKUP($C88,EQUIPOS[],UNIFICADO!R$9,0),"")</f>
        <v>0.79</v>
      </c>
      <c r="S88" s="1">
        <f>IFERROR(VLOOKUP($C88,EQUIPOS[],UNIFICADO!S$9,0),"")</f>
        <v>3500</v>
      </c>
      <c r="T88" s="1">
        <f>IFERROR(VLOOKUP($C88,EQUIPOS[],UNIFICADO!T$9,0),"")</f>
        <v>4.5</v>
      </c>
      <c r="U88" s="1">
        <f>VLOOKUP(UNIFICADA[[#This Row],[Equipo]],EQUIPOS[],19,0)</f>
        <v>78</v>
      </c>
      <c r="V88" s="1" t="str">
        <f t="shared" si="358"/>
        <v>ND</v>
      </c>
      <c r="W88" s="1" t="str">
        <f t="shared" si="359"/>
        <v>ND</v>
      </c>
      <c r="X88" s="1" t="str">
        <f t="shared" si="351"/>
        <v>ND</v>
      </c>
      <c r="Y88" s="1" t="str">
        <f t="shared" si="351"/>
        <v>ND</v>
      </c>
      <c r="Z88" s="1" t="str">
        <f t="shared" si="514"/>
        <v>ND</v>
      </c>
      <c r="AA88" s="1" t="str">
        <f t="shared" si="514"/>
        <v>ND</v>
      </c>
      <c r="AB88" s="1" t="str">
        <f t="shared" si="514"/>
        <v>ND</v>
      </c>
      <c r="AC88" s="1" t="str">
        <f t="shared" si="514"/>
        <v>ND</v>
      </c>
      <c r="AD88" s="1" t="str">
        <f t="shared" si="514"/>
        <v>ND</v>
      </c>
      <c r="AE88" s="1" t="str">
        <f t="shared" si="514"/>
        <v>ND</v>
      </c>
      <c r="AF88" s="1" t="str">
        <f t="shared" si="514"/>
        <v>ND</v>
      </c>
      <c r="AG88" s="1" t="str">
        <f t="shared" si="514"/>
        <v>ND</v>
      </c>
      <c r="AH88" s="1" t="str">
        <f t="shared" si="514"/>
        <v>ND</v>
      </c>
      <c r="AI88" s="1" t="str">
        <f t="shared" si="360"/>
        <v>ND</v>
      </c>
      <c r="AJ88" s="1" t="str">
        <f t="shared" si="361"/>
        <v>ND</v>
      </c>
      <c r="AK88" s="1" t="str">
        <f t="shared" si="362"/>
        <v>ND</v>
      </c>
      <c r="AL88" s="1" t="str">
        <f t="shared" si="363"/>
        <v>ND</v>
      </c>
      <c r="AM88" s="1" t="str">
        <f t="shared" si="364"/>
        <v>ND</v>
      </c>
      <c r="AN88" s="1" t="str">
        <f t="shared" si="365"/>
        <v>ND</v>
      </c>
      <c r="AO88" s="1" t="str">
        <f t="shared" si="366"/>
        <v>ND</v>
      </c>
      <c r="AP88" s="1" t="str">
        <f t="shared" si="367"/>
        <v>ND</v>
      </c>
      <c r="AQ88" s="1" t="str">
        <f t="shared" si="368"/>
        <v>ND</v>
      </c>
      <c r="AR88" s="1" t="str">
        <f t="shared" si="369"/>
        <v>ND</v>
      </c>
      <c r="AS88" s="1" t="str">
        <f t="shared" si="370"/>
        <v>ND</v>
      </c>
      <c r="AT88" s="1" t="str">
        <f t="shared" si="371"/>
        <v>ND</v>
      </c>
      <c r="AU88" s="1" t="str">
        <f t="shared" si="372"/>
        <v>ND</v>
      </c>
      <c r="AV88" s="1" t="str">
        <f t="shared" si="373"/>
        <v>ND</v>
      </c>
      <c r="AW88" s="1" t="str">
        <f t="shared" si="374"/>
        <v>ND</v>
      </c>
      <c r="AX88" s="1" t="str">
        <f t="shared" si="375"/>
        <v>ND</v>
      </c>
      <c r="AY88" s="1" t="str">
        <f t="shared" si="376"/>
        <v>ND</v>
      </c>
      <c r="AZ88" s="1" t="str">
        <f t="shared" si="377"/>
        <v>ND</v>
      </c>
      <c r="BA88" s="1" t="str">
        <f t="shared" si="378"/>
        <v>ND</v>
      </c>
      <c r="BB88" s="1" t="str">
        <f t="shared" si="379"/>
        <v>ND</v>
      </c>
      <c r="BC88" s="1" t="str">
        <f t="shared" si="380"/>
        <v>ND</v>
      </c>
      <c r="BD88" s="1" t="str">
        <f t="shared" si="381"/>
        <v>ND</v>
      </c>
      <c r="BE88" s="1" t="str">
        <f t="shared" si="382"/>
        <v>ND</v>
      </c>
      <c r="BF88" s="1" t="str">
        <f t="shared" si="383"/>
        <v>ND</v>
      </c>
      <c r="BG88" s="1" t="str">
        <f t="shared" si="384"/>
        <v>ND</v>
      </c>
      <c r="BH88" s="1" t="str">
        <f t="shared" si="385"/>
        <v>ND</v>
      </c>
      <c r="BI88" s="1" t="str">
        <f t="shared" si="386"/>
        <v>ND</v>
      </c>
      <c r="BJ88" s="1" t="str">
        <f t="shared" si="387"/>
        <v>ND</v>
      </c>
      <c r="BK88" s="1" t="str">
        <f t="shared" si="388"/>
        <v>ND</v>
      </c>
      <c r="BL88" s="1" t="str">
        <f t="shared" si="389"/>
        <v>ND</v>
      </c>
      <c r="BM88" s="1" t="str">
        <f t="shared" si="390"/>
        <v>ND</v>
      </c>
      <c r="BN88" s="1" t="str">
        <f t="shared" si="391"/>
        <v>ND</v>
      </c>
      <c r="BO88" s="1" t="str">
        <f t="shared" si="392"/>
        <v>ND</v>
      </c>
      <c r="BP88" s="1" t="str">
        <f t="shared" si="393"/>
        <v>ND</v>
      </c>
      <c r="BQ88" s="1" t="str">
        <f t="shared" si="394"/>
        <v>ND</v>
      </c>
      <c r="BR88" s="1" t="str">
        <f t="shared" si="395"/>
        <v>ND</v>
      </c>
      <c r="BS88" s="1" t="str">
        <f t="shared" si="396"/>
        <v>ND</v>
      </c>
      <c r="BT88" s="1" t="str">
        <f t="shared" si="397"/>
        <v>ND</v>
      </c>
      <c r="BU88" s="1" t="str">
        <f t="shared" si="398"/>
        <v>ND</v>
      </c>
      <c r="BV88" s="1" t="str">
        <f t="shared" si="399"/>
        <v>ND</v>
      </c>
      <c r="BW88" s="1" t="str">
        <f t="shared" si="400"/>
        <v>ND</v>
      </c>
      <c r="BX88" s="1" t="str">
        <f t="shared" si="401"/>
        <v>ND</v>
      </c>
      <c r="BY88" s="1" t="str">
        <f t="shared" si="402"/>
        <v>ND</v>
      </c>
      <c r="BZ88" s="1" t="str">
        <f t="shared" si="403"/>
        <v>ND</v>
      </c>
      <c r="CA88" s="1" t="str">
        <f t="shared" si="515"/>
        <v>ND</v>
      </c>
      <c r="CB88" s="1" t="str">
        <f t="shared" si="515"/>
        <v>ND</v>
      </c>
      <c r="CC88" s="1" t="str">
        <f t="shared" si="515"/>
        <v>ND</v>
      </c>
      <c r="CD88" s="1" t="str">
        <f t="shared" si="515"/>
        <v>ND</v>
      </c>
      <c r="CE88" s="1" t="str">
        <f t="shared" si="515"/>
        <v>ND</v>
      </c>
      <c r="CF88" s="1" t="str">
        <f t="shared" si="515"/>
        <v>ND</v>
      </c>
      <c r="CG88" s="1" t="str">
        <f t="shared" si="515"/>
        <v>ND</v>
      </c>
      <c r="CH88" s="1" t="str">
        <f t="shared" si="515"/>
        <v>ND</v>
      </c>
      <c r="CI88" s="1" t="str">
        <f t="shared" si="515"/>
        <v>ND</v>
      </c>
      <c r="CJ88" s="1" t="str">
        <f t="shared" si="515"/>
        <v>ND</v>
      </c>
      <c r="CK88" s="1" t="str">
        <f t="shared" si="515"/>
        <v>ND</v>
      </c>
      <c r="CL88" s="1" t="str">
        <f t="shared" si="516"/>
        <v>ND</v>
      </c>
      <c r="CM88" s="1" t="str">
        <f t="shared" si="516"/>
        <v>ND</v>
      </c>
      <c r="CN88" s="1" t="str">
        <f t="shared" si="516"/>
        <v>ND</v>
      </c>
      <c r="CO88" s="1" t="str">
        <f t="shared" si="516"/>
        <v>ND</v>
      </c>
      <c r="CP88" s="1" t="str">
        <f t="shared" si="516"/>
        <v>ND</v>
      </c>
      <c r="CQ88" s="1" t="str">
        <f t="shared" si="516"/>
        <v>ND</v>
      </c>
      <c r="CR88" s="1" t="str">
        <f t="shared" si="516"/>
        <v>ND</v>
      </c>
      <c r="CS88" s="1" t="str">
        <f t="shared" si="516"/>
        <v>ND</v>
      </c>
      <c r="CT88" s="1" t="str">
        <f t="shared" si="516"/>
        <v>ND</v>
      </c>
      <c r="CU88" s="1" t="str">
        <f t="shared" si="516"/>
        <v>ND</v>
      </c>
      <c r="CV88" s="1" t="str">
        <f t="shared" si="516"/>
        <v>ND</v>
      </c>
      <c r="CW88" s="1" t="str">
        <f t="shared" si="404"/>
        <v>ND</v>
      </c>
      <c r="CX88" s="1" t="str">
        <f t="shared" si="405"/>
        <v>ND</v>
      </c>
      <c r="CY88" s="1" t="str">
        <f t="shared" si="406"/>
        <v>ND</v>
      </c>
      <c r="CZ88" s="1" t="str">
        <f t="shared" si="407"/>
        <v>ND</v>
      </c>
      <c r="DA88" s="1" t="str">
        <f t="shared" si="408"/>
        <v>ND</v>
      </c>
      <c r="DB88" s="1" t="str">
        <f t="shared" si="409"/>
        <v>ND</v>
      </c>
      <c r="DC88" s="1" t="str">
        <f t="shared" si="410"/>
        <v>ND</v>
      </c>
      <c r="DD88" s="1" t="str">
        <f t="shared" si="411"/>
        <v>ND</v>
      </c>
      <c r="DE88" s="1" t="str">
        <f t="shared" si="412"/>
        <v>ND</v>
      </c>
      <c r="DF88" s="1" t="str">
        <f t="shared" si="413"/>
        <v>ND</v>
      </c>
      <c r="DG88" s="1" t="str">
        <f t="shared" si="414"/>
        <v>ND</v>
      </c>
      <c r="DH88" s="1" t="str">
        <f t="shared" si="415"/>
        <v>ND</v>
      </c>
      <c r="DI88" s="1" t="str">
        <f t="shared" si="416"/>
        <v>ND</v>
      </c>
      <c r="DJ88" s="1" t="str">
        <f t="shared" si="417"/>
        <v>ND</v>
      </c>
      <c r="DK88" s="1" t="str">
        <f t="shared" si="418"/>
        <v>ND</v>
      </c>
      <c r="DL88" s="1" t="str">
        <f t="shared" si="419"/>
        <v>ND</v>
      </c>
      <c r="DM88" s="1" t="str">
        <f t="shared" si="420"/>
        <v>ND</v>
      </c>
      <c r="DN88" s="1" t="str">
        <f t="shared" si="421"/>
        <v>ND</v>
      </c>
      <c r="DO88" s="1" t="str">
        <f t="shared" si="422"/>
        <v>ND</v>
      </c>
      <c r="DP88" s="1" t="str">
        <f t="shared" si="423"/>
        <v>ND</v>
      </c>
      <c r="DQ88" s="1" t="str">
        <f t="shared" si="424"/>
        <v>ND</v>
      </c>
      <c r="DR88" s="1" t="str">
        <f t="shared" si="425"/>
        <v>ND</v>
      </c>
      <c r="DS88" s="1" t="str">
        <f t="shared" si="426"/>
        <v>ND</v>
      </c>
      <c r="DT88" s="1" t="str">
        <f t="shared" si="427"/>
        <v>ND</v>
      </c>
      <c r="DU88" s="1" t="str">
        <f t="shared" si="428"/>
        <v>ND</v>
      </c>
      <c r="DV88" s="1" t="str">
        <f t="shared" si="429"/>
        <v>ND</v>
      </c>
      <c r="DW88" s="1" t="str">
        <f t="shared" si="430"/>
        <v>ND</v>
      </c>
      <c r="DX88" s="1" t="str">
        <f t="shared" si="431"/>
        <v>ND</v>
      </c>
      <c r="DY88" s="1" t="str">
        <f t="shared" si="432"/>
        <v>ND</v>
      </c>
      <c r="DZ88" s="1" t="str">
        <f t="shared" si="433"/>
        <v>ND</v>
      </c>
      <c r="EA88" s="1" t="str">
        <f t="shared" si="434"/>
        <v>ND</v>
      </c>
      <c r="EB88" s="1" t="str">
        <f t="shared" si="435"/>
        <v>ND</v>
      </c>
      <c r="EC88" s="1" t="str">
        <f t="shared" si="436"/>
        <v>ND</v>
      </c>
      <c r="ED88" s="1" t="str">
        <f t="shared" si="437"/>
        <v>ND</v>
      </c>
      <c r="EE88" s="1" t="str">
        <f t="shared" si="438"/>
        <v>ND</v>
      </c>
      <c r="EF88" s="1" t="str">
        <f t="shared" si="439"/>
        <v>ND</v>
      </c>
      <c r="EG88" s="1" t="str">
        <f t="shared" si="440"/>
        <v>ND</v>
      </c>
      <c r="EH88" s="1" t="str">
        <f t="shared" si="441"/>
        <v>ND</v>
      </c>
      <c r="EI88" s="1" t="str">
        <f t="shared" si="442"/>
        <v>ND</v>
      </c>
      <c r="EJ88" s="1" t="str">
        <f t="shared" si="443"/>
        <v>ND</v>
      </c>
      <c r="EK88" s="1" t="str">
        <f t="shared" si="444"/>
        <v>ND</v>
      </c>
      <c r="EL88" s="1" t="str">
        <f t="shared" si="445"/>
        <v>ND</v>
      </c>
      <c r="EM88" s="1" t="str">
        <f t="shared" si="446"/>
        <v>ND</v>
      </c>
      <c r="EN88" s="1" t="str">
        <f t="shared" si="447"/>
        <v>ND</v>
      </c>
      <c r="EO88" s="1" t="str">
        <f t="shared" si="517"/>
        <v>ND</v>
      </c>
      <c r="EP88" s="1" t="str">
        <f t="shared" si="517"/>
        <v>ND</v>
      </c>
      <c r="EQ88" s="1" t="str">
        <f t="shared" si="517"/>
        <v>ND</v>
      </c>
      <c r="ER88" s="1" t="str">
        <f t="shared" si="517"/>
        <v>ND</v>
      </c>
      <c r="ES88" s="1" t="str">
        <f t="shared" si="517"/>
        <v>ND</v>
      </c>
      <c r="ET88" s="1" t="str">
        <f t="shared" si="517"/>
        <v>ND</v>
      </c>
      <c r="EU88" s="1" t="str">
        <f t="shared" si="517"/>
        <v>ND</v>
      </c>
      <c r="EV88" s="1" t="str">
        <f t="shared" si="517"/>
        <v>ND</v>
      </c>
      <c r="EW88" s="1" t="str">
        <f t="shared" si="517"/>
        <v>ND</v>
      </c>
      <c r="EX88" s="1" t="str">
        <f t="shared" si="517"/>
        <v>ND</v>
      </c>
      <c r="EY88" s="1" t="str">
        <f t="shared" si="517"/>
        <v>ND</v>
      </c>
      <c r="EZ88" s="1" t="str">
        <f t="shared" si="518"/>
        <v>ND</v>
      </c>
      <c r="FA88" s="1" t="str">
        <f t="shared" si="518"/>
        <v>ND</v>
      </c>
      <c r="FB88" s="1" t="str">
        <f t="shared" si="518"/>
        <v>ND</v>
      </c>
      <c r="FC88" s="1" t="str">
        <f t="shared" si="518"/>
        <v>ND</v>
      </c>
      <c r="FD88" s="1" t="str">
        <f t="shared" si="518"/>
        <v>ND</v>
      </c>
      <c r="FE88" s="1" t="str">
        <f t="shared" si="518"/>
        <v>ND</v>
      </c>
      <c r="FF88" s="1" t="str">
        <f t="shared" si="518"/>
        <v>ND</v>
      </c>
      <c r="FG88" s="1" t="str">
        <f t="shared" si="518"/>
        <v>ND</v>
      </c>
      <c r="FH88" s="1" t="str">
        <f t="shared" si="518"/>
        <v>ND</v>
      </c>
      <c r="FI88" s="1" t="str">
        <f t="shared" si="518"/>
        <v>ND</v>
      </c>
      <c r="FJ88" s="1" t="str">
        <f t="shared" si="518"/>
        <v>ND</v>
      </c>
      <c r="FK88" s="1" t="str">
        <f t="shared" si="519"/>
        <v>ND</v>
      </c>
      <c r="FL88" s="1" t="str">
        <f t="shared" si="519"/>
        <v>ND</v>
      </c>
      <c r="FM88" s="1" t="str">
        <f t="shared" si="519"/>
        <v>ND</v>
      </c>
      <c r="FN88" s="1" t="str">
        <f t="shared" si="519"/>
        <v>ND</v>
      </c>
      <c r="FO88" s="1" t="str">
        <f t="shared" si="519"/>
        <v>ND</v>
      </c>
      <c r="FP88" s="1" t="str">
        <f t="shared" si="519"/>
        <v>ND</v>
      </c>
      <c r="FQ88" s="1" t="str">
        <f t="shared" si="519"/>
        <v>ND</v>
      </c>
      <c r="FR88" s="1" t="str">
        <f t="shared" si="519"/>
        <v>ND</v>
      </c>
      <c r="FS88" s="1" t="str">
        <f t="shared" si="519"/>
        <v>ND</v>
      </c>
      <c r="FT88" s="1" t="str">
        <f t="shared" si="519"/>
        <v>ND</v>
      </c>
      <c r="FU88" s="1" t="str">
        <f t="shared" si="519"/>
        <v>ND</v>
      </c>
      <c r="FV88" s="1" t="str">
        <f t="shared" si="448"/>
        <v>ND</v>
      </c>
      <c r="FW88" s="1" t="str">
        <f t="shared" si="449"/>
        <v>ND</v>
      </c>
      <c r="FX88" s="1" t="str">
        <f t="shared" si="450"/>
        <v>ND</v>
      </c>
      <c r="FY88" s="1" t="str">
        <f t="shared" si="451"/>
        <v>ND</v>
      </c>
      <c r="FZ88" s="1" t="str">
        <f t="shared" si="452"/>
        <v>ND</v>
      </c>
      <c r="GA88" s="1" t="str">
        <f t="shared" si="453"/>
        <v>ND</v>
      </c>
      <c r="GB88" s="1" t="str">
        <f t="shared" si="454"/>
        <v>ND</v>
      </c>
      <c r="GC88" s="1" t="str">
        <f t="shared" si="455"/>
        <v>ND</v>
      </c>
      <c r="GD88" s="1" t="str">
        <f t="shared" si="456"/>
        <v>ND</v>
      </c>
      <c r="GE88" s="1" t="str">
        <f t="shared" si="457"/>
        <v>ND</v>
      </c>
      <c r="GF88" s="1" t="str">
        <f t="shared" si="458"/>
        <v>ND</v>
      </c>
      <c r="GG88" s="1" t="str">
        <f t="shared" si="459"/>
        <v>ND</v>
      </c>
      <c r="GH88" s="1" t="str">
        <f t="shared" si="460"/>
        <v>ND</v>
      </c>
      <c r="GI88" s="1" t="str">
        <f t="shared" si="461"/>
        <v>ND</v>
      </c>
      <c r="GJ88" s="1" t="str">
        <f t="shared" si="462"/>
        <v>ND</v>
      </c>
      <c r="GK88" s="1" t="str">
        <f t="shared" si="463"/>
        <v>ND</v>
      </c>
      <c r="GL88" s="1" t="str">
        <f t="shared" si="464"/>
        <v>ND</v>
      </c>
      <c r="GM88" s="1" t="str">
        <f t="shared" si="465"/>
        <v>ND</v>
      </c>
      <c r="GN88" s="1" t="str">
        <f t="shared" si="466"/>
        <v>ND</v>
      </c>
      <c r="GO88" s="1" t="str">
        <f t="shared" si="467"/>
        <v>ND</v>
      </c>
      <c r="GP88" s="1" t="str">
        <f t="shared" si="468"/>
        <v>ND</v>
      </c>
      <c r="GQ88" s="1" t="str">
        <f t="shared" si="469"/>
        <v>ND</v>
      </c>
      <c r="GR88" s="1" t="str">
        <f t="shared" si="470"/>
        <v>ND</v>
      </c>
      <c r="GS88" s="1" t="str">
        <f t="shared" si="471"/>
        <v>ND</v>
      </c>
      <c r="GT88" s="1" t="str">
        <f t="shared" si="472"/>
        <v>ND</v>
      </c>
      <c r="GU88" s="1" t="str">
        <f t="shared" si="473"/>
        <v>ND</v>
      </c>
      <c r="GV88" s="1" t="str">
        <f t="shared" si="474"/>
        <v>ND</v>
      </c>
      <c r="GW88" s="1" t="str">
        <f t="shared" si="475"/>
        <v>ND</v>
      </c>
      <c r="GX88" s="1" t="str">
        <f t="shared" si="476"/>
        <v>ND</v>
      </c>
      <c r="GY88" s="1" t="str">
        <f t="shared" si="477"/>
        <v>ND</v>
      </c>
      <c r="GZ88" s="1" t="str">
        <f t="shared" si="478"/>
        <v>ND</v>
      </c>
      <c r="HA88" s="1" t="str">
        <f t="shared" si="479"/>
        <v>ND</v>
      </c>
      <c r="HB88" s="1" t="str">
        <f t="shared" si="480"/>
        <v>ND</v>
      </c>
      <c r="HC88" s="1" t="str">
        <f t="shared" si="481"/>
        <v>ND</v>
      </c>
      <c r="HD88" s="1" t="str">
        <f t="shared" si="482"/>
        <v>ND</v>
      </c>
      <c r="HE88" s="1" t="str">
        <f t="shared" si="483"/>
        <v>ND</v>
      </c>
      <c r="HF88" s="1" t="str">
        <f t="shared" si="484"/>
        <v>ND</v>
      </c>
      <c r="HG88" s="1" t="str">
        <f t="shared" si="485"/>
        <v>ND</v>
      </c>
      <c r="HH88" s="1" t="str">
        <f t="shared" si="486"/>
        <v>ND</v>
      </c>
      <c r="HI88" s="1" t="str">
        <f t="shared" si="487"/>
        <v>ND</v>
      </c>
      <c r="HJ88" s="1" t="str">
        <f t="shared" si="488"/>
        <v>ND</v>
      </c>
      <c r="HK88" s="1" t="str">
        <f t="shared" si="489"/>
        <v>ND</v>
      </c>
      <c r="HL88" s="1" t="str">
        <f t="shared" si="490"/>
        <v>ND</v>
      </c>
      <c r="HM88" s="1" t="str">
        <f t="shared" si="491"/>
        <v>ND</v>
      </c>
      <c r="HN88" s="1" t="str">
        <f t="shared" si="492"/>
        <v>ND</v>
      </c>
      <c r="HO88" s="1" t="str">
        <f t="shared" si="493"/>
        <v>ND</v>
      </c>
      <c r="HP88" s="1" t="str">
        <f t="shared" si="494"/>
        <v>ND</v>
      </c>
      <c r="HQ88" s="1" t="str">
        <f t="shared" si="495"/>
        <v>ND</v>
      </c>
      <c r="HR88" s="1" t="str">
        <f t="shared" si="496"/>
        <v>ND</v>
      </c>
      <c r="HS88" s="1" t="str">
        <f t="shared" si="497"/>
        <v>ND</v>
      </c>
      <c r="HT88" s="1" t="str">
        <f t="shared" si="498"/>
        <v>ND</v>
      </c>
      <c r="HU88" s="1" t="str">
        <f t="shared" si="499"/>
        <v>ND</v>
      </c>
      <c r="HV88" s="1" t="str">
        <f t="shared" si="500"/>
        <v>ND</v>
      </c>
      <c r="HW88" s="1" t="str">
        <f t="shared" si="501"/>
        <v>ND</v>
      </c>
      <c r="HX88" s="1" t="str">
        <f t="shared" si="502"/>
        <v>ND</v>
      </c>
      <c r="HY88" s="1" t="str">
        <f t="shared" si="503"/>
        <v>ND</v>
      </c>
      <c r="HZ88" s="1" t="str">
        <f t="shared" si="504"/>
        <v>ND</v>
      </c>
      <c r="IA88" s="1" t="str">
        <f t="shared" si="505"/>
        <v>ND</v>
      </c>
      <c r="IB88" s="1" t="str">
        <f t="shared" si="506"/>
        <v>ND</v>
      </c>
      <c r="IC88" s="1" t="str">
        <f t="shared" si="507"/>
        <v>ND</v>
      </c>
      <c r="ID88" s="1" t="str">
        <f t="shared" si="508"/>
        <v>ND</v>
      </c>
      <c r="IE88" s="1" t="str">
        <f t="shared" si="509"/>
        <v>ND</v>
      </c>
      <c r="IF88" s="1" t="str">
        <f t="shared" si="510"/>
        <v>ND</v>
      </c>
      <c r="IG88" s="1" t="str">
        <f t="shared" si="511"/>
        <v>ND</v>
      </c>
      <c r="IH88" s="1" t="str">
        <f t="shared" si="512"/>
        <v>ND</v>
      </c>
      <c r="II88" s="1" t="str">
        <f t="shared" si="513"/>
        <v>ND</v>
      </c>
    </row>
    <row r="89" spans="3:243" x14ac:dyDescent="0.25">
      <c r="C89" t="s">
        <v>31</v>
      </c>
      <c r="D89">
        <f>SUMIFS(DICCIONARIO[Cantidad],DICCIONARIO[Modelo],UNIFICADA[[#This Row],[Equipo]])</f>
        <v>0</v>
      </c>
      <c r="E89" s="1">
        <f>IFERROR(VLOOKUP($C89,EQUIPOS[],UNIFICADO!E$9,0),"")</f>
        <v>12</v>
      </c>
      <c r="F89" s="1">
        <f>IFERROR(VLOOKUP($C89,EQUIPOS[],UNIFICADO!F$9,0),"")</f>
        <v>6.8</v>
      </c>
      <c r="G89" s="1">
        <f>IFERROR(VLOOKUP($C89,EQUIPOS[],UNIFICADO!G$9,0),"")</f>
        <v>16</v>
      </c>
      <c r="H89" s="1">
        <f>IFERROR(VLOOKUP($C89,EQUIPOS[],UNIFICADO!H$9,0),"")</f>
        <v>3</v>
      </c>
      <c r="I89" s="1">
        <f>IFERROR(VLOOKUP($C89,EQUIPOS[],UNIFICADO!I$9,0),"")</f>
        <v>10</v>
      </c>
      <c r="J89" s="1" t="str">
        <f>IFERROR(VLOOKUP($C89,EQUIPOS[],UNIFICADO!J$9,0),"")</f>
        <v>256GB</v>
      </c>
      <c r="K89" s="1">
        <f>IFERROR(VLOOKUP($C89,EQUIPOS[],UNIFICADO!K$9,0),"")</f>
        <v>256</v>
      </c>
      <c r="L89" s="1">
        <f>IFERROR(VLOOKUP($C89,EQUIPOS[],UNIFICADO!L$9,0),"")</f>
        <v>8</v>
      </c>
      <c r="M89" s="1" t="str">
        <f>IFERROR(VLOOKUP($C89,EQUIPOS[],UNIFICADO!M$9,0),"")</f>
        <v>1.9/2.4/2.7</v>
      </c>
      <c r="N89" s="1">
        <f>IFERROR(VLOOKUP($C89,EQUIPOS[],UNIFICADO!N$9,0),"")</f>
        <v>12</v>
      </c>
      <c r="O89" s="1">
        <f>IFERROR(VLOOKUP($C89,EQUIPOS[],UNIFICADO!O$9,0),"")</f>
        <v>196</v>
      </c>
      <c r="P89" s="1">
        <f>IFERROR(VLOOKUP($C89,EQUIPOS[],UNIFICADO!P$9,0),"")</f>
        <v>16.2</v>
      </c>
      <c r="Q89" s="1">
        <f>IFERROR(VLOOKUP($C89,EQUIPOS[],UNIFICADO!Q$9,0),"")</f>
        <v>7.7</v>
      </c>
      <c r="R89" s="1">
        <f>IFERROR(VLOOKUP($C89,EQUIPOS[],UNIFICADO!R$9,0),"")</f>
        <v>0.79</v>
      </c>
      <c r="S89" s="1">
        <f>IFERROR(VLOOKUP($C89,EQUIPOS[],UNIFICADO!S$9,0),"")</f>
        <v>4300</v>
      </c>
      <c r="T89" s="1">
        <f>IFERROR(VLOOKUP($C89,EQUIPOS[],UNIFICADO!T$9,0),"")</f>
        <v>4.5</v>
      </c>
      <c r="U89" s="1">
        <f>VLOOKUP(UNIFICADA[[#This Row],[Equipo]],EQUIPOS[],19,0)</f>
        <v>79</v>
      </c>
      <c r="V89" s="1" t="str">
        <f t="shared" si="358"/>
        <v>ND</v>
      </c>
      <c r="W89" s="1" t="str">
        <f t="shared" si="359"/>
        <v>ND</v>
      </c>
      <c r="X89" s="1" t="str">
        <f t="shared" si="351"/>
        <v>ND</v>
      </c>
      <c r="Y89" s="1" t="str">
        <f t="shared" si="351"/>
        <v>ND</v>
      </c>
      <c r="Z89" s="1" t="str">
        <f t="shared" si="514"/>
        <v>ND</v>
      </c>
      <c r="AA89" s="1" t="str">
        <f t="shared" si="514"/>
        <v>ND</v>
      </c>
      <c r="AB89" s="1" t="str">
        <f t="shared" si="514"/>
        <v>ND</v>
      </c>
      <c r="AC89" s="1" t="str">
        <f t="shared" si="514"/>
        <v>ND</v>
      </c>
      <c r="AD89" s="1" t="str">
        <f t="shared" si="514"/>
        <v>ND</v>
      </c>
      <c r="AE89" s="1" t="str">
        <f t="shared" si="514"/>
        <v>ND</v>
      </c>
      <c r="AF89" s="1" t="str">
        <f t="shared" si="514"/>
        <v>ND</v>
      </c>
      <c r="AG89" s="1" t="str">
        <f t="shared" si="514"/>
        <v>ND</v>
      </c>
      <c r="AH89" s="1" t="str">
        <f t="shared" si="514"/>
        <v>ND</v>
      </c>
      <c r="AI89" s="1" t="str">
        <f t="shared" si="360"/>
        <v>ND</v>
      </c>
      <c r="AJ89" s="1" t="str">
        <f t="shared" si="361"/>
        <v>ND</v>
      </c>
      <c r="AK89" s="1" t="str">
        <f t="shared" si="362"/>
        <v>ND</v>
      </c>
      <c r="AL89" s="1" t="str">
        <f t="shared" si="363"/>
        <v>ND</v>
      </c>
      <c r="AM89" s="1" t="str">
        <f t="shared" si="364"/>
        <v>ND</v>
      </c>
      <c r="AN89" s="1" t="str">
        <f t="shared" si="365"/>
        <v>ND</v>
      </c>
      <c r="AO89" s="1" t="str">
        <f t="shared" si="366"/>
        <v>ND</v>
      </c>
      <c r="AP89" s="1" t="str">
        <f t="shared" si="367"/>
        <v>ND</v>
      </c>
      <c r="AQ89" s="1" t="str">
        <f t="shared" si="368"/>
        <v>ND</v>
      </c>
      <c r="AR89" s="1" t="str">
        <f t="shared" si="369"/>
        <v>ND</v>
      </c>
      <c r="AS89" s="1" t="str">
        <f t="shared" si="370"/>
        <v>ND</v>
      </c>
      <c r="AT89" s="1" t="str">
        <f t="shared" si="371"/>
        <v>ND</v>
      </c>
      <c r="AU89" s="1" t="str">
        <f t="shared" si="372"/>
        <v>ND</v>
      </c>
      <c r="AV89" s="1" t="str">
        <f t="shared" si="373"/>
        <v>ND</v>
      </c>
      <c r="AW89" s="1" t="str">
        <f t="shared" si="374"/>
        <v>ND</v>
      </c>
      <c r="AX89" s="1" t="str">
        <f t="shared" si="375"/>
        <v>ND</v>
      </c>
      <c r="AY89" s="1" t="str">
        <f t="shared" si="376"/>
        <v>ND</v>
      </c>
      <c r="AZ89" s="1" t="str">
        <f t="shared" si="377"/>
        <v>ND</v>
      </c>
      <c r="BA89" s="1" t="str">
        <f t="shared" si="378"/>
        <v>ND</v>
      </c>
      <c r="BB89" s="1" t="str">
        <f t="shared" si="379"/>
        <v>ND</v>
      </c>
      <c r="BC89" s="1" t="str">
        <f t="shared" si="380"/>
        <v>ND</v>
      </c>
      <c r="BD89" s="1" t="str">
        <f t="shared" si="381"/>
        <v>ND</v>
      </c>
      <c r="BE89" s="1" t="str">
        <f t="shared" si="382"/>
        <v>ND</v>
      </c>
      <c r="BF89" s="1" t="str">
        <f t="shared" si="383"/>
        <v>ND</v>
      </c>
      <c r="BG89" s="1" t="str">
        <f t="shared" si="384"/>
        <v>ND</v>
      </c>
      <c r="BH89" s="1" t="str">
        <f t="shared" si="385"/>
        <v>ND</v>
      </c>
      <c r="BI89" s="1" t="str">
        <f t="shared" si="386"/>
        <v>ND</v>
      </c>
      <c r="BJ89" s="1" t="str">
        <f t="shared" si="387"/>
        <v>ND</v>
      </c>
      <c r="BK89" s="1" t="str">
        <f t="shared" si="388"/>
        <v>ND</v>
      </c>
      <c r="BL89" s="1" t="str">
        <f t="shared" si="389"/>
        <v>ND</v>
      </c>
      <c r="BM89" s="1" t="str">
        <f t="shared" si="390"/>
        <v>ND</v>
      </c>
      <c r="BN89" s="1" t="str">
        <f t="shared" si="391"/>
        <v>ND</v>
      </c>
      <c r="BO89" s="1" t="str">
        <f t="shared" si="392"/>
        <v>ND</v>
      </c>
      <c r="BP89" s="1" t="str">
        <f t="shared" si="393"/>
        <v>ND</v>
      </c>
      <c r="BQ89" s="1" t="str">
        <f t="shared" si="394"/>
        <v>ND</v>
      </c>
      <c r="BR89" s="1" t="str">
        <f t="shared" si="395"/>
        <v>ND</v>
      </c>
      <c r="BS89" s="1" t="str">
        <f t="shared" si="396"/>
        <v>ND</v>
      </c>
      <c r="BT89" s="1" t="str">
        <f t="shared" si="397"/>
        <v>ND</v>
      </c>
      <c r="BU89" s="1" t="str">
        <f t="shared" si="398"/>
        <v>ND</v>
      </c>
      <c r="BV89" s="1" t="str">
        <f t="shared" si="399"/>
        <v>ND</v>
      </c>
      <c r="BW89" s="1" t="str">
        <f t="shared" si="400"/>
        <v>ND</v>
      </c>
      <c r="BX89" s="1" t="str">
        <f t="shared" si="401"/>
        <v>ND</v>
      </c>
      <c r="BY89" s="1" t="str">
        <f t="shared" si="402"/>
        <v>ND</v>
      </c>
      <c r="BZ89" s="1" t="str">
        <f t="shared" si="403"/>
        <v>ND</v>
      </c>
      <c r="CA89" s="1" t="str">
        <f t="shared" si="515"/>
        <v>ND</v>
      </c>
      <c r="CB89" s="1" t="str">
        <f t="shared" si="515"/>
        <v>ND</v>
      </c>
      <c r="CC89" s="1" t="str">
        <f t="shared" si="515"/>
        <v>ND</v>
      </c>
      <c r="CD89" s="1" t="str">
        <f t="shared" si="515"/>
        <v>ND</v>
      </c>
      <c r="CE89" s="1" t="str">
        <f t="shared" si="515"/>
        <v>ND</v>
      </c>
      <c r="CF89" s="1" t="str">
        <f t="shared" si="515"/>
        <v>ND</v>
      </c>
      <c r="CG89" s="1" t="str">
        <f t="shared" si="515"/>
        <v>ND</v>
      </c>
      <c r="CH89" s="1" t="str">
        <f t="shared" si="515"/>
        <v>ND</v>
      </c>
      <c r="CI89" s="1" t="str">
        <f t="shared" si="515"/>
        <v>ND</v>
      </c>
      <c r="CJ89" s="1" t="str">
        <f t="shared" si="515"/>
        <v>ND</v>
      </c>
      <c r="CK89" s="1" t="str">
        <f t="shared" si="515"/>
        <v>ND</v>
      </c>
      <c r="CL89" s="1" t="str">
        <f t="shared" si="516"/>
        <v>ND</v>
      </c>
      <c r="CM89" s="1" t="str">
        <f t="shared" si="516"/>
        <v>ND</v>
      </c>
      <c r="CN89" s="1" t="str">
        <f t="shared" si="516"/>
        <v>ND</v>
      </c>
      <c r="CO89" s="1" t="str">
        <f t="shared" si="516"/>
        <v>ND</v>
      </c>
      <c r="CP89" s="1" t="str">
        <f t="shared" si="516"/>
        <v>ND</v>
      </c>
      <c r="CQ89" s="1" t="str">
        <f t="shared" si="516"/>
        <v>ND</v>
      </c>
      <c r="CR89" s="1" t="str">
        <f t="shared" si="516"/>
        <v>ND</v>
      </c>
      <c r="CS89" s="1" t="str">
        <f t="shared" si="516"/>
        <v>ND</v>
      </c>
      <c r="CT89" s="1" t="str">
        <f t="shared" si="516"/>
        <v>ND</v>
      </c>
      <c r="CU89" s="1" t="str">
        <f t="shared" si="516"/>
        <v>ND</v>
      </c>
      <c r="CV89" s="1" t="str">
        <f t="shared" si="516"/>
        <v>ND</v>
      </c>
      <c r="CW89" s="1" t="str">
        <f t="shared" si="404"/>
        <v>ND</v>
      </c>
      <c r="CX89" s="1" t="str">
        <f t="shared" si="405"/>
        <v>ND</v>
      </c>
      <c r="CY89" s="1" t="str">
        <f t="shared" si="406"/>
        <v>ND</v>
      </c>
      <c r="CZ89" s="1" t="str">
        <f t="shared" si="407"/>
        <v>ND</v>
      </c>
      <c r="DA89" s="1" t="str">
        <f t="shared" si="408"/>
        <v>ND</v>
      </c>
      <c r="DB89" s="1" t="str">
        <f t="shared" si="409"/>
        <v>ND</v>
      </c>
      <c r="DC89" s="1" t="str">
        <f t="shared" si="410"/>
        <v>ND</v>
      </c>
      <c r="DD89" s="1" t="str">
        <f t="shared" si="411"/>
        <v>ND</v>
      </c>
      <c r="DE89" s="1" t="str">
        <f t="shared" si="412"/>
        <v>ND</v>
      </c>
      <c r="DF89" s="1" t="str">
        <f t="shared" si="413"/>
        <v>ND</v>
      </c>
      <c r="DG89" s="1" t="str">
        <f t="shared" si="414"/>
        <v>ND</v>
      </c>
      <c r="DH89" s="1" t="str">
        <f t="shared" si="415"/>
        <v>ND</v>
      </c>
      <c r="DI89" s="1" t="str">
        <f t="shared" si="416"/>
        <v>ND</v>
      </c>
      <c r="DJ89" s="1" t="str">
        <f t="shared" si="417"/>
        <v>ND</v>
      </c>
      <c r="DK89" s="1" t="str">
        <f t="shared" si="418"/>
        <v>ND</v>
      </c>
      <c r="DL89" s="1" t="str">
        <f t="shared" si="419"/>
        <v>ND</v>
      </c>
      <c r="DM89" s="1" t="str">
        <f t="shared" si="420"/>
        <v>ND</v>
      </c>
      <c r="DN89" s="1" t="str">
        <f t="shared" si="421"/>
        <v>ND</v>
      </c>
      <c r="DO89" s="1" t="str">
        <f t="shared" si="422"/>
        <v>ND</v>
      </c>
      <c r="DP89" s="1" t="str">
        <f t="shared" si="423"/>
        <v>ND</v>
      </c>
      <c r="DQ89" s="1" t="str">
        <f t="shared" si="424"/>
        <v>ND</v>
      </c>
      <c r="DR89" s="1" t="str">
        <f t="shared" si="425"/>
        <v>ND</v>
      </c>
      <c r="DS89" s="1" t="str">
        <f t="shared" si="426"/>
        <v>ND</v>
      </c>
      <c r="DT89" s="1" t="str">
        <f t="shared" si="427"/>
        <v>ND</v>
      </c>
      <c r="DU89" s="1" t="str">
        <f t="shared" si="428"/>
        <v>ND</v>
      </c>
      <c r="DV89" s="1" t="str">
        <f t="shared" si="429"/>
        <v>ND</v>
      </c>
      <c r="DW89" s="1" t="str">
        <f t="shared" si="430"/>
        <v>ND</v>
      </c>
      <c r="DX89" s="1" t="str">
        <f t="shared" si="431"/>
        <v>ND</v>
      </c>
      <c r="DY89" s="1" t="str">
        <f t="shared" si="432"/>
        <v>ND</v>
      </c>
      <c r="DZ89" s="1" t="str">
        <f t="shared" si="433"/>
        <v>ND</v>
      </c>
      <c r="EA89" s="1" t="str">
        <f t="shared" si="434"/>
        <v>ND</v>
      </c>
      <c r="EB89" s="1" t="str">
        <f t="shared" si="435"/>
        <v>ND</v>
      </c>
      <c r="EC89" s="1" t="str">
        <f t="shared" si="436"/>
        <v>ND</v>
      </c>
      <c r="ED89" s="1" t="str">
        <f t="shared" si="437"/>
        <v>ND</v>
      </c>
      <c r="EE89" s="1" t="str">
        <f t="shared" si="438"/>
        <v>ND</v>
      </c>
      <c r="EF89" s="1" t="str">
        <f t="shared" si="439"/>
        <v>ND</v>
      </c>
      <c r="EG89" s="1" t="str">
        <f t="shared" si="440"/>
        <v>ND</v>
      </c>
      <c r="EH89" s="1" t="str">
        <f t="shared" si="441"/>
        <v>ND</v>
      </c>
      <c r="EI89" s="1" t="str">
        <f t="shared" si="442"/>
        <v>ND</v>
      </c>
      <c r="EJ89" s="1" t="str">
        <f t="shared" si="443"/>
        <v>ND</v>
      </c>
      <c r="EK89" s="1" t="str">
        <f t="shared" si="444"/>
        <v>ND</v>
      </c>
      <c r="EL89" s="1" t="str">
        <f t="shared" si="445"/>
        <v>ND</v>
      </c>
      <c r="EM89" s="1" t="str">
        <f t="shared" si="446"/>
        <v>ND</v>
      </c>
      <c r="EN89" s="1" t="str">
        <f t="shared" si="447"/>
        <v>ND</v>
      </c>
      <c r="EO89" s="1" t="str">
        <f t="shared" si="517"/>
        <v>ND</v>
      </c>
      <c r="EP89" s="1" t="str">
        <f t="shared" si="517"/>
        <v>ND</v>
      </c>
      <c r="EQ89" s="1" t="str">
        <f t="shared" si="517"/>
        <v>ND</v>
      </c>
      <c r="ER89" s="1" t="str">
        <f t="shared" si="517"/>
        <v>ND</v>
      </c>
      <c r="ES89" s="1" t="str">
        <f t="shared" si="517"/>
        <v>ND</v>
      </c>
      <c r="ET89" s="1" t="str">
        <f t="shared" si="517"/>
        <v>ND</v>
      </c>
      <c r="EU89" s="1" t="str">
        <f t="shared" si="517"/>
        <v>ND</v>
      </c>
      <c r="EV89" s="1" t="str">
        <f t="shared" si="517"/>
        <v>ND</v>
      </c>
      <c r="EW89" s="1" t="str">
        <f t="shared" si="517"/>
        <v>ND</v>
      </c>
      <c r="EX89" s="1" t="str">
        <f t="shared" si="517"/>
        <v>ND</v>
      </c>
      <c r="EY89" s="1" t="str">
        <f t="shared" si="517"/>
        <v>ND</v>
      </c>
      <c r="EZ89" s="1" t="str">
        <f t="shared" si="518"/>
        <v>ND</v>
      </c>
      <c r="FA89" s="1" t="str">
        <f t="shared" si="518"/>
        <v>ND</v>
      </c>
      <c r="FB89" s="1" t="str">
        <f t="shared" si="518"/>
        <v>ND</v>
      </c>
      <c r="FC89" s="1" t="str">
        <f t="shared" si="518"/>
        <v>ND</v>
      </c>
      <c r="FD89" s="1" t="str">
        <f t="shared" si="518"/>
        <v>ND</v>
      </c>
      <c r="FE89" s="1" t="str">
        <f t="shared" si="518"/>
        <v>ND</v>
      </c>
      <c r="FF89" s="1" t="str">
        <f t="shared" si="518"/>
        <v>ND</v>
      </c>
      <c r="FG89" s="1" t="str">
        <f t="shared" si="518"/>
        <v>ND</v>
      </c>
      <c r="FH89" s="1" t="str">
        <f t="shared" si="518"/>
        <v>ND</v>
      </c>
      <c r="FI89" s="1" t="str">
        <f t="shared" si="518"/>
        <v>ND</v>
      </c>
      <c r="FJ89" s="1" t="str">
        <f t="shared" si="518"/>
        <v>ND</v>
      </c>
      <c r="FK89" s="1" t="str">
        <f t="shared" si="519"/>
        <v>ND</v>
      </c>
      <c r="FL89" s="1" t="str">
        <f t="shared" si="519"/>
        <v>ND</v>
      </c>
      <c r="FM89" s="1" t="str">
        <f t="shared" si="519"/>
        <v>ND</v>
      </c>
      <c r="FN89" s="1" t="str">
        <f t="shared" si="519"/>
        <v>ND</v>
      </c>
      <c r="FO89" s="1" t="str">
        <f t="shared" si="519"/>
        <v>ND</v>
      </c>
      <c r="FP89" s="1" t="str">
        <f t="shared" si="519"/>
        <v>ND</v>
      </c>
      <c r="FQ89" s="1" t="str">
        <f t="shared" si="519"/>
        <v>ND</v>
      </c>
      <c r="FR89" s="1" t="str">
        <f t="shared" si="519"/>
        <v>ND</v>
      </c>
      <c r="FS89" s="1" t="str">
        <f t="shared" si="519"/>
        <v>ND</v>
      </c>
      <c r="FT89" s="1" t="str">
        <f t="shared" si="519"/>
        <v>ND</v>
      </c>
      <c r="FU89" s="1" t="str">
        <f t="shared" si="519"/>
        <v>ND</v>
      </c>
      <c r="FV89" s="1" t="str">
        <f t="shared" si="448"/>
        <v>ND</v>
      </c>
      <c r="FW89" s="1" t="str">
        <f t="shared" si="449"/>
        <v>ND</v>
      </c>
      <c r="FX89" s="1" t="str">
        <f t="shared" si="450"/>
        <v>ND</v>
      </c>
      <c r="FY89" s="1" t="str">
        <f t="shared" si="451"/>
        <v>ND</v>
      </c>
      <c r="FZ89" s="1" t="str">
        <f t="shared" si="452"/>
        <v>ND</v>
      </c>
      <c r="GA89" s="1" t="str">
        <f t="shared" si="453"/>
        <v>ND</v>
      </c>
      <c r="GB89" s="1" t="str">
        <f t="shared" si="454"/>
        <v>ND</v>
      </c>
      <c r="GC89" s="1" t="str">
        <f t="shared" si="455"/>
        <v>ND</v>
      </c>
      <c r="GD89" s="1" t="str">
        <f t="shared" si="456"/>
        <v>ND</v>
      </c>
      <c r="GE89" s="1" t="str">
        <f t="shared" si="457"/>
        <v>ND</v>
      </c>
      <c r="GF89" s="1" t="str">
        <f t="shared" si="458"/>
        <v>ND</v>
      </c>
      <c r="GG89" s="1" t="str">
        <f t="shared" si="459"/>
        <v>ND</v>
      </c>
      <c r="GH89" s="1" t="str">
        <f t="shared" si="460"/>
        <v>ND</v>
      </c>
      <c r="GI89" s="1" t="str">
        <f t="shared" si="461"/>
        <v>ND</v>
      </c>
      <c r="GJ89" s="1" t="str">
        <f t="shared" si="462"/>
        <v>ND</v>
      </c>
      <c r="GK89" s="1" t="str">
        <f t="shared" si="463"/>
        <v>ND</v>
      </c>
      <c r="GL89" s="1" t="str">
        <f t="shared" si="464"/>
        <v>ND</v>
      </c>
      <c r="GM89" s="1" t="str">
        <f t="shared" si="465"/>
        <v>ND</v>
      </c>
      <c r="GN89" s="1" t="str">
        <f t="shared" si="466"/>
        <v>ND</v>
      </c>
      <c r="GO89" s="1" t="str">
        <f t="shared" si="467"/>
        <v>ND</v>
      </c>
      <c r="GP89" s="1" t="str">
        <f t="shared" si="468"/>
        <v>ND</v>
      </c>
      <c r="GQ89" s="1" t="str">
        <f t="shared" si="469"/>
        <v>ND</v>
      </c>
      <c r="GR89" s="1" t="str">
        <f t="shared" si="470"/>
        <v>ND</v>
      </c>
      <c r="GS89" s="1" t="str">
        <f t="shared" si="471"/>
        <v>ND</v>
      </c>
      <c r="GT89" s="1" t="str">
        <f t="shared" si="472"/>
        <v>ND</v>
      </c>
      <c r="GU89" s="1" t="str">
        <f t="shared" si="473"/>
        <v>ND</v>
      </c>
      <c r="GV89" s="1" t="str">
        <f t="shared" si="474"/>
        <v>ND</v>
      </c>
      <c r="GW89" s="1" t="str">
        <f t="shared" si="475"/>
        <v>ND</v>
      </c>
      <c r="GX89" s="1" t="str">
        <f t="shared" si="476"/>
        <v>ND</v>
      </c>
      <c r="GY89" s="1" t="str">
        <f t="shared" si="477"/>
        <v>ND</v>
      </c>
      <c r="GZ89" s="1" t="str">
        <f t="shared" si="478"/>
        <v>ND</v>
      </c>
      <c r="HA89" s="1" t="str">
        <f t="shared" si="479"/>
        <v>ND</v>
      </c>
      <c r="HB89" s="1" t="str">
        <f t="shared" si="480"/>
        <v>ND</v>
      </c>
      <c r="HC89" s="1" t="str">
        <f t="shared" si="481"/>
        <v>ND</v>
      </c>
      <c r="HD89" s="1" t="str">
        <f t="shared" si="482"/>
        <v>ND</v>
      </c>
      <c r="HE89" s="1" t="str">
        <f t="shared" si="483"/>
        <v>ND</v>
      </c>
      <c r="HF89" s="1" t="str">
        <f t="shared" si="484"/>
        <v>ND</v>
      </c>
      <c r="HG89" s="1" t="str">
        <f t="shared" si="485"/>
        <v>ND</v>
      </c>
      <c r="HH89" s="1" t="str">
        <f t="shared" si="486"/>
        <v>ND</v>
      </c>
      <c r="HI89" s="1" t="str">
        <f t="shared" si="487"/>
        <v>ND</v>
      </c>
      <c r="HJ89" s="1" t="str">
        <f t="shared" si="488"/>
        <v>ND</v>
      </c>
      <c r="HK89" s="1" t="str">
        <f t="shared" si="489"/>
        <v>ND</v>
      </c>
      <c r="HL89" s="1" t="str">
        <f t="shared" si="490"/>
        <v>ND</v>
      </c>
      <c r="HM89" s="1" t="str">
        <f t="shared" si="491"/>
        <v>ND</v>
      </c>
      <c r="HN89" s="1" t="str">
        <f t="shared" si="492"/>
        <v>ND</v>
      </c>
      <c r="HO89" s="1" t="str">
        <f t="shared" si="493"/>
        <v>ND</v>
      </c>
      <c r="HP89" s="1" t="str">
        <f t="shared" si="494"/>
        <v>ND</v>
      </c>
      <c r="HQ89" s="1" t="str">
        <f t="shared" si="495"/>
        <v>ND</v>
      </c>
      <c r="HR89" s="1" t="str">
        <f t="shared" si="496"/>
        <v>ND</v>
      </c>
      <c r="HS89" s="1" t="str">
        <f t="shared" si="497"/>
        <v>ND</v>
      </c>
      <c r="HT89" s="1" t="str">
        <f t="shared" si="498"/>
        <v>ND</v>
      </c>
      <c r="HU89" s="1" t="str">
        <f t="shared" si="499"/>
        <v>ND</v>
      </c>
      <c r="HV89" s="1" t="str">
        <f t="shared" si="500"/>
        <v>ND</v>
      </c>
      <c r="HW89" s="1" t="str">
        <f t="shared" si="501"/>
        <v>ND</v>
      </c>
      <c r="HX89" s="1" t="str">
        <f t="shared" si="502"/>
        <v>ND</v>
      </c>
      <c r="HY89" s="1" t="str">
        <f t="shared" si="503"/>
        <v>ND</v>
      </c>
      <c r="HZ89" s="1" t="str">
        <f t="shared" si="504"/>
        <v>ND</v>
      </c>
      <c r="IA89" s="1" t="str">
        <f t="shared" si="505"/>
        <v>ND</v>
      </c>
      <c r="IB89" s="1" t="str">
        <f t="shared" si="506"/>
        <v>ND</v>
      </c>
      <c r="IC89" s="1" t="str">
        <f t="shared" si="507"/>
        <v>ND</v>
      </c>
      <c r="ID89" s="1" t="str">
        <f t="shared" si="508"/>
        <v>ND</v>
      </c>
      <c r="IE89" s="1" t="str">
        <f t="shared" si="509"/>
        <v>ND</v>
      </c>
      <c r="IF89" s="1" t="str">
        <f t="shared" si="510"/>
        <v>ND</v>
      </c>
      <c r="IG89" s="1" t="str">
        <f t="shared" si="511"/>
        <v>ND</v>
      </c>
      <c r="IH89" s="1" t="str">
        <f t="shared" si="512"/>
        <v>ND</v>
      </c>
      <c r="II89" s="1" t="str">
        <f t="shared" si="513"/>
        <v>ND</v>
      </c>
    </row>
    <row r="90" spans="3:243" x14ac:dyDescent="0.25">
      <c r="C90" t="s">
        <v>84</v>
      </c>
      <c r="D90">
        <f>SUMIFS(DICCIONARIO[Cantidad],DICCIONARIO[Modelo],UNIFICADA[[#This Row],[Equipo]])</f>
        <v>1</v>
      </c>
      <c r="E90" s="1">
        <f>IFERROR(VLOOKUP($C90,EQUIPOS[],UNIFICADO!E$9,0),"")</f>
        <v>10</v>
      </c>
      <c r="F90" s="1">
        <f>IFERROR(VLOOKUP($C90,EQUIPOS[],UNIFICADO!F$9,0),"")</f>
        <v>6.5</v>
      </c>
      <c r="G90" s="1">
        <f>IFERROR(VLOOKUP($C90,EQUIPOS[],UNIFICADO!G$9,0),"")</f>
        <v>12</v>
      </c>
      <c r="H90" s="1">
        <f>IFERROR(VLOOKUP($C90,EQUIPOS[],UNIFICADO!H$9,0),"")</f>
        <v>3</v>
      </c>
      <c r="I90" s="1">
        <f>IFERROR(VLOOKUP($C90,EQUIPOS[],UNIFICADO!I$9,0),"")</f>
        <v>32</v>
      </c>
      <c r="J90" s="1" t="str">
        <f>IFERROR(VLOOKUP($C90,EQUIPOS[],UNIFICADO!J$9,0),"")</f>
        <v>128GB</v>
      </c>
      <c r="K90" s="1">
        <f>IFERROR(VLOOKUP($C90,EQUIPOS[],UNIFICADO!K$9,0),"")</f>
        <v>1024</v>
      </c>
      <c r="L90" s="1">
        <f>IFERROR(VLOOKUP($C90,EQUIPOS[],UNIFICADO!L$9,0),"")</f>
        <v>8</v>
      </c>
      <c r="M90" s="1" t="str">
        <f>IFERROR(VLOOKUP($C90,EQUIPOS[],UNIFICADO!M$9,0),"")</f>
        <v>2.7/2.5/2.0</v>
      </c>
      <c r="N90" s="1">
        <f>IFERROR(VLOOKUP($C90,EQUIPOS[],UNIFICADO!N$9,0),"")</f>
        <v>6</v>
      </c>
      <c r="O90" s="1">
        <f>IFERROR(VLOOKUP($C90,EQUIPOS[],UNIFICADO!O$9,0),"")</f>
        <v>190</v>
      </c>
      <c r="P90" s="1">
        <f>IFERROR(VLOOKUP($C90,EQUIPOS[],UNIFICADO!P$9,0),"")</f>
        <v>15.9</v>
      </c>
      <c r="Q90" s="1">
        <f>IFERROR(VLOOKUP($C90,EQUIPOS[],UNIFICADO!Q$9,0),"")</f>
        <v>7.45</v>
      </c>
      <c r="R90" s="1">
        <f>IFERROR(VLOOKUP($C90,EQUIPOS[],UNIFICADO!R$9,0),"")</f>
        <v>0.84</v>
      </c>
      <c r="S90" s="1">
        <f>IFERROR(VLOOKUP($C90,EQUIPOS[],UNIFICADO!S$9,0),"")</f>
        <v>4500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8"/>
        <v>ND</v>
      </c>
      <c r="W90" s="1" t="str">
        <f t="shared" si="359"/>
        <v>ND</v>
      </c>
      <c r="X90" s="1" t="str">
        <f t="shared" si="351"/>
        <v>ND</v>
      </c>
      <c r="Y90" s="1" t="str">
        <f t="shared" si="351"/>
        <v>ND</v>
      </c>
      <c r="Z90" s="1" t="str">
        <f t="shared" si="514"/>
        <v>ND</v>
      </c>
      <c r="AA90" s="1" t="str">
        <f t="shared" si="514"/>
        <v>ND</v>
      </c>
      <c r="AB90" s="1" t="str">
        <f t="shared" si="514"/>
        <v>ND</v>
      </c>
      <c r="AC90" s="1" t="str">
        <f t="shared" si="514"/>
        <v>ND</v>
      </c>
      <c r="AD90" s="1" t="str">
        <f t="shared" si="514"/>
        <v>ND</v>
      </c>
      <c r="AE90" s="1" t="str">
        <f t="shared" si="514"/>
        <v>ND</v>
      </c>
      <c r="AF90" s="1" t="str">
        <f t="shared" si="514"/>
        <v>ND</v>
      </c>
      <c r="AG90" s="1" t="str">
        <f t="shared" si="514"/>
        <v>ND</v>
      </c>
      <c r="AH90" s="1" t="str">
        <f t="shared" si="514"/>
        <v>ND</v>
      </c>
      <c r="AI90" s="1" t="str">
        <f t="shared" si="360"/>
        <v>ND</v>
      </c>
      <c r="AJ90" s="1" t="str">
        <f t="shared" si="361"/>
        <v>ND</v>
      </c>
      <c r="AK90" s="1" t="str">
        <f t="shared" si="362"/>
        <v>ND</v>
      </c>
      <c r="AL90" s="1" t="str">
        <f t="shared" si="363"/>
        <v>ND</v>
      </c>
      <c r="AM90" s="1" t="str">
        <f t="shared" si="364"/>
        <v>ND</v>
      </c>
      <c r="AN90" s="1" t="str">
        <f t="shared" si="365"/>
        <v>ND</v>
      </c>
      <c r="AO90" s="1" t="str">
        <f t="shared" si="366"/>
        <v>ND</v>
      </c>
      <c r="AP90" s="1" t="str">
        <f t="shared" si="367"/>
        <v>ND</v>
      </c>
      <c r="AQ90" s="1" t="str">
        <f t="shared" si="368"/>
        <v>ND</v>
      </c>
      <c r="AR90" s="1" t="str">
        <f t="shared" si="369"/>
        <v>ND</v>
      </c>
      <c r="AS90" s="1" t="str">
        <f t="shared" si="370"/>
        <v>ND</v>
      </c>
      <c r="AT90" s="1" t="str">
        <f t="shared" si="371"/>
        <v>ND</v>
      </c>
      <c r="AU90" s="1" t="str">
        <f t="shared" si="372"/>
        <v>ND</v>
      </c>
      <c r="AV90" s="1" t="str">
        <f t="shared" si="373"/>
        <v>ND</v>
      </c>
      <c r="AW90" s="1" t="str">
        <f t="shared" si="374"/>
        <v>ND</v>
      </c>
      <c r="AX90" s="1" t="str">
        <f t="shared" si="375"/>
        <v>ND</v>
      </c>
      <c r="AY90" s="1" t="str">
        <f t="shared" si="376"/>
        <v>ND</v>
      </c>
      <c r="AZ90" s="1" t="str">
        <f t="shared" si="377"/>
        <v>ND</v>
      </c>
      <c r="BA90" s="1" t="str">
        <f t="shared" si="378"/>
        <v>ND</v>
      </c>
      <c r="BB90" s="1" t="str">
        <f t="shared" si="379"/>
        <v>ND</v>
      </c>
      <c r="BC90" s="1" t="str">
        <f t="shared" si="380"/>
        <v>ND</v>
      </c>
      <c r="BD90" s="1" t="str">
        <f t="shared" si="381"/>
        <v>ND</v>
      </c>
      <c r="BE90" s="1" t="str">
        <f t="shared" si="382"/>
        <v>ND</v>
      </c>
      <c r="BF90" s="1" t="str">
        <f t="shared" si="383"/>
        <v>ND</v>
      </c>
      <c r="BG90" s="1" t="str">
        <f t="shared" si="384"/>
        <v>ND</v>
      </c>
      <c r="BH90" s="1" t="str">
        <f t="shared" si="385"/>
        <v>ND</v>
      </c>
      <c r="BI90" s="1" t="str">
        <f t="shared" si="386"/>
        <v>ND</v>
      </c>
      <c r="BJ90" s="1" t="str">
        <f t="shared" si="387"/>
        <v>ND</v>
      </c>
      <c r="BK90" s="1" t="str">
        <f t="shared" si="388"/>
        <v>ND</v>
      </c>
      <c r="BL90" s="1" t="str">
        <f t="shared" si="389"/>
        <v>ND</v>
      </c>
      <c r="BM90" s="1" t="str">
        <f t="shared" si="390"/>
        <v>ND</v>
      </c>
      <c r="BN90" s="1" t="str">
        <f t="shared" si="391"/>
        <v>ND</v>
      </c>
      <c r="BO90" s="1" t="str">
        <f t="shared" si="392"/>
        <v>ND</v>
      </c>
      <c r="BP90" s="1" t="str">
        <f t="shared" si="393"/>
        <v>ND</v>
      </c>
      <c r="BQ90" s="1" t="str">
        <f t="shared" si="394"/>
        <v>ND</v>
      </c>
      <c r="BR90" s="1" t="str">
        <f t="shared" si="395"/>
        <v>ND</v>
      </c>
      <c r="BS90" s="1" t="str">
        <f t="shared" si="396"/>
        <v>ND</v>
      </c>
      <c r="BT90" s="1" t="str">
        <f t="shared" si="397"/>
        <v>ND</v>
      </c>
      <c r="BU90" s="1" t="str">
        <f t="shared" si="398"/>
        <v>ND</v>
      </c>
      <c r="BV90" s="1" t="str">
        <f t="shared" si="399"/>
        <v>ND</v>
      </c>
      <c r="BW90" s="1" t="str">
        <f t="shared" si="400"/>
        <v>ND</v>
      </c>
      <c r="BX90" s="1" t="str">
        <f t="shared" si="401"/>
        <v>ND</v>
      </c>
      <c r="BY90" s="1" t="str">
        <f t="shared" si="402"/>
        <v>ND</v>
      </c>
      <c r="BZ90" s="1" t="str">
        <f t="shared" si="403"/>
        <v>ND</v>
      </c>
      <c r="CA90" s="1" t="str">
        <f t="shared" si="515"/>
        <v>ND</v>
      </c>
      <c r="CB90" s="1" t="str">
        <f t="shared" si="515"/>
        <v>ND</v>
      </c>
      <c r="CC90" s="1" t="str">
        <f t="shared" si="515"/>
        <v>ND</v>
      </c>
      <c r="CD90" s="1" t="str">
        <f t="shared" si="515"/>
        <v>ND</v>
      </c>
      <c r="CE90" s="1" t="str">
        <f t="shared" si="515"/>
        <v>ND</v>
      </c>
      <c r="CF90" s="1" t="str">
        <f t="shared" si="515"/>
        <v>ND</v>
      </c>
      <c r="CG90" s="1" t="str">
        <f t="shared" si="515"/>
        <v>ND</v>
      </c>
      <c r="CH90" s="1" t="str">
        <f t="shared" si="515"/>
        <v>ND</v>
      </c>
      <c r="CI90" s="1" t="str">
        <f t="shared" si="515"/>
        <v>ND</v>
      </c>
      <c r="CJ90" s="1" t="str">
        <f t="shared" si="515"/>
        <v>ND</v>
      </c>
      <c r="CK90" s="1" t="str">
        <f t="shared" si="515"/>
        <v>ND</v>
      </c>
      <c r="CL90" s="1" t="str">
        <f t="shared" si="516"/>
        <v>ND</v>
      </c>
      <c r="CM90" s="1" t="str">
        <f t="shared" si="516"/>
        <v>ND</v>
      </c>
      <c r="CN90" s="1" t="str">
        <f t="shared" si="516"/>
        <v>ND</v>
      </c>
      <c r="CO90" s="1" t="str">
        <f t="shared" si="516"/>
        <v>ND</v>
      </c>
      <c r="CP90" s="1" t="str">
        <f t="shared" si="516"/>
        <v>ND</v>
      </c>
      <c r="CQ90" s="1" t="str">
        <f t="shared" si="516"/>
        <v>ND</v>
      </c>
      <c r="CR90" s="1" t="str">
        <f t="shared" si="516"/>
        <v>ND</v>
      </c>
      <c r="CS90" s="1" t="str">
        <f t="shared" si="516"/>
        <v>ND</v>
      </c>
      <c r="CT90" s="1" t="str">
        <f t="shared" si="516"/>
        <v>ND</v>
      </c>
      <c r="CU90" s="1" t="str">
        <f t="shared" si="516"/>
        <v>ND</v>
      </c>
      <c r="CV90" s="1" t="str">
        <f t="shared" si="516"/>
        <v>ND</v>
      </c>
      <c r="CW90" s="1" t="str">
        <f t="shared" si="404"/>
        <v>ND</v>
      </c>
      <c r="CX90" s="1" t="str">
        <f t="shared" si="405"/>
        <v>ND</v>
      </c>
      <c r="CY90" s="1" t="str">
        <f t="shared" si="406"/>
        <v>ND</v>
      </c>
      <c r="CZ90" s="1" t="str">
        <f t="shared" si="407"/>
        <v>ND</v>
      </c>
      <c r="DA90" s="1" t="str">
        <f t="shared" si="408"/>
        <v>ND</v>
      </c>
      <c r="DB90" s="1" t="str">
        <f t="shared" si="409"/>
        <v>ND</v>
      </c>
      <c r="DC90" s="1" t="str">
        <f t="shared" si="410"/>
        <v>ND</v>
      </c>
      <c r="DD90" s="1" t="str">
        <f t="shared" si="411"/>
        <v>ND</v>
      </c>
      <c r="DE90" s="1" t="str">
        <f t="shared" si="412"/>
        <v>ND</v>
      </c>
      <c r="DF90" s="1" t="str">
        <f t="shared" si="413"/>
        <v>ND</v>
      </c>
      <c r="DG90" s="1" t="str">
        <f t="shared" si="414"/>
        <v>ND</v>
      </c>
      <c r="DH90" s="1" t="str">
        <f t="shared" si="415"/>
        <v>ND</v>
      </c>
      <c r="DI90" s="1" t="str">
        <f t="shared" si="416"/>
        <v>ND</v>
      </c>
      <c r="DJ90" s="1" t="str">
        <f t="shared" si="417"/>
        <v>ND</v>
      </c>
      <c r="DK90" s="1" t="str">
        <f t="shared" si="418"/>
        <v>ND</v>
      </c>
      <c r="DL90" s="1" t="str">
        <f t="shared" si="419"/>
        <v>ND</v>
      </c>
      <c r="DM90" s="1" t="str">
        <f t="shared" si="420"/>
        <v>ND</v>
      </c>
      <c r="DN90" s="1" t="str">
        <f t="shared" si="421"/>
        <v>ND</v>
      </c>
      <c r="DO90" s="1" t="str">
        <f t="shared" si="422"/>
        <v>ND</v>
      </c>
      <c r="DP90" s="1" t="str">
        <f t="shared" si="423"/>
        <v>ND</v>
      </c>
      <c r="DQ90" s="1" t="str">
        <f t="shared" si="424"/>
        <v>ND</v>
      </c>
      <c r="DR90" s="1" t="str">
        <f t="shared" si="425"/>
        <v>ND</v>
      </c>
      <c r="DS90" s="1" t="str">
        <f t="shared" si="426"/>
        <v>ND</v>
      </c>
      <c r="DT90" s="1" t="str">
        <f t="shared" si="427"/>
        <v>ND</v>
      </c>
      <c r="DU90" s="1" t="str">
        <f t="shared" si="428"/>
        <v>ND</v>
      </c>
      <c r="DV90" s="1" t="str">
        <f t="shared" si="429"/>
        <v>ND</v>
      </c>
      <c r="DW90" s="1" t="str">
        <f t="shared" si="430"/>
        <v>ND</v>
      </c>
      <c r="DX90" s="1" t="str">
        <f t="shared" si="431"/>
        <v>ND</v>
      </c>
      <c r="DY90" s="1" t="str">
        <f t="shared" si="432"/>
        <v>ND</v>
      </c>
      <c r="DZ90" s="1" t="str">
        <f t="shared" si="433"/>
        <v>ND</v>
      </c>
      <c r="EA90" s="1" t="str">
        <f t="shared" si="434"/>
        <v>ND</v>
      </c>
      <c r="EB90" s="1" t="str">
        <f t="shared" si="435"/>
        <v>ND</v>
      </c>
      <c r="EC90" s="1" t="str">
        <f t="shared" si="436"/>
        <v>ND</v>
      </c>
      <c r="ED90" s="1" t="str">
        <f t="shared" si="437"/>
        <v>ND</v>
      </c>
      <c r="EE90" s="1" t="str">
        <f t="shared" si="438"/>
        <v>ND</v>
      </c>
      <c r="EF90" s="1" t="str">
        <f t="shared" si="439"/>
        <v>ND</v>
      </c>
      <c r="EG90" s="1" t="str">
        <f t="shared" si="440"/>
        <v>ND</v>
      </c>
      <c r="EH90" s="1" t="str">
        <f t="shared" si="441"/>
        <v>ND</v>
      </c>
      <c r="EI90" s="1" t="str">
        <f t="shared" si="442"/>
        <v>ND</v>
      </c>
      <c r="EJ90" s="1" t="str">
        <f t="shared" si="443"/>
        <v>ND</v>
      </c>
      <c r="EK90" s="1" t="str">
        <f t="shared" si="444"/>
        <v>ND</v>
      </c>
      <c r="EL90" s="1" t="str">
        <f t="shared" si="445"/>
        <v>ND</v>
      </c>
      <c r="EM90" s="1" t="str">
        <f t="shared" si="446"/>
        <v>ND</v>
      </c>
      <c r="EN90" s="1" t="str">
        <f t="shared" si="447"/>
        <v>ND</v>
      </c>
      <c r="EO90" s="1" t="str">
        <f t="shared" si="517"/>
        <v>ND</v>
      </c>
      <c r="EP90" s="1" t="str">
        <f t="shared" si="517"/>
        <v>ND</v>
      </c>
      <c r="EQ90" s="1" t="str">
        <f t="shared" si="517"/>
        <v>ND</v>
      </c>
      <c r="ER90" s="1" t="str">
        <f t="shared" si="517"/>
        <v>ND</v>
      </c>
      <c r="ES90" s="1" t="str">
        <f t="shared" si="517"/>
        <v>ND</v>
      </c>
      <c r="ET90" s="1" t="str">
        <f t="shared" si="517"/>
        <v>ND</v>
      </c>
      <c r="EU90" s="1" t="str">
        <f t="shared" si="517"/>
        <v>ND</v>
      </c>
      <c r="EV90" s="1" t="str">
        <f t="shared" si="517"/>
        <v>ND</v>
      </c>
      <c r="EW90" s="1" t="str">
        <f t="shared" si="517"/>
        <v>ND</v>
      </c>
      <c r="EX90" s="1" t="str">
        <f t="shared" si="517"/>
        <v>ND</v>
      </c>
      <c r="EY90" s="1" t="str">
        <f t="shared" si="517"/>
        <v>ND</v>
      </c>
      <c r="EZ90" s="1" t="str">
        <f t="shared" si="518"/>
        <v>ND</v>
      </c>
      <c r="FA90" s="1" t="str">
        <f t="shared" si="518"/>
        <v>ND</v>
      </c>
      <c r="FB90" s="1" t="str">
        <f t="shared" si="518"/>
        <v>ND</v>
      </c>
      <c r="FC90" s="1" t="str">
        <f t="shared" si="518"/>
        <v>ND</v>
      </c>
      <c r="FD90" s="1" t="str">
        <f t="shared" si="518"/>
        <v>ND</v>
      </c>
      <c r="FE90" s="1" t="str">
        <f t="shared" si="518"/>
        <v>ND</v>
      </c>
      <c r="FF90" s="1" t="str">
        <f t="shared" si="518"/>
        <v>ND</v>
      </c>
      <c r="FG90" s="1" t="str">
        <f t="shared" si="518"/>
        <v>ND</v>
      </c>
      <c r="FH90" s="1" t="str">
        <f t="shared" si="518"/>
        <v>ND</v>
      </c>
      <c r="FI90" s="1" t="str">
        <f t="shared" si="518"/>
        <v>ND</v>
      </c>
      <c r="FJ90" s="1" t="str">
        <f t="shared" si="518"/>
        <v>ND</v>
      </c>
      <c r="FK90" s="1" t="str">
        <f t="shared" si="519"/>
        <v>ND</v>
      </c>
      <c r="FL90" s="1" t="str">
        <f t="shared" si="519"/>
        <v>ND</v>
      </c>
      <c r="FM90" s="1" t="str">
        <f t="shared" si="519"/>
        <v>ND</v>
      </c>
      <c r="FN90" s="1" t="str">
        <f t="shared" si="519"/>
        <v>ND</v>
      </c>
      <c r="FO90" s="1" t="str">
        <f t="shared" si="519"/>
        <v>ND</v>
      </c>
      <c r="FP90" s="1" t="str">
        <f t="shared" si="519"/>
        <v>ND</v>
      </c>
      <c r="FQ90" s="1" t="str">
        <f t="shared" si="519"/>
        <v>ND</v>
      </c>
      <c r="FR90" s="1" t="str">
        <f t="shared" si="519"/>
        <v>ND</v>
      </c>
      <c r="FS90" s="1" t="str">
        <f t="shared" si="519"/>
        <v>ND</v>
      </c>
      <c r="FT90" s="1" t="str">
        <f t="shared" si="519"/>
        <v>ND</v>
      </c>
      <c r="FU90" s="1" t="str">
        <f t="shared" si="519"/>
        <v>ND</v>
      </c>
      <c r="FV90" s="1" t="str">
        <f t="shared" si="448"/>
        <v>ND</v>
      </c>
      <c r="FW90" s="1" t="str">
        <f t="shared" si="449"/>
        <v>ND</v>
      </c>
      <c r="FX90" s="1" t="str">
        <f t="shared" si="450"/>
        <v>ND</v>
      </c>
      <c r="FY90" s="1" t="str">
        <f t="shared" si="451"/>
        <v>ND</v>
      </c>
      <c r="FZ90" s="1" t="str">
        <f t="shared" si="452"/>
        <v>ND</v>
      </c>
      <c r="GA90" s="1" t="str">
        <f t="shared" si="453"/>
        <v>ND</v>
      </c>
      <c r="GB90" s="1" t="str">
        <f t="shared" si="454"/>
        <v>ND</v>
      </c>
      <c r="GC90" s="1" t="str">
        <f t="shared" si="455"/>
        <v>ND</v>
      </c>
      <c r="GD90" s="1" t="str">
        <f t="shared" si="456"/>
        <v>ND</v>
      </c>
      <c r="GE90" s="1" t="str">
        <f t="shared" si="457"/>
        <v>ND</v>
      </c>
      <c r="GF90" s="1" t="str">
        <f t="shared" si="458"/>
        <v>ND</v>
      </c>
      <c r="GG90" s="1" t="str">
        <f t="shared" si="459"/>
        <v>ND</v>
      </c>
      <c r="GH90" s="1" t="str">
        <f t="shared" si="460"/>
        <v>ND</v>
      </c>
      <c r="GI90" s="1" t="str">
        <f t="shared" si="461"/>
        <v>ND</v>
      </c>
      <c r="GJ90" s="1" t="str">
        <f t="shared" si="462"/>
        <v>ND</v>
      </c>
      <c r="GK90" s="1" t="str">
        <f t="shared" si="463"/>
        <v>ND</v>
      </c>
      <c r="GL90" s="1" t="str">
        <f t="shared" si="464"/>
        <v>ND</v>
      </c>
      <c r="GM90" s="1" t="str">
        <f t="shared" si="465"/>
        <v>ND</v>
      </c>
      <c r="GN90" s="1" t="str">
        <f t="shared" si="466"/>
        <v>ND</v>
      </c>
      <c r="GO90" s="1" t="str">
        <f t="shared" si="467"/>
        <v>ND</v>
      </c>
      <c r="GP90" s="1" t="str">
        <f t="shared" si="468"/>
        <v>ND</v>
      </c>
      <c r="GQ90" s="1" t="str">
        <f t="shared" si="469"/>
        <v>ND</v>
      </c>
      <c r="GR90" s="1" t="str">
        <f t="shared" si="470"/>
        <v>ND</v>
      </c>
      <c r="GS90" s="1" t="str">
        <f t="shared" si="471"/>
        <v>ND</v>
      </c>
      <c r="GT90" s="1" t="str">
        <f t="shared" si="472"/>
        <v>ND</v>
      </c>
      <c r="GU90" s="1" t="str">
        <f t="shared" si="473"/>
        <v>ND</v>
      </c>
      <c r="GV90" s="1" t="str">
        <f t="shared" si="474"/>
        <v>ND</v>
      </c>
      <c r="GW90" s="1" t="str">
        <f t="shared" si="475"/>
        <v>ND</v>
      </c>
      <c r="GX90" s="1" t="str">
        <f t="shared" si="476"/>
        <v>ND</v>
      </c>
      <c r="GY90" s="1" t="str">
        <f t="shared" si="477"/>
        <v>ND</v>
      </c>
      <c r="GZ90" s="1" t="str">
        <f t="shared" si="478"/>
        <v>ND</v>
      </c>
      <c r="HA90" s="1" t="str">
        <f t="shared" si="479"/>
        <v>ND</v>
      </c>
      <c r="HB90" s="1" t="str">
        <f t="shared" si="480"/>
        <v>ND</v>
      </c>
      <c r="HC90" s="1" t="str">
        <f t="shared" si="481"/>
        <v>ND</v>
      </c>
      <c r="HD90" s="1" t="str">
        <f t="shared" si="482"/>
        <v>ND</v>
      </c>
      <c r="HE90" s="1" t="str">
        <f t="shared" si="483"/>
        <v>ND</v>
      </c>
      <c r="HF90" s="1" t="str">
        <f t="shared" si="484"/>
        <v>ND</v>
      </c>
      <c r="HG90" s="1" t="str">
        <f t="shared" si="485"/>
        <v>ND</v>
      </c>
      <c r="HH90" s="1" t="str">
        <f t="shared" si="486"/>
        <v>ND</v>
      </c>
      <c r="HI90" s="1" t="str">
        <f t="shared" si="487"/>
        <v>ND</v>
      </c>
      <c r="HJ90" s="1" t="str">
        <f t="shared" si="488"/>
        <v>ND</v>
      </c>
      <c r="HK90" s="1" t="str">
        <f t="shared" si="489"/>
        <v>ND</v>
      </c>
      <c r="HL90" s="1" t="str">
        <f t="shared" si="490"/>
        <v>ND</v>
      </c>
      <c r="HM90" s="1" t="str">
        <f t="shared" si="491"/>
        <v>ND</v>
      </c>
      <c r="HN90" s="1" t="str">
        <f t="shared" si="492"/>
        <v>ND</v>
      </c>
      <c r="HO90" s="1" t="str">
        <f t="shared" si="493"/>
        <v>ND</v>
      </c>
      <c r="HP90" s="1" t="str">
        <f t="shared" si="494"/>
        <v>ND</v>
      </c>
      <c r="HQ90" s="1" t="str">
        <f t="shared" si="495"/>
        <v>ND</v>
      </c>
      <c r="HR90" s="1" t="str">
        <f t="shared" si="496"/>
        <v>ND</v>
      </c>
      <c r="HS90" s="1" t="str">
        <f t="shared" si="497"/>
        <v>ND</v>
      </c>
      <c r="HT90" s="1" t="str">
        <f t="shared" si="498"/>
        <v>ND</v>
      </c>
      <c r="HU90" s="1" t="str">
        <f t="shared" si="499"/>
        <v>ND</v>
      </c>
      <c r="HV90" s="1" t="str">
        <f t="shared" si="500"/>
        <v>ND</v>
      </c>
      <c r="HW90" s="1" t="str">
        <f t="shared" si="501"/>
        <v>ND</v>
      </c>
      <c r="HX90" s="1" t="str">
        <f t="shared" si="502"/>
        <v>ND</v>
      </c>
      <c r="HY90" s="1" t="str">
        <f t="shared" si="503"/>
        <v>ND</v>
      </c>
      <c r="HZ90" s="1" t="str">
        <f t="shared" si="504"/>
        <v>ND</v>
      </c>
      <c r="IA90" s="1" t="str">
        <f t="shared" si="505"/>
        <v>ND</v>
      </c>
      <c r="IB90" s="1" t="str">
        <f t="shared" si="506"/>
        <v>ND</v>
      </c>
      <c r="IC90" s="1" t="str">
        <f t="shared" si="507"/>
        <v>ND</v>
      </c>
      <c r="ID90" s="1" t="str">
        <f t="shared" si="508"/>
        <v>ND</v>
      </c>
      <c r="IE90" s="1" t="str">
        <f t="shared" si="509"/>
        <v>ND</v>
      </c>
      <c r="IF90" s="1" t="str">
        <f t="shared" si="510"/>
        <v>ND</v>
      </c>
      <c r="IG90" s="1" t="str">
        <f t="shared" si="511"/>
        <v>ND</v>
      </c>
      <c r="IH90" s="1" t="str">
        <f t="shared" si="512"/>
        <v>ND</v>
      </c>
      <c r="II90" s="1" t="str">
        <f t="shared" si="513"/>
        <v>ND</v>
      </c>
    </row>
    <row r="91" spans="3:243" x14ac:dyDescent="0.25">
      <c r="C91" t="s">
        <v>50</v>
      </c>
      <c r="D91">
        <f>SUMIFS(DICCIONARIO[Cantidad],DICCIONARIO[Modelo],UNIFICADA[[#This Row],[Equipo]])</f>
        <v>11</v>
      </c>
      <c r="E91" s="1">
        <f>IFERROR(VLOOKUP($C91,EQUIPOS[],UNIFICADO!E$9,0),"")</f>
        <v>11</v>
      </c>
      <c r="F91" s="1">
        <f>IFERROR(VLOOKUP($C91,EQUIPOS[],UNIFICADO!F$9,0),"")</f>
        <v>6.4</v>
      </c>
      <c r="G91" s="1">
        <f>IFERROR(VLOOKUP($C91,EQUIPOS[],UNIFICADO!G$9,0),"")</f>
        <v>12</v>
      </c>
      <c r="H91" s="1">
        <f>IFERROR(VLOOKUP($C91,EQUIPOS[],UNIFICADO!H$9,0),"")</f>
        <v>3</v>
      </c>
      <c r="I91" s="1">
        <f>IFERROR(VLOOKUP($C91,EQUIPOS[],UNIFICADO!I$9,0),"")</f>
        <v>32</v>
      </c>
      <c r="J91" s="1" t="str">
        <f>IFERROR(VLOOKUP($C91,EQUIPOS[],UNIFICADO!J$9,0),"")</f>
        <v>128GB</v>
      </c>
      <c r="K91" s="1">
        <f>IFERROR(VLOOKUP($C91,EQUIPOS[],UNIFICADO!K$9,0),"")</f>
        <v>0</v>
      </c>
      <c r="L91" s="1">
        <f>IFERROR(VLOOKUP($C91,EQUIPOS[],UNIFICADO!L$9,0),"")</f>
        <v>8</v>
      </c>
      <c r="M91" s="1" t="str">
        <f>IFERROR(VLOOKUP($C91,EQUIPOS[],UNIFICADO!M$9,0),"")</f>
        <v>2.9/2.8/2.2</v>
      </c>
      <c r="N91" s="1">
        <f>IFERROR(VLOOKUP($C91,EQUIPOS[],UNIFICADO!N$9,0),"")</f>
        <v>8</v>
      </c>
      <c r="O91" s="1">
        <f>IFERROR(VLOOKUP($C91,EQUIPOS[],UNIFICADO!O$9,0),"")</f>
        <v>177</v>
      </c>
      <c r="P91" s="1">
        <f>IFERROR(VLOOKUP($C91,EQUIPOS[],UNIFICADO!P$9,0),"")</f>
        <v>15.5</v>
      </c>
      <c r="Q91" s="1">
        <f>IFERROR(VLOOKUP($C91,EQUIPOS[],UNIFICADO!Q$9,0),"")</f>
        <v>7.45</v>
      </c>
      <c r="R91" s="1">
        <f>IFERROR(VLOOKUP($C91,EQUIPOS[],UNIFICADO!R$9,0),"")</f>
        <v>0.79</v>
      </c>
      <c r="S91" s="1">
        <f>IFERROR(VLOOKUP($C91,EQUIPOS[],UNIFICADO!S$9,0),"")</f>
        <v>4500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8"/>
        <v>ND</v>
      </c>
      <c r="W91" s="1" t="str">
        <f t="shared" si="359"/>
        <v>ND</v>
      </c>
      <c r="X91" s="1" t="str">
        <f t="shared" ref="X91:Y110" si="520">IF(X$9="ND","ND",VLOOKUP($C91,AC,X$9,0))</f>
        <v>ND</v>
      </c>
      <c r="Y91" s="1" t="str">
        <f t="shared" si="520"/>
        <v>ND</v>
      </c>
      <c r="Z91" s="1" t="str">
        <f t="shared" ref="Z91:AH100" si="521">IFERROR(IF(Z$9="ND","ND",VLOOKUP($C91,AC,Z$9,0)),"ND")</f>
        <v>ND</v>
      </c>
      <c r="AA91" s="1" t="str">
        <f t="shared" si="521"/>
        <v>ND</v>
      </c>
      <c r="AB91" s="1" t="str">
        <f t="shared" si="521"/>
        <v>ND</v>
      </c>
      <c r="AC91" s="1" t="str">
        <f t="shared" si="521"/>
        <v>ND</v>
      </c>
      <c r="AD91" s="1" t="str">
        <f t="shared" si="521"/>
        <v>ND</v>
      </c>
      <c r="AE91" s="1" t="str">
        <f t="shared" si="521"/>
        <v>ND</v>
      </c>
      <c r="AF91" s="1" t="str">
        <f t="shared" si="521"/>
        <v>ND</v>
      </c>
      <c r="AG91" s="1" t="str">
        <f t="shared" si="521"/>
        <v>ND</v>
      </c>
      <c r="AH91" s="1" t="str">
        <f t="shared" si="521"/>
        <v>ND</v>
      </c>
      <c r="AI91" s="1" t="str">
        <f t="shared" si="360"/>
        <v>ND</v>
      </c>
      <c r="AJ91" s="1" t="str">
        <f t="shared" si="361"/>
        <v>ND</v>
      </c>
      <c r="AK91" s="1" t="str">
        <f t="shared" si="362"/>
        <v>ND</v>
      </c>
      <c r="AL91" s="1" t="str">
        <f t="shared" si="363"/>
        <v>ND</v>
      </c>
      <c r="AM91" s="1" t="str">
        <f t="shared" si="364"/>
        <v>ND</v>
      </c>
      <c r="AN91" s="1" t="str">
        <f t="shared" si="365"/>
        <v>ND</v>
      </c>
      <c r="AO91" s="1" t="str">
        <f t="shared" si="366"/>
        <v>ND</v>
      </c>
      <c r="AP91" s="1" t="str">
        <f t="shared" si="367"/>
        <v>ND</v>
      </c>
      <c r="AQ91" s="1" t="str">
        <f t="shared" si="368"/>
        <v>ND</v>
      </c>
      <c r="AR91" s="1" t="str">
        <f t="shared" si="369"/>
        <v>ND</v>
      </c>
      <c r="AS91" s="1" t="str">
        <f t="shared" si="370"/>
        <v>ND</v>
      </c>
      <c r="AT91" s="1" t="str">
        <f t="shared" si="371"/>
        <v>ND</v>
      </c>
      <c r="AU91" s="1" t="str">
        <f t="shared" si="372"/>
        <v>ND</v>
      </c>
      <c r="AV91" s="1" t="str">
        <f t="shared" si="373"/>
        <v>ND</v>
      </c>
      <c r="AW91" s="1" t="str">
        <f t="shared" si="374"/>
        <v>ND</v>
      </c>
      <c r="AX91" s="1" t="str">
        <f t="shared" si="375"/>
        <v>ND</v>
      </c>
      <c r="AY91" s="1" t="str">
        <f t="shared" si="376"/>
        <v>ND</v>
      </c>
      <c r="AZ91" s="1" t="str">
        <f t="shared" si="377"/>
        <v>ND</v>
      </c>
      <c r="BA91" s="1" t="str">
        <f t="shared" si="378"/>
        <v>ND</v>
      </c>
      <c r="BB91" s="1" t="str">
        <f t="shared" si="379"/>
        <v>ND</v>
      </c>
      <c r="BC91" s="1" t="str">
        <f t="shared" si="380"/>
        <v>ND</v>
      </c>
      <c r="BD91" s="1" t="str">
        <f t="shared" si="381"/>
        <v>ND</v>
      </c>
      <c r="BE91" s="1" t="str">
        <f t="shared" si="382"/>
        <v>ND</v>
      </c>
      <c r="BF91" s="1" t="str">
        <f t="shared" si="383"/>
        <v>ND</v>
      </c>
      <c r="BG91" s="1" t="str">
        <f t="shared" si="384"/>
        <v>ND</v>
      </c>
      <c r="BH91" s="1" t="str">
        <f t="shared" si="385"/>
        <v>ND</v>
      </c>
      <c r="BI91" s="1" t="str">
        <f t="shared" si="386"/>
        <v>ND</v>
      </c>
      <c r="BJ91" s="1" t="str">
        <f t="shared" si="387"/>
        <v>ND</v>
      </c>
      <c r="BK91" s="1" t="str">
        <f t="shared" si="388"/>
        <v>ND</v>
      </c>
      <c r="BL91" s="1" t="str">
        <f t="shared" si="389"/>
        <v>ND</v>
      </c>
      <c r="BM91" s="1" t="str">
        <f t="shared" si="390"/>
        <v>ND</v>
      </c>
      <c r="BN91" s="1" t="str">
        <f t="shared" si="391"/>
        <v>ND</v>
      </c>
      <c r="BO91" s="1" t="str">
        <f t="shared" si="392"/>
        <v>ND</v>
      </c>
      <c r="BP91" s="1" t="str">
        <f t="shared" si="393"/>
        <v>ND</v>
      </c>
      <c r="BQ91" s="1" t="str">
        <f t="shared" si="394"/>
        <v>ND</v>
      </c>
      <c r="BR91" s="1" t="str">
        <f t="shared" si="395"/>
        <v>ND</v>
      </c>
      <c r="BS91" s="1" t="str">
        <f t="shared" si="396"/>
        <v>ND</v>
      </c>
      <c r="BT91" s="1" t="str">
        <f t="shared" si="397"/>
        <v>ND</v>
      </c>
      <c r="BU91" s="1" t="str">
        <f t="shared" si="398"/>
        <v>ND</v>
      </c>
      <c r="BV91" s="1" t="str">
        <f t="shared" si="399"/>
        <v>ND</v>
      </c>
      <c r="BW91" s="1" t="str">
        <f t="shared" si="400"/>
        <v>ND</v>
      </c>
      <c r="BX91" s="1" t="str">
        <f t="shared" si="401"/>
        <v>ND</v>
      </c>
      <c r="BY91" s="1" t="str">
        <f t="shared" si="402"/>
        <v>ND</v>
      </c>
      <c r="BZ91" s="1" t="str">
        <f t="shared" si="403"/>
        <v>ND</v>
      </c>
      <c r="CA91" s="1" t="str">
        <f t="shared" ref="CA91:CK100" si="522">IFERROR(IF(CA$9="ND","ND",VLOOKUP($C91,FULLC,CA$9,0)),"ND")</f>
        <v>ND</v>
      </c>
      <c r="CB91" s="1" t="str">
        <f t="shared" si="522"/>
        <v>ND</v>
      </c>
      <c r="CC91" s="1" t="str">
        <f t="shared" si="522"/>
        <v>ND</v>
      </c>
      <c r="CD91" s="1" t="str">
        <f t="shared" si="522"/>
        <v>ND</v>
      </c>
      <c r="CE91" s="1" t="str">
        <f t="shared" si="522"/>
        <v>ND</v>
      </c>
      <c r="CF91" s="1" t="str">
        <f t="shared" si="522"/>
        <v>ND</v>
      </c>
      <c r="CG91" s="1" t="str">
        <f t="shared" si="522"/>
        <v>ND</v>
      </c>
      <c r="CH91" s="1" t="str">
        <f t="shared" si="522"/>
        <v>ND</v>
      </c>
      <c r="CI91" s="1" t="str">
        <f t="shared" si="522"/>
        <v>ND</v>
      </c>
      <c r="CJ91" s="1" t="str">
        <f t="shared" si="522"/>
        <v>ND</v>
      </c>
      <c r="CK91" s="1" t="str">
        <f t="shared" si="522"/>
        <v>ND</v>
      </c>
      <c r="CL91" s="1" t="str">
        <f t="shared" ref="CL91:CV100" si="523">IFERROR(IF(CL$9="ND","ND",VLOOKUP($C91,LINA,CL$9,0)),"ND")</f>
        <v>ND</v>
      </c>
      <c r="CM91" s="1" t="str">
        <f t="shared" si="523"/>
        <v>ND</v>
      </c>
      <c r="CN91" s="1" t="str">
        <f t="shared" si="523"/>
        <v>ND</v>
      </c>
      <c r="CO91" s="1" t="str">
        <f t="shared" si="523"/>
        <v>ND</v>
      </c>
      <c r="CP91" s="1" t="str">
        <f t="shared" si="523"/>
        <v>ND</v>
      </c>
      <c r="CQ91" s="1" t="str">
        <f t="shared" si="523"/>
        <v>ND</v>
      </c>
      <c r="CR91" s="1" t="str">
        <f t="shared" si="523"/>
        <v>ND</v>
      </c>
      <c r="CS91" s="1" t="str">
        <f t="shared" si="523"/>
        <v>ND</v>
      </c>
      <c r="CT91" s="1" t="str">
        <f t="shared" si="523"/>
        <v>ND</v>
      </c>
      <c r="CU91" s="1" t="str">
        <f t="shared" si="523"/>
        <v>ND</v>
      </c>
      <c r="CV91" s="1" t="str">
        <f t="shared" si="523"/>
        <v>ND</v>
      </c>
      <c r="CW91" s="1" t="str">
        <f t="shared" si="404"/>
        <v>ND</v>
      </c>
      <c r="CX91" s="1" t="str">
        <f t="shared" si="405"/>
        <v>ND</v>
      </c>
      <c r="CY91" s="1" t="str">
        <f t="shared" si="406"/>
        <v>ND</v>
      </c>
      <c r="CZ91" s="1" t="str">
        <f t="shared" si="407"/>
        <v>ND</v>
      </c>
      <c r="DA91" s="1" t="str">
        <f t="shared" si="408"/>
        <v>ND</v>
      </c>
      <c r="DB91" s="1" t="str">
        <f t="shared" si="409"/>
        <v>ND</v>
      </c>
      <c r="DC91" s="1" t="str">
        <f t="shared" si="410"/>
        <v>ND</v>
      </c>
      <c r="DD91" s="1" t="str">
        <f t="shared" si="411"/>
        <v>ND</v>
      </c>
      <c r="DE91" s="1" t="str">
        <f t="shared" si="412"/>
        <v>ND</v>
      </c>
      <c r="DF91" s="1" t="str">
        <f t="shared" si="413"/>
        <v>ND</v>
      </c>
      <c r="DG91" s="1" t="str">
        <f t="shared" si="414"/>
        <v>ND</v>
      </c>
      <c r="DH91" s="1" t="str">
        <f t="shared" si="415"/>
        <v>ND</v>
      </c>
      <c r="DI91" s="1" t="str">
        <f t="shared" si="416"/>
        <v>ND</v>
      </c>
      <c r="DJ91" s="1" t="str">
        <f t="shared" si="417"/>
        <v>ND</v>
      </c>
      <c r="DK91" s="1" t="str">
        <f t="shared" si="418"/>
        <v>ND</v>
      </c>
      <c r="DL91" s="1" t="str">
        <f t="shared" si="419"/>
        <v>ND</v>
      </c>
      <c r="DM91" s="1" t="str">
        <f t="shared" si="420"/>
        <v>ND</v>
      </c>
      <c r="DN91" s="1" t="str">
        <f t="shared" si="421"/>
        <v>ND</v>
      </c>
      <c r="DO91" s="1" t="str">
        <f t="shared" si="422"/>
        <v>ND</v>
      </c>
      <c r="DP91" s="1" t="str">
        <f t="shared" si="423"/>
        <v>ND</v>
      </c>
      <c r="DQ91" s="1" t="str">
        <f t="shared" si="424"/>
        <v>ND</v>
      </c>
      <c r="DR91" s="1" t="str">
        <f t="shared" si="425"/>
        <v>ND</v>
      </c>
      <c r="DS91" s="1" t="str">
        <f t="shared" si="426"/>
        <v>ND</v>
      </c>
      <c r="DT91" s="1" t="str">
        <f t="shared" si="427"/>
        <v>ND</v>
      </c>
      <c r="DU91" s="1" t="str">
        <f t="shared" si="428"/>
        <v>ND</v>
      </c>
      <c r="DV91" s="1" t="str">
        <f t="shared" si="429"/>
        <v>ND</v>
      </c>
      <c r="DW91" s="1" t="str">
        <f t="shared" si="430"/>
        <v>ND</v>
      </c>
      <c r="DX91" s="1" t="str">
        <f t="shared" si="431"/>
        <v>ND</v>
      </c>
      <c r="DY91" s="1" t="str">
        <f t="shared" si="432"/>
        <v>ND</v>
      </c>
      <c r="DZ91" s="1" t="str">
        <f t="shared" si="433"/>
        <v>ND</v>
      </c>
      <c r="EA91" s="1" t="str">
        <f t="shared" si="434"/>
        <v>ND</v>
      </c>
      <c r="EB91" s="1" t="str">
        <f t="shared" si="435"/>
        <v>ND</v>
      </c>
      <c r="EC91" s="1" t="str">
        <f t="shared" si="436"/>
        <v>ND</v>
      </c>
      <c r="ED91" s="1" t="str">
        <f t="shared" si="437"/>
        <v>ND</v>
      </c>
      <c r="EE91" s="1" t="str">
        <f t="shared" si="438"/>
        <v>ND</v>
      </c>
      <c r="EF91" s="1" t="str">
        <f t="shared" si="439"/>
        <v>ND</v>
      </c>
      <c r="EG91" s="1" t="str">
        <f t="shared" si="440"/>
        <v>ND</v>
      </c>
      <c r="EH91" s="1" t="str">
        <f t="shared" si="441"/>
        <v>ND</v>
      </c>
      <c r="EI91" s="1" t="str">
        <f t="shared" si="442"/>
        <v>ND</v>
      </c>
      <c r="EJ91" s="1" t="str">
        <f t="shared" si="443"/>
        <v>ND</v>
      </c>
      <c r="EK91" s="1" t="str">
        <f t="shared" si="444"/>
        <v>ND</v>
      </c>
      <c r="EL91" s="1" t="str">
        <f t="shared" si="445"/>
        <v>ND</v>
      </c>
      <c r="EM91" s="1" t="str">
        <f t="shared" si="446"/>
        <v>ND</v>
      </c>
      <c r="EN91" s="1" t="str">
        <f t="shared" si="447"/>
        <v>ND</v>
      </c>
      <c r="EO91" s="1" t="str">
        <f t="shared" ref="EO91:EY100" si="524">IFERROR(IF(EO$9="ND","ND",VLOOKUP($C91,PAR,EO$9,0)),"ND")</f>
        <v>ND</v>
      </c>
      <c r="EP91" s="1" t="str">
        <f t="shared" si="524"/>
        <v>ND</v>
      </c>
      <c r="EQ91" s="1" t="str">
        <f t="shared" si="524"/>
        <v>ND</v>
      </c>
      <c r="ER91" s="1" t="str">
        <f t="shared" si="524"/>
        <v>ND</v>
      </c>
      <c r="ES91" s="1" t="str">
        <f t="shared" si="524"/>
        <v>ND</v>
      </c>
      <c r="ET91" s="1" t="str">
        <f t="shared" si="524"/>
        <v>ND</v>
      </c>
      <c r="EU91" s="1" t="str">
        <f t="shared" si="524"/>
        <v>ND</v>
      </c>
      <c r="EV91" s="1" t="str">
        <f t="shared" si="524"/>
        <v>ND</v>
      </c>
      <c r="EW91" s="1" t="str">
        <f t="shared" si="524"/>
        <v>ND</v>
      </c>
      <c r="EX91" s="1" t="str">
        <f t="shared" si="524"/>
        <v>ND</v>
      </c>
      <c r="EY91" s="1" t="str">
        <f t="shared" si="524"/>
        <v>ND</v>
      </c>
      <c r="EZ91" s="1" t="str">
        <f t="shared" ref="EZ91:FJ100" si="525">IFERROR(IF(EZ$9="ND","ND",VLOOKUP($C91,PE,EZ$9,0)),"ND")</f>
        <v>ND</v>
      </c>
      <c r="FA91" s="1" t="str">
        <f t="shared" si="525"/>
        <v>ND</v>
      </c>
      <c r="FB91" s="1" t="str">
        <f t="shared" si="525"/>
        <v>ND</v>
      </c>
      <c r="FC91" s="1" t="str">
        <f t="shared" si="525"/>
        <v>ND</v>
      </c>
      <c r="FD91" s="1" t="str">
        <f t="shared" si="525"/>
        <v>ND</v>
      </c>
      <c r="FE91" s="1" t="str">
        <f t="shared" si="525"/>
        <v>ND</v>
      </c>
      <c r="FF91" s="1" t="str">
        <f t="shared" si="525"/>
        <v>ND</v>
      </c>
      <c r="FG91" s="1" t="str">
        <f t="shared" si="525"/>
        <v>ND</v>
      </c>
      <c r="FH91" s="1" t="str">
        <f t="shared" si="525"/>
        <v>ND</v>
      </c>
      <c r="FI91" s="1" t="str">
        <f t="shared" si="525"/>
        <v>ND</v>
      </c>
      <c r="FJ91" s="1" t="str">
        <f t="shared" si="525"/>
        <v>ND</v>
      </c>
      <c r="FK91" s="1" t="str">
        <f t="shared" ref="FK91:FU100" si="526">IFERROR(IF(FK$9="ND","ND",VLOOKUP($C91,RE,FK$9,0)),"ND")</f>
        <v>ND</v>
      </c>
      <c r="FL91" s="1" t="str">
        <f t="shared" si="526"/>
        <v>ND</v>
      </c>
      <c r="FM91" s="1" t="str">
        <f t="shared" si="526"/>
        <v>ND</v>
      </c>
      <c r="FN91" s="1" t="str">
        <f t="shared" si="526"/>
        <v>ND</v>
      </c>
      <c r="FO91" s="1" t="str">
        <f t="shared" si="526"/>
        <v>ND</v>
      </c>
      <c r="FP91" s="1" t="str">
        <f t="shared" si="526"/>
        <v>ND</v>
      </c>
      <c r="FQ91" s="1" t="str">
        <f t="shared" si="526"/>
        <v>ND</v>
      </c>
      <c r="FR91" s="1" t="str">
        <f t="shared" si="526"/>
        <v>ND</v>
      </c>
      <c r="FS91" s="1" t="str">
        <f t="shared" si="526"/>
        <v>ND</v>
      </c>
      <c r="FT91" s="1" t="str">
        <f t="shared" si="526"/>
        <v>ND</v>
      </c>
      <c r="FU91" s="1" t="str">
        <f t="shared" si="526"/>
        <v>ND</v>
      </c>
      <c r="FV91" s="1" t="str">
        <f t="shared" si="448"/>
        <v>ND</v>
      </c>
      <c r="FW91" s="1" t="str">
        <f t="shared" si="449"/>
        <v>ND</v>
      </c>
      <c r="FX91" s="1" t="str">
        <f t="shared" si="450"/>
        <v>ND</v>
      </c>
      <c r="FY91" s="1" t="str">
        <f t="shared" si="451"/>
        <v>ND</v>
      </c>
      <c r="FZ91" s="1" t="str">
        <f t="shared" si="452"/>
        <v>ND</v>
      </c>
      <c r="GA91" s="1" t="str">
        <f t="shared" si="453"/>
        <v>ND</v>
      </c>
      <c r="GB91" s="1" t="str">
        <f t="shared" si="454"/>
        <v>ND</v>
      </c>
      <c r="GC91" s="1" t="str">
        <f t="shared" si="455"/>
        <v>ND</v>
      </c>
      <c r="GD91" s="1" t="str">
        <f t="shared" si="456"/>
        <v>ND</v>
      </c>
      <c r="GE91" s="1" t="str">
        <f t="shared" si="457"/>
        <v>ND</v>
      </c>
      <c r="GF91" s="1" t="str">
        <f t="shared" si="458"/>
        <v>ND</v>
      </c>
      <c r="GG91" s="1" t="str">
        <f t="shared" si="459"/>
        <v>ND</v>
      </c>
      <c r="GH91" s="1" t="str">
        <f t="shared" si="460"/>
        <v>ND</v>
      </c>
      <c r="GI91" s="1" t="str">
        <f t="shared" si="461"/>
        <v>ND</v>
      </c>
      <c r="GJ91" s="1" t="str">
        <f t="shared" si="462"/>
        <v>ND</v>
      </c>
      <c r="GK91" s="1" t="str">
        <f t="shared" si="463"/>
        <v>ND</v>
      </c>
      <c r="GL91" s="1" t="str">
        <f t="shared" si="464"/>
        <v>ND</v>
      </c>
      <c r="GM91" s="1" t="str">
        <f t="shared" si="465"/>
        <v>ND</v>
      </c>
      <c r="GN91" s="1" t="str">
        <f t="shared" si="466"/>
        <v>ND</v>
      </c>
      <c r="GO91" s="1" t="str">
        <f t="shared" si="467"/>
        <v>ND</v>
      </c>
      <c r="GP91" s="1" t="str">
        <f t="shared" si="468"/>
        <v>ND</v>
      </c>
      <c r="GQ91" s="1" t="str">
        <f t="shared" si="469"/>
        <v>ND</v>
      </c>
      <c r="GR91" s="1" t="str">
        <f t="shared" si="470"/>
        <v>ND</v>
      </c>
      <c r="GS91" s="1" t="str">
        <f t="shared" si="471"/>
        <v>ND</v>
      </c>
      <c r="GT91" s="1" t="str">
        <f t="shared" si="472"/>
        <v>ND</v>
      </c>
      <c r="GU91" s="1" t="str">
        <f t="shared" si="473"/>
        <v>ND</v>
      </c>
      <c r="GV91" s="1" t="str">
        <f t="shared" si="474"/>
        <v>ND</v>
      </c>
      <c r="GW91" s="1" t="str">
        <f t="shared" si="475"/>
        <v>ND</v>
      </c>
      <c r="GX91" s="1" t="str">
        <f t="shared" si="476"/>
        <v>ND</v>
      </c>
      <c r="GY91" s="1" t="str">
        <f t="shared" si="477"/>
        <v>ND</v>
      </c>
      <c r="GZ91" s="1" t="str">
        <f t="shared" si="478"/>
        <v>ND</v>
      </c>
      <c r="HA91" s="1" t="str">
        <f t="shared" si="479"/>
        <v>ND</v>
      </c>
      <c r="HB91" s="1" t="str">
        <f t="shared" si="480"/>
        <v>ND</v>
      </c>
      <c r="HC91" s="1" t="str">
        <f t="shared" si="481"/>
        <v>ND</v>
      </c>
      <c r="HD91" s="1" t="str">
        <f t="shared" si="482"/>
        <v>ND</v>
      </c>
      <c r="HE91" s="1" t="str">
        <f t="shared" si="483"/>
        <v>ND</v>
      </c>
      <c r="HF91" s="1" t="str">
        <f t="shared" si="484"/>
        <v>ND</v>
      </c>
      <c r="HG91" s="1" t="str">
        <f t="shared" si="485"/>
        <v>ND</v>
      </c>
      <c r="HH91" s="1" t="str">
        <f t="shared" si="486"/>
        <v>ND</v>
      </c>
      <c r="HI91" s="1" t="str">
        <f t="shared" si="487"/>
        <v>ND</v>
      </c>
      <c r="HJ91" s="1" t="str">
        <f t="shared" si="488"/>
        <v>ND</v>
      </c>
      <c r="HK91" s="1" t="str">
        <f t="shared" si="489"/>
        <v>ND</v>
      </c>
      <c r="HL91" s="1" t="str">
        <f t="shared" si="490"/>
        <v>ND</v>
      </c>
      <c r="HM91" s="1" t="str">
        <f t="shared" si="491"/>
        <v>ND</v>
      </c>
      <c r="HN91" s="1" t="str">
        <f t="shared" si="492"/>
        <v>ND</v>
      </c>
      <c r="HO91" s="1" t="str">
        <f t="shared" si="493"/>
        <v>ND</v>
      </c>
      <c r="HP91" s="1" t="str">
        <f t="shared" si="494"/>
        <v>ND</v>
      </c>
      <c r="HQ91" s="1" t="str">
        <f t="shared" si="495"/>
        <v>ND</v>
      </c>
      <c r="HR91" s="1" t="str">
        <f t="shared" si="496"/>
        <v>ND</v>
      </c>
      <c r="HS91" s="1" t="str">
        <f t="shared" si="497"/>
        <v>ND</v>
      </c>
      <c r="HT91" s="1" t="str">
        <f t="shared" si="498"/>
        <v>ND</v>
      </c>
      <c r="HU91" s="1" t="str">
        <f t="shared" si="499"/>
        <v>ND</v>
      </c>
      <c r="HV91" s="1" t="str">
        <f t="shared" si="500"/>
        <v>ND</v>
      </c>
      <c r="HW91" s="1" t="str">
        <f t="shared" si="501"/>
        <v>ND</v>
      </c>
      <c r="HX91" s="1" t="str">
        <f t="shared" si="502"/>
        <v>ND</v>
      </c>
      <c r="HY91" s="1" t="str">
        <f t="shared" si="503"/>
        <v>ND</v>
      </c>
      <c r="HZ91" s="1" t="str">
        <f t="shared" si="504"/>
        <v>ND</v>
      </c>
      <c r="IA91" s="1" t="str">
        <f t="shared" si="505"/>
        <v>ND</v>
      </c>
      <c r="IB91" s="1" t="str">
        <f t="shared" si="506"/>
        <v>ND</v>
      </c>
      <c r="IC91" s="1" t="str">
        <f t="shared" si="507"/>
        <v>ND</v>
      </c>
      <c r="ID91" s="1" t="str">
        <f t="shared" si="508"/>
        <v>ND</v>
      </c>
      <c r="IE91" s="1" t="str">
        <f t="shared" si="509"/>
        <v>ND</v>
      </c>
      <c r="IF91" s="1" t="str">
        <f t="shared" si="510"/>
        <v>ND</v>
      </c>
      <c r="IG91" s="1" t="str">
        <f t="shared" si="511"/>
        <v>ND</v>
      </c>
      <c r="IH91" s="1" t="str">
        <f t="shared" si="512"/>
        <v>ND</v>
      </c>
      <c r="II91" s="1" t="str">
        <f t="shared" si="513"/>
        <v>ND</v>
      </c>
    </row>
    <row r="92" spans="3:243" x14ac:dyDescent="0.25">
      <c r="C92" t="s">
        <v>61</v>
      </c>
      <c r="D92">
        <f>SUMIFS(DICCIONARIO[Cantidad],DICCIONARIO[Modelo],UNIFICADA[[#This Row],[Equipo]])</f>
        <v>0</v>
      </c>
      <c r="E92" s="1">
        <f>IFERROR(VLOOKUP($C92,EQUIPOS[],UNIFICADO!E$9,0),"")</f>
        <v>12</v>
      </c>
      <c r="F92" s="1">
        <f>IFERROR(VLOOKUP($C92,EQUIPOS[],UNIFICADO!F$9,0),"")</f>
        <v>6.1</v>
      </c>
      <c r="G92" s="1">
        <f>IFERROR(VLOOKUP($C92,EQUIPOS[],UNIFICADO!G$9,0),"")</f>
        <v>50</v>
      </c>
      <c r="H92" s="1">
        <f>IFERROR(VLOOKUP($C92,EQUIPOS[],UNIFICADO!H$9,0),"")</f>
        <v>3</v>
      </c>
      <c r="I92" s="1">
        <f>IFERROR(VLOOKUP($C92,EQUIPOS[],UNIFICADO!I$9,0),"")</f>
        <v>10</v>
      </c>
      <c r="J92" s="1" t="str">
        <f>IFERROR(VLOOKUP($C92,EQUIPOS[],UNIFICADO!J$9,0),"")</f>
        <v>128GB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3.0/2.4/1.7</v>
      </c>
      <c r="N92" s="1">
        <f>IFERROR(VLOOKUP($C92,EQUIPOS[],UNIFICADO!N$9,0),"")</f>
        <v>8</v>
      </c>
      <c r="O92" s="1">
        <f>IFERROR(VLOOKUP($C92,EQUIPOS[],UNIFICADO!O$9,0),"")</f>
        <v>167</v>
      </c>
      <c r="P92" s="1">
        <f>IFERROR(VLOOKUP($C92,EQUIPOS[],UNIFICADO!P$9,0),"")</f>
        <v>14.6</v>
      </c>
      <c r="Q92" s="1">
        <f>IFERROR(VLOOKUP($C92,EQUIPOS[],UNIFICADO!Q$9,0),"")</f>
        <v>7.06</v>
      </c>
      <c r="R92" s="1">
        <f>IFERROR(VLOOKUP($C92,EQUIPOS[],UNIFICADO!R$9,0),"")</f>
        <v>0.76</v>
      </c>
      <c r="S92" s="1">
        <f>IFERROR(VLOOKUP($C92,EQUIPOS[],UNIFICADO!S$9,0),"")</f>
        <v>3700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8"/>
        <v>ND</v>
      </c>
      <c r="W92" s="1" t="str">
        <f t="shared" si="359"/>
        <v>ND</v>
      </c>
      <c r="X92" s="1" t="str">
        <f t="shared" si="520"/>
        <v>ND</v>
      </c>
      <c r="Y92" s="1" t="str">
        <f t="shared" si="520"/>
        <v>ND</v>
      </c>
      <c r="Z92" s="1" t="str">
        <f t="shared" si="521"/>
        <v>ND</v>
      </c>
      <c r="AA92" s="1" t="str">
        <f t="shared" si="521"/>
        <v>ND</v>
      </c>
      <c r="AB92" s="1" t="str">
        <f t="shared" si="521"/>
        <v>ND</v>
      </c>
      <c r="AC92" s="1" t="str">
        <f t="shared" si="521"/>
        <v>ND</v>
      </c>
      <c r="AD92" s="1" t="str">
        <f t="shared" si="521"/>
        <v>ND</v>
      </c>
      <c r="AE92" s="1" t="str">
        <f t="shared" si="521"/>
        <v>ND</v>
      </c>
      <c r="AF92" s="1" t="str">
        <f t="shared" si="521"/>
        <v>ND</v>
      </c>
      <c r="AG92" s="1" t="str">
        <f t="shared" si="521"/>
        <v>ND</v>
      </c>
      <c r="AH92" s="1" t="str">
        <f t="shared" si="521"/>
        <v>ND</v>
      </c>
      <c r="AI92" s="1" t="str">
        <f t="shared" si="360"/>
        <v>ND</v>
      </c>
      <c r="AJ92" s="1" t="str">
        <f t="shared" si="361"/>
        <v>ND</v>
      </c>
      <c r="AK92" s="1" t="str">
        <f t="shared" si="362"/>
        <v>ND</v>
      </c>
      <c r="AL92" s="1" t="str">
        <f t="shared" si="363"/>
        <v>ND</v>
      </c>
      <c r="AM92" s="1" t="str">
        <f t="shared" si="364"/>
        <v>ND</v>
      </c>
      <c r="AN92" s="1" t="str">
        <f t="shared" si="365"/>
        <v>ND</v>
      </c>
      <c r="AO92" s="1" t="str">
        <f t="shared" si="366"/>
        <v>ND</v>
      </c>
      <c r="AP92" s="1" t="str">
        <f t="shared" si="367"/>
        <v>ND</v>
      </c>
      <c r="AQ92" s="1" t="str">
        <f t="shared" si="368"/>
        <v>ND</v>
      </c>
      <c r="AR92" s="1" t="str">
        <f t="shared" si="369"/>
        <v>ND</v>
      </c>
      <c r="AS92" s="1" t="str">
        <f t="shared" si="370"/>
        <v>ND</v>
      </c>
      <c r="AT92" s="1" t="str">
        <f t="shared" si="371"/>
        <v>ND</v>
      </c>
      <c r="AU92" s="1" t="str">
        <f t="shared" si="372"/>
        <v>ND</v>
      </c>
      <c r="AV92" s="1" t="str">
        <f t="shared" si="373"/>
        <v>ND</v>
      </c>
      <c r="AW92" s="1" t="str">
        <f t="shared" si="374"/>
        <v>ND</v>
      </c>
      <c r="AX92" s="1" t="str">
        <f t="shared" si="375"/>
        <v>ND</v>
      </c>
      <c r="AY92" s="1" t="str">
        <f t="shared" si="376"/>
        <v>ND</v>
      </c>
      <c r="AZ92" s="1" t="str">
        <f t="shared" si="377"/>
        <v>ND</v>
      </c>
      <c r="BA92" s="1" t="str">
        <f t="shared" si="378"/>
        <v>ND</v>
      </c>
      <c r="BB92" s="1" t="str">
        <f t="shared" si="379"/>
        <v>ND</v>
      </c>
      <c r="BC92" s="1" t="str">
        <f t="shared" si="380"/>
        <v>ND</v>
      </c>
      <c r="BD92" s="1" t="str">
        <f t="shared" si="381"/>
        <v>ND</v>
      </c>
      <c r="BE92" s="1" t="str">
        <f t="shared" si="382"/>
        <v>ND</v>
      </c>
      <c r="BF92" s="1" t="str">
        <f t="shared" si="383"/>
        <v>ND</v>
      </c>
      <c r="BG92" s="1" t="str">
        <f t="shared" si="384"/>
        <v>ND</v>
      </c>
      <c r="BH92" s="1" t="str">
        <f t="shared" si="385"/>
        <v>ND</v>
      </c>
      <c r="BI92" s="1" t="str">
        <f t="shared" si="386"/>
        <v>ND</v>
      </c>
      <c r="BJ92" s="1" t="str">
        <f t="shared" si="387"/>
        <v>ND</v>
      </c>
      <c r="BK92" s="1" t="str">
        <f t="shared" si="388"/>
        <v>ND</v>
      </c>
      <c r="BL92" s="1" t="str">
        <f t="shared" si="389"/>
        <v>ND</v>
      </c>
      <c r="BM92" s="1" t="str">
        <f t="shared" si="390"/>
        <v>ND</v>
      </c>
      <c r="BN92" s="1" t="str">
        <f t="shared" si="391"/>
        <v>ND</v>
      </c>
      <c r="BO92" s="1" t="str">
        <f t="shared" si="392"/>
        <v>ND</v>
      </c>
      <c r="BP92" s="1" t="str">
        <f t="shared" si="393"/>
        <v>ND</v>
      </c>
      <c r="BQ92" s="1" t="str">
        <f t="shared" si="394"/>
        <v>ND</v>
      </c>
      <c r="BR92" s="1" t="str">
        <f t="shared" si="395"/>
        <v>ND</v>
      </c>
      <c r="BS92" s="1" t="str">
        <f t="shared" si="396"/>
        <v>ND</v>
      </c>
      <c r="BT92" s="1" t="str">
        <f t="shared" si="397"/>
        <v>ND</v>
      </c>
      <c r="BU92" s="1" t="str">
        <f t="shared" si="398"/>
        <v>ND</v>
      </c>
      <c r="BV92" s="1" t="str">
        <f t="shared" si="399"/>
        <v>ND</v>
      </c>
      <c r="BW92" s="1" t="str">
        <f t="shared" si="400"/>
        <v>ND</v>
      </c>
      <c r="BX92" s="1" t="str">
        <f t="shared" si="401"/>
        <v>ND</v>
      </c>
      <c r="BY92" s="1" t="str">
        <f t="shared" si="402"/>
        <v>ND</v>
      </c>
      <c r="BZ92" s="1" t="str">
        <f t="shared" si="403"/>
        <v>ND</v>
      </c>
      <c r="CA92" s="1" t="str">
        <f t="shared" si="522"/>
        <v>ND</v>
      </c>
      <c r="CB92" s="1" t="str">
        <f t="shared" si="522"/>
        <v>ND</v>
      </c>
      <c r="CC92" s="1" t="str">
        <f t="shared" si="522"/>
        <v>ND</v>
      </c>
      <c r="CD92" s="1" t="str">
        <f t="shared" si="522"/>
        <v>ND</v>
      </c>
      <c r="CE92" s="1" t="str">
        <f t="shared" si="522"/>
        <v>ND</v>
      </c>
      <c r="CF92" s="1" t="str">
        <f t="shared" si="522"/>
        <v>ND</v>
      </c>
      <c r="CG92" s="1" t="str">
        <f t="shared" si="522"/>
        <v>ND</v>
      </c>
      <c r="CH92" s="1" t="str">
        <f t="shared" si="522"/>
        <v>ND</v>
      </c>
      <c r="CI92" s="1" t="str">
        <f t="shared" si="522"/>
        <v>ND</v>
      </c>
      <c r="CJ92" s="1" t="str">
        <f t="shared" si="522"/>
        <v>ND</v>
      </c>
      <c r="CK92" s="1" t="str">
        <f t="shared" si="522"/>
        <v>ND</v>
      </c>
      <c r="CL92" s="1" t="str">
        <f t="shared" si="523"/>
        <v>ND</v>
      </c>
      <c r="CM92" s="1" t="str">
        <f t="shared" si="523"/>
        <v>ND</v>
      </c>
      <c r="CN92" s="1" t="str">
        <f t="shared" si="523"/>
        <v>ND</v>
      </c>
      <c r="CO92" s="1" t="str">
        <f t="shared" si="523"/>
        <v>ND</v>
      </c>
      <c r="CP92" s="1" t="str">
        <f t="shared" si="523"/>
        <v>ND</v>
      </c>
      <c r="CQ92" s="1" t="str">
        <f t="shared" si="523"/>
        <v>ND</v>
      </c>
      <c r="CR92" s="1" t="str">
        <f t="shared" si="523"/>
        <v>ND</v>
      </c>
      <c r="CS92" s="1" t="str">
        <f t="shared" si="523"/>
        <v>ND</v>
      </c>
      <c r="CT92" s="1" t="str">
        <f t="shared" si="523"/>
        <v>ND</v>
      </c>
      <c r="CU92" s="1" t="str">
        <f t="shared" si="523"/>
        <v>ND</v>
      </c>
      <c r="CV92" s="1" t="str">
        <f t="shared" si="523"/>
        <v>ND</v>
      </c>
      <c r="CW92" s="1" t="str">
        <f t="shared" si="404"/>
        <v>ND</v>
      </c>
      <c r="CX92" s="1" t="str">
        <f t="shared" si="405"/>
        <v>ND</v>
      </c>
      <c r="CY92" s="1" t="str">
        <f t="shared" si="406"/>
        <v>ND</v>
      </c>
      <c r="CZ92" s="1" t="str">
        <f t="shared" si="407"/>
        <v>ND</v>
      </c>
      <c r="DA92" s="1" t="str">
        <f t="shared" si="408"/>
        <v>ND</v>
      </c>
      <c r="DB92" s="1" t="str">
        <f t="shared" si="409"/>
        <v>ND</v>
      </c>
      <c r="DC92" s="1" t="str">
        <f t="shared" si="410"/>
        <v>ND</v>
      </c>
      <c r="DD92" s="1" t="str">
        <f t="shared" si="411"/>
        <v>ND</v>
      </c>
      <c r="DE92" s="1" t="str">
        <f t="shared" si="412"/>
        <v>ND</v>
      </c>
      <c r="DF92" s="1" t="str">
        <f t="shared" si="413"/>
        <v>ND</v>
      </c>
      <c r="DG92" s="1" t="str">
        <f t="shared" si="414"/>
        <v>ND</v>
      </c>
      <c r="DH92" s="1" t="str">
        <f t="shared" si="415"/>
        <v>ND</v>
      </c>
      <c r="DI92" s="1" t="str">
        <f t="shared" si="416"/>
        <v>ND</v>
      </c>
      <c r="DJ92" s="1" t="str">
        <f t="shared" si="417"/>
        <v>ND</v>
      </c>
      <c r="DK92" s="1" t="str">
        <f t="shared" si="418"/>
        <v>ND</v>
      </c>
      <c r="DL92" s="1" t="str">
        <f t="shared" si="419"/>
        <v>ND</v>
      </c>
      <c r="DM92" s="1" t="str">
        <f t="shared" si="420"/>
        <v>ND</v>
      </c>
      <c r="DN92" s="1" t="str">
        <f t="shared" si="421"/>
        <v>ND</v>
      </c>
      <c r="DO92" s="1" t="str">
        <f t="shared" si="422"/>
        <v>ND</v>
      </c>
      <c r="DP92" s="1" t="str">
        <f t="shared" si="423"/>
        <v>ND</v>
      </c>
      <c r="DQ92" s="1" t="str">
        <f t="shared" si="424"/>
        <v>ND</v>
      </c>
      <c r="DR92" s="1" t="str">
        <f t="shared" si="425"/>
        <v>ND</v>
      </c>
      <c r="DS92" s="1" t="str">
        <f t="shared" si="426"/>
        <v>ND</v>
      </c>
      <c r="DT92" s="1" t="str">
        <f t="shared" si="427"/>
        <v>ND</v>
      </c>
      <c r="DU92" s="1" t="str">
        <f t="shared" si="428"/>
        <v>ND</v>
      </c>
      <c r="DV92" s="1" t="str">
        <f t="shared" si="429"/>
        <v>ND</v>
      </c>
      <c r="DW92" s="1" t="str">
        <f t="shared" si="430"/>
        <v>ND</v>
      </c>
      <c r="DX92" s="1" t="str">
        <f t="shared" si="431"/>
        <v>ND</v>
      </c>
      <c r="DY92" s="1" t="str">
        <f t="shared" si="432"/>
        <v>ND</v>
      </c>
      <c r="DZ92" s="1" t="str">
        <f t="shared" si="433"/>
        <v>ND</v>
      </c>
      <c r="EA92" s="1" t="str">
        <f t="shared" si="434"/>
        <v>ND</v>
      </c>
      <c r="EB92" s="1" t="str">
        <f t="shared" si="435"/>
        <v>ND</v>
      </c>
      <c r="EC92" s="1" t="str">
        <f t="shared" si="436"/>
        <v>ND</v>
      </c>
      <c r="ED92" s="1" t="str">
        <f t="shared" si="437"/>
        <v>ND</v>
      </c>
      <c r="EE92" s="1" t="str">
        <f t="shared" si="438"/>
        <v>ND</v>
      </c>
      <c r="EF92" s="1" t="str">
        <f t="shared" si="439"/>
        <v>ND</v>
      </c>
      <c r="EG92" s="1" t="str">
        <f t="shared" si="440"/>
        <v>ND</v>
      </c>
      <c r="EH92" s="1" t="str">
        <f t="shared" si="441"/>
        <v>ND</v>
      </c>
      <c r="EI92" s="1" t="str">
        <f t="shared" si="442"/>
        <v>ND</v>
      </c>
      <c r="EJ92" s="1" t="str">
        <f t="shared" si="443"/>
        <v>ND</v>
      </c>
      <c r="EK92" s="1" t="str">
        <f t="shared" si="444"/>
        <v>ND</v>
      </c>
      <c r="EL92" s="1" t="str">
        <f t="shared" si="445"/>
        <v>ND</v>
      </c>
      <c r="EM92" s="1" t="str">
        <f t="shared" si="446"/>
        <v>ND</v>
      </c>
      <c r="EN92" s="1" t="str">
        <f t="shared" si="447"/>
        <v>ND</v>
      </c>
      <c r="EO92" s="1" t="str">
        <f t="shared" si="524"/>
        <v>ND</v>
      </c>
      <c r="EP92" s="1" t="str">
        <f t="shared" si="524"/>
        <v>ND</v>
      </c>
      <c r="EQ92" s="1" t="str">
        <f t="shared" si="524"/>
        <v>ND</v>
      </c>
      <c r="ER92" s="1" t="str">
        <f t="shared" si="524"/>
        <v>ND</v>
      </c>
      <c r="ES92" s="1" t="str">
        <f t="shared" si="524"/>
        <v>ND</v>
      </c>
      <c r="ET92" s="1" t="str">
        <f t="shared" si="524"/>
        <v>ND</v>
      </c>
      <c r="EU92" s="1" t="str">
        <f t="shared" si="524"/>
        <v>ND</v>
      </c>
      <c r="EV92" s="1" t="str">
        <f t="shared" si="524"/>
        <v>ND</v>
      </c>
      <c r="EW92" s="1" t="str">
        <f t="shared" si="524"/>
        <v>ND</v>
      </c>
      <c r="EX92" s="1" t="str">
        <f t="shared" si="524"/>
        <v>ND</v>
      </c>
      <c r="EY92" s="1" t="str">
        <f t="shared" si="524"/>
        <v>ND</v>
      </c>
      <c r="EZ92" s="1" t="str">
        <f t="shared" si="525"/>
        <v>ND</v>
      </c>
      <c r="FA92" s="1" t="str">
        <f t="shared" si="525"/>
        <v>ND</v>
      </c>
      <c r="FB92" s="1" t="str">
        <f t="shared" si="525"/>
        <v>ND</v>
      </c>
      <c r="FC92" s="1" t="str">
        <f t="shared" si="525"/>
        <v>ND</v>
      </c>
      <c r="FD92" s="1" t="str">
        <f t="shared" si="525"/>
        <v>ND</v>
      </c>
      <c r="FE92" s="1" t="str">
        <f t="shared" si="525"/>
        <v>ND</v>
      </c>
      <c r="FF92" s="1" t="str">
        <f t="shared" si="525"/>
        <v>ND</v>
      </c>
      <c r="FG92" s="1" t="str">
        <f t="shared" si="525"/>
        <v>ND</v>
      </c>
      <c r="FH92" s="1" t="str">
        <f t="shared" si="525"/>
        <v>ND</v>
      </c>
      <c r="FI92" s="1" t="str">
        <f t="shared" si="525"/>
        <v>ND</v>
      </c>
      <c r="FJ92" s="1" t="str">
        <f t="shared" si="525"/>
        <v>ND</v>
      </c>
      <c r="FK92" s="1" t="str">
        <f t="shared" si="526"/>
        <v>ND</v>
      </c>
      <c r="FL92" s="1" t="str">
        <f t="shared" si="526"/>
        <v>ND</v>
      </c>
      <c r="FM92" s="1" t="str">
        <f t="shared" si="526"/>
        <v>ND</v>
      </c>
      <c r="FN92" s="1" t="str">
        <f t="shared" si="526"/>
        <v>ND</v>
      </c>
      <c r="FO92" s="1" t="str">
        <f t="shared" si="526"/>
        <v>ND</v>
      </c>
      <c r="FP92" s="1" t="str">
        <f t="shared" si="526"/>
        <v>ND</v>
      </c>
      <c r="FQ92" s="1" t="str">
        <f t="shared" si="526"/>
        <v>ND</v>
      </c>
      <c r="FR92" s="1" t="str">
        <f t="shared" si="526"/>
        <v>ND</v>
      </c>
      <c r="FS92" s="1" t="str">
        <f t="shared" si="526"/>
        <v>ND</v>
      </c>
      <c r="FT92" s="1" t="str">
        <f t="shared" si="526"/>
        <v>ND</v>
      </c>
      <c r="FU92" s="1" t="str">
        <f t="shared" si="526"/>
        <v>ND</v>
      </c>
      <c r="FV92" s="1" t="str">
        <f t="shared" si="448"/>
        <v>ND</v>
      </c>
      <c r="FW92" s="1" t="str">
        <f t="shared" si="449"/>
        <v>ND</v>
      </c>
      <c r="FX92" s="1" t="str">
        <f t="shared" si="450"/>
        <v>ND</v>
      </c>
      <c r="FY92" s="1" t="str">
        <f t="shared" si="451"/>
        <v>ND</v>
      </c>
      <c r="FZ92" s="1" t="str">
        <f t="shared" si="452"/>
        <v>ND</v>
      </c>
      <c r="GA92" s="1" t="str">
        <f t="shared" si="453"/>
        <v>ND</v>
      </c>
      <c r="GB92" s="1" t="str">
        <f t="shared" si="454"/>
        <v>ND</v>
      </c>
      <c r="GC92" s="1" t="str">
        <f t="shared" si="455"/>
        <v>ND</v>
      </c>
      <c r="GD92" s="1" t="str">
        <f t="shared" si="456"/>
        <v>ND</v>
      </c>
      <c r="GE92" s="1" t="str">
        <f t="shared" si="457"/>
        <v>ND</v>
      </c>
      <c r="GF92" s="1" t="str">
        <f t="shared" si="458"/>
        <v>ND</v>
      </c>
      <c r="GG92" s="1" t="str">
        <f t="shared" si="459"/>
        <v>ND</v>
      </c>
      <c r="GH92" s="1" t="str">
        <f t="shared" si="460"/>
        <v>ND</v>
      </c>
      <c r="GI92" s="1" t="str">
        <f t="shared" si="461"/>
        <v>ND</v>
      </c>
      <c r="GJ92" s="1" t="str">
        <f t="shared" si="462"/>
        <v>ND</v>
      </c>
      <c r="GK92" s="1" t="str">
        <f t="shared" si="463"/>
        <v>ND</v>
      </c>
      <c r="GL92" s="1" t="str">
        <f t="shared" si="464"/>
        <v>ND</v>
      </c>
      <c r="GM92" s="1" t="str">
        <f t="shared" si="465"/>
        <v>ND</v>
      </c>
      <c r="GN92" s="1" t="str">
        <f t="shared" si="466"/>
        <v>ND</v>
      </c>
      <c r="GO92" s="1" t="str">
        <f t="shared" si="467"/>
        <v>ND</v>
      </c>
      <c r="GP92" s="1" t="str">
        <f t="shared" si="468"/>
        <v>ND</v>
      </c>
      <c r="GQ92" s="1" t="str">
        <f t="shared" si="469"/>
        <v>ND</v>
      </c>
      <c r="GR92" s="1" t="str">
        <f t="shared" si="470"/>
        <v>ND</v>
      </c>
      <c r="GS92" s="1" t="str">
        <f t="shared" si="471"/>
        <v>ND</v>
      </c>
      <c r="GT92" s="1" t="str">
        <f t="shared" si="472"/>
        <v>ND</v>
      </c>
      <c r="GU92" s="1" t="str">
        <f t="shared" si="473"/>
        <v>ND</v>
      </c>
      <c r="GV92" s="1" t="str">
        <f t="shared" si="474"/>
        <v>ND</v>
      </c>
      <c r="GW92" s="1" t="str">
        <f t="shared" si="475"/>
        <v>ND</v>
      </c>
      <c r="GX92" s="1" t="str">
        <f t="shared" si="476"/>
        <v>ND</v>
      </c>
      <c r="GY92" s="1" t="str">
        <f t="shared" si="477"/>
        <v>ND</v>
      </c>
      <c r="GZ92" s="1" t="str">
        <f t="shared" si="478"/>
        <v>ND</v>
      </c>
      <c r="HA92" s="1" t="str">
        <f t="shared" si="479"/>
        <v>ND</v>
      </c>
      <c r="HB92" s="1" t="str">
        <f t="shared" si="480"/>
        <v>ND</v>
      </c>
      <c r="HC92" s="1" t="str">
        <f t="shared" si="481"/>
        <v>ND</v>
      </c>
      <c r="HD92" s="1" t="str">
        <f t="shared" si="482"/>
        <v>ND</v>
      </c>
      <c r="HE92" s="1" t="str">
        <f t="shared" si="483"/>
        <v>ND</v>
      </c>
      <c r="HF92" s="1" t="str">
        <f t="shared" si="484"/>
        <v>ND</v>
      </c>
      <c r="HG92" s="1" t="str">
        <f t="shared" si="485"/>
        <v>ND</v>
      </c>
      <c r="HH92" s="1" t="str">
        <f t="shared" si="486"/>
        <v>ND</v>
      </c>
      <c r="HI92" s="1" t="str">
        <f t="shared" si="487"/>
        <v>ND</v>
      </c>
      <c r="HJ92" s="1" t="str">
        <f t="shared" si="488"/>
        <v>ND</v>
      </c>
      <c r="HK92" s="1" t="str">
        <f t="shared" si="489"/>
        <v>ND</v>
      </c>
      <c r="HL92" s="1" t="str">
        <f t="shared" si="490"/>
        <v>ND</v>
      </c>
      <c r="HM92" s="1" t="str">
        <f t="shared" si="491"/>
        <v>ND</v>
      </c>
      <c r="HN92" s="1" t="str">
        <f t="shared" si="492"/>
        <v>ND</v>
      </c>
      <c r="HO92" s="1" t="str">
        <f t="shared" si="493"/>
        <v>ND</v>
      </c>
      <c r="HP92" s="1" t="str">
        <f t="shared" si="494"/>
        <v>ND</v>
      </c>
      <c r="HQ92" s="1" t="str">
        <f t="shared" si="495"/>
        <v>ND</v>
      </c>
      <c r="HR92" s="1" t="str">
        <f t="shared" si="496"/>
        <v>ND</v>
      </c>
      <c r="HS92" s="1" t="str">
        <f t="shared" si="497"/>
        <v>ND</v>
      </c>
      <c r="HT92" s="1" t="str">
        <f t="shared" si="498"/>
        <v>ND</v>
      </c>
      <c r="HU92" s="1" t="str">
        <f t="shared" si="499"/>
        <v>ND</v>
      </c>
      <c r="HV92" s="1" t="str">
        <f t="shared" si="500"/>
        <v>ND</v>
      </c>
      <c r="HW92" s="1" t="str">
        <f t="shared" si="501"/>
        <v>ND</v>
      </c>
      <c r="HX92" s="1" t="str">
        <f t="shared" si="502"/>
        <v>ND</v>
      </c>
      <c r="HY92" s="1" t="str">
        <f t="shared" si="503"/>
        <v>ND</v>
      </c>
      <c r="HZ92" s="1" t="str">
        <f t="shared" si="504"/>
        <v>ND</v>
      </c>
      <c r="IA92" s="1" t="str">
        <f t="shared" si="505"/>
        <v>ND</v>
      </c>
      <c r="IB92" s="1" t="str">
        <f t="shared" si="506"/>
        <v>ND</v>
      </c>
      <c r="IC92" s="1" t="str">
        <f t="shared" si="507"/>
        <v>ND</v>
      </c>
      <c r="ID92" s="1" t="str">
        <f t="shared" si="508"/>
        <v>ND</v>
      </c>
      <c r="IE92" s="1" t="str">
        <f t="shared" si="509"/>
        <v>ND</v>
      </c>
      <c r="IF92" s="1" t="str">
        <f t="shared" si="510"/>
        <v>ND</v>
      </c>
      <c r="IG92" s="1" t="str">
        <f t="shared" si="511"/>
        <v>ND</v>
      </c>
      <c r="IH92" s="1" t="str">
        <f t="shared" si="512"/>
        <v>ND</v>
      </c>
      <c r="II92" s="1" t="str">
        <f t="shared" si="513"/>
        <v>ND</v>
      </c>
    </row>
    <row r="93" spans="3:243" x14ac:dyDescent="0.25">
      <c r="C93" t="s">
        <v>62</v>
      </c>
      <c r="D93">
        <f>SUMIFS(DICCIONARIO[Cantidad],DICCIONARIO[Modelo],UNIFICADA[[#This Row],[Equipo]])</f>
        <v>0</v>
      </c>
      <c r="E93" s="1">
        <f>IFERROR(VLOOKUP($C93,EQUIPOS[],UNIFICADO!E$9,0),"")</f>
        <v>12</v>
      </c>
      <c r="F93" s="1">
        <f>IFERROR(VLOOKUP($C93,EQUIPOS[],UNIFICADO!F$9,0),"")</f>
        <v>6.6</v>
      </c>
      <c r="G93" s="1">
        <f>IFERROR(VLOOKUP($C93,EQUIPOS[],UNIFICADO!G$9,0),"")</f>
        <v>50</v>
      </c>
      <c r="H93" s="1">
        <f>IFERROR(VLOOKUP($C93,EQUIPOS[],UNIFICADO!H$9,0),"")</f>
        <v>3</v>
      </c>
      <c r="I93" s="1">
        <f>IFERROR(VLOOKUP($C93,EQUIPOS[],UNIFICADO!I$9,0),"")</f>
        <v>10</v>
      </c>
      <c r="J93" s="1" t="str">
        <f>IFERROR(VLOOKUP($C93,EQUIPOS[],UNIFICADO!J$9,0),"")</f>
        <v>128GB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3.0/2.4/1.7</v>
      </c>
      <c r="N93" s="1">
        <f>IFERROR(VLOOKUP($C93,EQUIPOS[],UNIFICADO!N$9,0),"")</f>
        <v>8</v>
      </c>
      <c r="O93" s="1">
        <f>IFERROR(VLOOKUP($C93,EQUIPOS[],UNIFICADO!O$9,0),"")</f>
        <v>195</v>
      </c>
      <c r="P93" s="1">
        <f>IFERROR(VLOOKUP($C93,EQUIPOS[],UNIFICADO!P$9,0),"")</f>
        <v>15.7</v>
      </c>
      <c r="Q93" s="1">
        <f>IFERROR(VLOOKUP($C93,EQUIPOS[],UNIFICADO!Q$9,0),"")</f>
        <v>7.58</v>
      </c>
      <c r="R93" s="1">
        <f>IFERROR(VLOOKUP($C93,EQUIPOS[],UNIFICADO!R$9,0),"")</f>
        <v>0.76</v>
      </c>
      <c r="S93" s="1">
        <f>IFERROR(VLOOKUP($C93,EQUIPOS[],UNIFICADO!S$9,0),"")</f>
        <v>4500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8"/>
        <v>ND</v>
      </c>
      <c r="W93" s="1" t="str">
        <f t="shared" si="359"/>
        <v>ND</v>
      </c>
      <c r="X93" s="1" t="str">
        <f t="shared" si="520"/>
        <v>ND</v>
      </c>
      <c r="Y93" s="1" t="str">
        <f t="shared" si="520"/>
        <v>ND</v>
      </c>
      <c r="Z93" s="1" t="str">
        <f t="shared" si="521"/>
        <v>ND</v>
      </c>
      <c r="AA93" s="1" t="str">
        <f t="shared" si="521"/>
        <v>ND</v>
      </c>
      <c r="AB93" s="1" t="str">
        <f t="shared" si="521"/>
        <v>ND</v>
      </c>
      <c r="AC93" s="1" t="str">
        <f t="shared" si="521"/>
        <v>ND</v>
      </c>
      <c r="AD93" s="1" t="str">
        <f t="shared" si="521"/>
        <v>ND</v>
      </c>
      <c r="AE93" s="1" t="str">
        <f t="shared" si="521"/>
        <v>ND</v>
      </c>
      <c r="AF93" s="1" t="str">
        <f t="shared" si="521"/>
        <v>ND</v>
      </c>
      <c r="AG93" s="1" t="str">
        <f t="shared" si="521"/>
        <v>ND</v>
      </c>
      <c r="AH93" s="1" t="str">
        <f t="shared" si="521"/>
        <v>ND</v>
      </c>
      <c r="AI93" s="1" t="str">
        <f t="shared" si="360"/>
        <v>ND</v>
      </c>
      <c r="AJ93" s="1" t="str">
        <f t="shared" si="361"/>
        <v>ND</v>
      </c>
      <c r="AK93" s="1" t="str">
        <f t="shared" si="362"/>
        <v>ND</v>
      </c>
      <c r="AL93" s="1" t="str">
        <f t="shared" si="363"/>
        <v>ND</v>
      </c>
      <c r="AM93" s="1" t="str">
        <f t="shared" si="364"/>
        <v>ND</v>
      </c>
      <c r="AN93" s="1" t="str">
        <f t="shared" si="365"/>
        <v>ND</v>
      </c>
      <c r="AO93" s="1" t="str">
        <f t="shared" si="366"/>
        <v>ND</v>
      </c>
      <c r="AP93" s="1" t="str">
        <f t="shared" si="367"/>
        <v>ND</v>
      </c>
      <c r="AQ93" s="1" t="str">
        <f t="shared" si="368"/>
        <v>ND</v>
      </c>
      <c r="AR93" s="1" t="str">
        <f t="shared" si="369"/>
        <v>ND</v>
      </c>
      <c r="AS93" s="1" t="str">
        <f t="shared" si="370"/>
        <v>ND</v>
      </c>
      <c r="AT93" s="1" t="str">
        <f t="shared" si="371"/>
        <v>ND</v>
      </c>
      <c r="AU93" s="1" t="str">
        <f t="shared" si="372"/>
        <v>ND</v>
      </c>
      <c r="AV93" s="1" t="str">
        <f t="shared" si="373"/>
        <v>ND</v>
      </c>
      <c r="AW93" s="1" t="str">
        <f t="shared" si="374"/>
        <v>ND</v>
      </c>
      <c r="AX93" s="1" t="str">
        <f t="shared" si="375"/>
        <v>ND</v>
      </c>
      <c r="AY93" s="1" t="str">
        <f t="shared" si="376"/>
        <v>ND</v>
      </c>
      <c r="AZ93" s="1" t="str">
        <f t="shared" si="377"/>
        <v>ND</v>
      </c>
      <c r="BA93" s="1" t="str">
        <f t="shared" si="378"/>
        <v>ND</v>
      </c>
      <c r="BB93" s="1" t="str">
        <f t="shared" si="379"/>
        <v>ND</v>
      </c>
      <c r="BC93" s="1" t="str">
        <f t="shared" si="380"/>
        <v>ND</v>
      </c>
      <c r="BD93" s="1" t="str">
        <f t="shared" si="381"/>
        <v>ND</v>
      </c>
      <c r="BE93" s="1" t="str">
        <f t="shared" si="382"/>
        <v>ND</v>
      </c>
      <c r="BF93" s="1" t="str">
        <f t="shared" si="383"/>
        <v>ND</v>
      </c>
      <c r="BG93" s="1" t="str">
        <f t="shared" si="384"/>
        <v>ND</v>
      </c>
      <c r="BH93" s="1" t="str">
        <f t="shared" si="385"/>
        <v>ND</v>
      </c>
      <c r="BI93" s="1" t="str">
        <f t="shared" si="386"/>
        <v>ND</v>
      </c>
      <c r="BJ93" s="1" t="str">
        <f t="shared" si="387"/>
        <v>ND</v>
      </c>
      <c r="BK93" s="1" t="str">
        <f t="shared" si="388"/>
        <v>ND</v>
      </c>
      <c r="BL93" s="1" t="str">
        <f t="shared" si="389"/>
        <v>ND</v>
      </c>
      <c r="BM93" s="1" t="str">
        <f t="shared" si="390"/>
        <v>ND</v>
      </c>
      <c r="BN93" s="1" t="str">
        <f t="shared" si="391"/>
        <v>ND</v>
      </c>
      <c r="BO93" s="1" t="str">
        <f t="shared" si="392"/>
        <v>ND</v>
      </c>
      <c r="BP93" s="1" t="str">
        <f t="shared" si="393"/>
        <v>ND</v>
      </c>
      <c r="BQ93" s="1" t="str">
        <f t="shared" si="394"/>
        <v>ND</v>
      </c>
      <c r="BR93" s="1" t="str">
        <f t="shared" si="395"/>
        <v>ND</v>
      </c>
      <c r="BS93" s="1" t="str">
        <f t="shared" si="396"/>
        <v>ND</v>
      </c>
      <c r="BT93" s="1" t="str">
        <f t="shared" si="397"/>
        <v>ND</v>
      </c>
      <c r="BU93" s="1" t="str">
        <f t="shared" si="398"/>
        <v>ND</v>
      </c>
      <c r="BV93" s="1" t="str">
        <f t="shared" si="399"/>
        <v>ND</v>
      </c>
      <c r="BW93" s="1" t="str">
        <f t="shared" si="400"/>
        <v>ND</v>
      </c>
      <c r="BX93" s="1" t="str">
        <f t="shared" si="401"/>
        <v>ND</v>
      </c>
      <c r="BY93" s="1" t="str">
        <f t="shared" si="402"/>
        <v>ND</v>
      </c>
      <c r="BZ93" s="1" t="str">
        <f t="shared" si="403"/>
        <v>ND</v>
      </c>
      <c r="CA93" s="1" t="str">
        <f t="shared" si="522"/>
        <v>ND</v>
      </c>
      <c r="CB93" s="1" t="str">
        <f t="shared" si="522"/>
        <v>ND</v>
      </c>
      <c r="CC93" s="1" t="str">
        <f t="shared" si="522"/>
        <v>ND</v>
      </c>
      <c r="CD93" s="1" t="str">
        <f t="shared" si="522"/>
        <v>ND</v>
      </c>
      <c r="CE93" s="1" t="str">
        <f t="shared" si="522"/>
        <v>ND</v>
      </c>
      <c r="CF93" s="1" t="str">
        <f t="shared" si="522"/>
        <v>ND</v>
      </c>
      <c r="CG93" s="1" t="str">
        <f t="shared" si="522"/>
        <v>ND</v>
      </c>
      <c r="CH93" s="1" t="str">
        <f t="shared" si="522"/>
        <v>ND</v>
      </c>
      <c r="CI93" s="1" t="str">
        <f t="shared" si="522"/>
        <v>ND</v>
      </c>
      <c r="CJ93" s="1" t="str">
        <f t="shared" si="522"/>
        <v>ND</v>
      </c>
      <c r="CK93" s="1" t="str">
        <f t="shared" si="522"/>
        <v>ND</v>
      </c>
      <c r="CL93" s="1" t="str">
        <f t="shared" si="523"/>
        <v>ND</v>
      </c>
      <c r="CM93" s="1" t="str">
        <f t="shared" si="523"/>
        <v>ND</v>
      </c>
      <c r="CN93" s="1" t="str">
        <f t="shared" si="523"/>
        <v>ND</v>
      </c>
      <c r="CO93" s="1" t="str">
        <f t="shared" si="523"/>
        <v>ND</v>
      </c>
      <c r="CP93" s="1" t="str">
        <f t="shared" si="523"/>
        <v>ND</v>
      </c>
      <c r="CQ93" s="1" t="str">
        <f t="shared" si="523"/>
        <v>ND</v>
      </c>
      <c r="CR93" s="1" t="str">
        <f t="shared" si="523"/>
        <v>ND</v>
      </c>
      <c r="CS93" s="1" t="str">
        <f t="shared" si="523"/>
        <v>ND</v>
      </c>
      <c r="CT93" s="1" t="str">
        <f t="shared" si="523"/>
        <v>ND</v>
      </c>
      <c r="CU93" s="1" t="str">
        <f t="shared" si="523"/>
        <v>ND</v>
      </c>
      <c r="CV93" s="1" t="str">
        <f t="shared" si="523"/>
        <v>ND</v>
      </c>
      <c r="CW93" s="1" t="str">
        <f t="shared" si="404"/>
        <v>ND</v>
      </c>
      <c r="CX93" s="1" t="str">
        <f t="shared" si="405"/>
        <v>ND</v>
      </c>
      <c r="CY93" s="1" t="str">
        <f t="shared" si="406"/>
        <v>ND</v>
      </c>
      <c r="CZ93" s="1" t="str">
        <f t="shared" si="407"/>
        <v>ND</v>
      </c>
      <c r="DA93" s="1" t="str">
        <f t="shared" si="408"/>
        <v>ND</v>
      </c>
      <c r="DB93" s="1" t="str">
        <f t="shared" si="409"/>
        <v>ND</v>
      </c>
      <c r="DC93" s="1" t="str">
        <f t="shared" si="410"/>
        <v>ND</v>
      </c>
      <c r="DD93" s="1" t="str">
        <f t="shared" si="411"/>
        <v>ND</v>
      </c>
      <c r="DE93" s="1" t="str">
        <f t="shared" si="412"/>
        <v>ND</v>
      </c>
      <c r="DF93" s="1" t="str">
        <f t="shared" si="413"/>
        <v>ND</v>
      </c>
      <c r="DG93" s="1" t="str">
        <f t="shared" si="414"/>
        <v>ND</v>
      </c>
      <c r="DH93" s="1" t="str">
        <f t="shared" si="415"/>
        <v>ND</v>
      </c>
      <c r="DI93" s="1" t="str">
        <f t="shared" si="416"/>
        <v>ND</v>
      </c>
      <c r="DJ93" s="1" t="str">
        <f t="shared" si="417"/>
        <v>ND</v>
      </c>
      <c r="DK93" s="1" t="str">
        <f t="shared" si="418"/>
        <v>ND</v>
      </c>
      <c r="DL93" s="1" t="str">
        <f t="shared" si="419"/>
        <v>ND</v>
      </c>
      <c r="DM93" s="1" t="str">
        <f t="shared" si="420"/>
        <v>ND</v>
      </c>
      <c r="DN93" s="1" t="str">
        <f t="shared" si="421"/>
        <v>ND</v>
      </c>
      <c r="DO93" s="1" t="str">
        <f t="shared" si="422"/>
        <v>ND</v>
      </c>
      <c r="DP93" s="1" t="str">
        <f t="shared" si="423"/>
        <v>ND</v>
      </c>
      <c r="DQ93" s="1" t="str">
        <f t="shared" si="424"/>
        <v>ND</v>
      </c>
      <c r="DR93" s="1" t="str">
        <f t="shared" si="425"/>
        <v>ND</v>
      </c>
      <c r="DS93" s="1" t="str">
        <f t="shared" si="426"/>
        <v>ND</v>
      </c>
      <c r="DT93" s="1" t="str">
        <f t="shared" si="427"/>
        <v>ND</v>
      </c>
      <c r="DU93" s="1" t="str">
        <f t="shared" si="428"/>
        <v>ND</v>
      </c>
      <c r="DV93" s="1" t="str">
        <f t="shared" si="429"/>
        <v>ND</v>
      </c>
      <c r="DW93" s="1" t="str">
        <f t="shared" si="430"/>
        <v>ND</v>
      </c>
      <c r="DX93" s="1" t="str">
        <f t="shared" si="431"/>
        <v>ND</v>
      </c>
      <c r="DY93" s="1" t="str">
        <f t="shared" si="432"/>
        <v>ND</v>
      </c>
      <c r="DZ93" s="1" t="str">
        <f t="shared" si="433"/>
        <v>ND</v>
      </c>
      <c r="EA93" s="1" t="str">
        <f t="shared" si="434"/>
        <v>ND</v>
      </c>
      <c r="EB93" s="1" t="str">
        <f t="shared" si="435"/>
        <v>ND</v>
      </c>
      <c r="EC93" s="1" t="str">
        <f t="shared" si="436"/>
        <v>ND</v>
      </c>
      <c r="ED93" s="1" t="str">
        <f t="shared" si="437"/>
        <v>ND</v>
      </c>
      <c r="EE93" s="1" t="str">
        <f t="shared" si="438"/>
        <v>ND</v>
      </c>
      <c r="EF93" s="1" t="str">
        <f t="shared" si="439"/>
        <v>ND</v>
      </c>
      <c r="EG93" s="1" t="str">
        <f t="shared" si="440"/>
        <v>ND</v>
      </c>
      <c r="EH93" s="1" t="str">
        <f t="shared" si="441"/>
        <v>ND</v>
      </c>
      <c r="EI93" s="1" t="str">
        <f t="shared" si="442"/>
        <v>ND</v>
      </c>
      <c r="EJ93" s="1" t="str">
        <f t="shared" si="443"/>
        <v>ND</v>
      </c>
      <c r="EK93" s="1" t="str">
        <f t="shared" si="444"/>
        <v>ND</v>
      </c>
      <c r="EL93" s="1" t="str">
        <f t="shared" si="445"/>
        <v>ND</v>
      </c>
      <c r="EM93" s="1" t="str">
        <f t="shared" si="446"/>
        <v>ND</v>
      </c>
      <c r="EN93" s="1" t="str">
        <f t="shared" si="447"/>
        <v>ND</v>
      </c>
      <c r="EO93" s="1" t="str">
        <f t="shared" si="524"/>
        <v>ND</v>
      </c>
      <c r="EP93" s="1" t="str">
        <f t="shared" si="524"/>
        <v>ND</v>
      </c>
      <c r="EQ93" s="1" t="str">
        <f t="shared" si="524"/>
        <v>ND</v>
      </c>
      <c r="ER93" s="1" t="str">
        <f t="shared" si="524"/>
        <v>ND</v>
      </c>
      <c r="ES93" s="1" t="str">
        <f t="shared" si="524"/>
        <v>ND</v>
      </c>
      <c r="ET93" s="1" t="str">
        <f t="shared" si="524"/>
        <v>ND</v>
      </c>
      <c r="EU93" s="1" t="str">
        <f t="shared" si="524"/>
        <v>ND</v>
      </c>
      <c r="EV93" s="1" t="str">
        <f t="shared" si="524"/>
        <v>ND</v>
      </c>
      <c r="EW93" s="1" t="str">
        <f t="shared" si="524"/>
        <v>ND</v>
      </c>
      <c r="EX93" s="1" t="str">
        <f t="shared" si="524"/>
        <v>ND</v>
      </c>
      <c r="EY93" s="1" t="str">
        <f t="shared" si="524"/>
        <v>ND</v>
      </c>
      <c r="EZ93" s="1" t="str">
        <f t="shared" si="525"/>
        <v>ND</v>
      </c>
      <c r="FA93" s="1" t="str">
        <f t="shared" si="525"/>
        <v>ND</v>
      </c>
      <c r="FB93" s="1" t="str">
        <f t="shared" si="525"/>
        <v>ND</v>
      </c>
      <c r="FC93" s="1" t="str">
        <f t="shared" si="525"/>
        <v>ND</v>
      </c>
      <c r="FD93" s="1" t="str">
        <f t="shared" si="525"/>
        <v>ND</v>
      </c>
      <c r="FE93" s="1" t="str">
        <f t="shared" si="525"/>
        <v>ND</v>
      </c>
      <c r="FF93" s="1" t="str">
        <f t="shared" si="525"/>
        <v>ND</v>
      </c>
      <c r="FG93" s="1" t="str">
        <f t="shared" si="525"/>
        <v>ND</v>
      </c>
      <c r="FH93" s="1" t="str">
        <f t="shared" si="525"/>
        <v>ND</v>
      </c>
      <c r="FI93" s="1" t="str">
        <f t="shared" si="525"/>
        <v>ND</v>
      </c>
      <c r="FJ93" s="1" t="str">
        <f t="shared" si="525"/>
        <v>ND</v>
      </c>
      <c r="FK93" s="1" t="str">
        <f t="shared" si="526"/>
        <v>ND</v>
      </c>
      <c r="FL93" s="1" t="str">
        <f t="shared" si="526"/>
        <v>ND</v>
      </c>
      <c r="FM93" s="1" t="str">
        <f t="shared" si="526"/>
        <v>ND</v>
      </c>
      <c r="FN93" s="1" t="str">
        <f t="shared" si="526"/>
        <v>ND</v>
      </c>
      <c r="FO93" s="1" t="str">
        <f t="shared" si="526"/>
        <v>ND</v>
      </c>
      <c r="FP93" s="1" t="str">
        <f t="shared" si="526"/>
        <v>ND</v>
      </c>
      <c r="FQ93" s="1" t="str">
        <f t="shared" si="526"/>
        <v>ND</v>
      </c>
      <c r="FR93" s="1" t="str">
        <f t="shared" si="526"/>
        <v>ND</v>
      </c>
      <c r="FS93" s="1" t="str">
        <f t="shared" si="526"/>
        <v>ND</v>
      </c>
      <c r="FT93" s="1" t="str">
        <f t="shared" si="526"/>
        <v>ND</v>
      </c>
      <c r="FU93" s="1" t="str">
        <f t="shared" si="526"/>
        <v>ND</v>
      </c>
      <c r="FV93" s="1" t="str">
        <f t="shared" si="448"/>
        <v>ND</v>
      </c>
      <c r="FW93" s="1" t="str">
        <f t="shared" si="449"/>
        <v>ND</v>
      </c>
      <c r="FX93" s="1" t="str">
        <f t="shared" si="450"/>
        <v>ND</v>
      </c>
      <c r="FY93" s="1" t="str">
        <f t="shared" si="451"/>
        <v>ND</v>
      </c>
      <c r="FZ93" s="1" t="str">
        <f t="shared" si="452"/>
        <v>ND</v>
      </c>
      <c r="GA93" s="1" t="str">
        <f t="shared" si="453"/>
        <v>ND</v>
      </c>
      <c r="GB93" s="1" t="str">
        <f t="shared" si="454"/>
        <v>ND</v>
      </c>
      <c r="GC93" s="1" t="str">
        <f t="shared" si="455"/>
        <v>ND</v>
      </c>
      <c r="GD93" s="1" t="str">
        <f t="shared" si="456"/>
        <v>ND</v>
      </c>
      <c r="GE93" s="1" t="str">
        <f t="shared" si="457"/>
        <v>ND</v>
      </c>
      <c r="GF93" s="1" t="str">
        <f t="shared" si="458"/>
        <v>ND</v>
      </c>
      <c r="GG93" s="1" t="str">
        <f t="shared" si="459"/>
        <v>ND</v>
      </c>
      <c r="GH93" s="1" t="str">
        <f t="shared" si="460"/>
        <v>ND</v>
      </c>
      <c r="GI93" s="1" t="str">
        <f t="shared" si="461"/>
        <v>ND</v>
      </c>
      <c r="GJ93" s="1" t="str">
        <f t="shared" si="462"/>
        <v>ND</v>
      </c>
      <c r="GK93" s="1" t="str">
        <f t="shared" si="463"/>
        <v>ND</v>
      </c>
      <c r="GL93" s="1" t="str">
        <f t="shared" si="464"/>
        <v>ND</v>
      </c>
      <c r="GM93" s="1" t="str">
        <f t="shared" si="465"/>
        <v>ND</v>
      </c>
      <c r="GN93" s="1" t="str">
        <f t="shared" si="466"/>
        <v>ND</v>
      </c>
      <c r="GO93" s="1" t="str">
        <f t="shared" si="467"/>
        <v>ND</v>
      </c>
      <c r="GP93" s="1" t="str">
        <f t="shared" si="468"/>
        <v>ND</v>
      </c>
      <c r="GQ93" s="1" t="str">
        <f t="shared" si="469"/>
        <v>ND</v>
      </c>
      <c r="GR93" s="1" t="str">
        <f t="shared" si="470"/>
        <v>ND</v>
      </c>
      <c r="GS93" s="1" t="str">
        <f t="shared" si="471"/>
        <v>ND</v>
      </c>
      <c r="GT93" s="1" t="str">
        <f t="shared" si="472"/>
        <v>ND</v>
      </c>
      <c r="GU93" s="1" t="str">
        <f t="shared" si="473"/>
        <v>ND</v>
      </c>
      <c r="GV93" s="1" t="str">
        <f t="shared" si="474"/>
        <v>ND</v>
      </c>
      <c r="GW93" s="1" t="str">
        <f t="shared" si="475"/>
        <v>ND</v>
      </c>
      <c r="GX93" s="1" t="str">
        <f t="shared" si="476"/>
        <v>ND</v>
      </c>
      <c r="GY93" s="1" t="str">
        <f t="shared" si="477"/>
        <v>ND</v>
      </c>
      <c r="GZ93" s="1" t="str">
        <f t="shared" si="478"/>
        <v>ND</v>
      </c>
      <c r="HA93" s="1" t="str">
        <f t="shared" si="479"/>
        <v>ND</v>
      </c>
      <c r="HB93" s="1" t="str">
        <f t="shared" si="480"/>
        <v>ND</v>
      </c>
      <c r="HC93" s="1" t="str">
        <f t="shared" si="481"/>
        <v>ND</v>
      </c>
      <c r="HD93" s="1" t="str">
        <f t="shared" si="482"/>
        <v>ND</v>
      </c>
      <c r="HE93" s="1" t="str">
        <f t="shared" si="483"/>
        <v>ND</v>
      </c>
      <c r="HF93" s="1" t="str">
        <f t="shared" si="484"/>
        <v>ND</v>
      </c>
      <c r="HG93" s="1" t="str">
        <f t="shared" si="485"/>
        <v>ND</v>
      </c>
      <c r="HH93" s="1" t="str">
        <f t="shared" si="486"/>
        <v>ND</v>
      </c>
      <c r="HI93" s="1" t="str">
        <f t="shared" si="487"/>
        <v>ND</v>
      </c>
      <c r="HJ93" s="1" t="str">
        <f t="shared" si="488"/>
        <v>ND</v>
      </c>
      <c r="HK93" s="1" t="str">
        <f t="shared" si="489"/>
        <v>ND</v>
      </c>
      <c r="HL93" s="1" t="str">
        <f t="shared" si="490"/>
        <v>ND</v>
      </c>
      <c r="HM93" s="1" t="str">
        <f t="shared" si="491"/>
        <v>ND</v>
      </c>
      <c r="HN93" s="1" t="str">
        <f t="shared" si="492"/>
        <v>ND</v>
      </c>
      <c r="HO93" s="1" t="str">
        <f t="shared" si="493"/>
        <v>ND</v>
      </c>
      <c r="HP93" s="1" t="str">
        <f t="shared" si="494"/>
        <v>ND</v>
      </c>
      <c r="HQ93" s="1" t="str">
        <f t="shared" si="495"/>
        <v>ND</v>
      </c>
      <c r="HR93" s="1" t="str">
        <f t="shared" si="496"/>
        <v>ND</v>
      </c>
      <c r="HS93" s="1" t="str">
        <f t="shared" si="497"/>
        <v>ND</v>
      </c>
      <c r="HT93" s="1" t="str">
        <f t="shared" si="498"/>
        <v>ND</v>
      </c>
      <c r="HU93" s="1" t="str">
        <f t="shared" si="499"/>
        <v>ND</v>
      </c>
      <c r="HV93" s="1" t="str">
        <f t="shared" si="500"/>
        <v>ND</v>
      </c>
      <c r="HW93" s="1" t="str">
        <f t="shared" si="501"/>
        <v>ND</v>
      </c>
      <c r="HX93" s="1" t="str">
        <f t="shared" si="502"/>
        <v>ND</v>
      </c>
      <c r="HY93" s="1" t="str">
        <f t="shared" si="503"/>
        <v>ND</v>
      </c>
      <c r="HZ93" s="1" t="str">
        <f t="shared" si="504"/>
        <v>ND</v>
      </c>
      <c r="IA93" s="1" t="str">
        <f t="shared" si="505"/>
        <v>ND</v>
      </c>
      <c r="IB93" s="1" t="str">
        <f t="shared" si="506"/>
        <v>ND</v>
      </c>
      <c r="IC93" s="1" t="str">
        <f t="shared" si="507"/>
        <v>ND</v>
      </c>
      <c r="ID93" s="1" t="str">
        <f t="shared" si="508"/>
        <v>ND</v>
      </c>
      <c r="IE93" s="1" t="str">
        <f t="shared" si="509"/>
        <v>ND</v>
      </c>
      <c r="IF93" s="1" t="str">
        <f t="shared" si="510"/>
        <v>ND</v>
      </c>
      <c r="IG93" s="1" t="str">
        <f t="shared" si="511"/>
        <v>ND</v>
      </c>
      <c r="IH93" s="1" t="str">
        <f t="shared" si="512"/>
        <v>ND</v>
      </c>
      <c r="II93" s="1" t="str">
        <f t="shared" si="513"/>
        <v>ND</v>
      </c>
    </row>
    <row r="94" spans="3:243" x14ac:dyDescent="0.25">
      <c r="C94" t="s">
        <v>63</v>
      </c>
      <c r="D94">
        <f>SUMIFS(DICCIONARIO[Cantidad],DICCIONARIO[Modelo],UNIFICADA[[#This Row],[Equipo]])</f>
        <v>0</v>
      </c>
      <c r="E94" s="1">
        <f>IFERROR(VLOOKUP($C94,EQUIPOS[],UNIFICADO!E$9,0),"")</f>
        <v>12</v>
      </c>
      <c r="F94" s="1">
        <f>IFERROR(VLOOKUP($C94,EQUIPOS[],UNIFICADO!F$9,0),"")</f>
        <v>6.8</v>
      </c>
      <c r="G94" s="1">
        <f>IFERROR(VLOOKUP($C94,EQUIPOS[],UNIFICADO!G$9,0),"")</f>
        <v>108</v>
      </c>
      <c r="H94" s="1">
        <f>IFERROR(VLOOKUP($C94,EQUIPOS[],UNIFICADO!H$9,0),"")</f>
        <v>3</v>
      </c>
      <c r="I94" s="1">
        <f>IFERROR(VLOOKUP($C94,EQUIPOS[],UNIFICADO!I$9,0),"")</f>
        <v>40</v>
      </c>
      <c r="J94" s="1" t="str">
        <f>IFERROR(VLOOKUP($C94,EQUIPOS[],UNIFICADO!J$9,0),"")</f>
        <v>128GB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3.0/2.4/1.7</v>
      </c>
      <c r="N94" s="1">
        <f>IFERROR(VLOOKUP($C94,EQUIPOS[],UNIFICADO!N$9,0),"")</f>
        <v>8</v>
      </c>
      <c r="O94" s="1">
        <f>IFERROR(VLOOKUP($C94,EQUIPOS[],UNIFICADO!O$9,0),"")</f>
        <v>228</v>
      </c>
      <c r="P94" s="1">
        <f>IFERROR(VLOOKUP($C94,EQUIPOS[],UNIFICADO!P$9,0),"")</f>
        <v>16.3</v>
      </c>
      <c r="Q94" s="1">
        <f>IFERROR(VLOOKUP($C94,EQUIPOS[],UNIFICADO!Q$9,0),"")</f>
        <v>7.79</v>
      </c>
      <c r="R94" s="1">
        <f>IFERROR(VLOOKUP($C94,EQUIPOS[],UNIFICADO!R$9,0),"")</f>
        <v>0.89</v>
      </c>
      <c r="S94" s="1">
        <f>IFERROR(VLOOKUP($C94,EQUIPOS[],UNIFICADO!S$9,0),"")</f>
        <v>5000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8"/>
        <v>ND</v>
      </c>
      <c r="W94" s="1" t="str">
        <f t="shared" si="359"/>
        <v>ND</v>
      </c>
      <c r="X94" s="1" t="str">
        <f t="shared" si="520"/>
        <v>ND</v>
      </c>
      <c r="Y94" s="1" t="str">
        <f t="shared" si="520"/>
        <v>ND</v>
      </c>
      <c r="Z94" s="1" t="str">
        <f t="shared" si="521"/>
        <v>ND</v>
      </c>
      <c r="AA94" s="1" t="str">
        <f t="shared" si="521"/>
        <v>ND</v>
      </c>
      <c r="AB94" s="1" t="str">
        <f t="shared" si="521"/>
        <v>ND</v>
      </c>
      <c r="AC94" s="1" t="str">
        <f t="shared" si="521"/>
        <v>ND</v>
      </c>
      <c r="AD94" s="1" t="str">
        <f t="shared" si="521"/>
        <v>ND</v>
      </c>
      <c r="AE94" s="1" t="str">
        <f t="shared" si="521"/>
        <v>ND</v>
      </c>
      <c r="AF94" s="1" t="str">
        <f t="shared" si="521"/>
        <v>ND</v>
      </c>
      <c r="AG94" s="1" t="str">
        <f t="shared" si="521"/>
        <v>ND</v>
      </c>
      <c r="AH94" s="1" t="str">
        <f t="shared" si="521"/>
        <v>ND</v>
      </c>
      <c r="AI94" s="1" t="str">
        <f t="shared" si="360"/>
        <v>ND</v>
      </c>
      <c r="AJ94" s="1" t="str">
        <f t="shared" si="361"/>
        <v>ND</v>
      </c>
      <c r="AK94" s="1" t="str">
        <f t="shared" si="362"/>
        <v>ND</v>
      </c>
      <c r="AL94" s="1" t="str">
        <f t="shared" si="363"/>
        <v>ND</v>
      </c>
      <c r="AM94" s="1" t="str">
        <f t="shared" si="364"/>
        <v>ND</v>
      </c>
      <c r="AN94" s="1" t="str">
        <f t="shared" si="365"/>
        <v>ND</v>
      </c>
      <c r="AO94" s="1" t="str">
        <f t="shared" si="366"/>
        <v>ND</v>
      </c>
      <c r="AP94" s="1" t="str">
        <f t="shared" si="367"/>
        <v>ND</v>
      </c>
      <c r="AQ94" s="1" t="str">
        <f t="shared" si="368"/>
        <v>ND</v>
      </c>
      <c r="AR94" s="1" t="str">
        <f t="shared" si="369"/>
        <v>ND</v>
      </c>
      <c r="AS94" s="1" t="str">
        <f t="shared" si="370"/>
        <v>ND</v>
      </c>
      <c r="AT94" s="1" t="str">
        <f t="shared" si="371"/>
        <v>ND</v>
      </c>
      <c r="AU94" s="1" t="str">
        <f t="shared" si="372"/>
        <v>ND</v>
      </c>
      <c r="AV94" s="1" t="str">
        <f t="shared" si="373"/>
        <v>ND</v>
      </c>
      <c r="AW94" s="1" t="str">
        <f t="shared" si="374"/>
        <v>ND</v>
      </c>
      <c r="AX94" s="1" t="str">
        <f t="shared" si="375"/>
        <v>ND</v>
      </c>
      <c r="AY94" s="1" t="str">
        <f t="shared" si="376"/>
        <v>ND</v>
      </c>
      <c r="AZ94" s="1" t="str">
        <f t="shared" si="377"/>
        <v>ND</v>
      </c>
      <c r="BA94" s="1" t="str">
        <f t="shared" si="378"/>
        <v>ND</v>
      </c>
      <c r="BB94" s="1" t="str">
        <f t="shared" si="379"/>
        <v>ND</v>
      </c>
      <c r="BC94" s="1" t="str">
        <f t="shared" si="380"/>
        <v>ND</v>
      </c>
      <c r="BD94" s="1" t="str">
        <f t="shared" si="381"/>
        <v>ND</v>
      </c>
      <c r="BE94" s="1" t="str">
        <f t="shared" si="382"/>
        <v>ND</v>
      </c>
      <c r="BF94" s="1" t="str">
        <f t="shared" si="383"/>
        <v>ND</v>
      </c>
      <c r="BG94" s="1" t="str">
        <f t="shared" si="384"/>
        <v>ND</v>
      </c>
      <c r="BH94" s="1" t="str">
        <f t="shared" si="385"/>
        <v>ND</v>
      </c>
      <c r="BI94" s="1" t="str">
        <f t="shared" si="386"/>
        <v>ND</v>
      </c>
      <c r="BJ94" s="1" t="str">
        <f t="shared" si="387"/>
        <v>ND</v>
      </c>
      <c r="BK94" s="1" t="str">
        <f t="shared" si="388"/>
        <v>ND</v>
      </c>
      <c r="BL94" s="1" t="str">
        <f t="shared" si="389"/>
        <v>ND</v>
      </c>
      <c r="BM94" s="1" t="str">
        <f t="shared" si="390"/>
        <v>ND</v>
      </c>
      <c r="BN94" s="1" t="str">
        <f t="shared" si="391"/>
        <v>ND</v>
      </c>
      <c r="BO94" s="1" t="str">
        <f t="shared" si="392"/>
        <v>ND</v>
      </c>
      <c r="BP94" s="1" t="str">
        <f t="shared" si="393"/>
        <v>ND</v>
      </c>
      <c r="BQ94" s="1" t="str">
        <f t="shared" si="394"/>
        <v>ND</v>
      </c>
      <c r="BR94" s="1" t="str">
        <f t="shared" si="395"/>
        <v>ND</v>
      </c>
      <c r="BS94" s="1" t="str">
        <f t="shared" si="396"/>
        <v>ND</v>
      </c>
      <c r="BT94" s="1" t="str">
        <f t="shared" si="397"/>
        <v>ND</v>
      </c>
      <c r="BU94" s="1" t="str">
        <f t="shared" si="398"/>
        <v>ND</v>
      </c>
      <c r="BV94" s="1" t="str">
        <f t="shared" si="399"/>
        <v>ND</v>
      </c>
      <c r="BW94" s="1" t="str">
        <f t="shared" si="400"/>
        <v>ND</v>
      </c>
      <c r="BX94" s="1" t="str">
        <f t="shared" si="401"/>
        <v>ND</v>
      </c>
      <c r="BY94" s="1" t="str">
        <f t="shared" si="402"/>
        <v>ND</v>
      </c>
      <c r="BZ94" s="1" t="str">
        <f t="shared" si="403"/>
        <v>ND</v>
      </c>
      <c r="CA94" s="1" t="str">
        <f t="shared" si="522"/>
        <v>ND</v>
      </c>
      <c r="CB94" s="1" t="str">
        <f t="shared" si="522"/>
        <v>ND</v>
      </c>
      <c r="CC94" s="1" t="str">
        <f t="shared" si="522"/>
        <v>ND</v>
      </c>
      <c r="CD94" s="1" t="str">
        <f t="shared" si="522"/>
        <v>ND</v>
      </c>
      <c r="CE94" s="1" t="str">
        <f t="shared" si="522"/>
        <v>ND</v>
      </c>
      <c r="CF94" s="1" t="str">
        <f t="shared" si="522"/>
        <v>ND</v>
      </c>
      <c r="CG94" s="1" t="str">
        <f t="shared" si="522"/>
        <v>ND</v>
      </c>
      <c r="CH94" s="1" t="str">
        <f t="shared" si="522"/>
        <v>ND</v>
      </c>
      <c r="CI94" s="1" t="str">
        <f t="shared" si="522"/>
        <v>ND</v>
      </c>
      <c r="CJ94" s="1" t="str">
        <f t="shared" si="522"/>
        <v>ND</v>
      </c>
      <c r="CK94" s="1" t="str">
        <f t="shared" si="522"/>
        <v>ND</v>
      </c>
      <c r="CL94" s="1" t="str">
        <f t="shared" si="523"/>
        <v>ND</v>
      </c>
      <c r="CM94" s="1" t="str">
        <f t="shared" si="523"/>
        <v>ND</v>
      </c>
      <c r="CN94" s="1" t="str">
        <f t="shared" si="523"/>
        <v>ND</v>
      </c>
      <c r="CO94" s="1" t="str">
        <f t="shared" si="523"/>
        <v>ND</v>
      </c>
      <c r="CP94" s="1" t="str">
        <f t="shared" si="523"/>
        <v>ND</v>
      </c>
      <c r="CQ94" s="1" t="str">
        <f t="shared" si="523"/>
        <v>ND</v>
      </c>
      <c r="CR94" s="1" t="str">
        <f t="shared" si="523"/>
        <v>ND</v>
      </c>
      <c r="CS94" s="1" t="str">
        <f t="shared" si="523"/>
        <v>ND</v>
      </c>
      <c r="CT94" s="1" t="str">
        <f t="shared" si="523"/>
        <v>ND</v>
      </c>
      <c r="CU94" s="1" t="str">
        <f t="shared" si="523"/>
        <v>ND</v>
      </c>
      <c r="CV94" s="1" t="str">
        <f t="shared" si="523"/>
        <v>ND</v>
      </c>
      <c r="CW94" s="1" t="str">
        <f t="shared" si="404"/>
        <v>ND</v>
      </c>
      <c r="CX94" s="1" t="str">
        <f t="shared" si="405"/>
        <v>ND</v>
      </c>
      <c r="CY94" s="1" t="str">
        <f t="shared" si="406"/>
        <v>ND</v>
      </c>
      <c r="CZ94" s="1" t="str">
        <f t="shared" si="407"/>
        <v>ND</v>
      </c>
      <c r="DA94" s="1" t="str">
        <f t="shared" si="408"/>
        <v>ND</v>
      </c>
      <c r="DB94" s="1" t="str">
        <f t="shared" si="409"/>
        <v>ND</v>
      </c>
      <c r="DC94" s="1" t="str">
        <f t="shared" si="410"/>
        <v>ND</v>
      </c>
      <c r="DD94" s="1" t="str">
        <f t="shared" si="411"/>
        <v>ND</v>
      </c>
      <c r="DE94" s="1" t="str">
        <f t="shared" si="412"/>
        <v>ND</v>
      </c>
      <c r="DF94" s="1" t="str">
        <f t="shared" si="413"/>
        <v>ND</v>
      </c>
      <c r="DG94" s="1" t="str">
        <f t="shared" si="414"/>
        <v>ND</v>
      </c>
      <c r="DH94" s="1" t="str">
        <f t="shared" si="415"/>
        <v>ND</v>
      </c>
      <c r="DI94" s="1" t="str">
        <f t="shared" si="416"/>
        <v>ND</v>
      </c>
      <c r="DJ94" s="1" t="str">
        <f t="shared" si="417"/>
        <v>ND</v>
      </c>
      <c r="DK94" s="1" t="str">
        <f t="shared" si="418"/>
        <v>ND</v>
      </c>
      <c r="DL94" s="1" t="str">
        <f t="shared" si="419"/>
        <v>ND</v>
      </c>
      <c r="DM94" s="1" t="str">
        <f t="shared" si="420"/>
        <v>ND</v>
      </c>
      <c r="DN94" s="1" t="str">
        <f t="shared" si="421"/>
        <v>ND</v>
      </c>
      <c r="DO94" s="1" t="str">
        <f t="shared" si="422"/>
        <v>ND</v>
      </c>
      <c r="DP94" s="1" t="str">
        <f t="shared" si="423"/>
        <v>ND</v>
      </c>
      <c r="DQ94" s="1" t="str">
        <f t="shared" si="424"/>
        <v>ND</v>
      </c>
      <c r="DR94" s="1" t="str">
        <f t="shared" si="425"/>
        <v>ND</v>
      </c>
      <c r="DS94" s="1" t="str">
        <f t="shared" si="426"/>
        <v>ND</v>
      </c>
      <c r="DT94" s="1" t="str">
        <f t="shared" si="427"/>
        <v>ND</v>
      </c>
      <c r="DU94" s="1" t="str">
        <f t="shared" si="428"/>
        <v>ND</v>
      </c>
      <c r="DV94" s="1" t="str">
        <f t="shared" si="429"/>
        <v>ND</v>
      </c>
      <c r="DW94" s="1" t="str">
        <f t="shared" si="430"/>
        <v>ND</v>
      </c>
      <c r="DX94" s="1" t="str">
        <f t="shared" si="431"/>
        <v>ND</v>
      </c>
      <c r="DY94" s="1" t="str">
        <f t="shared" si="432"/>
        <v>ND</v>
      </c>
      <c r="DZ94" s="1" t="str">
        <f t="shared" si="433"/>
        <v>ND</v>
      </c>
      <c r="EA94" s="1" t="str">
        <f t="shared" si="434"/>
        <v>ND</v>
      </c>
      <c r="EB94" s="1" t="str">
        <f t="shared" si="435"/>
        <v>ND</v>
      </c>
      <c r="EC94" s="1" t="str">
        <f t="shared" si="436"/>
        <v>ND</v>
      </c>
      <c r="ED94" s="1" t="str">
        <f t="shared" si="437"/>
        <v>ND</v>
      </c>
      <c r="EE94" s="1" t="str">
        <f t="shared" si="438"/>
        <v>ND</v>
      </c>
      <c r="EF94" s="1" t="str">
        <f t="shared" si="439"/>
        <v>ND</v>
      </c>
      <c r="EG94" s="1" t="str">
        <f t="shared" si="440"/>
        <v>ND</v>
      </c>
      <c r="EH94" s="1" t="str">
        <f t="shared" si="441"/>
        <v>ND</v>
      </c>
      <c r="EI94" s="1" t="str">
        <f t="shared" si="442"/>
        <v>ND</v>
      </c>
      <c r="EJ94" s="1" t="str">
        <f t="shared" si="443"/>
        <v>ND</v>
      </c>
      <c r="EK94" s="1" t="str">
        <f t="shared" si="444"/>
        <v>ND</v>
      </c>
      <c r="EL94" s="1" t="str">
        <f t="shared" si="445"/>
        <v>ND</v>
      </c>
      <c r="EM94" s="1" t="str">
        <f t="shared" si="446"/>
        <v>ND</v>
      </c>
      <c r="EN94" s="1" t="str">
        <f t="shared" si="447"/>
        <v>ND</v>
      </c>
      <c r="EO94" s="1" t="str">
        <f t="shared" si="524"/>
        <v>ND</v>
      </c>
      <c r="EP94" s="1" t="str">
        <f t="shared" si="524"/>
        <v>ND</v>
      </c>
      <c r="EQ94" s="1" t="str">
        <f t="shared" si="524"/>
        <v>ND</v>
      </c>
      <c r="ER94" s="1" t="str">
        <f t="shared" si="524"/>
        <v>ND</v>
      </c>
      <c r="ES94" s="1" t="str">
        <f t="shared" si="524"/>
        <v>ND</v>
      </c>
      <c r="ET94" s="1" t="str">
        <f t="shared" si="524"/>
        <v>ND</v>
      </c>
      <c r="EU94" s="1" t="str">
        <f t="shared" si="524"/>
        <v>ND</v>
      </c>
      <c r="EV94" s="1" t="str">
        <f t="shared" si="524"/>
        <v>ND</v>
      </c>
      <c r="EW94" s="1" t="str">
        <f t="shared" si="524"/>
        <v>ND</v>
      </c>
      <c r="EX94" s="1" t="str">
        <f t="shared" si="524"/>
        <v>ND</v>
      </c>
      <c r="EY94" s="1" t="str">
        <f t="shared" si="524"/>
        <v>ND</v>
      </c>
      <c r="EZ94" s="1" t="str">
        <f t="shared" si="525"/>
        <v>ND</v>
      </c>
      <c r="FA94" s="1" t="str">
        <f t="shared" si="525"/>
        <v>ND</v>
      </c>
      <c r="FB94" s="1" t="str">
        <f t="shared" si="525"/>
        <v>ND</v>
      </c>
      <c r="FC94" s="1" t="str">
        <f t="shared" si="525"/>
        <v>ND</v>
      </c>
      <c r="FD94" s="1" t="str">
        <f t="shared" si="525"/>
        <v>ND</v>
      </c>
      <c r="FE94" s="1" t="str">
        <f t="shared" si="525"/>
        <v>ND</v>
      </c>
      <c r="FF94" s="1" t="str">
        <f t="shared" si="525"/>
        <v>ND</v>
      </c>
      <c r="FG94" s="1" t="str">
        <f t="shared" si="525"/>
        <v>ND</v>
      </c>
      <c r="FH94" s="1" t="str">
        <f t="shared" si="525"/>
        <v>ND</v>
      </c>
      <c r="FI94" s="1" t="str">
        <f t="shared" si="525"/>
        <v>ND</v>
      </c>
      <c r="FJ94" s="1" t="str">
        <f t="shared" si="525"/>
        <v>ND</v>
      </c>
      <c r="FK94" s="1" t="str">
        <f t="shared" si="526"/>
        <v>ND</v>
      </c>
      <c r="FL94" s="1" t="str">
        <f t="shared" si="526"/>
        <v>ND</v>
      </c>
      <c r="FM94" s="1" t="str">
        <f t="shared" si="526"/>
        <v>ND</v>
      </c>
      <c r="FN94" s="1" t="str">
        <f t="shared" si="526"/>
        <v>ND</v>
      </c>
      <c r="FO94" s="1" t="str">
        <f t="shared" si="526"/>
        <v>ND</v>
      </c>
      <c r="FP94" s="1" t="str">
        <f t="shared" si="526"/>
        <v>ND</v>
      </c>
      <c r="FQ94" s="1" t="str">
        <f t="shared" si="526"/>
        <v>ND</v>
      </c>
      <c r="FR94" s="1" t="str">
        <f t="shared" si="526"/>
        <v>ND</v>
      </c>
      <c r="FS94" s="1" t="str">
        <f t="shared" si="526"/>
        <v>ND</v>
      </c>
      <c r="FT94" s="1" t="str">
        <f t="shared" si="526"/>
        <v>ND</v>
      </c>
      <c r="FU94" s="1" t="str">
        <f t="shared" si="526"/>
        <v>ND</v>
      </c>
      <c r="FV94" s="1" t="str">
        <f t="shared" si="448"/>
        <v>ND</v>
      </c>
      <c r="FW94" s="1" t="str">
        <f t="shared" si="449"/>
        <v>ND</v>
      </c>
      <c r="FX94" s="1" t="str">
        <f t="shared" si="450"/>
        <v>ND</v>
      </c>
      <c r="FY94" s="1" t="str">
        <f t="shared" si="451"/>
        <v>ND</v>
      </c>
      <c r="FZ94" s="1" t="str">
        <f t="shared" si="452"/>
        <v>ND</v>
      </c>
      <c r="GA94" s="1" t="str">
        <f t="shared" si="453"/>
        <v>ND</v>
      </c>
      <c r="GB94" s="1" t="str">
        <f t="shared" si="454"/>
        <v>ND</v>
      </c>
      <c r="GC94" s="1" t="str">
        <f t="shared" si="455"/>
        <v>ND</v>
      </c>
      <c r="GD94" s="1" t="str">
        <f t="shared" si="456"/>
        <v>ND</v>
      </c>
      <c r="GE94" s="1" t="str">
        <f t="shared" si="457"/>
        <v>ND</v>
      </c>
      <c r="GF94" s="1" t="str">
        <f t="shared" si="458"/>
        <v>ND</v>
      </c>
      <c r="GG94" s="1" t="str">
        <f t="shared" si="459"/>
        <v>ND</v>
      </c>
      <c r="GH94" s="1" t="str">
        <f t="shared" si="460"/>
        <v>ND</v>
      </c>
      <c r="GI94" s="1" t="str">
        <f t="shared" si="461"/>
        <v>ND</v>
      </c>
      <c r="GJ94" s="1" t="str">
        <f t="shared" si="462"/>
        <v>ND</v>
      </c>
      <c r="GK94" s="1" t="str">
        <f t="shared" si="463"/>
        <v>ND</v>
      </c>
      <c r="GL94" s="1" t="str">
        <f t="shared" si="464"/>
        <v>ND</v>
      </c>
      <c r="GM94" s="1" t="str">
        <f t="shared" si="465"/>
        <v>ND</v>
      </c>
      <c r="GN94" s="1" t="str">
        <f t="shared" si="466"/>
        <v>ND</v>
      </c>
      <c r="GO94" s="1" t="str">
        <f t="shared" si="467"/>
        <v>ND</v>
      </c>
      <c r="GP94" s="1" t="str">
        <f t="shared" si="468"/>
        <v>ND</v>
      </c>
      <c r="GQ94" s="1" t="str">
        <f t="shared" si="469"/>
        <v>ND</v>
      </c>
      <c r="GR94" s="1" t="str">
        <f t="shared" si="470"/>
        <v>ND</v>
      </c>
      <c r="GS94" s="1" t="str">
        <f t="shared" si="471"/>
        <v>ND</v>
      </c>
      <c r="GT94" s="1" t="str">
        <f t="shared" si="472"/>
        <v>ND</v>
      </c>
      <c r="GU94" s="1" t="str">
        <f t="shared" si="473"/>
        <v>ND</v>
      </c>
      <c r="GV94" s="1" t="str">
        <f t="shared" si="474"/>
        <v>ND</v>
      </c>
      <c r="GW94" s="1" t="str">
        <f t="shared" si="475"/>
        <v>ND</v>
      </c>
      <c r="GX94" s="1" t="str">
        <f t="shared" si="476"/>
        <v>ND</v>
      </c>
      <c r="GY94" s="1" t="str">
        <f t="shared" si="477"/>
        <v>ND</v>
      </c>
      <c r="GZ94" s="1" t="str">
        <f t="shared" si="478"/>
        <v>ND</v>
      </c>
      <c r="HA94" s="1" t="str">
        <f t="shared" si="479"/>
        <v>ND</v>
      </c>
      <c r="HB94" s="1" t="str">
        <f t="shared" si="480"/>
        <v>ND</v>
      </c>
      <c r="HC94" s="1" t="str">
        <f t="shared" si="481"/>
        <v>ND</v>
      </c>
      <c r="HD94" s="1" t="str">
        <f t="shared" si="482"/>
        <v>ND</v>
      </c>
      <c r="HE94" s="1" t="str">
        <f t="shared" si="483"/>
        <v>ND</v>
      </c>
      <c r="HF94" s="1" t="str">
        <f t="shared" si="484"/>
        <v>ND</v>
      </c>
      <c r="HG94" s="1" t="str">
        <f t="shared" si="485"/>
        <v>ND</v>
      </c>
      <c r="HH94" s="1" t="str">
        <f t="shared" si="486"/>
        <v>ND</v>
      </c>
      <c r="HI94" s="1" t="str">
        <f t="shared" si="487"/>
        <v>ND</v>
      </c>
      <c r="HJ94" s="1" t="str">
        <f t="shared" si="488"/>
        <v>ND</v>
      </c>
      <c r="HK94" s="1" t="str">
        <f t="shared" si="489"/>
        <v>ND</v>
      </c>
      <c r="HL94" s="1" t="str">
        <f t="shared" si="490"/>
        <v>ND</v>
      </c>
      <c r="HM94" s="1" t="str">
        <f t="shared" si="491"/>
        <v>ND</v>
      </c>
      <c r="HN94" s="1" t="str">
        <f t="shared" si="492"/>
        <v>ND</v>
      </c>
      <c r="HO94" s="1" t="str">
        <f t="shared" si="493"/>
        <v>ND</v>
      </c>
      <c r="HP94" s="1" t="str">
        <f t="shared" si="494"/>
        <v>ND</v>
      </c>
      <c r="HQ94" s="1" t="str">
        <f t="shared" si="495"/>
        <v>ND</v>
      </c>
      <c r="HR94" s="1" t="str">
        <f t="shared" si="496"/>
        <v>ND</v>
      </c>
      <c r="HS94" s="1" t="str">
        <f t="shared" si="497"/>
        <v>ND</v>
      </c>
      <c r="HT94" s="1" t="str">
        <f t="shared" si="498"/>
        <v>ND</v>
      </c>
      <c r="HU94" s="1" t="str">
        <f t="shared" si="499"/>
        <v>ND</v>
      </c>
      <c r="HV94" s="1" t="str">
        <f t="shared" si="500"/>
        <v>ND</v>
      </c>
      <c r="HW94" s="1" t="str">
        <f t="shared" si="501"/>
        <v>ND</v>
      </c>
      <c r="HX94" s="1" t="str">
        <f t="shared" si="502"/>
        <v>ND</v>
      </c>
      <c r="HY94" s="1" t="str">
        <f t="shared" si="503"/>
        <v>ND</v>
      </c>
      <c r="HZ94" s="1" t="str">
        <f t="shared" si="504"/>
        <v>ND</v>
      </c>
      <c r="IA94" s="1" t="str">
        <f t="shared" si="505"/>
        <v>ND</v>
      </c>
      <c r="IB94" s="1" t="str">
        <f t="shared" si="506"/>
        <v>ND</v>
      </c>
      <c r="IC94" s="1" t="str">
        <f t="shared" si="507"/>
        <v>ND</v>
      </c>
      <c r="ID94" s="1" t="str">
        <f t="shared" si="508"/>
        <v>ND</v>
      </c>
      <c r="IE94" s="1" t="str">
        <f t="shared" si="509"/>
        <v>ND</v>
      </c>
      <c r="IF94" s="1" t="str">
        <f t="shared" si="510"/>
        <v>ND</v>
      </c>
      <c r="IG94" s="1" t="str">
        <f t="shared" si="511"/>
        <v>ND</v>
      </c>
      <c r="IH94" s="1" t="str">
        <f t="shared" si="512"/>
        <v>ND</v>
      </c>
      <c r="II94" s="1" t="str">
        <f t="shared" si="513"/>
        <v>ND</v>
      </c>
    </row>
    <row r="95" spans="3:243" x14ac:dyDescent="0.25">
      <c r="C95" t="s">
        <v>595</v>
      </c>
      <c r="D95">
        <f>SUMIFS(DICCIONARIO[Cantidad],DICCIONARIO[Modelo],UNIFICADA[[#This Row],[Equipo]])</f>
        <v>0</v>
      </c>
      <c r="E95" s="1">
        <f>IFERROR(VLOOKUP($C95,EQUIPOS[],UNIFICADO!E$9,0),"")</f>
        <v>13</v>
      </c>
      <c r="F95" s="1" t="str">
        <f>IFERROR(VLOOKUP($C95,EQUIPOS[],UNIFICADO!F$9,0),"")</f>
        <v>6.1 FullHD+ 120Hz</v>
      </c>
      <c r="G95" s="1">
        <f>IFERROR(VLOOKUP($C95,EQUIPOS[],UNIFICADO!G$9,0),"")</f>
        <v>50</v>
      </c>
      <c r="H95" s="1">
        <f>IFERROR(VLOOKUP($C95,EQUIPOS[],UNIFICADO!H$9,0),"")</f>
        <v>3</v>
      </c>
      <c r="I95" s="1">
        <f>IFERROR(VLOOKUP($C95,EQUIPOS[],UNIFICADO!I$9,0),"")</f>
        <v>12</v>
      </c>
      <c r="J95" s="1" t="str">
        <f>IFERROR(VLOOKUP($C95,EQUIPOS[],UNIFICADO!J$9,0),"")</f>
        <v>128GB</v>
      </c>
      <c r="K95" s="1">
        <f>IFERROR(VLOOKUP($C95,EQUIPOS[],UNIFICADO!K$9,0),"")</f>
        <v>0</v>
      </c>
      <c r="L95" s="1">
        <f>IFERROR(VLOOKUP($C95,EQUIPOS[],UNIFICADO!L$9,0),"")</f>
        <v>8</v>
      </c>
      <c r="M95" s="1" t="str">
        <f>IFERROR(VLOOKUP($C95,EQUIPOS[],UNIFICADO!M$9,0),"")</f>
        <v>Snapdragon 8 Gen 2</v>
      </c>
      <c r="N95" s="1">
        <f>IFERROR(VLOOKUP($C95,EQUIPOS[],UNIFICADO!N$9,0),"")</f>
        <v>8</v>
      </c>
      <c r="O95" s="1">
        <f>IFERROR(VLOOKUP($C95,EQUIPOS[],UNIFICADO!O$9,0),"")</f>
        <v>167</v>
      </c>
      <c r="P95" s="1">
        <f>IFERROR(VLOOKUP($C95,EQUIPOS[],UNIFICADO!P$9,0),"")</f>
        <v>14.6</v>
      </c>
      <c r="Q95" s="1">
        <f>IFERROR(VLOOKUP($C95,EQUIPOS[],UNIFICADO!Q$9,0),"")</f>
        <v>7.09</v>
      </c>
      <c r="R95" s="1">
        <f>IFERROR(VLOOKUP($C95,EQUIPOS[],UNIFICADO!R$9,0),"")</f>
        <v>0.76</v>
      </c>
      <c r="S95" s="1" t="str">
        <f>IFERROR(VLOOKUP($C95,EQUIPOS[],UNIFICADO!S$9,0),"")</f>
        <v>3900 25W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8"/>
        <v>ND</v>
      </c>
      <c r="W95" s="1" t="str">
        <f t="shared" si="359"/>
        <v>ND</v>
      </c>
      <c r="X95" s="1" t="str">
        <f t="shared" si="520"/>
        <v>ND</v>
      </c>
      <c r="Y95" s="1" t="str">
        <f t="shared" si="520"/>
        <v>ND</v>
      </c>
      <c r="Z95" s="1" t="str">
        <f t="shared" si="521"/>
        <v>ND</v>
      </c>
      <c r="AA95" s="1" t="str">
        <f t="shared" si="521"/>
        <v>ND</v>
      </c>
      <c r="AB95" s="1" t="str">
        <f t="shared" si="521"/>
        <v>ND</v>
      </c>
      <c r="AC95" s="1" t="str">
        <f t="shared" si="521"/>
        <v>ND</v>
      </c>
      <c r="AD95" s="1" t="str">
        <f t="shared" si="521"/>
        <v>ND</v>
      </c>
      <c r="AE95" s="1" t="str">
        <f t="shared" si="521"/>
        <v>ND</v>
      </c>
      <c r="AF95" s="1" t="str">
        <f t="shared" si="521"/>
        <v>ND</v>
      </c>
      <c r="AG95" s="1" t="str">
        <f t="shared" si="521"/>
        <v>ND</v>
      </c>
      <c r="AH95" s="1" t="str">
        <f t="shared" si="521"/>
        <v>ND</v>
      </c>
      <c r="AI95" s="1" t="str">
        <f t="shared" si="360"/>
        <v>ND</v>
      </c>
      <c r="AJ95" s="1" t="str">
        <f t="shared" si="361"/>
        <v>ND</v>
      </c>
      <c r="AK95" s="1" t="str">
        <f t="shared" si="362"/>
        <v>ND</v>
      </c>
      <c r="AL95" s="1" t="str">
        <f t="shared" si="363"/>
        <v>ND</v>
      </c>
      <c r="AM95" s="1" t="str">
        <f t="shared" si="364"/>
        <v>ND</v>
      </c>
      <c r="AN95" s="1" t="str">
        <f t="shared" si="365"/>
        <v>ND</v>
      </c>
      <c r="AO95" s="1" t="str">
        <f t="shared" si="366"/>
        <v>ND</v>
      </c>
      <c r="AP95" s="1" t="str">
        <f t="shared" si="367"/>
        <v>ND</v>
      </c>
      <c r="AQ95" s="1" t="str">
        <f t="shared" si="368"/>
        <v>ND</v>
      </c>
      <c r="AR95" s="1" t="str">
        <f t="shared" si="369"/>
        <v>ND</v>
      </c>
      <c r="AS95" s="1" t="str">
        <f t="shared" si="370"/>
        <v>ND</v>
      </c>
      <c r="AT95" s="1" t="str">
        <f t="shared" si="371"/>
        <v>ND</v>
      </c>
      <c r="AU95" s="1" t="str">
        <f t="shared" si="372"/>
        <v>ND</v>
      </c>
      <c r="AV95" s="1" t="str">
        <f t="shared" si="373"/>
        <v>ND</v>
      </c>
      <c r="AW95" s="1" t="str">
        <f t="shared" si="374"/>
        <v>ND</v>
      </c>
      <c r="AX95" s="1" t="str">
        <f t="shared" si="375"/>
        <v>ND</v>
      </c>
      <c r="AY95" s="1" t="str">
        <f t="shared" si="376"/>
        <v>ND</v>
      </c>
      <c r="AZ95" s="1" t="str">
        <f t="shared" si="377"/>
        <v>ND</v>
      </c>
      <c r="BA95" s="1" t="str">
        <f t="shared" si="378"/>
        <v>ND</v>
      </c>
      <c r="BB95" s="1" t="str">
        <f t="shared" si="379"/>
        <v>ND</v>
      </c>
      <c r="BC95" s="1" t="str">
        <f t="shared" si="380"/>
        <v>ND</v>
      </c>
      <c r="BD95" s="1" t="str">
        <f t="shared" si="381"/>
        <v>ND</v>
      </c>
      <c r="BE95" s="1" t="str">
        <f t="shared" si="382"/>
        <v>ND</v>
      </c>
      <c r="BF95" s="1" t="str">
        <f t="shared" si="383"/>
        <v>ND</v>
      </c>
      <c r="BG95" s="1" t="str">
        <f t="shared" si="384"/>
        <v>ND</v>
      </c>
      <c r="BH95" s="1" t="str">
        <f t="shared" si="385"/>
        <v>ND</v>
      </c>
      <c r="BI95" s="1" t="str">
        <f t="shared" si="386"/>
        <v>ND</v>
      </c>
      <c r="BJ95" s="1" t="str">
        <f t="shared" si="387"/>
        <v>ND</v>
      </c>
      <c r="BK95" s="1" t="str">
        <f t="shared" si="388"/>
        <v>ND</v>
      </c>
      <c r="BL95" s="1" t="str">
        <f t="shared" si="389"/>
        <v>ND</v>
      </c>
      <c r="BM95" s="1" t="str">
        <f t="shared" si="390"/>
        <v>ND</v>
      </c>
      <c r="BN95" s="1" t="str">
        <f t="shared" si="391"/>
        <v>ND</v>
      </c>
      <c r="BO95" s="1" t="str">
        <f t="shared" si="392"/>
        <v>ND</v>
      </c>
      <c r="BP95" s="1" t="str">
        <f t="shared" si="393"/>
        <v>ND</v>
      </c>
      <c r="BQ95" s="1" t="str">
        <f t="shared" si="394"/>
        <v>ND</v>
      </c>
      <c r="BR95" s="1" t="str">
        <f t="shared" si="395"/>
        <v>ND</v>
      </c>
      <c r="BS95" s="1" t="str">
        <f t="shared" si="396"/>
        <v>ND</v>
      </c>
      <c r="BT95" s="1" t="str">
        <f t="shared" si="397"/>
        <v>ND</v>
      </c>
      <c r="BU95" s="1" t="str">
        <f t="shared" si="398"/>
        <v>ND</v>
      </c>
      <c r="BV95" s="1" t="str">
        <f t="shared" si="399"/>
        <v>ND</v>
      </c>
      <c r="BW95" s="1" t="str">
        <f t="shared" si="400"/>
        <v>ND</v>
      </c>
      <c r="BX95" s="1" t="str">
        <f t="shared" si="401"/>
        <v>ND</v>
      </c>
      <c r="BY95" s="1" t="str">
        <f t="shared" si="402"/>
        <v>ND</v>
      </c>
      <c r="BZ95" s="1" t="str">
        <f t="shared" si="403"/>
        <v>ND</v>
      </c>
      <c r="CA95" s="1" t="str">
        <f t="shared" si="522"/>
        <v>ND</v>
      </c>
      <c r="CB95" s="1" t="str">
        <f t="shared" si="522"/>
        <v>ND</v>
      </c>
      <c r="CC95" s="1" t="str">
        <f t="shared" si="522"/>
        <v>ND</v>
      </c>
      <c r="CD95" s="1" t="str">
        <f t="shared" si="522"/>
        <v>ND</v>
      </c>
      <c r="CE95" s="1" t="str">
        <f t="shared" si="522"/>
        <v>ND</v>
      </c>
      <c r="CF95" s="1" t="str">
        <f t="shared" si="522"/>
        <v>ND</v>
      </c>
      <c r="CG95" s="1" t="str">
        <f t="shared" si="522"/>
        <v>ND</v>
      </c>
      <c r="CH95" s="1" t="str">
        <f t="shared" si="522"/>
        <v>ND</v>
      </c>
      <c r="CI95" s="1" t="str">
        <f t="shared" si="522"/>
        <v>ND</v>
      </c>
      <c r="CJ95" s="1" t="str">
        <f t="shared" si="522"/>
        <v>ND</v>
      </c>
      <c r="CK95" s="1" t="str">
        <f t="shared" si="522"/>
        <v>ND</v>
      </c>
      <c r="CL95" s="1" t="str">
        <f t="shared" si="523"/>
        <v>ND</v>
      </c>
      <c r="CM95" s="1" t="str">
        <f t="shared" si="523"/>
        <v>ND</v>
      </c>
      <c r="CN95" s="1" t="str">
        <f t="shared" si="523"/>
        <v>ND</v>
      </c>
      <c r="CO95" s="1" t="str">
        <f t="shared" si="523"/>
        <v>ND</v>
      </c>
      <c r="CP95" s="1" t="str">
        <f t="shared" si="523"/>
        <v>ND</v>
      </c>
      <c r="CQ95" s="1" t="str">
        <f t="shared" si="523"/>
        <v>ND</v>
      </c>
      <c r="CR95" s="1" t="str">
        <f t="shared" si="523"/>
        <v>ND</v>
      </c>
      <c r="CS95" s="1" t="str">
        <f t="shared" si="523"/>
        <v>ND</v>
      </c>
      <c r="CT95" s="1" t="str">
        <f t="shared" si="523"/>
        <v>ND</v>
      </c>
      <c r="CU95" s="1" t="str">
        <f t="shared" si="523"/>
        <v>ND</v>
      </c>
      <c r="CV95" s="1" t="str">
        <f t="shared" si="523"/>
        <v>ND</v>
      </c>
      <c r="CW95" s="1" t="str">
        <f t="shared" si="404"/>
        <v>ND</v>
      </c>
      <c r="CX95" s="1" t="str">
        <f t="shared" si="405"/>
        <v>ND</v>
      </c>
      <c r="CY95" s="1" t="str">
        <f t="shared" si="406"/>
        <v>ND</v>
      </c>
      <c r="CZ95" s="1" t="str">
        <f t="shared" si="407"/>
        <v>ND</v>
      </c>
      <c r="DA95" s="1" t="str">
        <f t="shared" si="408"/>
        <v>ND</v>
      </c>
      <c r="DB95" s="1" t="str">
        <f t="shared" si="409"/>
        <v>ND</v>
      </c>
      <c r="DC95" s="1" t="str">
        <f t="shared" si="410"/>
        <v>ND</v>
      </c>
      <c r="DD95" s="1" t="str">
        <f t="shared" si="411"/>
        <v>ND</v>
      </c>
      <c r="DE95" s="1" t="str">
        <f t="shared" si="412"/>
        <v>ND</v>
      </c>
      <c r="DF95" s="1" t="str">
        <f t="shared" si="413"/>
        <v>ND</v>
      </c>
      <c r="DG95" s="1" t="str">
        <f t="shared" si="414"/>
        <v>ND</v>
      </c>
      <c r="DH95" s="1" t="str">
        <f t="shared" si="415"/>
        <v>ND</v>
      </c>
      <c r="DI95" s="1" t="str">
        <f t="shared" si="416"/>
        <v>ND</v>
      </c>
      <c r="DJ95" s="1" t="str">
        <f t="shared" si="417"/>
        <v>ND</v>
      </c>
      <c r="DK95" s="1" t="str">
        <f t="shared" si="418"/>
        <v>ND</v>
      </c>
      <c r="DL95" s="1" t="str">
        <f t="shared" si="419"/>
        <v>ND</v>
      </c>
      <c r="DM95" s="1" t="str">
        <f t="shared" si="420"/>
        <v>ND</v>
      </c>
      <c r="DN95" s="1" t="str">
        <f t="shared" si="421"/>
        <v>ND</v>
      </c>
      <c r="DO95" s="1" t="str">
        <f t="shared" si="422"/>
        <v>ND</v>
      </c>
      <c r="DP95" s="1" t="str">
        <f t="shared" si="423"/>
        <v>ND</v>
      </c>
      <c r="DQ95" s="1" t="str">
        <f t="shared" si="424"/>
        <v>ND</v>
      </c>
      <c r="DR95" s="1" t="str">
        <f t="shared" si="425"/>
        <v>ND</v>
      </c>
      <c r="DS95" s="1" t="str">
        <f t="shared" si="426"/>
        <v>ND</v>
      </c>
      <c r="DT95" s="1" t="str">
        <f t="shared" si="427"/>
        <v>ND</v>
      </c>
      <c r="DU95" s="1" t="str">
        <f t="shared" si="428"/>
        <v>ND</v>
      </c>
      <c r="DV95" s="1" t="str">
        <f t="shared" si="429"/>
        <v>ND</v>
      </c>
      <c r="DW95" s="1" t="str">
        <f t="shared" si="430"/>
        <v>ND</v>
      </c>
      <c r="DX95" s="1" t="str">
        <f t="shared" si="431"/>
        <v>ND</v>
      </c>
      <c r="DY95" s="1" t="str">
        <f t="shared" si="432"/>
        <v>ND</v>
      </c>
      <c r="DZ95" s="1" t="str">
        <f t="shared" si="433"/>
        <v>ND</v>
      </c>
      <c r="EA95" s="1" t="str">
        <f t="shared" si="434"/>
        <v>ND</v>
      </c>
      <c r="EB95" s="1" t="str">
        <f t="shared" si="435"/>
        <v>ND</v>
      </c>
      <c r="EC95" s="1" t="str">
        <f t="shared" si="436"/>
        <v>ND</v>
      </c>
      <c r="ED95" s="1" t="str">
        <f t="shared" si="437"/>
        <v>ND</v>
      </c>
      <c r="EE95" s="1" t="str">
        <f t="shared" si="438"/>
        <v>ND</v>
      </c>
      <c r="EF95" s="1" t="str">
        <f t="shared" si="439"/>
        <v>ND</v>
      </c>
      <c r="EG95" s="1" t="str">
        <f t="shared" si="440"/>
        <v>ND</v>
      </c>
      <c r="EH95" s="1" t="str">
        <f t="shared" si="441"/>
        <v>ND</v>
      </c>
      <c r="EI95" s="1" t="str">
        <f t="shared" si="442"/>
        <v>ND</v>
      </c>
      <c r="EJ95" s="1" t="str">
        <f t="shared" si="443"/>
        <v>ND</v>
      </c>
      <c r="EK95" s="1" t="str">
        <f t="shared" si="444"/>
        <v>ND</v>
      </c>
      <c r="EL95" s="1" t="str">
        <f t="shared" si="445"/>
        <v>ND</v>
      </c>
      <c r="EM95" s="1" t="str">
        <f t="shared" si="446"/>
        <v>ND</v>
      </c>
      <c r="EN95" s="1" t="str">
        <f t="shared" si="447"/>
        <v>ND</v>
      </c>
      <c r="EO95" s="1" t="str">
        <f t="shared" si="524"/>
        <v>ND</v>
      </c>
      <c r="EP95" s="1" t="str">
        <f t="shared" si="524"/>
        <v>ND</v>
      </c>
      <c r="EQ95" s="1" t="str">
        <f t="shared" si="524"/>
        <v>ND</v>
      </c>
      <c r="ER95" s="1" t="str">
        <f t="shared" si="524"/>
        <v>ND</v>
      </c>
      <c r="ES95" s="1" t="str">
        <f t="shared" si="524"/>
        <v>ND</v>
      </c>
      <c r="ET95" s="1" t="str">
        <f t="shared" si="524"/>
        <v>ND</v>
      </c>
      <c r="EU95" s="1" t="str">
        <f t="shared" si="524"/>
        <v>ND</v>
      </c>
      <c r="EV95" s="1" t="str">
        <f t="shared" si="524"/>
        <v>ND</v>
      </c>
      <c r="EW95" s="1" t="str">
        <f t="shared" si="524"/>
        <v>ND</v>
      </c>
      <c r="EX95" s="1" t="str">
        <f t="shared" si="524"/>
        <v>ND</v>
      </c>
      <c r="EY95" s="1" t="str">
        <f t="shared" si="524"/>
        <v>ND</v>
      </c>
      <c r="EZ95" s="1" t="str">
        <f t="shared" si="525"/>
        <v>ND</v>
      </c>
      <c r="FA95" s="1" t="str">
        <f t="shared" si="525"/>
        <v>ND</v>
      </c>
      <c r="FB95" s="1" t="str">
        <f t="shared" si="525"/>
        <v>ND</v>
      </c>
      <c r="FC95" s="1" t="str">
        <f t="shared" si="525"/>
        <v>ND</v>
      </c>
      <c r="FD95" s="1" t="str">
        <f t="shared" si="525"/>
        <v>ND</v>
      </c>
      <c r="FE95" s="1" t="str">
        <f t="shared" si="525"/>
        <v>ND</v>
      </c>
      <c r="FF95" s="1" t="str">
        <f t="shared" si="525"/>
        <v>ND</v>
      </c>
      <c r="FG95" s="1" t="str">
        <f t="shared" si="525"/>
        <v>ND</v>
      </c>
      <c r="FH95" s="1" t="str">
        <f t="shared" si="525"/>
        <v>ND</v>
      </c>
      <c r="FI95" s="1" t="str">
        <f t="shared" si="525"/>
        <v>ND</v>
      </c>
      <c r="FJ95" s="1" t="str">
        <f t="shared" si="525"/>
        <v>ND</v>
      </c>
      <c r="FK95" s="1" t="str">
        <f t="shared" si="526"/>
        <v>ND</v>
      </c>
      <c r="FL95" s="1" t="str">
        <f t="shared" si="526"/>
        <v>ND</v>
      </c>
      <c r="FM95" s="1" t="str">
        <f t="shared" si="526"/>
        <v>ND</v>
      </c>
      <c r="FN95" s="1" t="str">
        <f t="shared" si="526"/>
        <v>ND</v>
      </c>
      <c r="FO95" s="1" t="str">
        <f t="shared" si="526"/>
        <v>ND</v>
      </c>
      <c r="FP95" s="1" t="str">
        <f t="shared" si="526"/>
        <v>ND</v>
      </c>
      <c r="FQ95" s="1" t="str">
        <f t="shared" si="526"/>
        <v>ND</v>
      </c>
      <c r="FR95" s="1" t="str">
        <f t="shared" si="526"/>
        <v>ND</v>
      </c>
      <c r="FS95" s="1" t="str">
        <f t="shared" si="526"/>
        <v>ND</v>
      </c>
      <c r="FT95" s="1" t="str">
        <f t="shared" si="526"/>
        <v>ND</v>
      </c>
      <c r="FU95" s="1" t="str">
        <f t="shared" si="526"/>
        <v>ND</v>
      </c>
      <c r="FV95" s="1" t="str">
        <f t="shared" si="448"/>
        <v>ND</v>
      </c>
      <c r="FW95" s="1" t="str">
        <f t="shared" si="449"/>
        <v>ND</v>
      </c>
      <c r="FX95" s="1" t="str">
        <f t="shared" si="450"/>
        <v>ND</v>
      </c>
      <c r="FY95" s="1" t="str">
        <f t="shared" si="451"/>
        <v>ND</v>
      </c>
      <c r="FZ95" s="1" t="str">
        <f t="shared" si="452"/>
        <v>ND</v>
      </c>
      <c r="GA95" s="1" t="str">
        <f t="shared" si="453"/>
        <v>ND</v>
      </c>
      <c r="GB95" s="1" t="str">
        <f t="shared" si="454"/>
        <v>ND</v>
      </c>
      <c r="GC95" s="1" t="str">
        <f t="shared" si="455"/>
        <v>ND</v>
      </c>
      <c r="GD95" s="1" t="str">
        <f t="shared" si="456"/>
        <v>ND</v>
      </c>
      <c r="GE95" s="1" t="str">
        <f t="shared" si="457"/>
        <v>ND</v>
      </c>
      <c r="GF95" s="1" t="str">
        <f t="shared" si="458"/>
        <v>ND</v>
      </c>
      <c r="GG95" s="1" t="str">
        <f t="shared" si="459"/>
        <v>ND</v>
      </c>
      <c r="GH95" s="1" t="str">
        <f t="shared" si="460"/>
        <v>ND</v>
      </c>
      <c r="GI95" s="1" t="str">
        <f t="shared" si="461"/>
        <v>ND</v>
      </c>
      <c r="GJ95" s="1" t="str">
        <f t="shared" si="462"/>
        <v>ND</v>
      </c>
      <c r="GK95" s="1" t="str">
        <f t="shared" si="463"/>
        <v>ND</v>
      </c>
      <c r="GL95" s="1" t="str">
        <f t="shared" si="464"/>
        <v>ND</v>
      </c>
      <c r="GM95" s="1" t="str">
        <f t="shared" si="465"/>
        <v>ND</v>
      </c>
      <c r="GN95" s="1" t="str">
        <f t="shared" si="466"/>
        <v>ND</v>
      </c>
      <c r="GO95" s="1" t="str">
        <f t="shared" si="467"/>
        <v>ND</v>
      </c>
      <c r="GP95" s="1" t="str">
        <f t="shared" si="468"/>
        <v>ND</v>
      </c>
      <c r="GQ95" s="1" t="str">
        <f t="shared" si="469"/>
        <v>ND</v>
      </c>
      <c r="GR95" s="1" t="str">
        <f t="shared" si="470"/>
        <v>ND</v>
      </c>
      <c r="GS95" s="1" t="str">
        <f t="shared" si="471"/>
        <v>ND</v>
      </c>
      <c r="GT95" s="1" t="str">
        <f t="shared" si="472"/>
        <v>ND</v>
      </c>
      <c r="GU95" s="1" t="str">
        <f t="shared" si="473"/>
        <v>ND</v>
      </c>
      <c r="GV95" s="1" t="str">
        <f t="shared" si="474"/>
        <v>ND</v>
      </c>
      <c r="GW95" s="1" t="str">
        <f t="shared" si="475"/>
        <v>ND</v>
      </c>
      <c r="GX95" s="1" t="str">
        <f t="shared" si="476"/>
        <v>ND</v>
      </c>
      <c r="GY95" s="1" t="str">
        <f t="shared" si="477"/>
        <v>ND</v>
      </c>
      <c r="GZ95" s="1" t="str">
        <f t="shared" si="478"/>
        <v>ND</v>
      </c>
      <c r="HA95" s="1" t="str">
        <f t="shared" si="479"/>
        <v>ND</v>
      </c>
      <c r="HB95" s="1" t="str">
        <f t="shared" si="480"/>
        <v>ND</v>
      </c>
      <c r="HC95" s="1" t="str">
        <f t="shared" si="481"/>
        <v>ND</v>
      </c>
      <c r="HD95" s="1" t="str">
        <f t="shared" si="482"/>
        <v>ND</v>
      </c>
      <c r="HE95" s="1" t="str">
        <f t="shared" si="483"/>
        <v>ND</v>
      </c>
      <c r="HF95" s="1" t="str">
        <f t="shared" si="484"/>
        <v>ND</v>
      </c>
      <c r="HG95" s="1" t="str">
        <f t="shared" si="485"/>
        <v>ND</v>
      </c>
      <c r="HH95" s="1" t="str">
        <f t="shared" si="486"/>
        <v>ND</v>
      </c>
      <c r="HI95" s="1" t="str">
        <f t="shared" si="487"/>
        <v>ND</v>
      </c>
      <c r="HJ95" s="1" t="str">
        <f t="shared" si="488"/>
        <v>ND</v>
      </c>
      <c r="HK95" s="1" t="str">
        <f t="shared" si="489"/>
        <v>ND</v>
      </c>
      <c r="HL95" s="1" t="str">
        <f t="shared" si="490"/>
        <v>ND</v>
      </c>
      <c r="HM95" s="1" t="str">
        <f t="shared" si="491"/>
        <v>ND</v>
      </c>
      <c r="HN95" s="1" t="str">
        <f t="shared" si="492"/>
        <v>ND</v>
      </c>
      <c r="HO95" s="1" t="str">
        <f t="shared" si="493"/>
        <v>ND</v>
      </c>
      <c r="HP95" s="1" t="str">
        <f t="shared" si="494"/>
        <v>ND</v>
      </c>
      <c r="HQ95" s="1" t="str">
        <f t="shared" si="495"/>
        <v>ND</v>
      </c>
      <c r="HR95" s="1" t="str">
        <f t="shared" si="496"/>
        <v>ND</v>
      </c>
      <c r="HS95" s="1" t="str">
        <f t="shared" si="497"/>
        <v>ND</v>
      </c>
      <c r="HT95" s="1" t="str">
        <f t="shared" si="498"/>
        <v>ND</v>
      </c>
      <c r="HU95" s="1" t="str">
        <f t="shared" si="499"/>
        <v>ND</v>
      </c>
      <c r="HV95" s="1" t="str">
        <f t="shared" si="500"/>
        <v>ND</v>
      </c>
      <c r="HW95" s="1" t="str">
        <f t="shared" si="501"/>
        <v>ND</v>
      </c>
      <c r="HX95" s="1" t="str">
        <f t="shared" si="502"/>
        <v>ND</v>
      </c>
      <c r="HY95" s="1" t="str">
        <f t="shared" si="503"/>
        <v>ND</v>
      </c>
      <c r="HZ95" s="1" t="str">
        <f t="shared" si="504"/>
        <v>ND</v>
      </c>
      <c r="IA95" s="1" t="str">
        <f t="shared" si="505"/>
        <v>ND</v>
      </c>
      <c r="IB95" s="1" t="str">
        <f t="shared" si="506"/>
        <v>ND</v>
      </c>
      <c r="IC95" s="1" t="str">
        <f t="shared" si="507"/>
        <v>ND</v>
      </c>
      <c r="ID95" s="1" t="str">
        <f t="shared" si="508"/>
        <v>ND</v>
      </c>
      <c r="IE95" s="1" t="str">
        <f t="shared" si="509"/>
        <v>ND</v>
      </c>
      <c r="IF95" s="1" t="str">
        <f t="shared" si="510"/>
        <v>ND</v>
      </c>
      <c r="IG95" s="1" t="str">
        <f t="shared" si="511"/>
        <v>ND</v>
      </c>
      <c r="IH95" s="1" t="str">
        <f t="shared" si="512"/>
        <v>ND</v>
      </c>
      <c r="II95" s="1" t="str">
        <f t="shared" si="513"/>
        <v>ND</v>
      </c>
    </row>
    <row r="96" spans="3:243" x14ac:dyDescent="0.25">
      <c r="C96" t="s">
        <v>596</v>
      </c>
      <c r="D96">
        <f>SUMIFS(DICCIONARIO[Cantidad],DICCIONARIO[Modelo],UNIFICADA[[#This Row],[Equipo]])</f>
        <v>2</v>
      </c>
      <c r="E96" s="1">
        <f>IFERROR(VLOOKUP($C96,EQUIPOS[],UNIFICADO!E$9,0),"")</f>
        <v>13</v>
      </c>
      <c r="F96" s="1" t="str">
        <f>IFERROR(VLOOKUP($C96,EQUIPOS[],UNIFICADO!F$9,0),"")</f>
        <v>6.1 FullHD+ 120Hz</v>
      </c>
      <c r="G96" s="1">
        <f>IFERROR(VLOOKUP($C96,EQUIPOS[],UNIFICADO!G$9,0),"")</f>
        <v>50</v>
      </c>
      <c r="H96" s="1">
        <f>IFERROR(VLOOKUP($C96,EQUIPOS[],UNIFICADO!H$9,0),"")</f>
        <v>3</v>
      </c>
      <c r="I96" s="1">
        <f>IFERROR(VLOOKUP($C96,EQUIPOS[],UNIFICADO!I$9,0),"")</f>
        <v>12</v>
      </c>
      <c r="J96" s="1" t="str">
        <f>IFERROR(VLOOKUP($C96,EQUIPOS[],UNIFICADO!J$9,0),"")</f>
        <v>256GB</v>
      </c>
      <c r="K96" s="1">
        <f>IFERROR(VLOOKUP($C96,EQUIPOS[],UNIFICADO!K$9,0),"")</f>
        <v>0</v>
      </c>
      <c r="L96" s="1">
        <f>IFERROR(VLOOKUP($C96,EQUIPOS[],UNIFICADO!L$9,0),"")</f>
        <v>8</v>
      </c>
      <c r="M96" s="1" t="str">
        <f>IFERROR(VLOOKUP($C96,EQUIPOS[],UNIFICADO!M$9,0),"")</f>
        <v>Snapdragon 8 Gen 2</v>
      </c>
      <c r="N96" s="1">
        <f>IFERROR(VLOOKUP($C96,EQUIPOS[],UNIFICADO!N$9,0),"")</f>
        <v>8</v>
      </c>
      <c r="O96" s="1">
        <f>IFERROR(VLOOKUP($C96,EQUIPOS[],UNIFICADO!O$9,0),"")</f>
        <v>167</v>
      </c>
      <c r="P96" s="1">
        <f>IFERROR(VLOOKUP($C96,EQUIPOS[],UNIFICADO!P$9,0),"")</f>
        <v>14.6</v>
      </c>
      <c r="Q96" s="1">
        <f>IFERROR(VLOOKUP($C96,EQUIPOS[],UNIFICADO!Q$9,0),"")</f>
        <v>7.09</v>
      </c>
      <c r="R96" s="1">
        <f>IFERROR(VLOOKUP($C96,EQUIPOS[],UNIFICADO!R$9,0),"")</f>
        <v>0.76</v>
      </c>
      <c r="S96" s="1" t="str">
        <f>IFERROR(VLOOKUP($C96,EQUIPOS[],UNIFICADO!S$9,0),"")</f>
        <v>3900 25W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8"/>
        <v>ND</v>
      </c>
      <c r="W96" s="1" t="str">
        <f t="shared" si="359"/>
        <v>ND</v>
      </c>
      <c r="X96" s="1" t="str">
        <f t="shared" si="520"/>
        <v>ND</v>
      </c>
      <c r="Y96" s="1" t="str">
        <f t="shared" si="520"/>
        <v>ND</v>
      </c>
      <c r="Z96" s="1" t="str">
        <f t="shared" si="521"/>
        <v>ND</v>
      </c>
      <c r="AA96" s="1" t="str">
        <f t="shared" si="521"/>
        <v>ND</v>
      </c>
      <c r="AB96" s="1" t="str">
        <f t="shared" si="521"/>
        <v>ND</v>
      </c>
      <c r="AC96" s="1" t="str">
        <f t="shared" si="521"/>
        <v>ND</v>
      </c>
      <c r="AD96" s="1" t="str">
        <f t="shared" si="521"/>
        <v>ND</v>
      </c>
      <c r="AE96" s="1" t="str">
        <f t="shared" si="521"/>
        <v>ND</v>
      </c>
      <c r="AF96" s="1" t="str">
        <f t="shared" si="521"/>
        <v>ND</v>
      </c>
      <c r="AG96" s="1" t="str">
        <f t="shared" si="521"/>
        <v>ND</v>
      </c>
      <c r="AH96" s="1" t="str">
        <f t="shared" si="521"/>
        <v>ND</v>
      </c>
      <c r="AI96" s="1" t="str">
        <f t="shared" si="360"/>
        <v>ND</v>
      </c>
      <c r="AJ96" s="1" t="str">
        <f t="shared" si="361"/>
        <v>ND</v>
      </c>
      <c r="AK96" s="1" t="str">
        <f t="shared" si="362"/>
        <v>ND</v>
      </c>
      <c r="AL96" s="1" t="str">
        <f t="shared" si="363"/>
        <v>ND</v>
      </c>
      <c r="AM96" s="1" t="str">
        <f t="shared" si="364"/>
        <v>ND</v>
      </c>
      <c r="AN96" s="1" t="str">
        <f t="shared" si="365"/>
        <v>ND</v>
      </c>
      <c r="AO96" s="1" t="str">
        <f t="shared" si="366"/>
        <v>ND</v>
      </c>
      <c r="AP96" s="1" t="str">
        <f t="shared" si="367"/>
        <v>ND</v>
      </c>
      <c r="AQ96" s="1" t="str">
        <f t="shared" si="368"/>
        <v>ND</v>
      </c>
      <c r="AR96" s="1" t="str">
        <f t="shared" si="369"/>
        <v>ND</v>
      </c>
      <c r="AS96" s="1" t="str">
        <f t="shared" si="370"/>
        <v>ND</v>
      </c>
      <c r="AT96" s="1" t="str">
        <f t="shared" si="371"/>
        <v>ND</v>
      </c>
      <c r="AU96" s="1" t="str">
        <f t="shared" si="372"/>
        <v>ND</v>
      </c>
      <c r="AV96" s="1" t="str">
        <f t="shared" si="373"/>
        <v>ND</v>
      </c>
      <c r="AW96" s="1" t="str">
        <f t="shared" si="374"/>
        <v>ND</v>
      </c>
      <c r="AX96" s="1" t="str">
        <f t="shared" si="375"/>
        <v>ND</v>
      </c>
      <c r="AY96" s="1" t="str">
        <f t="shared" si="376"/>
        <v>ND</v>
      </c>
      <c r="AZ96" s="1" t="str">
        <f t="shared" si="377"/>
        <v>ND</v>
      </c>
      <c r="BA96" s="1" t="str">
        <f t="shared" si="378"/>
        <v>ND</v>
      </c>
      <c r="BB96" s="1" t="str">
        <f t="shared" si="379"/>
        <v>ND</v>
      </c>
      <c r="BC96" s="1" t="str">
        <f t="shared" si="380"/>
        <v>ND</v>
      </c>
      <c r="BD96" s="1" t="str">
        <f t="shared" si="381"/>
        <v>ND</v>
      </c>
      <c r="BE96" s="1" t="str">
        <f t="shared" si="382"/>
        <v>ND</v>
      </c>
      <c r="BF96" s="1" t="str">
        <f t="shared" si="383"/>
        <v>ND</v>
      </c>
      <c r="BG96" s="1" t="str">
        <f t="shared" si="384"/>
        <v>ND</v>
      </c>
      <c r="BH96" s="1" t="str">
        <f t="shared" si="385"/>
        <v>ND</v>
      </c>
      <c r="BI96" s="1" t="str">
        <f t="shared" si="386"/>
        <v>ND</v>
      </c>
      <c r="BJ96" s="1" t="str">
        <f t="shared" si="387"/>
        <v>ND</v>
      </c>
      <c r="BK96" s="1" t="str">
        <f t="shared" si="388"/>
        <v>ND</v>
      </c>
      <c r="BL96" s="1" t="str">
        <f t="shared" si="389"/>
        <v>ND</v>
      </c>
      <c r="BM96" s="1" t="str">
        <f t="shared" si="390"/>
        <v>ND</v>
      </c>
      <c r="BN96" s="1" t="str">
        <f t="shared" si="391"/>
        <v>ND</v>
      </c>
      <c r="BO96" s="1" t="str">
        <f t="shared" si="392"/>
        <v>ND</v>
      </c>
      <c r="BP96" s="1" t="str">
        <f t="shared" si="393"/>
        <v>ND</v>
      </c>
      <c r="BQ96" s="1" t="str">
        <f t="shared" si="394"/>
        <v>ND</v>
      </c>
      <c r="BR96" s="1" t="str">
        <f t="shared" si="395"/>
        <v>ND</v>
      </c>
      <c r="BS96" s="1" t="str">
        <f t="shared" si="396"/>
        <v>ND</v>
      </c>
      <c r="BT96" s="1" t="str">
        <f t="shared" si="397"/>
        <v>ND</v>
      </c>
      <c r="BU96" s="1" t="str">
        <f t="shared" si="398"/>
        <v>ND</v>
      </c>
      <c r="BV96" s="1" t="str">
        <f t="shared" si="399"/>
        <v>ND</v>
      </c>
      <c r="BW96" s="1" t="str">
        <f t="shared" si="400"/>
        <v>ND</v>
      </c>
      <c r="BX96" s="1" t="str">
        <f t="shared" si="401"/>
        <v>ND</v>
      </c>
      <c r="BY96" s="1" t="str">
        <f t="shared" si="402"/>
        <v>ND</v>
      </c>
      <c r="BZ96" s="1" t="str">
        <f t="shared" si="403"/>
        <v>ND</v>
      </c>
      <c r="CA96" s="1" t="str">
        <f t="shared" si="522"/>
        <v>ND</v>
      </c>
      <c r="CB96" s="1" t="str">
        <f t="shared" si="522"/>
        <v>ND</v>
      </c>
      <c r="CC96" s="1" t="str">
        <f t="shared" si="522"/>
        <v>ND</v>
      </c>
      <c r="CD96" s="1" t="str">
        <f t="shared" si="522"/>
        <v>ND</v>
      </c>
      <c r="CE96" s="1" t="str">
        <f t="shared" si="522"/>
        <v>ND</v>
      </c>
      <c r="CF96" s="1" t="str">
        <f t="shared" si="522"/>
        <v>ND</v>
      </c>
      <c r="CG96" s="1" t="str">
        <f t="shared" si="522"/>
        <v>ND</v>
      </c>
      <c r="CH96" s="1" t="str">
        <f t="shared" si="522"/>
        <v>ND</v>
      </c>
      <c r="CI96" s="1" t="str">
        <f t="shared" si="522"/>
        <v>ND</v>
      </c>
      <c r="CJ96" s="1" t="str">
        <f t="shared" si="522"/>
        <v>ND</v>
      </c>
      <c r="CK96" s="1" t="str">
        <f t="shared" si="522"/>
        <v>ND</v>
      </c>
      <c r="CL96" s="1" t="str">
        <f t="shared" si="523"/>
        <v>ND</v>
      </c>
      <c r="CM96" s="1" t="str">
        <f t="shared" si="523"/>
        <v>ND</v>
      </c>
      <c r="CN96" s="1" t="str">
        <f t="shared" si="523"/>
        <v>ND</v>
      </c>
      <c r="CO96" s="1" t="str">
        <f t="shared" si="523"/>
        <v>ND</v>
      </c>
      <c r="CP96" s="1" t="str">
        <f t="shared" si="523"/>
        <v>ND</v>
      </c>
      <c r="CQ96" s="1" t="str">
        <f t="shared" si="523"/>
        <v>ND</v>
      </c>
      <c r="CR96" s="1" t="str">
        <f t="shared" si="523"/>
        <v>ND</v>
      </c>
      <c r="CS96" s="1" t="str">
        <f t="shared" si="523"/>
        <v>ND</v>
      </c>
      <c r="CT96" s="1" t="str">
        <f t="shared" si="523"/>
        <v>ND</v>
      </c>
      <c r="CU96" s="1" t="str">
        <f t="shared" si="523"/>
        <v>ND</v>
      </c>
      <c r="CV96" s="1" t="str">
        <f t="shared" si="523"/>
        <v>ND</v>
      </c>
      <c r="CW96" s="1" t="str">
        <f t="shared" si="404"/>
        <v>ND</v>
      </c>
      <c r="CX96" s="1" t="str">
        <f t="shared" si="405"/>
        <v>ND</v>
      </c>
      <c r="CY96" s="1" t="str">
        <f t="shared" si="406"/>
        <v>ND</v>
      </c>
      <c r="CZ96" s="1" t="str">
        <f t="shared" si="407"/>
        <v>ND</v>
      </c>
      <c r="DA96" s="1" t="str">
        <f t="shared" si="408"/>
        <v>ND</v>
      </c>
      <c r="DB96" s="1" t="str">
        <f t="shared" si="409"/>
        <v>ND</v>
      </c>
      <c r="DC96" s="1" t="str">
        <f t="shared" si="410"/>
        <v>ND</v>
      </c>
      <c r="DD96" s="1" t="str">
        <f t="shared" si="411"/>
        <v>ND</v>
      </c>
      <c r="DE96" s="1" t="str">
        <f t="shared" si="412"/>
        <v>ND</v>
      </c>
      <c r="DF96" s="1" t="str">
        <f t="shared" si="413"/>
        <v>ND</v>
      </c>
      <c r="DG96" s="1" t="str">
        <f t="shared" si="414"/>
        <v>ND</v>
      </c>
      <c r="DH96" s="1" t="str">
        <f t="shared" si="415"/>
        <v>ND</v>
      </c>
      <c r="DI96" s="1" t="str">
        <f t="shared" si="416"/>
        <v>ND</v>
      </c>
      <c r="DJ96" s="1" t="str">
        <f t="shared" si="417"/>
        <v>ND</v>
      </c>
      <c r="DK96" s="1" t="str">
        <f t="shared" si="418"/>
        <v>ND</v>
      </c>
      <c r="DL96" s="1" t="str">
        <f t="shared" si="419"/>
        <v>ND</v>
      </c>
      <c r="DM96" s="1" t="str">
        <f t="shared" si="420"/>
        <v>ND</v>
      </c>
      <c r="DN96" s="1" t="str">
        <f t="shared" si="421"/>
        <v>ND</v>
      </c>
      <c r="DO96" s="1" t="str">
        <f t="shared" si="422"/>
        <v>ND</v>
      </c>
      <c r="DP96" s="1" t="str">
        <f t="shared" si="423"/>
        <v>ND</v>
      </c>
      <c r="DQ96" s="1" t="str">
        <f t="shared" si="424"/>
        <v>ND</v>
      </c>
      <c r="DR96" s="1" t="str">
        <f t="shared" si="425"/>
        <v>ND</v>
      </c>
      <c r="DS96" s="1" t="str">
        <f t="shared" si="426"/>
        <v>ND</v>
      </c>
      <c r="DT96" s="1" t="str">
        <f t="shared" si="427"/>
        <v>ND</v>
      </c>
      <c r="DU96" s="1" t="str">
        <f t="shared" si="428"/>
        <v>ND</v>
      </c>
      <c r="DV96" s="1" t="str">
        <f t="shared" si="429"/>
        <v>ND</v>
      </c>
      <c r="DW96" s="1" t="str">
        <f t="shared" si="430"/>
        <v>ND</v>
      </c>
      <c r="DX96" s="1" t="str">
        <f t="shared" si="431"/>
        <v>ND</v>
      </c>
      <c r="DY96" s="1" t="str">
        <f t="shared" si="432"/>
        <v>ND</v>
      </c>
      <c r="DZ96" s="1" t="str">
        <f t="shared" si="433"/>
        <v>ND</v>
      </c>
      <c r="EA96" s="1" t="str">
        <f t="shared" si="434"/>
        <v>ND</v>
      </c>
      <c r="EB96" s="1" t="str">
        <f t="shared" si="435"/>
        <v>ND</v>
      </c>
      <c r="EC96" s="1" t="str">
        <f t="shared" si="436"/>
        <v>ND</v>
      </c>
      <c r="ED96" s="1" t="str">
        <f t="shared" si="437"/>
        <v>ND</v>
      </c>
      <c r="EE96" s="1" t="str">
        <f t="shared" si="438"/>
        <v>ND</v>
      </c>
      <c r="EF96" s="1" t="str">
        <f t="shared" si="439"/>
        <v>ND</v>
      </c>
      <c r="EG96" s="1" t="str">
        <f t="shared" si="440"/>
        <v>ND</v>
      </c>
      <c r="EH96" s="1" t="str">
        <f t="shared" si="441"/>
        <v>ND</v>
      </c>
      <c r="EI96" s="1" t="str">
        <f t="shared" si="442"/>
        <v>ND</v>
      </c>
      <c r="EJ96" s="1" t="str">
        <f t="shared" si="443"/>
        <v>ND</v>
      </c>
      <c r="EK96" s="1" t="str">
        <f t="shared" si="444"/>
        <v>ND</v>
      </c>
      <c r="EL96" s="1" t="str">
        <f t="shared" si="445"/>
        <v>ND</v>
      </c>
      <c r="EM96" s="1" t="str">
        <f t="shared" si="446"/>
        <v>ND</v>
      </c>
      <c r="EN96" s="1" t="str">
        <f t="shared" si="447"/>
        <v>ND</v>
      </c>
      <c r="EO96" s="1" t="str">
        <f t="shared" si="524"/>
        <v>ND</v>
      </c>
      <c r="EP96" s="1" t="str">
        <f t="shared" si="524"/>
        <v>ND</v>
      </c>
      <c r="EQ96" s="1" t="str">
        <f t="shared" si="524"/>
        <v>ND</v>
      </c>
      <c r="ER96" s="1" t="str">
        <f t="shared" si="524"/>
        <v>ND</v>
      </c>
      <c r="ES96" s="1" t="str">
        <f t="shared" si="524"/>
        <v>ND</v>
      </c>
      <c r="ET96" s="1" t="str">
        <f t="shared" si="524"/>
        <v>ND</v>
      </c>
      <c r="EU96" s="1" t="str">
        <f t="shared" si="524"/>
        <v>ND</v>
      </c>
      <c r="EV96" s="1" t="str">
        <f t="shared" si="524"/>
        <v>ND</v>
      </c>
      <c r="EW96" s="1" t="str">
        <f t="shared" si="524"/>
        <v>ND</v>
      </c>
      <c r="EX96" s="1" t="str">
        <f t="shared" si="524"/>
        <v>ND</v>
      </c>
      <c r="EY96" s="1" t="str">
        <f t="shared" si="524"/>
        <v>ND</v>
      </c>
      <c r="EZ96" s="1" t="str">
        <f t="shared" si="525"/>
        <v>ND</v>
      </c>
      <c r="FA96" s="1" t="str">
        <f t="shared" si="525"/>
        <v>ND</v>
      </c>
      <c r="FB96" s="1" t="str">
        <f t="shared" si="525"/>
        <v>ND</v>
      </c>
      <c r="FC96" s="1" t="str">
        <f t="shared" si="525"/>
        <v>ND</v>
      </c>
      <c r="FD96" s="1" t="str">
        <f t="shared" si="525"/>
        <v>ND</v>
      </c>
      <c r="FE96" s="1" t="str">
        <f t="shared" si="525"/>
        <v>ND</v>
      </c>
      <c r="FF96" s="1" t="str">
        <f t="shared" si="525"/>
        <v>ND</v>
      </c>
      <c r="FG96" s="1" t="str">
        <f t="shared" si="525"/>
        <v>ND</v>
      </c>
      <c r="FH96" s="1" t="str">
        <f t="shared" si="525"/>
        <v>ND</v>
      </c>
      <c r="FI96" s="1" t="str">
        <f t="shared" si="525"/>
        <v>ND</v>
      </c>
      <c r="FJ96" s="1" t="str">
        <f t="shared" si="525"/>
        <v>ND</v>
      </c>
      <c r="FK96" s="1" t="str">
        <f t="shared" si="526"/>
        <v>ND</v>
      </c>
      <c r="FL96" s="1" t="str">
        <f t="shared" si="526"/>
        <v>ND</v>
      </c>
      <c r="FM96" s="1" t="str">
        <f t="shared" si="526"/>
        <v>ND</v>
      </c>
      <c r="FN96" s="1" t="str">
        <f t="shared" si="526"/>
        <v>ND</v>
      </c>
      <c r="FO96" s="1" t="str">
        <f t="shared" si="526"/>
        <v>ND</v>
      </c>
      <c r="FP96" s="1" t="str">
        <f t="shared" si="526"/>
        <v>ND</v>
      </c>
      <c r="FQ96" s="1" t="str">
        <f t="shared" si="526"/>
        <v>ND</v>
      </c>
      <c r="FR96" s="1" t="str">
        <f t="shared" si="526"/>
        <v>ND</v>
      </c>
      <c r="FS96" s="1" t="str">
        <f t="shared" si="526"/>
        <v>ND</v>
      </c>
      <c r="FT96" s="1" t="str">
        <f t="shared" si="526"/>
        <v>ND</v>
      </c>
      <c r="FU96" s="1" t="str">
        <f t="shared" si="526"/>
        <v>ND</v>
      </c>
      <c r="FV96" s="1" t="str">
        <f t="shared" si="448"/>
        <v>ND</v>
      </c>
      <c r="FW96" s="1" t="str">
        <f t="shared" si="449"/>
        <v>ND</v>
      </c>
      <c r="FX96" s="1" t="str">
        <f t="shared" si="450"/>
        <v>ND</v>
      </c>
      <c r="FY96" s="1" t="str">
        <f t="shared" si="451"/>
        <v>ND</v>
      </c>
      <c r="FZ96" s="1" t="str">
        <f t="shared" si="452"/>
        <v>ND</v>
      </c>
      <c r="GA96" s="1" t="str">
        <f t="shared" si="453"/>
        <v>ND</v>
      </c>
      <c r="GB96" s="1" t="str">
        <f t="shared" si="454"/>
        <v>ND</v>
      </c>
      <c r="GC96" s="1" t="str">
        <f t="shared" si="455"/>
        <v>ND</v>
      </c>
      <c r="GD96" s="1" t="str">
        <f t="shared" si="456"/>
        <v>ND</v>
      </c>
      <c r="GE96" s="1" t="str">
        <f t="shared" si="457"/>
        <v>ND</v>
      </c>
      <c r="GF96" s="1" t="str">
        <f t="shared" si="458"/>
        <v>ND</v>
      </c>
      <c r="GG96" s="1" t="str">
        <f t="shared" si="459"/>
        <v>ND</v>
      </c>
      <c r="GH96" s="1" t="str">
        <f t="shared" si="460"/>
        <v>ND</v>
      </c>
      <c r="GI96" s="1" t="str">
        <f t="shared" si="461"/>
        <v>ND</v>
      </c>
      <c r="GJ96" s="1" t="str">
        <f t="shared" si="462"/>
        <v>ND</v>
      </c>
      <c r="GK96" s="1" t="str">
        <f t="shared" si="463"/>
        <v>ND</v>
      </c>
      <c r="GL96" s="1" t="str">
        <f t="shared" si="464"/>
        <v>ND</v>
      </c>
      <c r="GM96" s="1" t="str">
        <f t="shared" si="465"/>
        <v>ND</v>
      </c>
      <c r="GN96" s="1" t="str">
        <f t="shared" si="466"/>
        <v>ND</v>
      </c>
      <c r="GO96" s="1" t="str">
        <f t="shared" si="467"/>
        <v>ND</v>
      </c>
      <c r="GP96" s="1" t="str">
        <f t="shared" si="468"/>
        <v>ND</v>
      </c>
      <c r="GQ96" s="1" t="str">
        <f t="shared" si="469"/>
        <v>ND</v>
      </c>
      <c r="GR96" s="1" t="str">
        <f t="shared" si="470"/>
        <v>ND</v>
      </c>
      <c r="GS96" s="1" t="str">
        <f t="shared" si="471"/>
        <v>ND</v>
      </c>
      <c r="GT96" s="1" t="str">
        <f t="shared" si="472"/>
        <v>ND</v>
      </c>
      <c r="GU96" s="1" t="str">
        <f t="shared" si="473"/>
        <v>ND</v>
      </c>
      <c r="GV96" s="1" t="str">
        <f t="shared" si="474"/>
        <v>ND</v>
      </c>
      <c r="GW96" s="1" t="str">
        <f t="shared" si="475"/>
        <v>ND</v>
      </c>
      <c r="GX96" s="1" t="str">
        <f t="shared" si="476"/>
        <v>ND</v>
      </c>
      <c r="GY96" s="1" t="str">
        <f t="shared" si="477"/>
        <v>ND</v>
      </c>
      <c r="GZ96" s="1" t="str">
        <f t="shared" si="478"/>
        <v>ND</v>
      </c>
      <c r="HA96" s="1" t="str">
        <f t="shared" si="479"/>
        <v>ND</v>
      </c>
      <c r="HB96" s="1" t="str">
        <f t="shared" si="480"/>
        <v>ND</v>
      </c>
      <c r="HC96" s="1" t="str">
        <f t="shared" si="481"/>
        <v>ND</v>
      </c>
      <c r="HD96" s="1" t="str">
        <f t="shared" si="482"/>
        <v>ND</v>
      </c>
      <c r="HE96" s="1" t="str">
        <f t="shared" si="483"/>
        <v>ND</v>
      </c>
      <c r="HF96" s="1" t="str">
        <f t="shared" si="484"/>
        <v>ND</v>
      </c>
      <c r="HG96" s="1" t="str">
        <f t="shared" si="485"/>
        <v>ND</v>
      </c>
      <c r="HH96" s="1" t="str">
        <f t="shared" si="486"/>
        <v>ND</v>
      </c>
      <c r="HI96" s="1" t="str">
        <f t="shared" si="487"/>
        <v>ND</v>
      </c>
      <c r="HJ96" s="1" t="str">
        <f t="shared" si="488"/>
        <v>ND</v>
      </c>
      <c r="HK96" s="1" t="str">
        <f t="shared" si="489"/>
        <v>ND</v>
      </c>
      <c r="HL96" s="1" t="str">
        <f t="shared" si="490"/>
        <v>ND</v>
      </c>
      <c r="HM96" s="1" t="str">
        <f t="shared" si="491"/>
        <v>ND</v>
      </c>
      <c r="HN96" s="1" t="str">
        <f t="shared" si="492"/>
        <v>ND</v>
      </c>
      <c r="HO96" s="1" t="str">
        <f t="shared" si="493"/>
        <v>ND</v>
      </c>
      <c r="HP96" s="1" t="str">
        <f t="shared" si="494"/>
        <v>ND</v>
      </c>
      <c r="HQ96" s="1" t="str">
        <f t="shared" si="495"/>
        <v>ND</v>
      </c>
      <c r="HR96" s="1" t="str">
        <f t="shared" si="496"/>
        <v>ND</v>
      </c>
      <c r="HS96" s="1" t="str">
        <f t="shared" si="497"/>
        <v>ND</v>
      </c>
      <c r="HT96" s="1" t="str">
        <f t="shared" si="498"/>
        <v>ND</v>
      </c>
      <c r="HU96" s="1" t="str">
        <f t="shared" si="499"/>
        <v>ND</v>
      </c>
      <c r="HV96" s="1" t="str">
        <f t="shared" si="500"/>
        <v>ND</v>
      </c>
      <c r="HW96" s="1" t="str">
        <f t="shared" si="501"/>
        <v>ND</v>
      </c>
      <c r="HX96" s="1" t="str">
        <f t="shared" si="502"/>
        <v>ND</v>
      </c>
      <c r="HY96" s="1" t="str">
        <f t="shared" si="503"/>
        <v>ND</v>
      </c>
      <c r="HZ96" s="1" t="str">
        <f t="shared" si="504"/>
        <v>ND</v>
      </c>
      <c r="IA96" s="1" t="str">
        <f t="shared" si="505"/>
        <v>ND</v>
      </c>
      <c r="IB96" s="1" t="str">
        <f t="shared" si="506"/>
        <v>ND</v>
      </c>
      <c r="IC96" s="1" t="str">
        <f t="shared" si="507"/>
        <v>ND</v>
      </c>
      <c r="ID96" s="1" t="str">
        <f t="shared" si="508"/>
        <v>ND</v>
      </c>
      <c r="IE96" s="1" t="str">
        <f t="shared" si="509"/>
        <v>ND</v>
      </c>
      <c r="IF96" s="1" t="str">
        <f t="shared" si="510"/>
        <v>ND</v>
      </c>
      <c r="IG96" s="1" t="str">
        <f t="shared" si="511"/>
        <v>ND</v>
      </c>
      <c r="IH96" s="1" t="str">
        <f t="shared" si="512"/>
        <v>ND</v>
      </c>
      <c r="II96" s="1" t="str">
        <f t="shared" si="513"/>
        <v>ND</v>
      </c>
    </row>
    <row r="97" spans="3:243" x14ac:dyDescent="0.25">
      <c r="C97" t="s">
        <v>597</v>
      </c>
      <c r="D97">
        <f>SUMIFS(DICCIONARIO[Cantidad],DICCIONARIO[Modelo],UNIFICADA[[#This Row],[Equipo]])</f>
        <v>0</v>
      </c>
      <c r="E97" s="1">
        <f>IFERROR(VLOOKUP($C97,EQUIPOS[],UNIFICADO!E$9,0),"")</f>
        <v>13</v>
      </c>
      <c r="F97" s="1" t="str">
        <f>IFERROR(VLOOKUP($C97,EQUIPOS[],UNIFICADO!F$9,0),"")</f>
        <v>6.6 FullHD+ 120Hz HDR10+</v>
      </c>
      <c r="G97" s="1">
        <f>IFERROR(VLOOKUP($C97,EQUIPOS[],UNIFICADO!G$9,0),"")</f>
        <v>50</v>
      </c>
      <c r="H97" s="1">
        <f>IFERROR(VLOOKUP($C97,EQUIPOS[],UNIFICADO!H$9,0),"")</f>
        <v>3</v>
      </c>
      <c r="I97" s="1">
        <f>IFERROR(VLOOKUP($C97,EQUIPOS[],UNIFICADO!I$9,0),"")</f>
        <v>12</v>
      </c>
      <c r="J97" s="1" t="str">
        <f>IFERROR(VLOOKUP($C97,EQUIPOS[],UNIFICADO!J$9,0),"")</f>
        <v>256GB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Snapdragon 8 Gen 2</v>
      </c>
      <c r="N97" s="1">
        <f>IFERROR(VLOOKUP($C97,EQUIPOS[],UNIFICADO!N$9,0),"")</f>
        <v>8</v>
      </c>
      <c r="O97" s="1">
        <f>IFERROR(VLOOKUP($C97,EQUIPOS[],UNIFICADO!O$9,0),"")</f>
        <v>195</v>
      </c>
      <c r="P97" s="1">
        <f>IFERROR(VLOOKUP($C97,EQUIPOS[],UNIFICADO!P$9,0),"")</f>
        <v>15.8</v>
      </c>
      <c r="Q97" s="1">
        <f>IFERROR(VLOOKUP($C97,EQUIPOS[],UNIFICADO!Q$9,0),"")</f>
        <v>7.62</v>
      </c>
      <c r="R97" s="1">
        <f>IFERROR(VLOOKUP($C97,EQUIPOS[],UNIFICADO!R$9,0),"")</f>
        <v>0.76</v>
      </c>
      <c r="S97" s="1" t="str">
        <f>IFERROR(VLOOKUP($C97,EQUIPOS[],UNIFICADO!S$9,0),"")</f>
        <v>4700 45W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8"/>
        <v>ND</v>
      </c>
      <c r="W97" s="1" t="str">
        <f t="shared" si="359"/>
        <v>ND</v>
      </c>
      <c r="X97" s="1" t="str">
        <f t="shared" si="520"/>
        <v>ND</v>
      </c>
      <c r="Y97" s="1" t="str">
        <f t="shared" si="520"/>
        <v>ND</v>
      </c>
      <c r="Z97" s="1" t="str">
        <f t="shared" si="521"/>
        <v>ND</v>
      </c>
      <c r="AA97" s="1" t="str">
        <f t="shared" si="521"/>
        <v>ND</v>
      </c>
      <c r="AB97" s="1" t="str">
        <f t="shared" si="521"/>
        <v>ND</v>
      </c>
      <c r="AC97" s="1" t="str">
        <f t="shared" si="521"/>
        <v>ND</v>
      </c>
      <c r="AD97" s="1" t="str">
        <f t="shared" si="521"/>
        <v>ND</v>
      </c>
      <c r="AE97" s="1" t="str">
        <f t="shared" si="521"/>
        <v>ND</v>
      </c>
      <c r="AF97" s="1" t="str">
        <f t="shared" si="521"/>
        <v>ND</v>
      </c>
      <c r="AG97" s="1" t="str">
        <f t="shared" si="521"/>
        <v>ND</v>
      </c>
      <c r="AH97" s="1" t="str">
        <f t="shared" si="521"/>
        <v>ND</v>
      </c>
      <c r="AI97" s="1" t="str">
        <f t="shared" si="360"/>
        <v>ND</v>
      </c>
      <c r="AJ97" s="1" t="str">
        <f t="shared" si="361"/>
        <v>ND</v>
      </c>
      <c r="AK97" s="1" t="str">
        <f t="shared" si="362"/>
        <v>ND</v>
      </c>
      <c r="AL97" s="1" t="str">
        <f t="shared" si="363"/>
        <v>ND</v>
      </c>
      <c r="AM97" s="1" t="str">
        <f t="shared" si="364"/>
        <v>ND</v>
      </c>
      <c r="AN97" s="1" t="str">
        <f t="shared" si="365"/>
        <v>ND</v>
      </c>
      <c r="AO97" s="1" t="str">
        <f t="shared" si="366"/>
        <v>ND</v>
      </c>
      <c r="AP97" s="1" t="str">
        <f t="shared" si="367"/>
        <v>ND</v>
      </c>
      <c r="AQ97" s="1" t="str">
        <f t="shared" si="368"/>
        <v>ND</v>
      </c>
      <c r="AR97" s="1" t="str">
        <f t="shared" si="369"/>
        <v>ND</v>
      </c>
      <c r="AS97" s="1" t="str">
        <f t="shared" si="370"/>
        <v>ND</v>
      </c>
      <c r="AT97" s="1" t="str">
        <f t="shared" si="371"/>
        <v>ND</v>
      </c>
      <c r="AU97" s="1" t="str">
        <f t="shared" si="372"/>
        <v>ND</v>
      </c>
      <c r="AV97" s="1" t="str">
        <f t="shared" si="373"/>
        <v>ND</v>
      </c>
      <c r="AW97" s="1" t="str">
        <f t="shared" si="374"/>
        <v>ND</v>
      </c>
      <c r="AX97" s="1" t="str">
        <f t="shared" si="375"/>
        <v>ND</v>
      </c>
      <c r="AY97" s="1" t="str">
        <f t="shared" si="376"/>
        <v>ND</v>
      </c>
      <c r="AZ97" s="1" t="str">
        <f t="shared" si="377"/>
        <v>ND</v>
      </c>
      <c r="BA97" s="1" t="str">
        <f t="shared" si="378"/>
        <v>ND</v>
      </c>
      <c r="BB97" s="1" t="str">
        <f t="shared" si="379"/>
        <v>ND</v>
      </c>
      <c r="BC97" s="1" t="str">
        <f t="shared" si="380"/>
        <v>ND</v>
      </c>
      <c r="BD97" s="1" t="str">
        <f t="shared" si="381"/>
        <v>ND</v>
      </c>
      <c r="BE97" s="1" t="str">
        <f t="shared" si="382"/>
        <v>ND</v>
      </c>
      <c r="BF97" s="1" t="str">
        <f t="shared" si="383"/>
        <v>ND</v>
      </c>
      <c r="BG97" s="1" t="str">
        <f t="shared" si="384"/>
        <v>ND</v>
      </c>
      <c r="BH97" s="1" t="str">
        <f t="shared" si="385"/>
        <v>ND</v>
      </c>
      <c r="BI97" s="1" t="str">
        <f t="shared" si="386"/>
        <v>ND</v>
      </c>
      <c r="BJ97" s="1" t="str">
        <f t="shared" si="387"/>
        <v>ND</v>
      </c>
      <c r="BK97" s="1" t="str">
        <f t="shared" si="388"/>
        <v>ND</v>
      </c>
      <c r="BL97" s="1" t="str">
        <f t="shared" si="389"/>
        <v>ND</v>
      </c>
      <c r="BM97" s="1" t="str">
        <f t="shared" si="390"/>
        <v>ND</v>
      </c>
      <c r="BN97" s="1" t="str">
        <f t="shared" si="391"/>
        <v>ND</v>
      </c>
      <c r="BO97" s="1" t="str">
        <f t="shared" si="392"/>
        <v>ND</v>
      </c>
      <c r="BP97" s="1" t="str">
        <f t="shared" si="393"/>
        <v>ND</v>
      </c>
      <c r="BQ97" s="1" t="str">
        <f t="shared" si="394"/>
        <v>ND</v>
      </c>
      <c r="BR97" s="1" t="str">
        <f t="shared" si="395"/>
        <v>ND</v>
      </c>
      <c r="BS97" s="1" t="str">
        <f t="shared" si="396"/>
        <v>ND</v>
      </c>
      <c r="BT97" s="1" t="str">
        <f t="shared" si="397"/>
        <v>ND</v>
      </c>
      <c r="BU97" s="1" t="str">
        <f t="shared" si="398"/>
        <v>ND</v>
      </c>
      <c r="BV97" s="1" t="str">
        <f t="shared" si="399"/>
        <v>ND</v>
      </c>
      <c r="BW97" s="1" t="str">
        <f t="shared" si="400"/>
        <v>ND</v>
      </c>
      <c r="BX97" s="1" t="str">
        <f t="shared" si="401"/>
        <v>ND</v>
      </c>
      <c r="BY97" s="1" t="str">
        <f t="shared" si="402"/>
        <v>ND</v>
      </c>
      <c r="BZ97" s="1" t="str">
        <f t="shared" si="403"/>
        <v>ND</v>
      </c>
      <c r="CA97" s="1" t="str">
        <f t="shared" si="522"/>
        <v>ND</v>
      </c>
      <c r="CB97" s="1" t="str">
        <f t="shared" si="522"/>
        <v>ND</v>
      </c>
      <c r="CC97" s="1" t="str">
        <f t="shared" si="522"/>
        <v>ND</v>
      </c>
      <c r="CD97" s="1" t="str">
        <f t="shared" si="522"/>
        <v>ND</v>
      </c>
      <c r="CE97" s="1" t="str">
        <f t="shared" si="522"/>
        <v>ND</v>
      </c>
      <c r="CF97" s="1" t="str">
        <f t="shared" si="522"/>
        <v>ND</v>
      </c>
      <c r="CG97" s="1" t="str">
        <f t="shared" si="522"/>
        <v>ND</v>
      </c>
      <c r="CH97" s="1" t="str">
        <f t="shared" si="522"/>
        <v>ND</v>
      </c>
      <c r="CI97" s="1" t="str">
        <f t="shared" si="522"/>
        <v>ND</v>
      </c>
      <c r="CJ97" s="1" t="str">
        <f t="shared" si="522"/>
        <v>ND</v>
      </c>
      <c r="CK97" s="1" t="str">
        <f t="shared" si="522"/>
        <v>ND</v>
      </c>
      <c r="CL97" s="1" t="str">
        <f t="shared" si="523"/>
        <v>ND</v>
      </c>
      <c r="CM97" s="1" t="str">
        <f t="shared" si="523"/>
        <v>ND</v>
      </c>
      <c r="CN97" s="1" t="str">
        <f t="shared" si="523"/>
        <v>ND</v>
      </c>
      <c r="CO97" s="1" t="str">
        <f t="shared" si="523"/>
        <v>ND</v>
      </c>
      <c r="CP97" s="1" t="str">
        <f t="shared" si="523"/>
        <v>ND</v>
      </c>
      <c r="CQ97" s="1" t="str">
        <f t="shared" si="523"/>
        <v>ND</v>
      </c>
      <c r="CR97" s="1" t="str">
        <f t="shared" si="523"/>
        <v>ND</v>
      </c>
      <c r="CS97" s="1" t="str">
        <f t="shared" si="523"/>
        <v>ND</v>
      </c>
      <c r="CT97" s="1" t="str">
        <f t="shared" si="523"/>
        <v>ND</v>
      </c>
      <c r="CU97" s="1" t="str">
        <f t="shared" si="523"/>
        <v>ND</v>
      </c>
      <c r="CV97" s="1" t="str">
        <f t="shared" si="523"/>
        <v>ND</v>
      </c>
      <c r="CW97" s="1" t="str">
        <f t="shared" si="404"/>
        <v>ND</v>
      </c>
      <c r="CX97" s="1" t="str">
        <f t="shared" si="405"/>
        <v>ND</v>
      </c>
      <c r="CY97" s="1" t="str">
        <f t="shared" si="406"/>
        <v>ND</v>
      </c>
      <c r="CZ97" s="1" t="str">
        <f t="shared" si="407"/>
        <v>ND</v>
      </c>
      <c r="DA97" s="1" t="str">
        <f t="shared" si="408"/>
        <v>ND</v>
      </c>
      <c r="DB97" s="1" t="str">
        <f t="shared" si="409"/>
        <v>ND</v>
      </c>
      <c r="DC97" s="1" t="str">
        <f t="shared" si="410"/>
        <v>ND</v>
      </c>
      <c r="DD97" s="1" t="str">
        <f t="shared" si="411"/>
        <v>ND</v>
      </c>
      <c r="DE97" s="1" t="str">
        <f t="shared" si="412"/>
        <v>ND</v>
      </c>
      <c r="DF97" s="1" t="str">
        <f t="shared" si="413"/>
        <v>ND</v>
      </c>
      <c r="DG97" s="1" t="str">
        <f t="shared" si="414"/>
        <v>ND</v>
      </c>
      <c r="DH97" s="1" t="str">
        <f t="shared" si="415"/>
        <v>ND</v>
      </c>
      <c r="DI97" s="1" t="str">
        <f t="shared" si="416"/>
        <v>ND</v>
      </c>
      <c r="DJ97" s="1" t="str">
        <f t="shared" si="417"/>
        <v>ND</v>
      </c>
      <c r="DK97" s="1" t="str">
        <f t="shared" si="418"/>
        <v>ND</v>
      </c>
      <c r="DL97" s="1" t="str">
        <f t="shared" si="419"/>
        <v>ND</v>
      </c>
      <c r="DM97" s="1" t="str">
        <f t="shared" si="420"/>
        <v>ND</v>
      </c>
      <c r="DN97" s="1" t="str">
        <f t="shared" si="421"/>
        <v>ND</v>
      </c>
      <c r="DO97" s="1" t="str">
        <f t="shared" si="422"/>
        <v>ND</v>
      </c>
      <c r="DP97" s="1" t="str">
        <f t="shared" si="423"/>
        <v>ND</v>
      </c>
      <c r="DQ97" s="1" t="str">
        <f t="shared" si="424"/>
        <v>ND</v>
      </c>
      <c r="DR97" s="1" t="str">
        <f t="shared" si="425"/>
        <v>ND</v>
      </c>
      <c r="DS97" s="1" t="str">
        <f t="shared" si="426"/>
        <v>ND</v>
      </c>
      <c r="DT97" s="1" t="str">
        <f t="shared" si="427"/>
        <v>ND</v>
      </c>
      <c r="DU97" s="1" t="str">
        <f t="shared" si="428"/>
        <v>ND</v>
      </c>
      <c r="DV97" s="1" t="str">
        <f t="shared" si="429"/>
        <v>ND</v>
      </c>
      <c r="DW97" s="1" t="str">
        <f t="shared" si="430"/>
        <v>ND</v>
      </c>
      <c r="DX97" s="1" t="str">
        <f t="shared" si="431"/>
        <v>ND</v>
      </c>
      <c r="DY97" s="1" t="str">
        <f t="shared" si="432"/>
        <v>ND</v>
      </c>
      <c r="DZ97" s="1" t="str">
        <f t="shared" si="433"/>
        <v>ND</v>
      </c>
      <c r="EA97" s="1" t="str">
        <f t="shared" si="434"/>
        <v>ND</v>
      </c>
      <c r="EB97" s="1" t="str">
        <f t="shared" si="435"/>
        <v>ND</v>
      </c>
      <c r="EC97" s="1" t="str">
        <f t="shared" si="436"/>
        <v>ND</v>
      </c>
      <c r="ED97" s="1" t="str">
        <f t="shared" si="437"/>
        <v>ND</v>
      </c>
      <c r="EE97" s="1" t="str">
        <f t="shared" si="438"/>
        <v>ND</v>
      </c>
      <c r="EF97" s="1" t="str">
        <f t="shared" si="439"/>
        <v>ND</v>
      </c>
      <c r="EG97" s="1" t="str">
        <f t="shared" si="440"/>
        <v>ND</v>
      </c>
      <c r="EH97" s="1" t="str">
        <f t="shared" si="441"/>
        <v>ND</v>
      </c>
      <c r="EI97" s="1" t="str">
        <f t="shared" si="442"/>
        <v>ND</v>
      </c>
      <c r="EJ97" s="1" t="str">
        <f t="shared" si="443"/>
        <v>ND</v>
      </c>
      <c r="EK97" s="1" t="str">
        <f t="shared" si="444"/>
        <v>ND</v>
      </c>
      <c r="EL97" s="1" t="str">
        <f t="shared" si="445"/>
        <v>ND</v>
      </c>
      <c r="EM97" s="1" t="str">
        <f t="shared" si="446"/>
        <v>ND</v>
      </c>
      <c r="EN97" s="1" t="str">
        <f t="shared" si="447"/>
        <v>ND</v>
      </c>
      <c r="EO97" s="1" t="str">
        <f t="shared" si="524"/>
        <v>ND</v>
      </c>
      <c r="EP97" s="1" t="str">
        <f t="shared" si="524"/>
        <v>ND</v>
      </c>
      <c r="EQ97" s="1" t="str">
        <f t="shared" si="524"/>
        <v>ND</v>
      </c>
      <c r="ER97" s="1" t="str">
        <f t="shared" si="524"/>
        <v>ND</v>
      </c>
      <c r="ES97" s="1" t="str">
        <f t="shared" si="524"/>
        <v>ND</v>
      </c>
      <c r="ET97" s="1" t="str">
        <f t="shared" si="524"/>
        <v>ND</v>
      </c>
      <c r="EU97" s="1" t="str">
        <f t="shared" si="524"/>
        <v>ND</v>
      </c>
      <c r="EV97" s="1" t="str">
        <f t="shared" si="524"/>
        <v>ND</v>
      </c>
      <c r="EW97" s="1" t="str">
        <f t="shared" si="524"/>
        <v>ND</v>
      </c>
      <c r="EX97" s="1" t="str">
        <f t="shared" si="524"/>
        <v>ND</v>
      </c>
      <c r="EY97" s="1" t="str">
        <f t="shared" si="524"/>
        <v>ND</v>
      </c>
      <c r="EZ97" s="1" t="str">
        <f t="shared" si="525"/>
        <v>ND</v>
      </c>
      <c r="FA97" s="1" t="str">
        <f t="shared" si="525"/>
        <v>ND</v>
      </c>
      <c r="FB97" s="1" t="str">
        <f t="shared" si="525"/>
        <v>ND</v>
      </c>
      <c r="FC97" s="1" t="str">
        <f t="shared" si="525"/>
        <v>ND</v>
      </c>
      <c r="FD97" s="1" t="str">
        <f t="shared" si="525"/>
        <v>ND</v>
      </c>
      <c r="FE97" s="1" t="str">
        <f t="shared" si="525"/>
        <v>ND</v>
      </c>
      <c r="FF97" s="1" t="str">
        <f t="shared" si="525"/>
        <v>ND</v>
      </c>
      <c r="FG97" s="1" t="str">
        <f t="shared" si="525"/>
        <v>ND</v>
      </c>
      <c r="FH97" s="1" t="str">
        <f t="shared" si="525"/>
        <v>ND</v>
      </c>
      <c r="FI97" s="1" t="str">
        <f t="shared" si="525"/>
        <v>ND</v>
      </c>
      <c r="FJ97" s="1" t="str">
        <f t="shared" si="525"/>
        <v>ND</v>
      </c>
      <c r="FK97" s="1" t="str">
        <f t="shared" si="526"/>
        <v>ND</v>
      </c>
      <c r="FL97" s="1" t="str">
        <f t="shared" si="526"/>
        <v>ND</v>
      </c>
      <c r="FM97" s="1" t="str">
        <f t="shared" si="526"/>
        <v>ND</v>
      </c>
      <c r="FN97" s="1" t="str">
        <f t="shared" si="526"/>
        <v>ND</v>
      </c>
      <c r="FO97" s="1" t="str">
        <f t="shared" si="526"/>
        <v>ND</v>
      </c>
      <c r="FP97" s="1" t="str">
        <f t="shared" si="526"/>
        <v>ND</v>
      </c>
      <c r="FQ97" s="1" t="str">
        <f t="shared" si="526"/>
        <v>ND</v>
      </c>
      <c r="FR97" s="1" t="str">
        <f t="shared" si="526"/>
        <v>ND</v>
      </c>
      <c r="FS97" s="1" t="str">
        <f t="shared" si="526"/>
        <v>ND</v>
      </c>
      <c r="FT97" s="1" t="str">
        <f t="shared" si="526"/>
        <v>ND</v>
      </c>
      <c r="FU97" s="1" t="str">
        <f t="shared" si="526"/>
        <v>ND</v>
      </c>
      <c r="FV97" s="1" t="str">
        <f t="shared" si="448"/>
        <v>ND</v>
      </c>
      <c r="FW97" s="1" t="str">
        <f t="shared" si="449"/>
        <v>ND</v>
      </c>
      <c r="FX97" s="1" t="str">
        <f t="shared" si="450"/>
        <v>ND</v>
      </c>
      <c r="FY97" s="1" t="str">
        <f t="shared" si="451"/>
        <v>ND</v>
      </c>
      <c r="FZ97" s="1" t="str">
        <f t="shared" si="452"/>
        <v>ND</v>
      </c>
      <c r="GA97" s="1" t="str">
        <f t="shared" si="453"/>
        <v>ND</v>
      </c>
      <c r="GB97" s="1" t="str">
        <f t="shared" si="454"/>
        <v>ND</v>
      </c>
      <c r="GC97" s="1" t="str">
        <f t="shared" si="455"/>
        <v>ND</v>
      </c>
      <c r="GD97" s="1" t="str">
        <f t="shared" si="456"/>
        <v>ND</v>
      </c>
      <c r="GE97" s="1" t="str">
        <f t="shared" si="457"/>
        <v>ND</v>
      </c>
      <c r="GF97" s="1" t="str">
        <f t="shared" si="458"/>
        <v>ND</v>
      </c>
      <c r="GG97" s="1" t="str">
        <f t="shared" si="459"/>
        <v>ND</v>
      </c>
      <c r="GH97" s="1" t="str">
        <f t="shared" si="460"/>
        <v>ND</v>
      </c>
      <c r="GI97" s="1" t="str">
        <f t="shared" si="461"/>
        <v>ND</v>
      </c>
      <c r="GJ97" s="1" t="str">
        <f t="shared" si="462"/>
        <v>ND</v>
      </c>
      <c r="GK97" s="1" t="str">
        <f t="shared" si="463"/>
        <v>ND</v>
      </c>
      <c r="GL97" s="1" t="str">
        <f t="shared" si="464"/>
        <v>ND</v>
      </c>
      <c r="GM97" s="1" t="str">
        <f t="shared" si="465"/>
        <v>ND</v>
      </c>
      <c r="GN97" s="1" t="str">
        <f t="shared" si="466"/>
        <v>ND</v>
      </c>
      <c r="GO97" s="1" t="str">
        <f t="shared" si="467"/>
        <v>ND</v>
      </c>
      <c r="GP97" s="1" t="str">
        <f t="shared" si="468"/>
        <v>ND</v>
      </c>
      <c r="GQ97" s="1" t="str">
        <f t="shared" si="469"/>
        <v>ND</v>
      </c>
      <c r="GR97" s="1" t="str">
        <f t="shared" si="470"/>
        <v>ND</v>
      </c>
      <c r="GS97" s="1" t="str">
        <f t="shared" si="471"/>
        <v>ND</v>
      </c>
      <c r="GT97" s="1" t="str">
        <f t="shared" si="472"/>
        <v>ND</v>
      </c>
      <c r="GU97" s="1" t="str">
        <f t="shared" si="473"/>
        <v>ND</v>
      </c>
      <c r="GV97" s="1" t="str">
        <f t="shared" si="474"/>
        <v>ND</v>
      </c>
      <c r="GW97" s="1" t="str">
        <f t="shared" si="475"/>
        <v>ND</v>
      </c>
      <c r="GX97" s="1" t="str">
        <f t="shared" si="476"/>
        <v>ND</v>
      </c>
      <c r="GY97" s="1" t="str">
        <f t="shared" si="477"/>
        <v>ND</v>
      </c>
      <c r="GZ97" s="1" t="str">
        <f t="shared" si="478"/>
        <v>ND</v>
      </c>
      <c r="HA97" s="1" t="str">
        <f t="shared" si="479"/>
        <v>ND</v>
      </c>
      <c r="HB97" s="1" t="str">
        <f t="shared" si="480"/>
        <v>ND</v>
      </c>
      <c r="HC97" s="1" t="str">
        <f t="shared" si="481"/>
        <v>ND</v>
      </c>
      <c r="HD97" s="1" t="str">
        <f t="shared" si="482"/>
        <v>ND</v>
      </c>
      <c r="HE97" s="1" t="str">
        <f t="shared" si="483"/>
        <v>ND</v>
      </c>
      <c r="HF97" s="1" t="str">
        <f t="shared" si="484"/>
        <v>ND</v>
      </c>
      <c r="HG97" s="1" t="str">
        <f t="shared" si="485"/>
        <v>ND</v>
      </c>
      <c r="HH97" s="1" t="str">
        <f t="shared" si="486"/>
        <v>ND</v>
      </c>
      <c r="HI97" s="1" t="str">
        <f t="shared" si="487"/>
        <v>ND</v>
      </c>
      <c r="HJ97" s="1" t="str">
        <f t="shared" si="488"/>
        <v>ND</v>
      </c>
      <c r="HK97" s="1" t="str">
        <f t="shared" si="489"/>
        <v>ND</v>
      </c>
      <c r="HL97" s="1" t="str">
        <f t="shared" si="490"/>
        <v>ND</v>
      </c>
      <c r="HM97" s="1" t="str">
        <f t="shared" si="491"/>
        <v>ND</v>
      </c>
      <c r="HN97" s="1" t="str">
        <f t="shared" si="492"/>
        <v>ND</v>
      </c>
      <c r="HO97" s="1" t="str">
        <f t="shared" si="493"/>
        <v>ND</v>
      </c>
      <c r="HP97" s="1" t="str">
        <f t="shared" si="494"/>
        <v>ND</v>
      </c>
      <c r="HQ97" s="1" t="str">
        <f t="shared" si="495"/>
        <v>ND</v>
      </c>
      <c r="HR97" s="1" t="str">
        <f t="shared" si="496"/>
        <v>ND</v>
      </c>
      <c r="HS97" s="1" t="str">
        <f t="shared" si="497"/>
        <v>ND</v>
      </c>
      <c r="HT97" s="1" t="str">
        <f t="shared" si="498"/>
        <v>ND</v>
      </c>
      <c r="HU97" s="1" t="str">
        <f t="shared" si="499"/>
        <v>ND</v>
      </c>
      <c r="HV97" s="1" t="str">
        <f t="shared" si="500"/>
        <v>ND</v>
      </c>
      <c r="HW97" s="1" t="str">
        <f t="shared" si="501"/>
        <v>ND</v>
      </c>
      <c r="HX97" s="1" t="str">
        <f t="shared" si="502"/>
        <v>ND</v>
      </c>
      <c r="HY97" s="1" t="str">
        <f t="shared" si="503"/>
        <v>ND</v>
      </c>
      <c r="HZ97" s="1" t="str">
        <f t="shared" si="504"/>
        <v>ND</v>
      </c>
      <c r="IA97" s="1" t="str">
        <f t="shared" si="505"/>
        <v>ND</v>
      </c>
      <c r="IB97" s="1" t="str">
        <f t="shared" si="506"/>
        <v>ND</v>
      </c>
      <c r="IC97" s="1" t="str">
        <f t="shared" si="507"/>
        <v>ND</v>
      </c>
      <c r="ID97" s="1" t="str">
        <f t="shared" si="508"/>
        <v>ND</v>
      </c>
      <c r="IE97" s="1" t="str">
        <f t="shared" si="509"/>
        <v>ND</v>
      </c>
      <c r="IF97" s="1" t="str">
        <f t="shared" si="510"/>
        <v>ND</v>
      </c>
      <c r="IG97" s="1" t="str">
        <f t="shared" si="511"/>
        <v>ND</v>
      </c>
      <c r="IH97" s="1" t="str">
        <f t="shared" si="512"/>
        <v>ND</v>
      </c>
      <c r="II97" s="1" t="str">
        <f t="shared" si="513"/>
        <v>ND</v>
      </c>
    </row>
    <row r="98" spans="3:243" x14ac:dyDescent="0.25">
      <c r="C98" t="s">
        <v>598</v>
      </c>
      <c r="D98">
        <f>SUMIFS(DICCIONARIO[Cantidad],DICCIONARIO[Modelo],UNIFICADA[[#This Row],[Equipo]])</f>
        <v>1</v>
      </c>
      <c r="E98" s="1">
        <f>IFERROR(VLOOKUP($C98,EQUIPOS[],UNIFICADO!E$9,0),"")</f>
        <v>13</v>
      </c>
      <c r="F98" s="1" t="str">
        <f>IFERROR(VLOOKUP($C98,EQUIPOS[],UNIFICADO!F$9,0),"")</f>
        <v>6.6 FullHD+ 120Hz HDR10+</v>
      </c>
      <c r="G98" s="1">
        <f>IFERROR(VLOOKUP($C98,EQUIPOS[],UNIFICADO!G$9,0),"")</f>
        <v>50</v>
      </c>
      <c r="H98" s="1">
        <f>IFERROR(VLOOKUP($C98,EQUIPOS[],UNIFICADO!H$9,0),"")</f>
        <v>3</v>
      </c>
      <c r="I98" s="1">
        <f>IFERROR(VLOOKUP($C98,EQUIPOS[],UNIFICADO!I$9,0),"")</f>
        <v>12</v>
      </c>
      <c r="J98" s="1" t="str">
        <f>IFERROR(VLOOKUP($C98,EQUIPOS[],UNIFICADO!J$9,0),"")</f>
        <v>512GB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Snapdragon 8 Gen 2</v>
      </c>
      <c r="N98" s="1">
        <f>IFERROR(VLOOKUP($C98,EQUIPOS[],UNIFICADO!N$9,0),"")</f>
        <v>12</v>
      </c>
      <c r="O98" s="1">
        <f>IFERROR(VLOOKUP($C98,EQUIPOS[],UNIFICADO!O$9,0),"")</f>
        <v>195</v>
      </c>
      <c r="P98" s="1">
        <f>IFERROR(VLOOKUP($C98,EQUIPOS[],UNIFICADO!P$9,0),"")</f>
        <v>15.8</v>
      </c>
      <c r="Q98" s="1">
        <f>IFERROR(VLOOKUP($C98,EQUIPOS[],UNIFICADO!Q$9,0),"")</f>
        <v>7.62</v>
      </c>
      <c r="R98" s="1">
        <f>IFERROR(VLOOKUP($C98,EQUIPOS[],UNIFICADO!R$9,0),"")</f>
        <v>0.76</v>
      </c>
      <c r="S98" s="1" t="str">
        <f>IFERROR(VLOOKUP($C98,EQUIPOS[],UNIFICADO!S$9,0),"")</f>
        <v>4700 45W</v>
      </c>
      <c r="T98" s="1">
        <f>IFERROR(VLOOKUP($C98,EQUIPOS[],UNIFICADO!T$9,0),"")</f>
        <v>5</v>
      </c>
      <c r="U98" s="1">
        <f>VLOOKUP(UNIFICADA[[#This Row],[Equipo]],EQUIPOS[],19,0)</f>
        <v>88</v>
      </c>
      <c r="V98" s="1" t="str">
        <f t="shared" si="358"/>
        <v>ND</v>
      </c>
      <c r="W98" s="1" t="str">
        <f t="shared" si="359"/>
        <v>ND</v>
      </c>
      <c r="X98" s="1" t="str">
        <f t="shared" si="520"/>
        <v>ND</v>
      </c>
      <c r="Y98" s="1" t="str">
        <f t="shared" si="520"/>
        <v>ND</v>
      </c>
      <c r="Z98" s="1" t="str">
        <f t="shared" si="521"/>
        <v>ND</v>
      </c>
      <c r="AA98" s="1" t="str">
        <f t="shared" si="521"/>
        <v>ND</v>
      </c>
      <c r="AB98" s="1" t="str">
        <f t="shared" si="521"/>
        <v>ND</v>
      </c>
      <c r="AC98" s="1" t="str">
        <f t="shared" si="521"/>
        <v>ND</v>
      </c>
      <c r="AD98" s="1" t="str">
        <f t="shared" si="521"/>
        <v>ND</v>
      </c>
      <c r="AE98" s="1" t="str">
        <f t="shared" si="521"/>
        <v>ND</v>
      </c>
      <c r="AF98" s="1" t="str">
        <f t="shared" si="521"/>
        <v>ND</v>
      </c>
      <c r="AG98" s="1" t="str">
        <f t="shared" si="521"/>
        <v>ND</v>
      </c>
      <c r="AH98" s="1" t="str">
        <f t="shared" si="521"/>
        <v>ND</v>
      </c>
      <c r="AI98" s="1" t="str">
        <f t="shared" si="360"/>
        <v>ND</v>
      </c>
      <c r="AJ98" s="1" t="str">
        <f t="shared" si="361"/>
        <v>ND</v>
      </c>
      <c r="AK98" s="1" t="str">
        <f t="shared" si="362"/>
        <v>ND</v>
      </c>
      <c r="AL98" s="1" t="str">
        <f t="shared" si="363"/>
        <v>ND</v>
      </c>
      <c r="AM98" s="1" t="str">
        <f t="shared" si="364"/>
        <v>ND</v>
      </c>
      <c r="AN98" s="1" t="str">
        <f t="shared" si="365"/>
        <v>ND</v>
      </c>
      <c r="AO98" s="1" t="str">
        <f t="shared" si="366"/>
        <v>ND</v>
      </c>
      <c r="AP98" s="1" t="str">
        <f t="shared" si="367"/>
        <v>ND</v>
      </c>
      <c r="AQ98" s="1" t="str">
        <f t="shared" si="368"/>
        <v>ND</v>
      </c>
      <c r="AR98" s="1" t="str">
        <f t="shared" si="369"/>
        <v>ND</v>
      </c>
      <c r="AS98" s="1" t="str">
        <f t="shared" si="370"/>
        <v>ND</v>
      </c>
      <c r="AT98" s="1" t="str">
        <f t="shared" si="371"/>
        <v>ND</v>
      </c>
      <c r="AU98" s="1" t="str">
        <f t="shared" si="372"/>
        <v>ND</v>
      </c>
      <c r="AV98" s="1" t="str">
        <f t="shared" si="373"/>
        <v>ND</v>
      </c>
      <c r="AW98" s="1" t="str">
        <f t="shared" si="374"/>
        <v>ND</v>
      </c>
      <c r="AX98" s="1" t="str">
        <f t="shared" si="375"/>
        <v>ND</v>
      </c>
      <c r="AY98" s="1" t="str">
        <f t="shared" si="376"/>
        <v>ND</v>
      </c>
      <c r="AZ98" s="1" t="str">
        <f t="shared" si="377"/>
        <v>ND</v>
      </c>
      <c r="BA98" s="1" t="str">
        <f t="shared" si="378"/>
        <v>ND</v>
      </c>
      <c r="BB98" s="1" t="str">
        <f t="shared" si="379"/>
        <v>ND</v>
      </c>
      <c r="BC98" s="1" t="str">
        <f t="shared" si="380"/>
        <v>ND</v>
      </c>
      <c r="BD98" s="1" t="str">
        <f t="shared" si="381"/>
        <v>ND</v>
      </c>
      <c r="BE98" s="1" t="str">
        <f t="shared" si="382"/>
        <v>ND</v>
      </c>
      <c r="BF98" s="1" t="str">
        <f t="shared" si="383"/>
        <v>ND</v>
      </c>
      <c r="BG98" s="1" t="str">
        <f t="shared" si="384"/>
        <v>ND</v>
      </c>
      <c r="BH98" s="1" t="str">
        <f t="shared" si="385"/>
        <v>ND</v>
      </c>
      <c r="BI98" s="1" t="str">
        <f t="shared" si="386"/>
        <v>ND</v>
      </c>
      <c r="BJ98" s="1" t="str">
        <f t="shared" si="387"/>
        <v>ND</v>
      </c>
      <c r="BK98" s="1" t="str">
        <f t="shared" si="388"/>
        <v>ND</v>
      </c>
      <c r="BL98" s="1" t="str">
        <f t="shared" si="389"/>
        <v>ND</v>
      </c>
      <c r="BM98" s="1" t="str">
        <f t="shared" si="390"/>
        <v>ND</v>
      </c>
      <c r="BN98" s="1" t="str">
        <f t="shared" si="391"/>
        <v>ND</v>
      </c>
      <c r="BO98" s="1" t="str">
        <f t="shared" si="392"/>
        <v>ND</v>
      </c>
      <c r="BP98" s="1" t="str">
        <f t="shared" si="393"/>
        <v>ND</v>
      </c>
      <c r="BQ98" s="1" t="str">
        <f t="shared" si="394"/>
        <v>ND</v>
      </c>
      <c r="BR98" s="1" t="str">
        <f t="shared" si="395"/>
        <v>ND</v>
      </c>
      <c r="BS98" s="1" t="str">
        <f t="shared" si="396"/>
        <v>ND</v>
      </c>
      <c r="BT98" s="1" t="str">
        <f t="shared" si="397"/>
        <v>ND</v>
      </c>
      <c r="BU98" s="1" t="str">
        <f t="shared" si="398"/>
        <v>ND</v>
      </c>
      <c r="BV98" s="1" t="str">
        <f t="shared" si="399"/>
        <v>ND</v>
      </c>
      <c r="BW98" s="1" t="str">
        <f t="shared" si="400"/>
        <v>ND</v>
      </c>
      <c r="BX98" s="1" t="str">
        <f t="shared" si="401"/>
        <v>ND</v>
      </c>
      <c r="BY98" s="1" t="str">
        <f t="shared" si="402"/>
        <v>ND</v>
      </c>
      <c r="BZ98" s="1" t="str">
        <f t="shared" si="403"/>
        <v>ND</v>
      </c>
      <c r="CA98" s="1" t="str">
        <f t="shared" si="522"/>
        <v>ND</v>
      </c>
      <c r="CB98" s="1" t="str">
        <f t="shared" si="522"/>
        <v>ND</v>
      </c>
      <c r="CC98" s="1" t="str">
        <f t="shared" si="522"/>
        <v>ND</v>
      </c>
      <c r="CD98" s="1" t="str">
        <f t="shared" si="522"/>
        <v>ND</v>
      </c>
      <c r="CE98" s="1" t="str">
        <f t="shared" si="522"/>
        <v>ND</v>
      </c>
      <c r="CF98" s="1" t="str">
        <f t="shared" si="522"/>
        <v>ND</v>
      </c>
      <c r="CG98" s="1" t="str">
        <f t="shared" si="522"/>
        <v>ND</v>
      </c>
      <c r="CH98" s="1" t="str">
        <f t="shared" si="522"/>
        <v>ND</v>
      </c>
      <c r="CI98" s="1" t="str">
        <f t="shared" si="522"/>
        <v>ND</v>
      </c>
      <c r="CJ98" s="1" t="str">
        <f t="shared" si="522"/>
        <v>ND</v>
      </c>
      <c r="CK98" s="1" t="str">
        <f t="shared" si="522"/>
        <v>ND</v>
      </c>
      <c r="CL98" s="1" t="str">
        <f t="shared" si="523"/>
        <v>ND</v>
      </c>
      <c r="CM98" s="1" t="str">
        <f t="shared" si="523"/>
        <v>ND</v>
      </c>
      <c r="CN98" s="1" t="str">
        <f t="shared" si="523"/>
        <v>ND</v>
      </c>
      <c r="CO98" s="1" t="str">
        <f t="shared" si="523"/>
        <v>ND</v>
      </c>
      <c r="CP98" s="1" t="str">
        <f t="shared" si="523"/>
        <v>ND</v>
      </c>
      <c r="CQ98" s="1" t="str">
        <f t="shared" si="523"/>
        <v>ND</v>
      </c>
      <c r="CR98" s="1" t="str">
        <f t="shared" si="523"/>
        <v>ND</v>
      </c>
      <c r="CS98" s="1" t="str">
        <f t="shared" si="523"/>
        <v>ND</v>
      </c>
      <c r="CT98" s="1" t="str">
        <f t="shared" si="523"/>
        <v>ND</v>
      </c>
      <c r="CU98" s="1" t="str">
        <f t="shared" si="523"/>
        <v>ND</v>
      </c>
      <c r="CV98" s="1" t="str">
        <f t="shared" si="523"/>
        <v>ND</v>
      </c>
      <c r="CW98" s="1" t="str">
        <f t="shared" si="404"/>
        <v>ND</v>
      </c>
      <c r="CX98" s="1" t="str">
        <f t="shared" si="405"/>
        <v>ND</v>
      </c>
      <c r="CY98" s="1" t="str">
        <f t="shared" si="406"/>
        <v>ND</v>
      </c>
      <c r="CZ98" s="1" t="str">
        <f t="shared" si="407"/>
        <v>ND</v>
      </c>
      <c r="DA98" s="1" t="str">
        <f t="shared" si="408"/>
        <v>ND</v>
      </c>
      <c r="DB98" s="1" t="str">
        <f t="shared" si="409"/>
        <v>ND</v>
      </c>
      <c r="DC98" s="1" t="str">
        <f t="shared" si="410"/>
        <v>ND</v>
      </c>
      <c r="DD98" s="1" t="str">
        <f t="shared" si="411"/>
        <v>ND</v>
      </c>
      <c r="DE98" s="1" t="str">
        <f t="shared" si="412"/>
        <v>ND</v>
      </c>
      <c r="DF98" s="1" t="str">
        <f t="shared" si="413"/>
        <v>ND</v>
      </c>
      <c r="DG98" s="1" t="str">
        <f t="shared" si="414"/>
        <v>ND</v>
      </c>
      <c r="DH98" s="1" t="str">
        <f t="shared" si="415"/>
        <v>ND</v>
      </c>
      <c r="DI98" s="1" t="str">
        <f t="shared" si="416"/>
        <v>ND</v>
      </c>
      <c r="DJ98" s="1" t="str">
        <f t="shared" si="417"/>
        <v>ND</v>
      </c>
      <c r="DK98" s="1" t="str">
        <f t="shared" si="418"/>
        <v>ND</v>
      </c>
      <c r="DL98" s="1" t="str">
        <f t="shared" si="419"/>
        <v>ND</v>
      </c>
      <c r="DM98" s="1" t="str">
        <f t="shared" si="420"/>
        <v>ND</v>
      </c>
      <c r="DN98" s="1" t="str">
        <f t="shared" si="421"/>
        <v>ND</v>
      </c>
      <c r="DO98" s="1" t="str">
        <f t="shared" si="422"/>
        <v>ND</v>
      </c>
      <c r="DP98" s="1" t="str">
        <f t="shared" si="423"/>
        <v>ND</v>
      </c>
      <c r="DQ98" s="1" t="str">
        <f t="shared" si="424"/>
        <v>ND</v>
      </c>
      <c r="DR98" s="1" t="str">
        <f t="shared" si="425"/>
        <v>ND</v>
      </c>
      <c r="DS98" s="1" t="str">
        <f t="shared" si="426"/>
        <v>ND</v>
      </c>
      <c r="DT98" s="1" t="str">
        <f t="shared" si="427"/>
        <v>ND</v>
      </c>
      <c r="DU98" s="1" t="str">
        <f t="shared" si="428"/>
        <v>ND</v>
      </c>
      <c r="DV98" s="1" t="str">
        <f t="shared" si="429"/>
        <v>ND</v>
      </c>
      <c r="DW98" s="1" t="str">
        <f t="shared" si="430"/>
        <v>ND</v>
      </c>
      <c r="DX98" s="1" t="str">
        <f t="shared" si="431"/>
        <v>ND</v>
      </c>
      <c r="DY98" s="1" t="str">
        <f t="shared" si="432"/>
        <v>ND</v>
      </c>
      <c r="DZ98" s="1" t="str">
        <f t="shared" si="433"/>
        <v>ND</v>
      </c>
      <c r="EA98" s="1" t="str">
        <f t="shared" si="434"/>
        <v>ND</v>
      </c>
      <c r="EB98" s="1" t="str">
        <f t="shared" si="435"/>
        <v>ND</v>
      </c>
      <c r="EC98" s="1" t="str">
        <f t="shared" si="436"/>
        <v>ND</v>
      </c>
      <c r="ED98" s="1" t="str">
        <f t="shared" si="437"/>
        <v>ND</v>
      </c>
      <c r="EE98" s="1" t="str">
        <f t="shared" si="438"/>
        <v>ND</v>
      </c>
      <c r="EF98" s="1" t="str">
        <f t="shared" si="439"/>
        <v>ND</v>
      </c>
      <c r="EG98" s="1" t="str">
        <f t="shared" si="440"/>
        <v>ND</v>
      </c>
      <c r="EH98" s="1" t="str">
        <f t="shared" si="441"/>
        <v>ND</v>
      </c>
      <c r="EI98" s="1" t="str">
        <f t="shared" si="442"/>
        <v>ND</v>
      </c>
      <c r="EJ98" s="1" t="str">
        <f t="shared" si="443"/>
        <v>ND</v>
      </c>
      <c r="EK98" s="1" t="str">
        <f t="shared" si="444"/>
        <v>ND</v>
      </c>
      <c r="EL98" s="1" t="str">
        <f t="shared" si="445"/>
        <v>ND</v>
      </c>
      <c r="EM98" s="1" t="str">
        <f t="shared" si="446"/>
        <v>ND</v>
      </c>
      <c r="EN98" s="1" t="str">
        <f t="shared" si="447"/>
        <v>ND</v>
      </c>
      <c r="EO98" s="1" t="str">
        <f t="shared" si="524"/>
        <v>ND</v>
      </c>
      <c r="EP98" s="1" t="str">
        <f t="shared" si="524"/>
        <v>ND</v>
      </c>
      <c r="EQ98" s="1" t="str">
        <f t="shared" si="524"/>
        <v>ND</v>
      </c>
      <c r="ER98" s="1" t="str">
        <f t="shared" si="524"/>
        <v>ND</v>
      </c>
      <c r="ES98" s="1" t="str">
        <f t="shared" si="524"/>
        <v>ND</v>
      </c>
      <c r="ET98" s="1" t="str">
        <f t="shared" si="524"/>
        <v>ND</v>
      </c>
      <c r="EU98" s="1" t="str">
        <f t="shared" si="524"/>
        <v>ND</v>
      </c>
      <c r="EV98" s="1" t="str">
        <f t="shared" si="524"/>
        <v>ND</v>
      </c>
      <c r="EW98" s="1" t="str">
        <f t="shared" si="524"/>
        <v>ND</v>
      </c>
      <c r="EX98" s="1" t="str">
        <f t="shared" si="524"/>
        <v>ND</v>
      </c>
      <c r="EY98" s="1" t="str">
        <f t="shared" si="524"/>
        <v>ND</v>
      </c>
      <c r="EZ98" s="1" t="str">
        <f t="shared" si="525"/>
        <v>ND</v>
      </c>
      <c r="FA98" s="1" t="str">
        <f t="shared" si="525"/>
        <v>ND</v>
      </c>
      <c r="FB98" s="1" t="str">
        <f t="shared" si="525"/>
        <v>ND</v>
      </c>
      <c r="FC98" s="1" t="str">
        <f t="shared" si="525"/>
        <v>ND</v>
      </c>
      <c r="FD98" s="1" t="str">
        <f t="shared" si="525"/>
        <v>ND</v>
      </c>
      <c r="FE98" s="1" t="str">
        <f t="shared" si="525"/>
        <v>ND</v>
      </c>
      <c r="FF98" s="1" t="str">
        <f t="shared" si="525"/>
        <v>ND</v>
      </c>
      <c r="FG98" s="1" t="str">
        <f t="shared" si="525"/>
        <v>ND</v>
      </c>
      <c r="FH98" s="1" t="str">
        <f t="shared" si="525"/>
        <v>ND</v>
      </c>
      <c r="FI98" s="1" t="str">
        <f t="shared" si="525"/>
        <v>ND</v>
      </c>
      <c r="FJ98" s="1" t="str">
        <f t="shared" si="525"/>
        <v>ND</v>
      </c>
      <c r="FK98" s="1" t="str">
        <f t="shared" si="526"/>
        <v>ND</v>
      </c>
      <c r="FL98" s="1" t="str">
        <f t="shared" si="526"/>
        <v>ND</v>
      </c>
      <c r="FM98" s="1" t="str">
        <f t="shared" si="526"/>
        <v>ND</v>
      </c>
      <c r="FN98" s="1" t="str">
        <f t="shared" si="526"/>
        <v>ND</v>
      </c>
      <c r="FO98" s="1" t="str">
        <f t="shared" si="526"/>
        <v>ND</v>
      </c>
      <c r="FP98" s="1" t="str">
        <f t="shared" si="526"/>
        <v>ND</v>
      </c>
      <c r="FQ98" s="1" t="str">
        <f t="shared" si="526"/>
        <v>ND</v>
      </c>
      <c r="FR98" s="1" t="str">
        <f t="shared" si="526"/>
        <v>ND</v>
      </c>
      <c r="FS98" s="1" t="str">
        <f t="shared" si="526"/>
        <v>ND</v>
      </c>
      <c r="FT98" s="1" t="str">
        <f t="shared" si="526"/>
        <v>ND</v>
      </c>
      <c r="FU98" s="1" t="str">
        <f t="shared" si="526"/>
        <v>ND</v>
      </c>
      <c r="FV98" s="1" t="str">
        <f t="shared" si="448"/>
        <v>ND</v>
      </c>
      <c r="FW98" s="1" t="str">
        <f t="shared" si="449"/>
        <v>ND</v>
      </c>
      <c r="FX98" s="1" t="str">
        <f t="shared" si="450"/>
        <v>ND</v>
      </c>
      <c r="FY98" s="1" t="str">
        <f t="shared" si="451"/>
        <v>ND</v>
      </c>
      <c r="FZ98" s="1" t="str">
        <f t="shared" si="452"/>
        <v>ND</v>
      </c>
      <c r="GA98" s="1" t="str">
        <f t="shared" si="453"/>
        <v>ND</v>
      </c>
      <c r="GB98" s="1" t="str">
        <f t="shared" si="454"/>
        <v>ND</v>
      </c>
      <c r="GC98" s="1" t="str">
        <f t="shared" si="455"/>
        <v>ND</v>
      </c>
      <c r="GD98" s="1" t="str">
        <f t="shared" si="456"/>
        <v>ND</v>
      </c>
      <c r="GE98" s="1" t="str">
        <f t="shared" si="457"/>
        <v>ND</v>
      </c>
      <c r="GF98" s="1" t="str">
        <f t="shared" si="458"/>
        <v>ND</v>
      </c>
      <c r="GG98" s="1" t="str">
        <f t="shared" si="459"/>
        <v>ND</v>
      </c>
      <c r="GH98" s="1" t="str">
        <f t="shared" si="460"/>
        <v>ND</v>
      </c>
      <c r="GI98" s="1" t="str">
        <f t="shared" si="461"/>
        <v>ND</v>
      </c>
      <c r="GJ98" s="1" t="str">
        <f t="shared" si="462"/>
        <v>ND</v>
      </c>
      <c r="GK98" s="1" t="str">
        <f t="shared" si="463"/>
        <v>ND</v>
      </c>
      <c r="GL98" s="1" t="str">
        <f t="shared" si="464"/>
        <v>ND</v>
      </c>
      <c r="GM98" s="1" t="str">
        <f t="shared" si="465"/>
        <v>ND</v>
      </c>
      <c r="GN98" s="1" t="str">
        <f t="shared" si="466"/>
        <v>ND</v>
      </c>
      <c r="GO98" s="1" t="str">
        <f t="shared" si="467"/>
        <v>ND</v>
      </c>
      <c r="GP98" s="1" t="str">
        <f t="shared" si="468"/>
        <v>ND</v>
      </c>
      <c r="GQ98" s="1" t="str">
        <f t="shared" si="469"/>
        <v>ND</v>
      </c>
      <c r="GR98" s="1" t="str">
        <f t="shared" si="470"/>
        <v>ND</v>
      </c>
      <c r="GS98" s="1" t="str">
        <f t="shared" si="471"/>
        <v>ND</v>
      </c>
      <c r="GT98" s="1" t="str">
        <f t="shared" si="472"/>
        <v>ND</v>
      </c>
      <c r="GU98" s="1" t="str">
        <f t="shared" si="473"/>
        <v>ND</v>
      </c>
      <c r="GV98" s="1" t="str">
        <f t="shared" si="474"/>
        <v>ND</v>
      </c>
      <c r="GW98" s="1" t="str">
        <f t="shared" si="475"/>
        <v>ND</v>
      </c>
      <c r="GX98" s="1" t="str">
        <f t="shared" si="476"/>
        <v>ND</v>
      </c>
      <c r="GY98" s="1" t="str">
        <f t="shared" si="477"/>
        <v>ND</v>
      </c>
      <c r="GZ98" s="1" t="str">
        <f t="shared" si="478"/>
        <v>ND</v>
      </c>
      <c r="HA98" s="1" t="str">
        <f t="shared" si="479"/>
        <v>ND</v>
      </c>
      <c r="HB98" s="1" t="str">
        <f t="shared" si="480"/>
        <v>ND</v>
      </c>
      <c r="HC98" s="1" t="str">
        <f t="shared" si="481"/>
        <v>ND</v>
      </c>
      <c r="HD98" s="1" t="str">
        <f t="shared" si="482"/>
        <v>ND</v>
      </c>
      <c r="HE98" s="1" t="str">
        <f t="shared" si="483"/>
        <v>ND</v>
      </c>
      <c r="HF98" s="1" t="str">
        <f t="shared" si="484"/>
        <v>ND</v>
      </c>
      <c r="HG98" s="1" t="str">
        <f t="shared" si="485"/>
        <v>ND</v>
      </c>
      <c r="HH98" s="1" t="str">
        <f t="shared" si="486"/>
        <v>ND</v>
      </c>
      <c r="HI98" s="1" t="str">
        <f t="shared" si="487"/>
        <v>ND</v>
      </c>
      <c r="HJ98" s="1" t="str">
        <f t="shared" si="488"/>
        <v>ND</v>
      </c>
      <c r="HK98" s="1" t="str">
        <f t="shared" si="489"/>
        <v>ND</v>
      </c>
      <c r="HL98" s="1" t="str">
        <f t="shared" si="490"/>
        <v>ND</v>
      </c>
      <c r="HM98" s="1" t="str">
        <f t="shared" si="491"/>
        <v>ND</v>
      </c>
      <c r="HN98" s="1" t="str">
        <f t="shared" si="492"/>
        <v>ND</v>
      </c>
      <c r="HO98" s="1" t="str">
        <f t="shared" si="493"/>
        <v>ND</v>
      </c>
      <c r="HP98" s="1" t="str">
        <f t="shared" si="494"/>
        <v>ND</v>
      </c>
      <c r="HQ98" s="1" t="str">
        <f t="shared" si="495"/>
        <v>ND</v>
      </c>
      <c r="HR98" s="1" t="str">
        <f t="shared" si="496"/>
        <v>ND</v>
      </c>
      <c r="HS98" s="1" t="str">
        <f t="shared" si="497"/>
        <v>ND</v>
      </c>
      <c r="HT98" s="1" t="str">
        <f t="shared" si="498"/>
        <v>ND</v>
      </c>
      <c r="HU98" s="1" t="str">
        <f t="shared" si="499"/>
        <v>ND</v>
      </c>
      <c r="HV98" s="1" t="str">
        <f t="shared" si="500"/>
        <v>ND</v>
      </c>
      <c r="HW98" s="1" t="str">
        <f t="shared" si="501"/>
        <v>ND</v>
      </c>
      <c r="HX98" s="1" t="str">
        <f t="shared" si="502"/>
        <v>ND</v>
      </c>
      <c r="HY98" s="1" t="str">
        <f t="shared" si="503"/>
        <v>ND</v>
      </c>
      <c r="HZ98" s="1" t="str">
        <f t="shared" si="504"/>
        <v>ND</v>
      </c>
      <c r="IA98" s="1" t="str">
        <f t="shared" si="505"/>
        <v>ND</v>
      </c>
      <c r="IB98" s="1" t="str">
        <f t="shared" si="506"/>
        <v>ND</v>
      </c>
      <c r="IC98" s="1" t="str">
        <f t="shared" si="507"/>
        <v>ND</v>
      </c>
      <c r="ID98" s="1" t="str">
        <f t="shared" si="508"/>
        <v>ND</v>
      </c>
      <c r="IE98" s="1" t="str">
        <f t="shared" si="509"/>
        <v>ND</v>
      </c>
      <c r="IF98" s="1" t="str">
        <f t="shared" si="510"/>
        <v>ND</v>
      </c>
      <c r="IG98" s="1" t="str">
        <f t="shared" si="511"/>
        <v>ND</v>
      </c>
      <c r="IH98" s="1" t="str">
        <f t="shared" si="512"/>
        <v>ND</v>
      </c>
      <c r="II98" s="1" t="str">
        <f t="shared" si="513"/>
        <v>ND</v>
      </c>
    </row>
    <row r="99" spans="3:243" x14ac:dyDescent="0.25">
      <c r="C99" t="s">
        <v>599</v>
      </c>
      <c r="D99">
        <f>SUMIFS(DICCIONARIO[Cantidad],DICCIONARIO[Modelo],UNIFICADA[[#This Row],[Equipo]])</f>
        <v>4</v>
      </c>
      <c r="E99" s="1">
        <f>IFERROR(VLOOKUP($C99,EQUIPOS[],UNIFICADO!E$9,0),"")</f>
        <v>13</v>
      </c>
      <c r="F99" s="1" t="str">
        <f>IFERROR(VLOOKUP($C99,EQUIPOS[],UNIFICADO!F$9,0),"")</f>
        <v>6.8 QHD+ 120Hz</v>
      </c>
      <c r="G99" s="1">
        <f>IFERROR(VLOOKUP($C99,EQUIPOS[],UNIFICADO!G$9,0),"")</f>
        <v>200</v>
      </c>
      <c r="H99" s="1">
        <f>IFERROR(VLOOKUP($C99,EQUIPOS[],UNIFICADO!H$9,0),"")</f>
        <v>5</v>
      </c>
      <c r="I99" s="1">
        <f>IFERROR(VLOOKUP($C99,EQUIPOS[],UNIFICADO!I$9,0),"")</f>
        <v>12</v>
      </c>
      <c r="J99" s="1" t="str">
        <f>IFERROR(VLOOKUP($C99,EQUIPOS[],UNIFICADO!J$9,0),"")</f>
        <v>256GB</v>
      </c>
      <c r="K99" s="1">
        <f>IFERROR(VLOOKUP($C99,EQUIPOS[],UNIFICADO!K$9,0),"")</f>
        <v>0</v>
      </c>
      <c r="L99" s="1">
        <f>IFERROR(VLOOKUP($C99,EQUIPOS[],UNIFICADO!L$9,0),"")</f>
        <v>8</v>
      </c>
      <c r="M99" s="1" t="str">
        <f>IFERROR(VLOOKUP($C99,EQUIPOS[],UNIFICADO!M$9,0),"")</f>
        <v>Snapdragon 8 Gen 2</v>
      </c>
      <c r="N99" s="1">
        <f>IFERROR(VLOOKUP($C99,EQUIPOS[],UNIFICADO!N$9,0),"")</f>
        <v>8</v>
      </c>
      <c r="O99" s="1">
        <f>IFERROR(VLOOKUP($C99,EQUIPOS[],UNIFICADO!O$9,0),"")</f>
        <v>234</v>
      </c>
      <c r="P99" s="1">
        <f>IFERROR(VLOOKUP($C99,EQUIPOS[],UNIFICADO!P$9,0),"")</f>
        <v>16.3</v>
      </c>
      <c r="Q99" s="1">
        <f>IFERROR(VLOOKUP($C99,EQUIPOS[],UNIFICADO!Q$9,0),"")</f>
        <v>7.81</v>
      </c>
      <c r="R99" s="1">
        <f>IFERROR(VLOOKUP($C99,EQUIPOS[],UNIFICADO!R$9,0),"")</f>
        <v>0.89</v>
      </c>
      <c r="S99" s="1" t="str">
        <f>IFERROR(VLOOKUP($C99,EQUIPOS[],UNIFICADO!S$9,0),"")</f>
        <v>5000 45W</v>
      </c>
      <c r="T99" s="1">
        <f>IFERROR(VLOOKUP($C99,EQUIPOS[],UNIFICADO!T$9,0),"")</f>
        <v>5</v>
      </c>
      <c r="U99" s="1">
        <f>VLOOKUP(UNIFICADA[[#This Row],[Equipo]],EQUIPOS[],19,0)</f>
        <v>89</v>
      </c>
      <c r="V99" s="1" t="str">
        <f t="shared" si="358"/>
        <v>ND</v>
      </c>
      <c r="W99" s="1" t="str">
        <f t="shared" si="359"/>
        <v>ND</v>
      </c>
      <c r="X99" s="1" t="str">
        <f t="shared" si="520"/>
        <v>ND</v>
      </c>
      <c r="Y99" s="1" t="str">
        <f t="shared" si="520"/>
        <v>ND</v>
      </c>
      <c r="Z99" s="1" t="str">
        <f t="shared" si="521"/>
        <v>ND</v>
      </c>
      <c r="AA99" s="1" t="str">
        <f t="shared" si="521"/>
        <v>ND</v>
      </c>
      <c r="AB99" s="1" t="str">
        <f t="shared" si="521"/>
        <v>ND</v>
      </c>
      <c r="AC99" s="1" t="str">
        <f t="shared" si="521"/>
        <v>ND</v>
      </c>
      <c r="AD99" s="1" t="str">
        <f t="shared" si="521"/>
        <v>ND</v>
      </c>
      <c r="AE99" s="1" t="str">
        <f t="shared" si="521"/>
        <v>ND</v>
      </c>
      <c r="AF99" s="1" t="str">
        <f t="shared" si="521"/>
        <v>ND</v>
      </c>
      <c r="AG99" s="1" t="str">
        <f t="shared" si="521"/>
        <v>ND</v>
      </c>
      <c r="AH99" s="1" t="str">
        <f t="shared" si="521"/>
        <v>ND</v>
      </c>
      <c r="AI99" s="1" t="str">
        <f t="shared" si="360"/>
        <v>ND</v>
      </c>
      <c r="AJ99" s="1" t="str">
        <f t="shared" si="361"/>
        <v>ND</v>
      </c>
      <c r="AK99" s="1" t="str">
        <f t="shared" si="362"/>
        <v>ND</v>
      </c>
      <c r="AL99" s="1" t="str">
        <f t="shared" si="363"/>
        <v>ND</v>
      </c>
      <c r="AM99" s="1" t="str">
        <f t="shared" si="364"/>
        <v>ND</v>
      </c>
      <c r="AN99" s="1" t="str">
        <f t="shared" si="365"/>
        <v>ND</v>
      </c>
      <c r="AO99" s="1" t="str">
        <f t="shared" si="366"/>
        <v>ND</v>
      </c>
      <c r="AP99" s="1" t="str">
        <f t="shared" si="367"/>
        <v>ND</v>
      </c>
      <c r="AQ99" s="1" t="str">
        <f t="shared" si="368"/>
        <v>ND</v>
      </c>
      <c r="AR99" s="1" t="str">
        <f t="shared" si="369"/>
        <v>ND</v>
      </c>
      <c r="AS99" s="1" t="str">
        <f t="shared" si="370"/>
        <v>ND</v>
      </c>
      <c r="AT99" s="1" t="str">
        <f t="shared" si="371"/>
        <v>ND</v>
      </c>
      <c r="AU99" s="1" t="str">
        <f t="shared" si="372"/>
        <v>ND</v>
      </c>
      <c r="AV99" s="1" t="str">
        <f t="shared" si="373"/>
        <v>ND</v>
      </c>
      <c r="AW99" s="1" t="str">
        <f t="shared" si="374"/>
        <v>ND</v>
      </c>
      <c r="AX99" s="1" t="str">
        <f t="shared" si="375"/>
        <v>ND</v>
      </c>
      <c r="AY99" s="1" t="str">
        <f t="shared" si="376"/>
        <v>ND</v>
      </c>
      <c r="AZ99" s="1" t="str">
        <f t="shared" si="377"/>
        <v>ND</v>
      </c>
      <c r="BA99" s="1" t="str">
        <f t="shared" si="378"/>
        <v>ND</v>
      </c>
      <c r="BB99" s="1" t="str">
        <f t="shared" si="379"/>
        <v>ND</v>
      </c>
      <c r="BC99" s="1" t="str">
        <f t="shared" si="380"/>
        <v>ND</v>
      </c>
      <c r="BD99" s="1" t="str">
        <f t="shared" si="381"/>
        <v>ND</v>
      </c>
      <c r="BE99" s="1" t="str">
        <f t="shared" si="382"/>
        <v>ND</v>
      </c>
      <c r="BF99" s="1" t="str">
        <f t="shared" si="383"/>
        <v>ND</v>
      </c>
      <c r="BG99" s="1" t="str">
        <f t="shared" si="384"/>
        <v>ND</v>
      </c>
      <c r="BH99" s="1" t="str">
        <f t="shared" si="385"/>
        <v>ND</v>
      </c>
      <c r="BI99" s="1" t="str">
        <f t="shared" si="386"/>
        <v>ND</v>
      </c>
      <c r="BJ99" s="1" t="str">
        <f t="shared" si="387"/>
        <v>ND</v>
      </c>
      <c r="BK99" s="1" t="str">
        <f t="shared" si="388"/>
        <v>ND</v>
      </c>
      <c r="BL99" s="1" t="str">
        <f t="shared" si="389"/>
        <v>ND</v>
      </c>
      <c r="BM99" s="1" t="str">
        <f t="shared" si="390"/>
        <v>ND</v>
      </c>
      <c r="BN99" s="1" t="str">
        <f t="shared" si="391"/>
        <v>ND</v>
      </c>
      <c r="BO99" s="1" t="str">
        <f t="shared" si="392"/>
        <v>ND</v>
      </c>
      <c r="BP99" s="1" t="str">
        <f t="shared" si="393"/>
        <v>ND</v>
      </c>
      <c r="BQ99" s="1" t="str">
        <f t="shared" si="394"/>
        <v>ND</v>
      </c>
      <c r="BR99" s="1" t="str">
        <f t="shared" si="395"/>
        <v>ND</v>
      </c>
      <c r="BS99" s="1" t="str">
        <f t="shared" si="396"/>
        <v>ND</v>
      </c>
      <c r="BT99" s="1" t="str">
        <f t="shared" si="397"/>
        <v>ND</v>
      </c>
      <c r="BU99" s="1" t="str">
        <f t="shared" si="398"/>
        <v>ND</v>
      </c>
      <c r="BV99" s="1" t="str">
        <f t="shared" si="399"/>
        <v>ND</v>
      </c>
      <c r="BW99" s="1" t="str">
        <f t="shared" si="400"/>
        <v>ND</v>
      </c>
      <c r="BX99" s="1" t="str">
        <f t="shared" si="401"/>
        <v>ND</v>
      </c>
      <c r="BY99" s="1" t="str">
        <f t="shared" si="402"/>
        <v>ND</v>
      </c>
      <c r="BZ99" s="1" t="str">
        <f t="shared" si="403"/>
        <v>ND</v>
      </c>
      <c r="CA99" s="1" t="str">
        <f t="shared" si="522"/>
        <v>ND</v>
      </c>
      <c r="CB99" s="1" t="str">
        <f t="shared" si="522"/>
        <v>ND</v>
      </c>
      <c r="CC99" s="1" t="str">
        <f t="shared" si="522"/>
        <v>ND</v>
      </c>
      <c r="CD99" s="1" t="str">
        <f t="shared" si="522"/>
        <v>ND</v>
      </c>
      <c r="CE99" s="1" t="str">
        <f t="shared" si="522"/>
        <v>ND</v>
      </c>
      <c r="CF99" s="1" t="str">
        <f t="shared" si="522"/>
        <v>ND</v>
      </c>
      <c r="CG99" s="1" t="str">
        <f t="shared" si="522"/>
        <v>ND</v>
      </c>
      <c r="CH99" s="1" t="str">
        <f t="shared" si="522"/>
        <v>ND</v>
      </c>
      <c r="CI99" s="1" t="str">
        <f t="shared" si="522"/>
        <v>ND</v>
      </c>
      <c r="CJ99" s="1" t="str">
        <f t="shared" si="522"/>
        <v>ND</v>
      </c>
      <c r="CK99" s="1" t="str">
        <f t="shared" si="522"/>
        <v>ND</v>
      </c>
      <c r="CL99" s="1" t="str">
        <f t="shared" si="523"/>
        <v>ND</v>
      </c>
      <c r="CM99" s="1" t="str">
        <f t="shared" si="523"/>
        <v>ND</v>
      </c>
      <c r="CN99" s="1" t="str">
        <f t="shared" si="523"/>
        <v>ND</v>
      </c>
      <c r="CO99" s="1" t="str">
        <f t="shared" si="523"/>
        <v>ND</v>
      </c>
      <c r="CP99" s="1" t="str">
        <f t="shared" si="523"/>
        <v>ND</v>
      </c>
      <c r="CQ99" s="1" t="str">
        <f t="shared" si="523"/>
        <v>ND</v>
      </c>
      <c r="CR99" s="1" t="str">
        <f t="shared" si="523"/>
        <v>ND</v>
      </c>
      <c r="CS99" s="1" t="str">
        <f t="shared" si="523"/>
        <v>ND</v>
      </c>
      <c r="CT99" s="1" t="str">
        <f t="shared" si="523"/>
        <v>ND</v>
      </c>
      <c r="CU99" s="1" t="str">
        <f t="shared" si="523"/>
        <v>ND</v>
      </c>
      <c r="CV99" s="1" t="str">
        <f t="shared" si="523"/>
        <v>ND</v>
      </c>
      <c r="CW99" s="1" t="str">
        <f t="shared" si="404"/>
        <v>ND</v>
      </c>
      <c r="CX99" s="1" t="str">
        <f t="shared" si="405"/>
        <v>ND</v>
      </c>
      <c r="CY99" s="1" t="str">
        <f t="shared" si="406"/>
        <v>ND</v>
      </c>
      <c r="CZ99" s="1" t="str">
        <f t="shared" si="407"/>
        <v>ND</v>
      </c>
      <c r="DA99" s="1" t="str">
        <f t="shared" si="408"/>
        <v>ND</v>
      </c>
      <c r="DB99" s="1" t="str">
        <f t="shared" si="409"/>
        <v>ND</v>
      </c>
      <c r="DC99" s="1" t="str">
        <f t="shared" si="410"/>
        <v>ND</v>
      </c>
      <c r="DD99" s="1" t="str">
        <f t="shared" si="411"/>
        <v>ND</v>
      </c>
      <c r="DE99" s="1" t="str">
        <f t="shared" si="412"/>
        <v>ND</v>
      </c>
      <c r="DF99" s="1" t="str">
        <f t="shared" si="413"/>
        <v>ND</v>
      </c>
      <c r="DG99" s="1" t="str">
        <f t="shared" si="414"/>
        <v>ND</v>
      </c>
      <c r="DH99" s="1" t="str">
        <f t="shared" si="415"/>
        <v>ND</v>
      </c>
      <c r="DI99" s="1" t="str">
        <f t="shared" si="416"/>
        <v>ND</v>
      </c>
      <c r="DJ99" s="1" t="str">
        <f t="shared" si="417"/>
        <v>ND</v>
      </c>
      <c r="DK99" s="1" t="str">
        <f t="shared" si="418"/>
        <v>ND</v>
      </c>
      <c r="DL99" s="1" t="str">
        <f t="shared" si="419"/>
        <v>ND</v>
      </c>
      <c r="DM99" s="1" t="str">
        <f t="shared" si="420"/>
        <v>ND</v>
      </c>
      <c r="DN99" s="1" t="str">
        <f t="shared" si="421"/>
        <v>ND</v>
      </c>
      <c r="DO99" s="1" t="str">
        <f t="shared" si="422"/>
        <v>ND</v>
      </c>
      <c r="DP99" s="1" t="str">
        <f t="shared" si="423"/>
        <v>ND</v>
      </c>
      <c r="DQ99" s="1" t="str">
        <f t="shared" si="424"/>
        <v>ND</v>
      </c>
      <c r="DR99" s="1" t="str">
        <f t="shared" si="425"/>
        <v>ND</v>
      </c>
      <c r="DS99" s="1" t="str">
        <f t="shared" si="426"/>
        <v>ND</v>
      </c>
      <c r="DT99" s="1" t="str">
        <f t="shared" si="427"/>
        <v>ND</v>
      </c>
      <c r="DU99" s="1" t="str">
        <f t="shared" si="428"/>
        <v>ND</v>
      </c>
      <c r="DV99" s="1" t="str">
        <f t="shared" si="429"/>
        <v>ND</v>
      </c>
      <c r="DW99" s="1" t="str">
        <f t="shared" si="430"/>
        <v>ND</v>
      </c>
      <c r="DX99" s="1" t="str">
        <f t="shared" si="431"/>
        <v>ND</v>
      </c>
      <c r="DY99" s="1" t="str">
        <f t="shared" si="432"/>
        <v>ND</v>
      </c>
      <c r="DZ99" s="1" t="str">
        <f t="shared" si="433"/>
        <v>ND</v>
      </c>
      <c r="EA99" s="1" t="str">
        <f t="shared" si="434"/>
        <v>ND</v>
      </c>
      <c r="EB99" s="1" t="str">
        <f t="shared" si="435"/>
        <v>ND</v>
      </c>
      <c r="EC99" s="1" t="str">
        <f t="shared" si="436"/>
        <v>ND</v>
      </c>
      <c r="ED99" s="1" t="str">
        <f t="shared" si="437"/>
        <v>ND</v>
      </c>
      <c r="EE99" s="1" t="str">
        <f t="shared" si="438"/>
        <v>ND</v>
      </c>
      <c r="EF99" s="1" t="str">
        <f t="shared" si="439"/>
        <v>ND</v>
      </c>
      <c r="EG99" s="1" t="str">
        <f t="shared" si="440"/>
        <v>ND</v>
      </c>
      <c r="EH99" s="1" t="str">
        <f t="shared" si="441"/>
        <v>ND</v>
      </c>
      <c r="EI99" s="1" t="str">
        <f t="shared" si="442"/>
        <v>ND</v>
      </c>
      <c r="EJ99" s="1" t="str">
        <f t="shared" si="443"/>
        <v>ND</v>
      </c>
      <c r="EK99" s="1" t="str">
        <f t="shared" si="444"/>
        <v>ND</v>
      </c>
      <c r="EL99" s="1" t="str">
        <f t="shared" si="445"/>
        <v>ND</v>
      </c>
      <c r="EM99" s="1" t="str">
        <f t="shared" si="446"/>
        <v>ND</v>
      </c>
      <c r="EN99" s="1" t="str">
        <f t="shared" si="447"/>
        <v>ND</v>
      </c>
      <c r="EO99" s="1" t="str">
        <f t="shared" si="524"/>
        <v>ND</v>
      </c>
      <c r="EP99" s="1" t="str">
        <f t="shared" si="524"/>
        <v>ND</v>
      </c>
      <c r="EQ99" s="1" t="str">
        <f t="shared" si="524"/>
        <v>ND</v>
      </c>
      <c r="ER99" s="1" t="str">
        <f t="shared" si="524"/>
        <v>ND</v>
      </c>
      <c r="ES99" s="1" t="str">
        <f t="shared" si="524"/>
        <v>ND</v>
      </c>
      <c r="ET99" s="1" t="str">
        <f t="shared" si="524"/>
        <v>ND</v>
      </c>
      <c r="EU99" s="1" t="str">
        <f t="shared" si="524"/>
        <v>ND</v>
      </c>
      <c r="EV99" s="1" t="str">
        <f t="shared" si="524"/>
        <v>ND</v>
      </c>
      <c r="EW99" s="1" t="str">
        <f t="shared" si="524"/>
        <v>ND</v>
      </c>
      <c r="EX99" s="1" t="str">
        <f t="shared" si="524"/>
        <v>ND</v>
      </c>
      <c r="EY99" s="1" t="str">
        <f t="shared" si="524"/>
        <v>ND</v>
      </c>
      <c r="EZ99" s="1" t="str">
        <f t="shared" si="525"/>
        <v>ND</v>
      </c>
      <c r="FA99" s="1" t="str">
        <f t="shared" si="525"/>
        <v>ND</v>
      </c>
      <c r="FB99" s="1" t="str">
        <f t="shared" si="525"/>
        <v>ND</v>
      </c>
      <c r="FC99" s="1" t="str">
        <f t="shared" si="525"/>
        <v>ND</v>
      </c>
      <c r="FD99" s="1" t="str">
        <f t="shared" si="525"/>
        <v>ND</v>
      </c>
      <c r="FE99" s="1" t="str">
        <f t="shared" si="525"/>
        <v>ND</v>
      </c>
      <c r="FF99" s="1" t="str">
        <f t="shared" si="525"/>
        <v>ND</v>
      </c>
      <c r="FG99" s="1" t="str">
        <f t="shared" si="525"/>
        <v>ND</v>
      </c>
      <c r="FH99" s="1" t="str">
        <f t="shared" si="525"/>
        <v>ND</v>
      </c>
      <c r="FI99" s="1" t="str">
        <f t="shared" si="525"/>
        <v>ND</v>
      </c>
      <c r="FJ99" s="1" t="str">
        <f t="shared" si="525"/>
        <v>ND</v>
      </c>
      <c r="FK99" s="1" t="str">
        <f t="shared" si="526"/>
        <v>ND</v>
      </c>
      <c r="FL99" s="1" t="str">
        <f t="shared" si="526"/>
        <v>ND</v>
      </c>
      <c r="FM99" s="1" t="str">
        <f t="shared" si="526"/>
        <v>ND</v>
      </c>
      <c r="FN99" s="1" t="str">
        <f t="shared" si="526"/>
        <v>ND</v>
      </c>
      <c r="FO99" s="1" t="str">
        <f t="shared" si="526"/>
        <v>ND</v>
      </c>
      <c r="FP99" s="1" t="str">
        <f t="shared" si="526"/>
        <v>ND</v>
      </c>
      <c r="FQ99" s="1" t="str">
        <f t="shared" si="526"/>
        <v>ND</v>
      </c>
      <c r="FR99" s="1" t="str">
        <f t="shared" si="526"/>
        <v>ND</v>
      </c>
      <c r="FS99" s="1" t="str">
        <f t="shared" si="526"/>
        <v>ND</v>
      </c>
      <c r="FT99" s="1" t="str">
        <f t="shared" si="526"/>
        <v>ND</v>
      </c>
      <c r="FU99" s="1" t="str">
        <f t="shared" si="526"/>
        <v>ND</v>
      </c>
      <c r="FV99" s="1" t="str">
        <f t="shared" si="448"/>
        <v>ND</v>
      </c>
      <c r="FW99" s="1" t="str">
        <f t="shared" si="449"/>
        <v>ND</v>
      </c>
      <c r="FX99" s="1" t="str">
        <f t="shared" si="450"/>
        <v>ND</v>
      </c>
      <c r="FY99" s="1" t="str">
        <f t="shared" si="451"/>
        <v>ND</v>
      </c>
      <c r="FZ99" s="1" t="str">
        <f t="shared" si="452"/>
        <v>ND</v>
      </c>
      <c r="GA99" s="1" t="str">
        <f t="shared" si="453"/>
        <v>ND</v>
      </c>
      <c r="GB99" s="1" t="str">
        <f t="shared" si="454"/>
        <v>ND</v>
      </c>
      <c r="GC99" s="1" t="str">
        <f t="shared" si="455"/>
        <v>ND</v>
      </c>
      <c r="GD99" s="1" t="str">
        <f t="shared" si="456"/>
        <v>ND</v>
      </c>
      <c r="GE99" s="1" t="str">
        <f t="shared" si="457"/>
        <v>ND</v>
      </c>
      <c r="GF99" s="1" t="str">
        <f t="shared" si="458"/>
        <v>ND</v>
      </c>
      <c r="GG99" s="1" t="str">
        <f t="shared" si="459"/>
        <v>ND</v>
      </c>
      <c r="GH99" s="1" t="str">
        <f t="shared" si="460"/>
        <v>ND</v>
      </c>
      <c r="GI99" s="1" t="str">
        <f t="shared" si="461"/>
        <v>ND</v>
      </c>
      <c r="GJ99" s="1" t="str">
        <f t="shared" si="462"/>
        <v>ND</v>
      </c>
      <c r="GK99" s="1" t="str">
        <f t="shared" si="463"/>
        <v>ND</v>
      </c>
      <c r="GL99" s="1" t="str">
        <f t="shared" si="464"/>
        <v>ND</v>
      </c>
      <c r="GM99" s="1" t="str">
        <f t="shared" si="465"/>
        <v>ND</v>
      </c>
      <c r="GN99" s="1" t="str">
        <f t="shared" si="466"/>
        <v>ND</v>
      </c>
      <c r="GO99" s="1" t="str">
        <f t="shared" si="467"/>
        <v>ND</v>
      </c>
      <c r="GP99" s="1" t="str">
        <f t="shared" si="468"/>
        <v>ND</v>
      </c>
      <c r="GQ99" s="1" t="str">
        <f t="shared" si="469"/>
        <v>ND</v>
      </c>
      <c r="GR99" s="1" t="str">
        <f t="shared" si="470"/>
        <v>ND</v>
      </c>
      <c r="GS99" s="1" t="str">
        <f t="shared" si="471"/>
        <v>ND</v>
      </c>
      <c r="GT99" s="1" t="str">
        <f t="shared" si="472"/>
        <v>ND</v>
      </c>
      <c r="GU99" s="1" t="str">
        <f t="shared" si="473"/>
        <v>ND</v>
      </c>
      <c r="GV99" s="1" t="str">
        <f t="shared" si="474"/>
        <v>ND</v>
      </c>
      <c r="GW99" s="1" t="str">
        <f t="shared" si="475"/>
        <v>ND</v>
      </c>
      <c r="GX99" s="1" t="str">
        <f t="shared" si="476"/>
        <v>ND</v>
      </c>
      <c r="GY99" s="1" t="str">
        <f t="shared" si="477"/>
        <v>ND</v>
      </c>
      <c r="GZ99" s="1" t="str">
        <f t="shared" si="478"/>
        <v>ND</v>
      </c>
      <c r="HA99" s="1" t="str">
        <f t="shared" si="479"/>
        <v>ND</v>
      </c>
      <c r="HB99" s="1" t="str">
        <f t="shared" si="480"/>
        <v>ND</v>
      </c>
      <c r="HC99" s="1" t="str">
        <f t="shared" si="481"/>
        <v>ND</v>
      </c>
      <c r="HD99" s="1" t="str">
        <f t="shared" si="482"/>
        <v>ND</v>
      </c>
      <c r="HE99" s="1" t="str">
        <f t="shared" si="483"/>
        <v>ND</v>
      </c>
      <c r="HF99" s="1" t="str">
        <f t="shared" si="484"/>
        <v>ND</v>
      </c>
      <c r="HG99" s="1" t="str">
        <f t="shared" si="485"/>
        <v>ND</v>
      </c>
      <c r="HH99" s="1" t="str">
        <f t="shared" si="486"/>
        <v>ND</v>
      </c>
      <c r="HI99" s="1" t="str">
        <f t="shared" si="487"/>
        <v>ND</v>
      </c>
      <c r="HJ99" s="1" t="str">
        <f t="shared" si="488"/>
        <v>ND</v>
      </c>
      <c r="HK99" s="1" t="str">
        <f t="shared" si="489"/>
        <v>ND</v>
      </c>
      <c r="HL99" s="1" t="str">
        <f t="shared" si="490"/>
        <v>ND</v>
      </c>
      <c r="HM99" s="1" t="str">
        <f t="shared" si="491"/>
        <v>ND</v>
      </c>
      <c r="HN99" s="1" t="str">
        <f t="shared" si="492"/>
        <v>ND</v>
      </c>
      <c r="HO99" s="1" t="str">
        <f t="shared" si="493"/>
        <v>ND</v>
      </c>
      <c r="HP99" s="1" t="str">
        <f t="shared" si="494"/>
        <v>ND</v>
      </c>
      <c r="HQ99" s="1" t="str">
        <f t="shared" si="495"/>
        <v>ND</v>
      </c>
      <c r="HR99" s="1" t="str">
        <f t="shared" si="496"/>
        <v>ND</v>
      </c>
      <c r="HS99" s="1" t="str">
        <f t="shared" si="497"/>
        <v>ND</v>
      </c>
      <c r="HT99" s="1" t="str">
        <f t="shared" si="498"/>
        <v>ND</v>
      </c>
      <c r="HU99" s="1" t="str">
        <f t="shared" si="499"/>
        <v>ND</v>
      </c>
      <c r="HV99" s="1" t="str">
        <f t="shared" si="500"/>
        <v>ND</v>
      </c>
      <c r="HW99" s="1" t="str">
        <f t="shared" si="501"/>
        <v>ND</v>
      </c>
      <c r="HX99" s="1" t="str">
        <f t="shared" si="502"/>
        <v>ND</v>
      </c>
      <c r="HY99" s="1" t="str">
        <f t="shared" si="503"/>
        <v>ND</v>
      </c>
      <c r="HZ99" s="1" t="str">
        <f t="shared" si="504"/>
        <v>ND</v>
      </c>
      <c r="IA99" s="1" t="str">
        <f t="shared" si="505"/>
        <v>ND</v>
      </c>
      <c r="IB99" s="1" t="str">
        <f t="shared" si="506"/>
        <v>ND</v>
      </c>
      <c r="IC99" s="1" t="str">
        <f t="shared" si="507"/>
        <v>ND</v>
      </c>
      <c r="ID99" s="1" t="str">
        <f t="shared" si="508"/>
        <v>ND</v>
      </c>
      <c r="IE99" s="1" t="str">
        <f t="shared" si="509"/>
        <v>ND</v>
      </c>
      <c r="IF99" s="1" t="str">
        <f t="shared" si="510"/>
        <v>ND</v>
      </c>
      <c r="IG99" s="1" t="str">
        <f t="shared" si="511"/>
        <v>ND</v>
      </c>
      <c r="IH99" s="1" t="str">
        <f t="shared" si="512"/>
        <v>ND</v>
      </c>
      <c r="II99" s="1" t="str">
        <f t="shared" si="513"/>
        <v>ND</v>
      </c>
    </row>
    <row r="100" spans="3:243" x14ac:dyDescent="0.25">
      <c r="C100" t="s">
        <v>600</v>
      </c>
      <c r="D100">
        <f>SUMIFS(DICCIONARIO[Cantidad],DICCIONARIO[Modelo],UNIFICADA[[#This Row],[Equipo]])</f>
        <v>5</v>
      </c>
      <c r="E100" s="1">
        <f>IFERROR(VLOOKUP($C100,EQUIPOS[],UNIFICADO!E$9,0),"")</f>
        <v>13</v>
      </c>
      <c r="F100" s="1" t="str">
        <f>IFERROR(VLOOKUP($C100,EQUIPOS[],UNIFICADO!F$9,0),"")</f>
        <v>6.8 QHD+ 120Hz</v>
      </c>
      <c r="G100" s="1">
        <f>IFERROR(VLOOKUP($C100,EQUIPOS[],UNIFICADO!G$9,0),"")</f>
        <v>200</v>
      </c>
      <c r="H100" s="1">
        <f>IFERROR(VLOOKUP($C100,EQUIPOS[],UNIFICADO!H$9,0),"")</f>
        <v>5</v>
      </c>
      <c r="I100" s="1">
        <f>IFERROR(VLOOKUP($C100,EQUIPOS[],UNIFICADO!I$9,0),"")</f>
        <v>12</v>
      </c>
      <c r="J100" s="1" t="str">
        <f>IFERROR(VLOOKUP($C100,EQUIPOS[],UNIFICADO!J$9,0),"")</f>
        <v>512GB</v>
      </c>
      <c r="K100" s="1">
        <f>IFERROR(VLOOKUP($C100,EQUIPOS[],UNIFICADO!K$9,0),"")</f>
        <v>0</v>
      </c>
      <c r="L100" s="1">
        <f>IFERROR(VLOOKUP($C100,EQUIPOS[],UNIFICADO!L$9,0),"")</f>
        <v>8</v>
      </c>
      <c r="M100" s="1" t="str">
        <f>IFERROR(VLOOKUP($C100,EQUIPOS[],UNIFICADO!M$9,0),"")</f>
        <v>Snapdragon 8 Gen 2</v>
      </c>
      <c r="N100" s="1">
        <f>IFERROR(VLOOKUP($C100,EQUIPOS[],UNIFICADO!N$9,0),"")</f>
        <v>12</v>
      </c>
      <c r="O100" s="1">
        <f>IFERROR(VLOOKUP($C100,EQUIPOS[],UNIFICADO!O$9,0),"")</f>
        <v>234</v>
      </c>
      <c r="P100" s="1">
        <f>IFERROR(VLOOKUP($C100,EQUIPOS[],UNIFICADO!P$9,0),"")</f>
        <v>16.3</v>
      </c>
      <c r="Q100" s="1">
        <f>IFERROR(VLOOKUP($C100,EQUIPOS[],UNIFICADO!Q$9,0),"")</f>
        <v>7.81</v>
      </c>
      <c r="R100" s="1">
        <f>IFERROR(VLOOKUP($C100,EQUIPOS[],UNIFICADO!R$9,0),"")</f>
        <v>0.89</v>
      </c>
      <c r="S100" s="1" t="str">
        <f>IFERROR(VLOOKUP($C100,EQUIPOS[],UNIFICADO!S$9,0),"")</f>
        <v>5000 45W</v>
      </c>
      <c r="T100" s="1">
        <f>IFERROR(VLOOKUP($C100,EQUIPOS[],UNIFICADO!T$9,0),"")</f>
        <v>5</v>
      </c>
      <c r="U100" s="1">
        <f>VLOOKUP(UNIFICADA[[#This Row],[Equipo]],EQUIPOS[],19,0)</f>
        <v>90</v>
      </c>
      <c r="V100" s="1" t="str">
        <f t="shared" si="358"/>
        <v>ND</v>
      </c>
      <c r="W100" s="1" t="str">
        <f t="shared" si="359"/>
        <v>ND</v>
      </c>
      <c r="X100" s="1" t="str">
        <f t="shared" si="520"/>
        <v>ND</v>
      </c>
      <c r="Y100" s="1" t="str">
        <f t="shared" si="520"/>
        <v>ND</v>
      </c>
      <c r="Z100" s="1" t="str">
        <f t="shared" si="521"/>
        <v>ND</v>
      </c>
      <c r="AA100" s="1" t="str">
        <f t="shared" si="521"/>
        <v>ND</v>
      </c>
      <c r="AB100" s="1" t="str">
        <f t="shared" si="521"/>
        <v>ND</v>
      </c>
      <c r="AC100" s="1" t="str">
        <f t="shared" si="521"/>
        <v>ND</v>
      </c>
      <c r="AD100" s="1" t="str">
        <f t="shared" si="521"/>
        <v>ND</v>
      </c>
      <c r="AE100" s="1" t="str">
        <f t="shared" si="521"/>
        <v>ND</v>
      </c>
      <c r="AF100" s="1" t="str">
        <f t="shared" si="521"/>
        <v>ND</v>
      </c>
      <c r="AG100" s="1" t="str">
        <f t="shared" si="521"/>
        <v>ND</v>
      </c>
      <c r="AH100" s="1" t="str">
        <f t="shared" si="521"/>
        <v>ND</v>
      </c>
      <c r="AI100" s="1" t="str">
        <f t="shared" si="360"/>
        <v>ND</v>
      </c>
      <c r="AJ100" s="1" t="str">
        <f t="shared" si="361"/>
        <v>ND</v>
      </c>
      <c r="AK100" s="1" t="str">
        <f t="shared" si="362"/>
        <v>ND</v>
      </c>
      <c r="AL100" s="1" t="str">
        <f t="shared" si="363"/>
        <v>ND</v>
      </c>
      <c r="AM100" s="1" t="str">
        <f t="shared" si="364"/>
        <v>ND</v>
      </c>
      <c r="AN100" s="1" t="str">
        <f t="shared" si="365"/>
        <v>ND</v>
      </c>
      <c r="AO100" s="1" t="str">
        <f t="shared" si="366"/>
        <v>ND</v>
      </c>
      <c r="AP100" s="1" t="str">
        <f t="shared" si="367"/>
        <v>ND</v>
      </c>
      <c r="AQ100" s="1" t="str">
        <f t="shared" si="368"/>
        <v>ND</v>
      </c>
      <c r="AR100" s="1" t="str">
        <f t="shared" si="369"/>
        <v>ND</v>
      </c>
      <c r="AS100" s="1" t="str">
        <f t="shared" si="370"/>
        <v>ND</v>
      </c>
      <c r="AT100" s="1" t="str">
        <f t="shared" si="371"/>
        <v>ND</v>
      </c>
      <c r="AU100" s="1" t="str">
        <f t="shared" si="372"/>
        <v>ND</v>
      </c>
      <c r="AV100" s="1" t="str">
        <f t="shared" si="373"/>
        <v>ND</v>
      </c>
      <c r="AW100" s="1" t="str">
        <f t="shared" si="374"/>
        <v>ND</v>
      </c>
      <c r="AX100" s="1" t="str">
        <f t="shared" si="375"/>
        <v>ND</v>
      </c>
      <c r="AY100" s="1" t="str">
        <f t="shared" si="376"/>
        <v>ND</v>
      </c>
      <c r="AZ100" s="1" t="str">
        <f t="shared" si="377"/>
        <v>ND</v>
      </c>
      <c r="BA100" s="1" t="str">
        <f t="shared" si="378"/>
        <v>ND</v>
      </c>
      <c r="BB100" s="1" t="str">
        <f t="shared" si="379"/>
        <v>ND</v>
      </c>
      <c r="BC100" s="1" t="str">
        <f t="shared" si="380"/>
        <v>ND</v>
      </c>
      <c r="BD100" s="1" t="str">
        <f t="shared" si="381"/>
        <v>ND</v>
      </c>
      <c r="BE100" s="1" t="str">
        <f t="shared" si="382"/>
        <v>ND</v>
      </c>
      <c r="BF100" s="1" t="str">
        <f t="shared" si="383"/>
        <v>ND</v>
      </c>
      <c r="BG100" s="1" t="str">
        <f t="shared" si="384"/>
        <v>ND</v>
      </c>
      <c r="BH100" s="1" t="str">
        <f t="shared" si="385"/>
        <v>ND</v>
      </c>
      <c r="BI100" s="1" t="str">
        <f t="shared" si="386"/>
        <v>ND</v>
      </c>
      <c r="BJ100" s="1" t="str">
        <f t="shared" si="387"/>
        <v>ND</v>
      </c>
      <c r="BK100" s="1" t="str">
        <f t="shared" si="388"/>
        <v>ND</v>
      </c>
      <c r="BL100" s="1" t="str">
        <f t="shared" si="389"/>
        <v>ND</v>
      </c>
      <c r="BM100" s="1" t="str">
        <f t="shared" si="390"/>
        <v>ND</v>
      </c>
      <c r="BN100" s="1" t="str">
        <f t="shared" si="391"/>
        <v>ND</v>
      </c>
      <c r="BO100" s="1" t="str">
        <f t="shared" si="392"/>
        <v>ND</v>
      </c>
      <c r="BP100" s="1" t="str">
        <f t="shared" si="393"/>
        <v>ND</v>
      </c>
      <c r="BQ100" s="1" t="str">
        <f t="shared" si="394"/>
        <v>ND</v>
      </c>
      <c r="BR100" s="1" t="str">
        <f t="shared" si="395"/>
        <v>ND</v>
      </c>
      <c r="BS100" s="1" t="str">
        <f t="shared" si="396"/>
        <v>ND</v>
      </c>
      <c r="BT100" s="1" t="str">
        <f t="shared" si="397"/>
        <v>ND</v>
      </c>
      <c r="BU100" s="1" t="str">
        <f t="shared" si="398"/>
        <v>ND</v>
      </c>
      <c r="BV100" s="1" t="str">
        <f t="shared" si="399"/>
        <v>ND</v>
      </c>
      <c r="BW100" s="1" t="str">
        <f t="shared" si="400"/>
        <v>ND</v>
      </c>
      <c r="BX100" s="1" t="str">
        <f t="shared" si="401"/>
        <v>ND</v>
      </c>
      <c r="BY100" s="1" t="str">
        <f t="shared" si="402"/>
        <v>ND</v>
      </c>
      <c r="BZ100" s="1" t="str">
        <f t="shared" si="403"/>
        <v>ND</v>
      </c>
      <c r="CA100" s="1" t="str">
        <f t="shared" si="522"/>
        <v>ND</v>
      </c>
      <c r="CB100" s="1" t="str">
        <f t="shared" si="522"/>
        <v>ND</v>
      </c>
      <c r="CC100" s="1" t="str">
        <f t="shared" si="522"/>
        <v>ND</v>
      </c>
      <c r="CD100" s="1" t="str">
        <f t="shared" si="522"/>
        <v>ND</v>
      </c>
      <c r="CE100" s="1" t="str">
        <f t="shared" si="522"/>
        <v>ND</v>
      </c>
      <c r="CF100" s="1" t="str">
        <f t="shared" si="522"/>
        <v>ND</v>
      </c>
      <c r="CG100" s="1" t="str">
        <f t="shared" si="522"/>
        <v>ND</v>
      </c>
      <c r="CH100" s="1" t="str">
        <f t="shared" si="522"/>
        <v>ND</v>
      </c>
      <c r="CI100" s="1" t="str">
        <f t="shared" si="522"/>
        <v>ND</v>
      </c>
      <c r="CJ100" s="1" t="str">
        <f t="shared" si="522"/>
        <v>ND</v>
      </c>
      <c r="CK100" s="1" t="str">
        <f t="shared" si="522"/>
        <v>ND</v>
      </c>
      <c r="CL100" s="1" t="str">
        <f t="shared" si="523"/>
        <v>ND</v>
      </c>
      <c r="CM100" s="1" t="str">
        <f t="shared" si="523"/>
        <v>ND</v>
      </c>
      <c r="CN100" s="1" t="str">
        <f t="shared" si="523"/>
        <v>ND</v>
      </c>
      <c r="CO100" s="1" t="str">
        <f t="shared" si="523"/>
        <v>ND</v>
      </c>
      <c r="CP100" s="1" t="str">
        <f t="shared" si="523"/>
        <v>ND</v>
      </c>
      <c r="CQ100" s="1" t="str">
        <f t="shared" si="523"/>
        <v>ND</v>
      </c>
      <c r="CR100" s="1" t="str">
        <f t="shared" si="523"/>
        <v>ND</v>
      </c>
      <c r="CS100" s="1" t="str">
        <f t="shared" si="523"/>
        <v>ND</v>
      </c>
      <c r="CT100" s="1" t="str">
        <f t="shared" si="523"/>
        <v>ND</v>
      </c>
      <c r="CU100" s="1" t="str">
        <f t="shared" si="523"/>
        <v>ND</v>
      </c>
      <c r="CV100" s="1" t="str">
        <f t="shared" si="523"/>
        <v>ND</v>
      </c>
      <c r="CW100" s="1" t="str">
        <f t="shared" si="404"/>
        <v>ND</v>
      </c>
      <c r="CX100" s="1" t="str">
        <f t="shared" si="405"/>
        <v>ND</v>
      </c>
      <c r="CY100" s="1" t="str">
        <f t="shared" si="406"/>
        <v>ND</v>
      </c>
      <c r="CZ100" s="1" t="str">
        <f t="shared" si="407"/>
        <v>ND</v>
      </c>
      <c r="DA100" s="1" t="str">
        <f t="shared" si="408"/>
        <v>ND</v>
      </c>
      <c r="DB100" s="1" t="str">
        <f t="shared" si="409"/>
        <v>ND</v>
      </c>
      <c r="DC100" s="1" t="str">
        <f t="shared" si="410"/>
        <v>ND</v>
      </c>
      <c r="DD100" s="1" t="str">
        <f t="shared" si="411"/>
        <v>ND</v>
      </c>
      <c r="DE100" s="1" t="str">
        <f t="shared" si="412"/>
        <v>ND</v>
      </c>
      <c r="DF100" s="1" t="str">
        <f t="shared" si="413"/>
        <v>ND</v>
      </c>
      <c r="DG100" s="1" t="str">
        <f t="shared" si="414"/>
        <v>ND</v>
      </c>
      <c r="DH100" s="1" t="str">
        <f t="shared" si="415"/>
        <v>ND</v>
      </c>
      <c r="DI100" s="1" t="str">
        <f t="shared" si="416"/>
        <v>ND</v>
      </c>
      <c r="DJ100" s="1" t="str">
        <f t="shared" si="417"/>
        <v>ND</v>
      </c>
      <c r="DK100" s="1" t="str">
        <f t="shared" si="418"/>
        <v>ND</v>
      </c>
      <c r="DL100" s="1" t="str">
        <f t="shared" si="419"/>
        <v>ND</v>
      </c>
      <c r="DM100" s="1" t="str">
        <f t="shared" si="420"/>
        <v>ND</v>
      </c>
      <c r="DN100" s="1" t="str">
        <f t="shared" si="421"/>
        <v>ND</v>
      </c>
      <c r="DO100" s="1" t="str">
        <f t="shared" si="422"/>
        <v>ND</v>
      </c>
      <c r="DP100" s="1" t="str">
        <f t="shared" si="423"/>
        <v>ND</v>
      </c>
      <c r="DQ100" s="1" t="str">
        <f t="shared" si="424"/>
        <v>ND</v>
      </c>
      <c r="DR100" s="1" t="str">
        <f t="shared" si="425"/>
        <v>ND</v>
      </c>
      <c r="DS100" s="1" t="str">
        <f t="shared" si="426"/>
        <v>ND</v>
      </c>
      <c r="DT100" s="1" t="str">
        <f t="shared" si="427"/>
        <v>ND</v>
      </c>
      <c r="DU100" s="1" t="str">
        <f t="shared" si="428"/>
        <v>ND</v>
      </c>
      <c r="DV100" s="1" t="str">
        <f t="shared" si="429"/>
        <v>ND</v>
      </c>
      <c r="DW100" s="1" t="str">
        <f t="shared" si="430"/>
        <v>ND</v>
      </c>
      <c r="DX100" s="1" t="str">
        <f t="shared" si="431"/>
        <v>ND</v>
      </c>
      <c r="DY100" s="1" t="str">
        <f t="shared" si="432"/>
        <v>ND</v>
      </c>
      <c r="DZ100" s="1" t="str">
        <f t="shared" si="433"/>
        <v>ND</v>
      </c>
      <c r="EA100" s="1" t="str">
        <f t="shared" si="434"/>
        <v>ND</v>
      </c>
      <c r="EB100" s="1" t="str">
        <f t="shared" si="435"/>
        <v>ND</v>
      </c>
      <c r="EC100" s="1" t="str">
        <f t="shared" si="436"/>
        <v>ND</v>
      </c>
      <c r="ED100" s="1" t="str">
        <f t="shared" si="437"/>
        <v>ND</v>
      </c>
      <c r="EE100" s="1" t="str">
        <f t="shared" si="438"/>
        <v>ND</v>
      </c>
      <c r="EF100" s="1" t="str">
        <f t="shared" si="439"/>
        <v>ND</v>
      </c>
      <c r="EG100" s="1" t="str">
        <f t="shared" si="440"/>
        <v>ND</v>
      </c>
      <c r="EH100" s="1" t="str">
        <f t="shared" si="441"/>
        <v>ND</v>
      </c>
      <c r="EI100" s="1" t="str">
        <f t="shared" si="442"/>
        <v>ND</v>
      </c>
      <c r="EJ100" s="1" t="str">
        <f t="shared" si="443"/>
        <v>ND</v>
      </c>
      <c r="EK100" s="1" t="str">
        <f t="shared" si="444"/>
        <v>ND</v>
      </c>
      <c r="EL100" s="1" t="str">
        <f t="shared" si="445"/>
        <v>ND</v>
      </c>
      <c r="EM100" s="1" t="str">
        <f t="shared" si="446"/>
        <v>ND</v>
      </c>
      <c r="EN100" s="1" t="str">
        <f t="shared" si="447"/>
        <v>ND</v>
      </c>
      <c r="EO100" s="1" t="str">
        <f t="shared" si="524"/>
        <v>ND</v>
      </c>
      <c r="EP100" s="1" t="str">
        <f t="shared" si="524"/>
        <v>ND</v>
      </c>
      <c r="EQ100" s="1" t="str">
        <f t="shared" si="524"/>
        <v>ND</v>
      </c>
      <c r="ER100" s="1" t="str">
        <f t="shared" si="524"/>
        <v>ND</v>
      </c>
      <c r="ES100" s="1" t="str">
        <f t="shared" si="524"/>
        <v>ND</v>
      </c>
      <c r="ET100" s="1" t="str">
        <f t="shared" si="524"/>
        <v>ND</v>
      </c>
      <c r="EU100" s="1" t="str">
        <f t="shared" si="524"/>
        <v>ND</v>
      </c>
      <c r="EV100" s="1" t="str">
        <f t="shared" si="524"/>
        <v>ND</v>
      </c>
      <c r="EW100" s="1" t="str">
        <f t="shared" si="524"/>
        <v>ND</v>
      </c>
      <c r="EX100" s="1" t="str">
        <f t="shared" si="524"/>
        <v>ND</v>
      </c>
      <c r="EY100" s="1" t="str">
        <f t="shared" si="524"/>
        <v>ND</v>
      </c>
      <c r="EZ100" s="1" t="str">
        <f t="shared" si="525"/>
        <v>ND</v>
      </c>
      <c r="FA100" s="1" t="str">
        <f t="shared" si="525"/>
        <v>ND</v>
      </c>
      <c r="FB100" s="1" t="str">
        <f t="shared" si="525"/>
        <v>ND</v>
      </c>
      <c r="FC100" s="1" t="str">
        <f t="shared" si="525"/>
        <v>ND</v>
      </c>
      <c r="FD100" s="1" t="str">
        <f t="shared" si="525"/>
        <v>ND</v>
      </c>
      <c r="FE100" s="1" t="str">
        <f t="shared" si="525"/>
        <v>ND</v>
      </c>
      <c r="FF100" s="1" t="str">
        <f t="shared" si="525"/>
        <v>ND</v>
      </c>
      <c r="FG100" s="1" t="str">
        <f t="shared" si="525"/>
        <v>ND</v>
      </c>
      <c r="FH100" s="1" t="str">
        <f t="shared" si="525"/>
        <v>ND</v>
      </c>
      <c r="FI100" s="1" t="str">
        <f t="shared" si="525"/>
        <v>ND</v>
      </c>
      <c r="FJ100" s="1" t="str">
        <f t="shared" si="525"/>
        <v>ND</v>
      </c>
      <c r="FK100" s="1" t="str">
        <f t="shared" si="526"/>
        <v>ND</v>
      </c>
      <c r="FL100" s="1" t="str">
        <f t="shared" si="526"/>
        <v>ND</v>
      </c>
      <c r="FM100" s="1" t="str">
        <f t="shared" si="526"/>
        <v>ND</v>
      </c>
      <c r="FN100" s="1" t="str">
        <f t="shared" si="526"/>
        <v>ND</v>
      </c>
      <c r="FO100" s="1" t="str">
        <f t="shared" si="526"/>
        <v>ND</v>
      </c>
      <c r="FP100" s="1" t="str">
        <f t="shared" si="526"/>
        <v>ND</v>
      </c>
      <c r="FQ100" s="1" t="str">
        <f t="shared" si="526"/>
        <v>ND</v>
      </c>
      <c r="FR100" s="1" t="str">
        <f t="shared" si="526"/>
        <v>ND</v>
      </c>
      <c r="FS100" s="1" t="str">
        <f t="shared" si="526"/>
        <v>ND</v>
      </c>
      <c r="FT100" s="1" t="str">
        <f t="shared" si="526"/>
        <v>ND</v>
      </c>
      <c r="FU100" s="1" t="str">
        <f t="shared" si="526"/>
        <v>ND</v>
      </c>
      <c r="FV100" s="1" t="str">
        <f t="shared" si="448"/>
        <v>ND</v>
      </c>
      <c r="FW100" s="1" t="str">
        <f t="shared" si="449"/>
        <v>ND</v>
      </c>
      <c r="FX100" s="1" t="str">
        <f t="shared" si="450"/>
        <v>ND</v>
      </c>
      <c r="FY100" s="1" t="str">
        <f t="shared" si="451"/>
        <v>ND</v>
      </c>
      <c r="FZ100" s="1" t="str">
        <f t="shared" si="452"/>
        <v>ND</v>
      </c>
      <c r="GA100" s="1" t="str">
        <f t="shared" si="453"/>
        <v>ND</v>
      </c>
      <c r="GB100" s="1" t="str">
        <f t="shared" si="454"/>
        <v>ND</v>
      </c>
      <c r="GC100" s="1" t="str">
        <f t="shared" si="455"/>
        <v>ND</v>
      </c>
      <c r="GD100" s="1" t="str">
        <f t="shared" si="456"/>
        <v>ND</v>
      </c>
      <c r="GE100" s="1" t="str">
        <f t="shared" si="457"/>
        <v>ND</v>
      </c>
      <c r="GF100" s="1" t="str">
        <f t="shared" si="458"/>
        <v>ND</v>
      </c>
      <c r="GG100" s="1" t="str">
        <f t="shared" si="459"/>
        <v>ND</v>
      </c>
      <c r="GH100" s="1" t="str">
        <f t="shared" si="460"/>
        <v>ND</v>
      </c>
      <c r="GI100" s="1" t="str">
        <f t="shared" si="461"/>
        <v>ND</v>
      </c>
      <c r="GJ100" s="1" t="str">
        <f t="shared" si="462"/>
        <v>ND</v>
      </c>
      <c r="GK100" s="1" t="str">
        <f t="shared" si="463"/>
        <v>ND</v>
      </c>
      <c r="GL100" s="1" t="str">
        <f t="shared" si="464"/>
        <v>ND</v>
      </c>
      <c r="GM100" s="1" t="str">
        <f t="shared" si="465"/>
        <v>ND</v>
      </c>
      <c r="GN100" s="1" t="str">
        <f t="shared" si="466"/>
        <v>ND</v>
      </c>
      <c r="GO100" s="1" t="str">
        <f t="shared" si="467"/>
        <v>ND</v>
      </c>
      <c r="GP100" s="1" t="str">
        <f t="shared" si="468"/>
        <v>ND</v>
      </c>
      <c r="GQ100" s="1" t="str">
        <f t="shared" si="469"/>
        <v>ND</v>
      </c>
      <c r="GR100" s="1" t="str">
        <f t="shared" si="470"/>
        <v>ND</v>
      </c>
      <c r="GS100" s="1" t="str">
        <f t="shared" si="471"/>
        <v>ND</v>
      </c>
      <c r="GT100" s="1" t="str">
        <f t="shared" si="472"/>
        <v>ND</v>
      </c>
      <c r="GU100" s="1" t="str">
        <f t="shared" si="473"/>
        <v>ND</v>
      </c>
      <c r="GV100" s="1" t="str">
        <f t="shared" si="474"/>
        <v>ND</v>
      </c>
      <c r="GW100" s="1" t="str">
        <f t="shared" si="475"/>
        <v>ND</v>
      </c>
      <c r="GX100" s="1" t="str">
        <f t="shared" si="476"/>
        <v>ND</v>
      </c>
      <c r="GY100" s="1" t="str">
        <f t="shared" si="477"/>
        <v>ND</v>
      </c>
      <c r="GZ100" s="1" t="str">
        <f t="shared" si="478"/>
        <v>ND</v>
      </c>
      <c r="HA100" s="1" t="str">
        <f t="shared" si="479"/>
        <v>ND</v>
      </c>
      <c r="HB100" s="1" t="str">
        <f t="shared" si="480"/>
        <v>ND</v>
      </c>
      <c r="HC100" s="1" t="str">
        <f t="shared" si="481"/>
        <v>ND</v>
      </c>
      <c r="HD100" s="1" t="str">
        <f t="shared" si="482"/>
        <v>ND</v>
      </c>
      <c r="HE100" s="1" t="str">
        <f t="shared" si="483"/>
        <v>ND</v>
      </c>
      <c r="HF100" s="1" t="str">
        <f t="shared" si="484"/>
        <v>ND</v>
      </c>
      <c r="HG100" s="1" t="str">
        <f t="shared" si="485"/>
        <v>ND</v>
      </c>
      <c r="HH100" s="1" t="str">
        <f t="shared" si="486"/>
        <v>ND</v>
      </c>
      <c r="HI100" s="1" t="str">
        <f t="shared" si="487"/>
        <v>ND</v>
      </c>
      <c r="HJ100" s="1" t="str">
        <f t="shared" si="488"/>
        <v>ND</v>
      </c>
      <c r="HK100" s="1" t="str">
        <f t="shared" si="489"/>
        <v>ND</v>
      </c>
      <c r="HL100" s="1" t="str">
        <f t="shared" si="490"/>
        <v>ND</v>
      </c>
      <c r="HM100" s="1" t="str">
        <f t="shared" si="491"/>
        <v>ND</v>
      </c>
      <c r="HN100" s="1" t="str">
        <f t="shared" si="492"/>
        <v>ND</v>
      </c>
      <c r="HO100" s="1" t="str">
        <f t="shared" si="493"/>
        <v>ND</v>
      </c>
      <c r="HP100" s="1" t="str">
        <f t="shared" si="494"/>
        <v>ND</v>
      </c>
      <c r="HQ100" s="1" t="str">
        <f t="shared" si="495"/>
        <v>ND</v>
      </c>
      <c r="HR100" s="1" t="str">
        <f t="shared" si="496"/>
        <v>ND</v>
      </c>
      <c r="HS100" s="1" t="str">
        <f t="shared" si="497"/>
        <v>ND</v>
      </c>
      <c r="HT100" s="1" t="str">
        <f t="shared" si="498"/>
        <v>ND</v>
      </c>
      <c r="HU100" s="1" t="str">
        <f t="shared" si="499"/>
        <v>ND</v>
      </c>
      <c r="HV100" s="1" t="str">
        <f t="shared" si="500"/>
        <v>ND</v>
      </c>
      <c r="HW100" s="1" t="str">
        <f t="shared" si="501"/>
        <v>ND</v>
      </c>
      <c r="HX100" s="1" t="str">
        <f t="shared" si="502"/>
        <v>ND</v>
      </c>
      <c r="HY100" s="1" t="str">
        <f t="shared" si="503"/>
        <v>ND</v>
      </c>
      <c r="HZ100" s="1" t="str">
        <f t="shared" si="504"/>
        <v>ND</v>
      </c>
      <c r="IA100" s="1" t="str">
        <f t="shared" si="505"/>
        <v>ND</v>
      </c>
      <c r="IB100" s="1" t="str">
        <f t="shared" si="506"/>
        <v>ND</v>
      </c>
      <c r="IC100" s="1" t="str">
        <f t="shared" si="507"/>
        <v>ND</v>
      </c>
      <c r="ID100" s="1" t="str">
        <f t="shared" si="508"/>
        <v>ND</v>
      </c>
      <c r="IE100" s="1" t="str">
        <f t="shared" si="509"/>
        <v>ND</v>
      </c>
      <c r="IF100" s="1" t="str">
        <f t="shared" si="510"/>
        <v>ND</v>
      </c>
      <c r="IG100" s="1" t="str">
        <f t="shared" si="511"/>
        <v>ND</v>
      </c>
      <c r="IH100" s="1" t="str">
        <f t="shared" si="512"/>
        <v>ND</v>
      </c>
      <c r="II100" s="1" t="str">
        <f t="shared" si="513"/>
        <v>ND</v>
      </c>
    </row>
    <row r="101" spans="3:243" x14ac:dyDescent="0.25">
      <c r="C101" t="s">
        <v>32</v>
      </c>
      <c r="D101">
        <f>SUMIFS(DICCIONARIO[Cantidad],DICCIONARIO[Modelo],UNIFICADA[[#This Row],[Equipo]])</f>
        <v>0</v>
      </c>
      <c r="E101" s="1">
        <f>IFERROR(VLOOKUP($C101,EQUIPOS[],UNIFICADO!E$9,0),"")</f>
        <v>11</v>
      </c>
      <c r="F101" s="1">
        <f>IFERROR(VLOOKUP($C101,EQUIPOS[],UNIFICADO!F$9,0),"")</f>
        <v>6.7</v>
      </c>
      <c r="G101" s="1">
        <f>IFERROR(VLOOKUP($C101,EQUIPOS[],UNIFICADO!G$9,0),"")</f>
        <v>12</v>
      </c>
      <c r="H101" s="1">
        <f>IFERROR(VLOOKUP($C101,EQUIPOS[],UNIFICADO!H$9,0),"")</f>
        <v>2</v>
      </c>
      <c r="I101" s="1">
        <f>IFERROR(VLOOKUP($C101,EQUIPOS[],UNIFICADO!I$9,0),"")</f>
        <v>10</v>
      </c>
      <c r="J101" s="1" t="str">
        <f>IFERROR(VLOOKUP($C101,EQUIPOS[],UNIFICADO!J$9,0),"")</f>
        <v>256GB</v>
      </c>
      <c r="K101" s="1">
        <f>IFERROR(VLOOKUP($C101,EQUIPOS[],UNIFICADO!K$9,0),"")</f>
        <v>0</v>
      </c>
      <c r="L101" s="1">
        <f>IFERROR(VLOOKUP($C101,EQUIPOS[],UNIFICADO!L$9,0),"")</f>
        <v>8</v>
      </c>
      <c r="M101" s="1">
        <f>IFERROR(VLOOKUP($C101,EQUIPOS[],UNIFICADO!M$9,0),"")</f>
        <v>0</v>
      </c>
      <c r="N101" s="1">
        <f>IFERROR(VLOOKUP($C101,EQUIPOS[],UNIFICADO!N$9,0),"")</f>
        <v>8</v>
      </c>
      <c r="O101" s="1">
        <f>IFERROR(VLOOKUP($C101,EQUIPOS[],UNIFICADO!O$9,0),"")</f>
        <v>183</v>
      </c>
      <c r="P101" s="1">
        <f>IFERROR(VLOOKUP($C101,EQUIPOS[],UNIFICADO!P$9,0),"")</f>
        <v>86.4</v>
      </c>
      <c r="Q101" s="1">
        <f>IFERROR(VLOOKUP($C101,EQUIPOS[],UNIFICADO!Q$9,0),"")</f>
        <v>7.22</v>
      </c>
      <c r="R101" s="1">
        <f>IFERROR(VLOOKUP($C101,EQUIPOS[],UNIFICADO!R$9,0),"")</f>
        <v>0.69</v>
      </c>
      <c r="S101" s="1">
        <f>IFERROR(VLOOKUP($C101,EQUIPOS[],UNIFICADO!S$9,0),"")</f>
        <v>3300</v>
      </c>
      <c r="T101" s="1">
        <f>IFERROR(VLOOKUP($C101,EQUIPOS[],UNIFICADO!T$9,0),"")</f>
        <v>5</v>
      </c>
      <c r="U101" s="1">
        <f>VLOOKUP(UNIFICADA[[#This Row],[Equipo]],EQUIPOS[],19,0)</f>
        <v>91</v>
      </c>
      <c r="V101" s="1" t="str">
        <f t="shared" si="358"/>
        <v>ND</v>
      </c>
      <c r="W101" s="1" t="str">
        <f t="shared" si="359"/>
        <v>ND</v>
      </c>
      <c r="X101" s="1" t="str">
        <f t="shared" si="520"/>
        <v>ND</v>
      </c>
      <c r="Y101" s="1" t="str">
        <f t="shared" si="520"/>
        <v>ND</v>
      </c>
      <c r="Z101" s="1" t="str">
        <f t="shared" ref="Z101:AH110" si="527">IFERROR(IF(Z$9="ND","ND",VLOOKUP($C101,AC,Z$9,0)),"ND")</f>
        <v>ND</v>
      </c>
      <c r="AA101" s="1" t="str">
        <f t="shared" si="527"/>
        <v>ND</v>
      </c>
      <c r="AB101" s="1" t="str">
        <f t="shared" si="527"/>
        <v>ND</v>
      </c>
      <c r="AC101" s="1" t="str">
        <f t="shared" si="527"/>
        <v>ND</v>
      </c>
      <c r="AD101" s="1" t="str">
        <f t="shared" si="527"/>
        <v>ND</v>
      </c>
      <c r="AE101" s="1" t="str">
        <f t="shared" si="527"/>
        <v>ND</v>
      </c>
      <c r="AF101" s="1" t="str">
        <f t="shared" si="527"/>
        <v>ND</v>
      </c>
      <c r="AG101" s="1" t="str">
        <f t="shared" si="527"/>
        <v>ND</v>
      </c>
      <c r="AH101" s="1" t="str">
        <f t="shared" si="527"/>
        <v>ND</v>
      </c>
      <c r="AI101" s="1" t="str">
        <f t="shared" si="360"/>
        <v>ND</v>
      </c>
      <c r="AJ101" s="1" t="str">
        <f t="shared" si="361"/>
        <v>ND</v>
      </c>
      <c r="AK101" s="1" t="str">
        <f t="shared" si="362"/>
        <v>ND</v>
      </c>
      <c r="AL101" s="1" t="str">
        <f t="shared" si="363"/>
        <v>ND</v>
      </c>
      <c r="AM101" s="1" t="str">
        <f t="shared" si="364"/>
        <v>ND</v>
      </c>
      <c r="AN101" s="1" t="str">
        <f t="shared" si="365"/>
        <v>ND</v>
      </c>
      <c r="AO101" s="1" t="str">
        <f t="shared" si="366"/>
        <v>ND</v>
      </c>
      <c r="AP101" s="1" t="str">
        <f t="shared" si="367"/>
        <v>ND</v>
      </c>
      <c r="AQ101" s="1" t="str">
        <f t="shared" si="368"/>
        <v>ND</v>
      </c>
      <c r="AR101" s="1" t="str">
        <f t="shared" si="369"/>
        <v>ND</v>
      </c>
      <c r="AS101" s="1" t="str">
        <f t="shared" si="370"/>
        <v>ND</v>
      </c>
      <c r="AT101" s="1" t="str">
        <f t="shared" si="371"/>
        <v>ND</v>
      </c>
      <c r="AU101" s="1" t="str">
        <f t="shared" si="372"/>
        <v>ND</v>
      </c>
      <c r="AV101" s="1" t="str">
        <f t="shared" si="373"/>
        <v>ND</v>
      </c>
      <c r="AW101" s="1" t="str">
        <f t="shared" si="374"/>
        <v>ND</v>
      </c>
      <c r="AX101" s="1" t="str">
        <f t="shared" si="375"/>
        <v>ND</v>
      </c>
      <c r="AY101" s="1" t="str">
        <f t="shared" si="376"/>
        <v>ND</v>
      </c>
      <c r="AZ101" s="1" t="str">
        <f t="shared" si="377"/>
        <v>ND</v>
      </c>
      <c r="BA101" s="1" t="str">
        <f t="shared" si="378"/>
        <v>ND</v>
      </c>
      <c r="BB101" s="1" t="str">
        <f t="shared" si="379"/>
        <v>ND</v>
      </c>
      <c r="BC101" s="1" t="str">
        <f t="shared" si="380"/>
        <v>ND</v>
      </c>
      <c r="BD101" s="1" t="str">
        <f t="shared" si="381"/>
        <v>ND</v>
      </c>
      <c r="BE101" s="1" t="str">
        <f t="shared" si="382"/>
        <v>ND</v>
      </c>
      <c r="BF101" s="1" t="str">
        <f t="shared" si="383"/>
        <v>ND</v>
      </c>
      <c r="BG101" s="1" t="str">
        <f t="shared" si="384"/>
        <v>ND</v>
      </c>
      <c r="BH101" s="1" t="str">
        <f t="shared" si="385"/>
        <v>ND</v>
      </c>
      <c r="BI101" s="1" t="str">
        <f t="shared" si="386"/>
        <v>ND</v>
      </c>
      <c r="BJ101" s="1" t="str">
        <f t="shared" si="387"/>
        <v>ND</v>
      </c>
      <c r="BK101" s="1" t="str">
        <f t="shared" si="388"/>
        <v>ND</v>
      </c>
      <c r="BL101" s="1" t="str">
        <f t="shared" si="389"/>
        <v>ND</v>
      </c>
      <c r="BM101" s="1" t="str">
        <f t="shared" si="390"/>
        <v>ND</v>
      </c>
      <c r="BN101" s="1" t="str">
        <f t="shared" si="391"/>
        <v>ND</v>
      </c>
      <c r="BO101" s="1" t="str">
        <f t="shared" si="392"/>
        <v>ND</v>
      </c>
      <c r="BP101" s="1" t="str">
        <f t="shared" si="393"/>
        <v>ND</v>
      </c>
      <c r="BQ101" s="1" t="str">
        <f t="shared" si="394"/>
        <v>ND</v>
      </c>
      <c r="BR101" s="1" t="str">
        <f t="shared" si="395"/>
        <v>ND</v>
      </c>
      <c r="BS101" s="1" t="str">
        <f t="shared" si="396"/>
        <v>ND</v>
      </c>
      <c r="BT101" s="1" t="str">
        <f t="shared" si="397"/>
        <v>ND</v>
      </c>
      <c r="BU101" s="1" t="str">
        <f t="shared" si="398"/>
        <v>ND</v>
      </c>
      <c r="BV101" s="1" t="str">
        <f t="shared" si="399"/>
        <v>ND</v>
      </c>
      <c r="BW101" s="1" t="str">
        <f t="shared" si="400"/>
        <v>ND</v>
      </c>
      <c r="BX101" s="1" t="str">
        <f t="shared" si="401"/>
        <v>ND</v>
      </c>
      <c r="BY101" s="1" t="str">
        <f t="shared" si="402"/>
        <v>ND</v>
      </c>
      <c r="BZ101" s="1" t="str">
        <f t="shared" si="403"/>
        <v>ND</v>
      </c>
      <c r="CA101" s="1" t="str">
        <f t="shared" ref="CA101:CK110" si="528">IFERROR(IF(CA$9="ND","ND",VLOOKUP($C101,FULLC,CA$9,0)),"ND")</f>
        <v>ND</v>
      </c>
      <c r="CB101" s="1" t="str">
        <f t="shared" si="528"/>
        <v>ND</v>
      </c>
      <c r="CC101" s="1" t="str">
        <f t="shared" si="528"/>
        <v>ND</v>
      </c>
      <c r="CD101" s="1" t="str">
        <f t="shared" si="528"/>
        <v>ND</v>
      </c>
      <c r="CE101" s="1" t="str">
        <f t="shared" si="528"/>
        <v>ND</v>
      </c>
      <c r="CF101" s="1" t="str">
        <f t="shared" si="528"/>
        <v>ND</v>
      </c>
      <c r="CG101" s="1" t="str">
        <f t="shared" si="528"/>
        <v>ND</v>
      </c>
      <c r="CH101" s="1" t="str">
        <f t="shared" si="528"/>
        <v>ND</v>
      </c>
      <c r="CI101" s="1" t="str">
        <f t="shared" si="528"/>
        <v>ND</v>
      </c>
      <c r="CJ101" s="1" t="str">
        <f t="shared" si="528"/>
        <v>ND</v>
      </c>
      <c r="CK101" s="1" t="str">
        <f t="shared" si="528"/>
        <v>ND</v>
      </c>
      <c r="CL101" s="1" t="str">
        <f t="shared" ref="CL101:CV110" si="529">IFERROR(IF(CL$9="ND","ND",VLOOKUP($C101,LINA,CL$9,0)),"ND")</f>
        <v>ND</v>
      </c>
      <c r="CM101" s="1" t="str">
        <f t="shared" si="529"/>
        <v>ND</v>
      </c>
      <c r="CN101" s="1" t="str">
        <f t="shared" si="529"/>
        <v>ND</v>
      </c>
      <c r="CO101" s="1" t="str">
        <f t="shared" si="529"/>
        <v>ND</v>
      </c>
      <c r="CP101" s="1" t="str">
        <f t="shared" si="529"/>
        <v>ND</v>
      </c>
      <c r="CQ101" s="1" t="str">
        <f t="shared" si="529"/>
        <v>ND</v>
      </c>
      <c r="CR101" s="1" t="str">
        <f t="shared" si="529"/>
        <v>ND</v>
      </c>
      <c r="CS101" s="1" t="str">
        <f t="shared" si="529"/>
        <v>ND</v>
      </c>
      <c r="CT101" s="1" t="str">
        <f t="shared" si="529"/>
        <v>ND</v>
      </c>
      <c r="CU101" s="1" t="str">
        <f t="shared" si="529"/>
        <v>ND</v>
      </c>
      <c r="CV101" s="1" t="str">
        <f t="shared" si="529"/>
        <v>ND</v>
      </c>
      <c r="CW101" s="1" t="str">
        <f t="shared" si="404"/>
        <v>ND</v>
      </c>
      <c r="CX101" s="1" t="str">
        <f t="shared" si="405"/>
        <v>ND</v>
      </c>
      <c r="CY101" s="1" t="str">
        <f t="shared" si="406"/>
        <v>ND</v>
      </c>
      <c r="CZ101" s="1" t="str">
        <f t="shared" si="407"/>
        <v>ND</v>
      </c>
      <c r="DA101" s="1" t="str">
        <f t="shared" si="408"/>
        <v>ND</v>
      </c>
      <c r="DB101" s="1" t="str">
        <f t="shared" si="409"/>
        <v>ND</v>
      </c>
      <c r="DC101" s="1" t="str">
        <f t="shared" si="410"/>
        <v>ND</v>
      </c>
      <c r="DD101" s="1" t="str">
        <f t="shared" si="411"/>
        <v>ND</v>
      </c>
      <c r="DE101" s="1" t="str">
        <f t="shared" si="412"/>
        <v>ND</v>
      </c>
      <c r="DF101" s="1" t="str">
        <f t="shared" si="413"/>
        <v>ND</v>
      </c>
      <c r="DG101" s="1" t="str">
        <f t="shared" si="414"/>
        <v>ND</v>
      </c>
      <c r="DH101" s="1" t="str">
        <f t="shared" si="415"/>
        <v>ND</v>
      </c>
      <c r="DI101" s="1" t="str">
        <f t="shared" si="416"/>
        <v>ND</v>
      </c>
      <c r="DJ101" s="1" t="str">
        <f t="shared" si="417"/>
        <v>ND</v>
      </c>
      <c r="DK101" s="1" t="str">
        <f t="shared" si="418"/>
        <v>ND</v>
      </c>
      <c r="DL101" s="1" t="str">
        <f t="shared" si="419"/>
        <v>ND</v>
      </c>
      <c r="DM101" s="1" t="str">
        <f t="shared" si="420"/>
        <v>ND</v>
      </c>
      <c r="DN101" s="1" t="str">
        <f t="shared" si="421"/>
        <v>ND</v>
      </c>
      <c r="DO101" s="1" t="str">
        <f t="shared" si="422"/>
        <v>ND</v>
      </c>
      <c r="DP101" s="1" t="str">
        <f t="shared" si="423"/>
        <v>ND</v>
      </c>
      <c r="DQ101" s="1" t="str">
        <f t="shared" si="424"/>
        <v>ND</v>
      </c>
      <c r="DR101" s="1" t="str">
        <f t="shared" si="425"/>
        <v>ND</v>
      </c>
      <c r="DS101" s="1" t="str">
        <f t="shared" si="426"/>
        <v>ND</v>
      </c>
      <c r="DT101" s="1" t="str">
        <f t="shared" si="427"/>
        <v>ND</v>
      </c>
      <c r="DU101" s="1" t="str">
        <f t="shared" si="428"/>
        <v>ND</v>
      </c>
      <c r="DV101" s="1" t="str">
        <f t="shared" si="429"/>
        <v>ND</v>
      </c>
      <c r="DW101" s="1" t="str">
        <f t="shared" si="430"/>
        <v>ND</v>
      </c>
      <c r="DX101" s="1" t="str">
        <f t="shared" si="431"/>
        <v>ND</v>
      </c>
      <c r="DY101" s="1" t="str">
        <f t="shared" si="432"/>
        <v>ND</v>
      </c>
      <c r="DZ101" s="1" t="str">
        <f t="shared" si="433"/>
        <v>ND</v>
      </c>
      <c r="EA101" s="1" t="str">
        <f t="shared" si="434"/>
        <v>ND</v>
      </c>
      <c r="EB101" s="1" t="str">
        <f t="shared" si="435"/>
        <v>ND</v>
      </c>
      <c r="EC101" s="1" t="str">
        <f t="shared" si="436"/>
        <v>ND</v>
      </c>
      <c r="ED101" s="1" t="str">
        <f t="shared" si="437"/>
        <v>ND</v>
      </c>
      <c r="EE101" s="1" t="str">
        <f t="shared" si="438"/>
        <v>ND</v>
      </c>
      <c r="EF101" s="1" t="str">
        <f t="shared" si="439"/>
        <v>ND</v>
      </c>
      <c r="EG101" s="1" t="str">
        <f t="shared" si="440"/>
        <v>ND</v>
      </c>
      <c r="EH101" s="1" t="str">
        <f t="shared" si="441"/>
        <v>ND</v>
      </c>
      <c r="EI101" s="1" t="str">
        <f t="shared" si="442"/>
        <v>ND</v>
      </c>
      <c r="EJ101" s="1" t="str">
        <f t="shared" si="443"/>
        <v>ND</v>
      </c>
      <c r="EK101" s="1" t="str">
        <f t="shared" si="444"/>
        <v>ND</v>
      </c>
      <c r="EL101" s="1" t="str">
        <f t="shared" si="445"/>
        <v>ND</v>
      </c>
      <c r="EM101" s="1" t="str">
        <f t="shared" si="446"/>
        <v>ND</v>
      </c>
      <c r="EN101" s="1" t="str">
        <f t="shared" si="447"/>
        <v>ND</v>
      </c>
      <c r="EO101" s="1" t="str">
        <f t="shared" ref="EO101:EY110" si="530">IFERROR(IF(EO$9="ND","ND",VLOOKUP($C101,PAR,EO$9,0)),"ND")</f>
        <v>ND</v>
      </c>
      <c r="EP101" s="1" t="str">
        <f t="shared" si="530"/>
        <v>ND</v>
      </c>
      <c r="EQ101" s="1" t="str">
        <f t="shared" si="530"/>
        <v>ND</v>
      </c>
      <c r="ER101" s="1" t="str">
        <f t="shared" si="530"/>
        <v>ND</v>
      </c>
      <c r="ES101" s="1" t="str">
        <f t="shared" si="530"/>
        <v>ND</v>
      </c>
      <c r="ET101" s="1" t="str">
        <f t="shared" si="530"/>
        <v>ND</v>
      </c>
      <c r="EU101" s="1" t="str">
        <f t="shared" si="530"/>
        <v>ND</v>
      </c>
      <c r="EV101" s="1" t="str">
        <f t="shared" si="530"/>
        <v>ND</v>
      </c>
      <c r="EW101" s="1" t="str">
        <f t="shared" si="530"/>
        <v>ND</v>
      </c>
      <c r="EX101" s="1" t="str">
        <f t="shared" si="530"/>
        <v>ND</v>
      </c>
      <c r="EY101" s="1" t="str">
        <f t="shared" si="530"/>
        <v>ND</v>
      </c>
      <c r="EZ101" s="1" t="str">
        <f t="shared" ref="EZ101:FJ110" si="531">IFERROR(IF(EZ$9="ND","ND",VLOOKUP($C101,PE,EZ$9,0)),"ND")</f>
        <v>ND</v>
      </c>
      <c r="FA101" s="1" t="str">
        <f t="shared" si="531"/>
        <v>ND</v>
      </c>
      <c r="FB101" s="1" t="str">
        <f t="shared" si="531"/>
        <v>ND</v>
      </c>
      <c r="FC101" s="1" t="str">
        <f t="shared" si="531"/>
        <v>ND</v>
      </c>
      <c r="FD101" s="1" t="str">
        <f t="shared" si="531"/>
        <v>ND</v>
      </c>
      <c r="FE101" s="1" t="str">
        <f t="shared" si="531"/>
        <v>ND</v>
      </c>
      <c r="FF101" s="1" t="str">
        <f t="shared" si="531"/>
        <v>ND</v>
      </c>
      <c r="FG101" s="1" t="str">
        <f t="shared" si="531"/>
        <v>ND</v>
      </c>
      <c r="FH101" s="1" t="str">
        <f t="shared" si="531"/>
        <v>ND</v>
      </c>
      <c r="FI101" s="1" t="str">
        <f t="shared" si="531"/>
        <v>ND</v>
      </c>
      <c r="FJ101" s="1" t="str">
        <f t="shared" si="531"/>
        <v>ND</v>
      </c>
      <c r="FK101" s="1" t="str">
        <f t="shared" ref="FK101:FU110" si="532">IFERROR(IF(FK$9="ND","ND",VLOOKUP($C101,RE,FK$9,0)),"ND")</f>
        <v>ND</v>
      </c>
      <c r="FL101" s="1" t="str">
        <f t="shared" si="532"/>
        <v>ND</v>
      </c>
      <c r="FM101" s="1" t="str">
        <f t="shared" si="532"/>
        <v>ND</v>
      </c>
      <c r="FN101" s="1" t="str">
        <f t="shared" si="532"/>
        <v>ND</v>
      </c>
      <c r="FO101" s="1" t="str">
        <f t="shared" si="532"/>
        <v>ND</v>
      </c>
      <c r="FP101" s="1" t="str">
        <f t="shared" si="532"/>
        <v>ND</v>
      </c>
      <c r="FQ101" s="1" t="str">
        <f t="shared" si="532"/>
        <v>ND</v>
      </c>
      <c r="FR101" s="1" t="str">
        <f t="shared" si="532"/>
        <v>ND</v>
      </c>
      <c r="FS101" s="1" t="str">
        <f t="shared" si="532"/>
        <v>ND</v>
      </c>
      <c r="FT101" s="1" t="str">
        <f t="shared" si="532"/>
        <v>ND</v>
      </c>
      <c r="FU101" s="1" t="str">
        <f t="shared" si="532"/>
        <v>ND</v>
      </c>
      <c r="FV101" s="1" t="str">
        <f t="shared" si="448"/>
        <v>ND</v>
      </c>
      <c r="FW101" s="1" t="str">
        <f t="shared" si="449"/>
        <v>ND</v>
      </c>
      <c r="FX101" s="1" t="str">
        <f t="shared" si="450"/>
        <v>ND</v>
      </c>
      <c r="FY101" s="1" t="str">
        <f t="shared" si="451"/>
        <v>ND</v>
      </c>
      <c r="FZ101" s="1" t="str">
        <f t="shared" si="452"/>
        <v>ND</v>
      </c>
      <c r="GA101" s="1" t="str">
        <f t="shared" si="453"/>
        <v>ND</v>
      </c>
      <c r="GB101" s="1" t="str">
        <f t="shared" si="454"/>
        <v>ND</v>
      </c>
      <c r="GC101" s="1" t="str">
        <f t="shared" si="455"/>
        <v>ND</v>
      </c>
      <c r="GD101" s="1" t="str">
        <f t="shared" si="456"/>
        <v>ND</v>
      </c>
      <c r="GE101" s="1" t="str">
        <f t="shared" si="457"/>
        <v>ND</v>
      </c>
      <c r="GF101" s="1" t="str">
        <f t="shared" si="458"/>
        <v>ND</v>
      </c>
      <c r="GG101" s="1" t="str">
        <f t="shared" si="459"/>
        <v>ND</v>
      </c>
      <c r="GH101" s="1" t="str">
        <f t="shared" si="460"/>
        <v>ND</v>
      </c>
      <c r="GI101" s="1" t="str">
        <f t="shared" si="461"/>
        <v>ND</v>
      </c>
      <c r="GJ101" s="1" t="str">
        <f t="shared" si="462"/>
        <v>ND</v>
      </c>
      <c r="GK101" s="1" t="str">
        <f t="shared" si="463"/>
        <v>ND</v>
      </c>
      <c r="GL101" s="1" t="str">
        <f t="shared" si="464"/>
        <v>ND</v>
      </c>
      <c r="GM101" s="1" t="str">
        <f t="shared" si="465"/>
        <v>ND</v>
      </c>
      <c r="GN101" s="1" t="str">
        <f t="shared" si="466"/>
        <v>ND</v>
      </c>
      <c r="GO101" s="1" t="str">
        <f t="shared" si="467"/>
        <v>ND</v>
      </c>
      <c r="GP101" s="1" t="str">
        <f t="shared" si="468"/>
        <v>ND</v>
      </c>
      <c r="GQ101" s="1" t="str">
        <f t="shared" si="469"/>
        <v>ND</v>
      </c>
      <c r="GR101" s="1" t="str">
        <f t="shared" si="470"/>
        <v>ND</v>
      </c>
      <c r="GS101" s="1" t="str">
        <f t="shared" si="471"/>
        <v>ND</v>
      </c>
      <c r="GT101" s="1" t="str">
        <f t="shared" si="472"/>
        <v>ND</v>
      </c>
      <c r="GU101" s="1" t="str">
        <f t="shared" si="473"/>
        <v>ND</v>
      </c>
      <c r="GV101" s="1" t="str">
        <f t="shared" si="474"/>
        <v>ND</v>
      </c>
      <c r="GW101" s="1" t="str">
        <f t="shared" si="475"/>
        <v>ND</v>
      </c>
      <c r="GX101" s="1" t="str">
        <f t="shared" si="476"/>
        <v>ND</v>
      </c>
      <c r="GY101" s="1" t="str">
        <f t="shared" si="477"/>
        <v>ND</v>
      </c>
      <c r="GZ101" s="1" t="str">
        <f t="shared" si="478"/>
        <v>ND</v>
      </c>
      <c r="HA101" s="1" t="str">
        <f t="shared" si="479"/>
        <v>ND</v>
      </c>
      <c r="HB101" s="1" t="str">
        <f t="shared" si="480"/>
        <v>ND</v>
      </c>
      <c r="HC101" s="1" t="str">
        <f t="shared" si="481"/>
        <v>ND</v>
      </c>
      <c r="HD101" s="1" t="str">
        <f t="shared" si="482"/>
        <v>ND</v>
      </c>
      <c r="HE101" s="1" t="str">
        <f t="shared" si="483"/>
        <v>ND</v>
      </c>
      <c r="HF101" s="1" t="str">
        <f t="shared" si="484"/>
        <v>ND</v>
      </c>
      <c r="HG101" s="1" t="str">
        <f t="shared" si="485"/>
        <v>ND</v>
      </c>
      <c r="HH101" s="1" t="str">
        <f t="shared" si="486"/>
        <v>ND</v>
      </c>
      <c r="HI101" s="1" t="str">
        <f t="shared" si="487"/>
        <v>ND</v>
      </c>
      <c r="HJ101" s="1" t="str">
        <f t="shared" si="488"/>
        <v>ND</v>
      </c>
      <c r="HK101" s="1" t="str">
        <f t="shared" si="489"/>
        <v>ND</v>
      </c>
      <c r="HL101" s="1" t="str">
        <f t="shared" si="490"/>
        <v>ND</v>
      </c>
      <c r="HM101" s="1" t="str">
        <f t="shared" si="491"/>
        <v>ND</v>
      </c>
      <c r="HN101" s="1" t="str">
        <f t="shared" si="492"/>
        <v>ND</v>
      </c>
      <c r="HO101" s="1" t="str">
        <f t="shared" si="493"/>
        <v>ND</v>
      </c>
      <c r="HP101" s="1" t="str">
        <f t="shared" si="494"/>
        <v>ND</v>
      </c>
      <c r="HQ101" s="1" t="str">
        <f t="shared" si="495"/>
        <v>ND</v>
      </c>
      <c r="HR101" s="1" t="str">
        <f t="shared" si="496"/>
        <v>ND</v>
      </c>
      <c r="HS101" s="1" t="str">
        <f t="shared" si="497"/>
        <v>ND</v>
      </c>
      <c r="HT101" s="1" t="str">
        <f t="shared" si="498"/>
        <v>ND</v>
      </c>
      <c r="HU101" s="1" t="str">
        <f t="shared" si="499"/>
        <v>ND</v>
      </c>
      <c r="HV101" s="1" t="str">
        <f t="shared" si="500"/>
        <v>ND</v>
      </c>
      <c r="HW101" s="1" t="str">
        <f t="shared" si="501"/>
        <v>ND</v>
      </c>
      <c r="HX101" s="1" t="str">
        <f t="shared" si="502"/>
        <v>ND</v>
      </c>
      <c r="HY101" s="1" t="str">
        <f t="shared" si="503"/>
        <v>ND</v>
      </c>
      <c r="HZ101" s="1" t="str">
        <f t="shared" si="504"/>
        <v>ND</v>
      </c>
      <c r="IA101" s="1" t="str">
        <f t="shared" si="505"/>
        <v>ND</v>
      </c>
      <c r="IB101" s="1" t="str">
        <f t="shared" si="506"/>
        <v>ND</v>
      </c>
      <c r="IC101" s="1" t="str">
        <f t="shared" si="507"/>
        <v>ND</v>
      </c>
      <c r="ID101" s="1" t="str">
        <f t="shared" si="508"/>
        <v>ND</v>
      </c>
      <c r="IE101" s="1" t="str">
        <f t="shared" si="509"/>
        <v>ND</v>
      </c>
      <c r="IF101" s="1" t="str">
        <f t="shared" si="510"/>
        <v>ND</v>
      </c>
      <c r="IG101" s="1" t="str">
        <f t="shared" si="511"/>
        <v>ND</v>
      </c>
      <c r="IH101" s="1" t="str">
        <f t="shared" si="512"/>
        <v>ND</v>
      </c>
      <c r="II101" s="1" t="str">
        <f t="shared" si="513"/>
        <v>ND</v>
      </c>
    </row>
    <row r="102" spans="3:243" x14ac:dyDescent="0.25">
      <c r="C102" t="s">
        <v>104</v>
      </c>
      <c r="D102">
        <f>SUMIFS(DICCIONARIO[Cantidad],DICCIONARIO[Modelo],UNIFICADA[[#This Row],[Equipo]])</f>
        <v>0</v>
      </c>
      <c r="E102" s="1">
        <f>IFERROR(VLOOKUP($C102,EQUIPOS[],UNIFICADO!E$9,0),"")</f>
        <v>12</v>
      </c>
      <c r="F102" s="1">
        <f>IFERROR(VLOOKUP($C102,EQUIPOS[],UNIFICADO!F$9,0),"")</f>
        <v>6.7</v>
      </c>
      <c r="G102" s="1">
        <f>IFERROR(VLOOKUP($C102,EQUIPOS[],UNIFICADO!G$9,0),"")</f>
        <v>12</v>
      </c>
      <c r="H102" s="1">
        <f>IFERROR(VLOOKUP($C102,EQUIPOS[],UNIFICADO!H$9,0),"")</f>
        <v>2</v>
      </c>
      <c r="I102" s="1">
        <f>IFERROR(VLOOKUP($C102,EQUIPOS[],UNIFICADO!I$9,0),"")</f>
        <v>10</v>
      </c>
      <c r="J102" s="1" t="str">
        <f>IFERROR(VLOOKUP($C102,EQUIPOS[],UNIFICADO!J$9,0),"")</f>
        <v>256GB</v>
      </c>
      <c r="K102" s="1">
        <f>IFERROR(VLOOKUP($C102,EQUIPOS[],UNIFICADO!K$9,0),"")</f>
        <v>0</v>
      </c>
      <c r="L102" s="1">
        <f>IFERROR(VLOOKUP($C102,EQUIPOS[],UNIFICADO!L$9,0),"")</f>
        <v>8</v>
      </c>
      <c r="M102" s="1" t="str">
        <f>IFERROR(VLOOKUP($C102,EQUIPOS[],UNIFICADO!M$9,0),"")</f>
        <v>3.19/2.75</v>
      </c>
      <c r="N102" s="1">
        <f>IFERROR(VLOOKUP($C102,EQUIPOS[],UNIFICADO!N$9,0),"")</f>
        <v>8</v>
      </c>
      <c r="O102" s="1">
        <f>IFERROR(VLOOKUP($C102,EQUIPOS[],UNIFICADO!O$9,0),"")</f>
        <v>187</v>
      </c>
      <c r="P102" s="1">
        <f>IFERROR(VLOOKUP($C102,EQUIPOS[],UNIFICADO!P$9,0),"")</f>
        <v>16.5</v>
      </c>
      <c r="Q102" s="1">
        <f>IFERROR(VLOOKUP($C102,EQUIPOS[],UNIFICADO!Q$9,0),"")</f>
        <v>7.13</v>
      </c>
      <c r="R102" s="1">
        <f>IFERROR(VLOOKUP($C102,EQUIPOS[],UNIFICADO!R$9,0),"")</f>
        <v>0.69</v>
      </c>
      <c r="S102" s="1">
        <f>IFERROR(VLOOKUP($C102,EQUIPOS[],UNIFICADO!S$9,0),"")</f>
        <v>3700</v>
      </c>
      <c r="T102" s="1">
        <f>IFERROR(VLOOKUP($C102,EQUIPOS[],UNIFICADO!T$9,0),"")</f>
        <v>5</v>
      </c>
      <c r="U102" s="1">
        <f>VLOOKUP(UNIFICADA[[#This Row],[Equipo]],EQUIPOS[],19,0)</f>
        <v>92</v>
      </c>
      <c r="V102" s="1" t="str">
        <f t="shared" si="358"/>
        <v>ND</v>
      </c>
      <c r="W102" s="1" t="str">
        <f t="shared" si="359"/>
        <v>ND</v>
      </c>
      <c r="X102" s="1" t="str">
        <f t="shared" si="520"/>
        <v>ND</v>
      </c>
      <c r="Y102" s="1" t="str">
        <f t="shared" si="520"/>
        <v>ND</v>
      </c>
      <c r="Z102" s="1" t="str">
        <f t="shared" si="527"/>
        <v>ND</v>
      </c>
      <c r="AA102" s="1" t="str">
        <f t="shared" si="527"/>
        <v>ND</v>
      </c>
      <c r="AB102" s="1" t="str">
        <f t="shared" si="527"/>
        <v>ND</v>
      </c>
      <c r="AC102" s="1" t="str">
        <f t="shared" si="527"/>
        <v>ND</v>
      </c>
      <c r="AD102" s="1" t="str">
        <f t="shared" si="527"/>
        <v>ND</v>
      </c>
      <c r="AE102" s="1" t="str">
        <f t="shared" si="527"/>
        <v>ND</v>
      </c>
      <c r="AF102" s="1" t="str">
        <f t="shared" si="527"/>
        <v>ND</v>
      </c>
      <c r="AG102" s="1" t="str">
        <f t="shared" si="527"/>
        <v>ND</v>
      </c>
      <c r="AH102" s="1" t="str">
        <f t="shared" si="527"/>
        <v>ND</v>
      </c>
      <c r="AI102" s="1" t="str">
        <f t="shared" si="360"/>
        <v>ND</v>
      </c>
      <c r="AJ102" s="1" t="str">
        <f t="shared" si="361"/>
        <v>ND</v>
      </c>
      <c r="AK102" s="1" t="str">
        <f t="shared" si="362"/>
        <v>ND</v>
      </c>
      <c r="AL102" s="1" t="str">
        <f t="shared" si="363"/>
        <v>ND</v>
      </c>
      <c r="AM102" s="1" t="str">
        <f t="shared" si="364"/>
        <v>ND</v>
      </c>
      <c r="AN102" s="1" t="str">
        <f t="shared" si="365"/>
        <v>ND</v>
      </c>
      <c r="AO102" s="1" t="str">
        <f t="shared" si="366"/>
        <v>ND</v>
      </c>
      <c r="AP102" s="1" t="str">
        <f t="shared" si="367"/>
        <v>ND</v>
      </c>
      <c r="AQ102" s="1" t="str">
        <f t="shared" si="368"/>
        <v>ND</v>
      </c>
      <c r="AR102" s="1" t="str">
        <f t="shared" si="369"/>
        <v>ND</v>
      </c>
      <c r="AS102" s="1" t="str">
        <f t="shared" si="370"/>
        <v>ND</v>
      </c>
      <c r="AT102" s="1" t="str">
        <f t="shared" si="371"/>
        <v>ND</v>
      </c>
      <c r="AU102" s="1" t="str">
        <f t="shared" si="372"/>
        <v>ND</v>
      </c>
      <c r="AV102" s="1" t="str">
        <f t="shared" si="373"/>
        <v>ND</v>
      </c>
      <c r="AW102" s="1" t="str">
        <f t="shared" si="374"/>
        <v>ND</v>
      </c>
      <c r="AX102" s="1" t="str">
        <f t="shared" si="375"/>
        <v>ND</v>
      </c>
      <c r="AY102" s="1" t="str">
        <f t="shared" si="376"/>
        <v>ND</v>
      </c>
      <c r="AZ102" s="1" t="str">
        <f t="shared" si="377"/>
        <v>ND</v>
      </c>
      <c r="BA102" s="1" t="str">
        <f t="shared" si="378"/>
        <v>ND</v>
      </c>
      <c r="BB102" s="1" t="str">
        <f t="shared" si="379"/>
        <v>ND</v>
      </c>
      <c r="BC102" s="1" t="str">
        <f t="shared" si="380"/>
        <v>ND</v>
      </c>
      <c r="BD102" s="1" t="str">
        <f t="shared" si="381"/>
        <v>ND</v>
      </c>
      <c r="BE102" s="1" t="str">
        <f t="shared" si="382"/>
        <v>ND</v>
      </c>
      <c r="BF102" s="1" t="str">
        <f t="shared" si="383"/>
        <v>ND</v>
      </c>
      <c r="BG102" s="1" t="str">
        <f t="shared" si="384"/>
        <v>ND</v>
      </c>
      <c r="BH102" s="1" t="str">
        <f t="shared" si="385"/>
        <v>ND</v>
      </c>
      <c r="BI102" s="1" t="str">
        <f t="shared" si="386"/>
        <v>ND</v>
      </c>
      <c r="BJ102" s="1" t="str">
        <f t="shared" si="387"/>
        <v>ND</v>
      </c>
      <c r="BK102" s="1" t="str">
        <f t="shared" si="388"/>
        <v>ND</v>
      </c>
      <c r="BL102" s="1" t="str">
        <f t="shared" si="389"/>
        <v>ND</v>
      </c>
      <c r="BM102" s="1" t="str">
        <f t="shared" si="390"/>
        <v>ND</v>
      </c>
      <c r="BN102" s="1" t="str">
        <f t="shared" si="391"/>
        <v>ND</v>
      </c>
      <c r="BO102" s="1" t="str">
        <f t="shared" si="392"/>
        <v>ND</v>
      </c>
      <c r="BP102" s="1" t="str">
        <f t="shared" si="393"/>
        <v>ND</v>
      </c>
      <c r="BQ102" s="1" t="str">
        <f t="shared" si="394"/>
        <v>ND</v>
      </c>
      <c r="BR102" s="1" t="str">
        <f t="shared" si="395"/>
        <v>ND</v>
      </c>
      <c r="BS102" s="1" t="str">
        <f t="shared" si="396"/>
        <v>ND</v>
      </c>
      <c r="BT102" s="1" t="str">
        <f t="shared" si="397"/>
        <v>ND</v>
      </c>
      <c r="BU102" s="1" t="str">
        <f t="shared" si="398"/>
        <v>ND</v>
      </c>
      <c r="BV102" s="1" t="str">
        <f t="shared" si="399"/>
        <v>ND</v>
      </c>
      <c r="BW102" s="1" t="str">
        <f t="shared" si="400"/>
        <v>ND</v>
      </c>
      <c r="BX102" s="1" t="str">
        <f t="shared" si="401"/>
        <v>ND</v>
      </c>
      <c r="BY102" s="1" t="str">
        <f t="shared" si="402"/>
        <v>ND</v>
      </c>
      <c r="BZ102" s="1" t="str">
        <f t="shared" si="403"/>
        <v>ND</v>
      </c>
      <c r="CA102" s="1" t="str">
        <f t="shared" si="528"/>
        <v>ND</v>
      </c>
      <c r="CB102" s="1" t="str">
        <f t="shared" si="528"/>
        <v>ND</v>
      </c>
      <c r="CC102" s="1" t="str">
        <f t="shared" si="528"/>
        <v>ND</v>
      </c>
      <c r="CD102" s="1" t="str">
        <f t="shared" si="528"/>
        <v>ND</v>
      </c>
      <c r="CE102" s="1" t="str">
        <f t="shared" si="528"/>
        <v>ND</v>
      </c>
      <c r="CF102" s="1" t="str">
        <f t="shared" si="528"/>
        <v>ND</v>
      </c>
      <c r="CG102" s="1" t="str">
        <f t="shared" si="528"/>
        <v>ND</v>
      </c>
      <c r="CH102" s="1" t="str">
        <f t="shared" si="528"/>
        <v>ND</v>
      </c>
      <c r="CI102" s="1" t="str">
        <f t="shared" si="528"/>
        <v>ND</v>
      </c>
      <c r="CJ102" s="1" t="str">
        <f t="shared" si="528"/>
        <v>ND</v>
      </c>
      <c r="CK102" s="1" t="str">
        <f t="shared" si="528"/>
        <v>ND</v>
      </c>
      <c r="CL102" s="1" t="str">
        <f t="shared" si="529"/>
        <v>ND</v>
      </c>
      <c r="CM102" s="1" t="str">
        <f t="shared" si="529"/>
        <v>ND</v>
      </c>
      <c r="CN102" s="1" t="str">
        <f t="shared" si="529"/>
        <v>ND</v>
      </c>
      <c r="CO102" s="1" t="str">
        <f t="shared" si="529"/>
        <v>ND</v>
      </c>
      <c r="CP102" s="1" t="str">
        <f t="shared" si="529"/>
        <v>ND</v>
      </c>
      <c r="CQ102" s="1" t="str">
        <f t="shared" si="529"/>
        <v>ND</v>
      </c>
      <c r="CR102" s="1" t="str">
        <f t="shared" si="529"/>
        <v>ND</v>
      </c>
      <c r="CS102" s="1" t="str">
        <f t="shared" si="529"/>
        <v>ND</v>
      </c>
      <c r="CT102" s="1" t="str">
        <f t="shared" si="529"/>
        <v>ND</v>
      </c>
      <c r="CU102" s="1" t="str">
        <f t="shared" si="529"/>
        <v>ND</v>
      </c>
      <c r="CV102" s="1" t="str">
        <f t="shared" si="529"/>
        <v>ND</v>
      </c>
      <c r="CW102" s="1" t="str">
        <f t="shared" si="404"/>
        <v>ND</v>
      </c>
      <c r="CX102" s="1" t="str">
        <f t="shared" si="405"/>
        <v>ND</v>
      </c>
      <c r="CY102" s="1" t="str">
        <f t="shared" si="406"/>
        <v>ND</v>
      </c>
      <c r="CZ102" s="1" t="str">
        <f t="shared" si="407"/>
        <v>ND</v>
      </c>
      <c r="DA102" s="1" t="str">
        <f t="shared" si="408"/>
        <v>ND</v>
      </c>
      <c r="DB102" s="1" t="str">
        <f t="shared" si="409"/>
        <v>ND</v>
      </c>
      <c r="DC102" s="1" t="str">
        <f t="shared" si="410"/>
        <v>ND</v>
      </c>
      <c r="DD102" s="1" t="str">
        <f t="shared" si="411"/>
        <v>ND</v>
      </c>
      <c r="DE102" s="1" t="str">
        <f t="shared" si="412"/>
        <v>ND</v>
      </c>
      <c r="DF102" s="1" t="str">
        <f t="shared" si="413"/>
        <v>ND</v>
      </c>
      <c r="DG102" s="1" t="str">
        <f t="shared" si="414"/>
        <v>ND</v>
      </c>
      <c r="DH102" s="1" t="str">
        <f t="shared" si="415"/>
        <v>ND</v>
      </c>
      <c r="DI102" s="1" t="str">
        <f t="shared" si="416"/>
        <v>ND</v>
      </c>
      <c r="DJ102" s="1" t="str">
        <f t="shared" si="417"/>
        <v>ND</v>
      </c>
      <c r="DK102" s="1" t="str">
        <f t="shared" si="418"/>
        <v>ND</v>
      </c>
      <c r="DL102" s="1" t="str">
        <f t="shared" si="419"/>
        <v>ND</v>
      </c>
      <c r="DM102" s="1" t="str">
        <f t="shared" si="420"/>
        <v>ND</v>
      </c>
      <c r="DN102" s="1" t="str">
        <f t="shared" si="421"/>
        <v>ND</v>
      </c>
      <c r="DO102" s="1" t="str">
        <f t="shared" si="422"/>
        <v>ND</v>
      </c>
      <c r="DP102" s="1" t="str">
        <f t="shared" si="423"/>
        <v>ND</v>
      </c>
      <c r="DQ102" s="1" t="str">
        <f t="shared" si="424"/>
        <v>ND</v>
      </c>
      <c r="DR102" s="1" t="str">
        <f t="shared" si="425"/>
        <v>ND</v>
      </c>
      <c r="DS102" s="1" t="str">
        <f t="shared" si="426"/>
        <v>ND</v>
      </c>
      <c r="DT102" s="1" t="str">
        <f t="shared" si="427"/>
        <v>ND</v>
      </c>
      <c r="DU102" s="1" t="str">
        <f t="shared" si="428"/>
        <v>ND</v>
      </c>
      <c r="DV102" s="1" t="str">
        <f t="shared" si="429"/>
        <v>ND</v>
      </c>
      <c r="DW102" s="1" t="str">
        <f t="shared" si="430"/>
        <v>ND</v>
      </c>
      <c r="DX102" s="1" t="str">
        <f t="shared" si="431"/>
        <v>ND</v>
      </c>
      <c r="DY102" s="1" t="str">
        <f t="shared" si="432"/>
        <v>ND</v>
      </c>
      <c r="DZ102" s="1" t="str">
        <f t="shared" si="433"/>
        <v>ND</v>
      </c>
      <c r="EA102" s="1" t="str">
        <f t="shared" si="434"/>
        <v>ND</v>
      </c>
      <c r="EB102" s="1" t="str">
        <f t="shared" si="435"/>
        <v>ND</v>
      </c>
      <c r="EC102" s="1" t="str">
        <f t="shared" si="436"/>
        <v>ND</v>
      </c>
      <c r="ED102" s="1" t="str">
        <f t="shared" si="437"/>
        <v>ND</v>
      </c>
      <c r="EE102" s="1" t="str">
        <f t="shared" si="438"/>
        <v>ND</v>
      </c>
      <c r="EF102" s="1" t="str">
        <f t="shared" si="439"/>
        <v>ND</v>
      </c>
      <c r="EG102" s="1" t="str">
        <f t="shared" si="440"/>
        <v>ND</v>
      </c>
      <c r="EH102" s="1" t="str">
        <f t="shared" si="441"/>
        <v>ND</v>
      </c>
      <c r="EI102" s="1" t="str">
        <f t="shared" si="442"/>
        <v>ND</v>
      </c>
      <c r="EJ102" s="1" t="str">
        <f t="shared" si="443"/>
        <v>ND</v>
      </c>
      <c r="EK102" s="1" t="str">
        <f t="shared" si="444"/>
        <v>ND</v>
      </c>
      <c r="EL102" s="1" t="str">
        <f t="shared" si="445"/>
        <v>ND</v>
      </c>
      <c r="EM102" s="1" t="str">
        <f t="shared" si="446"/>
        <v>ND</v>
      </c>
      <c r="EN102" s="1" t="str">
        <f t="shared" si="447"/>
        <v>ND</v>
      </c>
      <c r="EO102" s="1" t="str">
        <f t="shared" si="530"/>
        <v>ND</v>
      </c>
      <c r="EP102" s="1" t="str">
        <f t="shared" si="530"/>
        <v>ND</v>
      </c>
      <c r="EQ102" s="1" t="str">
        <f t="shared" si="530"/>
        <v>ND</v>
      </c>
      <c r="ER102" s="1" t="str">
        <f t="shared" si="530"/>
        <v>ND</v>
      </c>
      <c r="ES102" s="1" t="str">
        <f t="shared" si="530"/>
        <v>ND</v>
      </c>
      <c r="ET102" s="1" t="str">
        <f t="shared" si="530"/>
        <v>ND</v>
      </c>
      <c r="EU102" s="1" t="str">
        <f t="shared" si="530"/>
        <v>ND</v>
      </c>
      <c r="EV102" s="1" t="str">
        <f t="shared" si="530"/>
        <v>ND</v>
      </c>
      <c r="EW102" s="1" t="str">
        <f t="shared" si="530"/>
        <v>ND</v>
      </c>
      <c r="EX102" s="1" t="str">
        <f t="shared" si="530"/>
        <v>ND</v>
      </c>
      <c r="EY102" s="1" t="str">
        <f t="shared" si="530"/>
        <v>ND</v>
      </c>
      <c r="EZ102" s="1" t="str">
        <f t="shared" si="531"/>
        <v>ND</v>
      </c>
      <c r="FA102" s="1" t="str">
        <f t="shared" si="531"/>
        <v>ND</v>
      </c>
      <c r="FB102" s="1" t="str">
        <f t="shared" si="531"/>
        <v>ND</v>
      </c>
      <c r="FC102" s="1" t="str">
        <f t="shared" si="531"/>
        <v>ND</v>
      </c>
      <c r="FD102" s="1" t="str">
        <f t="shared" si="531"/>
        <v>ND</v>
      </c>
      <c r="FE102" s="1" t="str">
        <f t="shared" si="531"/>
        <v>ND</v>
      </c>
      <c r="FF102" s="1" t="str">
        <f t="shared" si="531"/>
        <v>ND</v>
      </c>
      <c r="FG102" s="1" t="str">
        <f t="shared" si="531"/>
        <v>ND</v>
      </c>
      <c r="FH102" s="1" t="str">
        <f t="shared" si="531"/>
        <v>ND</v>
      </c>
      <c r="FI102" s="1" t="str">
        <f t="shared" si="531"/>
        <v>ND</v>
      </c>
      <c r="FJ102" s="1" t="str">
        <f t="shared" si="531"/>
        <v>ND</v>
      </c>
      <c r="FK102" s="1" t="str">
        <f t="shared" si="532"/>
        <v>ND</v>
      </c>
      <c r="FL102" s="1" t="str">
        <f t="shared" si="532"/>
        <v>ND</v>
      </c>
      <c r="FM102" s="1" t="str">
        <f t="shared" si="532"/>
        <v>ND</v>
      </c>
      <c r="FN102" s="1" t="str">
        <f t="shared" si="532"/>
        <v>ND</v>
      </c>
      <c r="FO102" s="1" t="str">
        <f t="shared" si="532"/>
        <v>ND</v>
      </c>
      <c r="FP102" s="1" t="str">
        <f t="shared" si="532"/>
        <v>ND</v>
      </c>
      <c r="FQ102" s="1" t="str">
        <f t="shared" si="532"/>
        <v>ND</v>
      </c>
      <c r="FR102" s="1" t="str">
        <f t="shared" si="532"/>
        <v>ND</v>
      </c>
      <c r="FS102" s="1" t="str">
        <f t="shared" si="532"/>
        <v>ND</v>
      </c>
      <c r="FT102" s="1" t="str">
        <f t="shared" si="532"/>
        <v>ND</v>
      </c>
      <c r="FU102" s="1" t="str">
        <f t="shared" si="532"/>
        <v>ND</v>
      </c>
      <c r="FV102" s="1" t="str">
        <f t="shared" si="448"/>
        <v>ND</v>
      </c>
      <c r="FW102" s="1" t="str">
        <f t="shared" si="449"/>
        <v>ND</v>
      </c>
      <c r="FX102" s="1" t="str">
        <f t="shared" si="450"/>
        <v>ND</v>
      </c>
      <c r="FY102" s="1" t="str">
        <f t="shared" si="451"/>
        <v>ND</v>
      </c>
      <c r="FZ102" s="1" t="str">
        <f t="shared" si="452"/>
        <v>ND</v>
      </c>
      <c r="GA102" s="1" t="str">
        <f t="shared" si="453"/>
        <v>ND</v>
      </c>
      <c r="GB102" s="1" t="str">
        <f t="shared" si="454"/>
        <v>ND</v>
      </c>
      <c r="GC102" s="1" t="str">
        <f t="shared" si="455"/>
        <v>ND</v>
      </c>
      <c r="GD102" s="1" t="str">
        <f t="shared" si="456"/>
        <v>ND</v>
      </c>
      <c r="GE102" s="1" t="str">
        <f t="shared" si="457"/>
        <v>ND</v>
      </c>
      <c r="GF102" s="1" t="str">
        <f t="shared" si="458"/>
        <v>ND</v>
      </c>
      <c r="GG102" s="1" t="str">
        <f t="shared" si="459"/>
        <v>ND</v>
      </c>
      <c r="GH102" s="1" t="str">
        <f t="shared" si="460"/>
        <v>ND</v>
      </c>
      <c r="GI102" s="1" t="str">
        <f t="shared" si="461"/>
        <v>ND</v>
      </c>
      <c r="GJ102" s="1" t="str">
        <f t="shared" si="462"/>
        <v>ND</v>
      </c>
      <c r="GK102" s="1" t="str">
        <f t="shared" si="463"/>
        <v>ND</v>
      </c>
      <c r="GL102" s="1" t="str">
        <f t="shared" si="464"/>
        <v>ND</v>
      </c>
      <c r="GM102" s="1" t="str">
        <f t="shared" si="465"/>
        <v>ND</v>
      </c>
      <c r="GN102" s="1" t="str">
        <f t="shared" si="466"/>
        <v>ND</v>
      </c>
      <c r="GO102" s="1" t="str">
        <f t="shared" si="467"/>
        <v>ND</v>
      </c>
      <c r="GP102" s="1" t="str">
        <f t="shared" si="468"/>
        <v>ND</v>
      </c>
      <c r="GQ102" s="1" t="str">
        <f t="shared" si="469"/>
        <v>ND</v>
      </c>
      <c r="GR102" s="1" t="str">
        <f t="shared" si="470"/>
        <v>ND</v>
      </c>
      <c r="GS102" s="1" t="str">
        <f t="shared" si="471"/>
        <v>ND</v>
      </c>
      <c r="GT102" s="1" t="str">
        <f t="shared" si="472"/>
        <v>ND</v>
      </c>
      <c r="GU102" s="1" t="str">
        <f t="shared" si="473"/>
        <v>ND</v>
      </c>
      <c r="GV102" s="1" t="str">
        <f t="shared" si="474"/>
        <v>ND</v>
      </c>
      <c r="GW102" s="1" t="str">
        <f t="shared" si="475"/>
        <v>ND</v>
      </c>
      <c r="GX102" s="1" t="str">
        <f t="shared" si="476"/>
        <v>ND</v>
      </c>
      <c r="GY102" s="1" t="str">
        <f t="shared" si="477"/>
        <v>ND</v>
      </c>
      <c r="GZ102" s="1" t="str">
        <f t="shared" si="478"/>
        <v>ND</v>
      </c>
      <c r="HA102" s="1" t="str">
        <f t="shared" si="479"/>
        <v>ND</v>
      </c>
      <c r="HB102" s="1" t="str">
        <f t="shared" si="480"/>
        <v>ND</v>
      </c>
      <c r="HC102" s="1" t="str">
        <f t="shared" si="481"/>
        <v>ND</v>
      </c>
      <c r="HD102" s="1" t="str">
        <f t="shared" si="482"/>
        <v>ND</v>
      </c>
      <c r="HE102" s="1" t="str">
        <f t="shared" si="483"/>
        <v>ND</v>
      </c>
      <c r="HF102" s="1" t="str">
        <f t="shared" si="484"/>
        <v>ND</v>
      </c>
      <c r="HG102" s="1" t="str">
        <f t="shared" si="485"/>
        <v>ND</v>
      </c>
      <c r="HH102" s="1" t="str">
        <f t="shared" si="486"/>
        <v>ND</v>
      </c>
      <c r="HI102" s="1" t="str">
        <f t="shared" si="487"/>
        <v>ND</v>
      </c>
      <c r="HJ102" s="1" t="str">
        <f t="shared" si="488"/>
        <v>ND</v>
      </c>
      <c r="HK102" s="1" t="str">
        <f t="shared" si="489"/>
        <v>ND</v>
      </c>
      <c r="HL102" s="1" t="str">
        <f t="shared" si="490"/>
        <v>ND</v>
      </c>
      <c r="HM102" s="1" t="str">
        <f t="shared" si="491"/>
        <v>ND</v>
      </c>
      <c r="HN102" s="1" t="str">
        <f t="shared" si="492"/>
        <v>ND</v>
      </c>
      <c r="HO102" s="1" t="str">
        <f t="shared" si="493"/>
        <v>ND</v>
      </c>
      <c r="HP102" s="1" t="str">
        <f t="shared" si="494"/>
        <v>ND</v>
      </c>
      <c r="HQ102" s="1" t="str">
        <f t="shared" si="495"/>
        <v>ND</v>
      </c>
      <c r="HR102" s="1" t="str">
        <f t="shared" si="496"/>
        <v>ND</v>
      </c>
      <c r="HS102" s="1" t="str">
        <f t="shared" si="497"/>
        <v>ND</v>
      </c>
      <c r="HT102" s="1" t="str">
        <f t="shared" si="498"/>
        <v>ND</v>
      </c>
      <c r="HU102" s="1" t="str">
        <f t="shared" si="499"/>
        <v>ND</v>
      </c>
      <c r="HV102" s="1" t="str">
        <f t="shared" si="500"/>
        <v>ND</v>
      </c>
      <c r="HW102" s="1" t="str">
        <f t="shared" si="501"/>
        <v>ND</v>
      </c>
      <c r="HX102" s="1" t="str">
        <f t="shared" si="502"/>
        <v>ND</v>
      </c>
      <c r="HY102" s="1" t="str">
        <f t="shared" si="503"/>
        <v>ND</v>
      </c>
      <c r="HZ102" s="1" t="str">
        <f t="shared" si="504"/>
        <v>ND</v>
      </c>
      <c r="IA102" s="1" t="str">
        <f t="shared" si="505"/>
        <v>ND</v>
      </c>
      <c r="IB102" s="1" t="str">
        <f t="shared" si="506"/>
        <v>ND</v>
      </c>
      <c r="IC102" s="1" t="str">
        <f t="shared" si="507"/>
        <v>ND</v>
      </c>
      <c r="ID102" s="1" t="str">
        <f t="shared" si="508"/>
        <v>ND</v>
      </c>
      <c r="IE102" s="1" t="str">
        <f t="shared" si="509"/>
        <v>ND</v>
      </c>
      <c r="IF102" s="1" t="str">
        <f t="shared" si="510"/>
        <v>ND</v>
      </c>
      <c r="IG102" s="1" t="str">
        <f t="shared" si="511"/>
        <v>ND</v>
      </c>
      <c r="IH102" s="1" t="str">
        <f t="shared" si="512"/>
        <v>ND</v>
      </c>
      <c r="II102" s="1" t="str">
        <f t="shared" si="513"/>
        <v>ND</v>
      </c>
    </row>
    <row r="103" spans="3:243" x14ac:dyDescent="0.25">
      <c r="C103" t="s">
        <v>33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7.6</v>
      </c>
      <c r="G103" s="1">
        <f>IFERROR(VLOOKUP($C103,EQUIPOS[],UNIFICADO!G$9,0),"")</f>
        <v>12</v>
      </c>
      <c r="H103" s="1">
        <f>IFERROR(VLOOKUP($C103,EQUIPOS[],UNIFICADO!H$9,0),"")</f>
        <v>3</v>
      </c>
      <c r="I103" s="1">
        <f>IFERROR(VLOOKUP($C103,EQUIPOS[],UNIFICADO!I$9,0),"")</f>
        <v>12</v>
      </c>
      <c r="J103" s="1" t="str">
        <f>IFERROR(VLOOKUP($C103,EQUIPOS[],UNIFICADO!J$9,0),"")</f>
        <v>256GB</v>
      </c>
      <c r="K103" s="1">
        <f>IFERROR(VLOOKUP($C103,EQUIPOS[],UNIFICADO!K$9,0),"")</f>
        <v>0</v>
      </c>
      <c r="L103" s="1">
        <f>IFERROR(VLOOKUP($C103,EQUIPOS[],UNIFICADO!L$9,0),"")</f>
        <v>8</v>
      </c>
      <c r="M103" s="1" t="str">
        <f>IFERROR(VLOOKUP($C103,EQUIPOS[],UNIFICADO!M$9,0),"")</f>
        <v>2.8/2.4/1.8</v>
      </c>
      <c r="N103" s="1">
        <f>IFERROR(VLOOKUP($C103,EQUIPOS[],UNIFICADO!N$9,0),"")</f>
        <v>12</v>
      </c>
      <c r="O103" s="1">
        <f>IFERROR(VLOOKUP($C103,EQUIPOS[],UNIFICADO!O$9,0),"")</f>
        <v>271</v>
      </c>
      <c r="P103" s="1">
        <f>IFERROR(VLOOKUP($C103,EQUIPOS[],UNIFICADO!P$9,0),"")</f>
        <v>15.8</v>
      </c>
      <c r="Q103" s="1">
        <f>IFERROR(VLOOKUP($C103,EQUIPOS[],UNIFICADO!Q$9,0),"")</f>
        <v>12.8</v>
      </c>
      <c r="R103" s="1">
        <f>IFERROR(VLOOKUP($C103,EQUIPOS[],UNIFICADO!R$9,0),"")</f>
        <v>0.64</v>
      </c>
      <c r="S103" s="1">
        <f>IFERROR(VLOOKUP($C103,EQUIPOS[],UNIFICADO!S$9,0),"")</f>
        <v>4400</v>
      </c>
      <c r="T103" s="1">
        <f>IFERROR(VLOOKUP($C103,EQUIPOS[],UNIFICADO!T$9,0),"")</f>
        <v>5</v>
      </c>
      <c r="U103" s="1">
        <f>VLOOKUP(UNIFICADA[[#This Row],[Equipo]],EQUIPOS[],19,0)</f>
        <v>93</v>
      </c>
      <c r="V103" s="1" t="str">
        <f t="shared" si="358"/>
        <v>ND</v>
      </c>
      <c r="W103" s="1" t="str">
        <f t="shared" si="359"/>
        <v>ND</v>
      </c>
      <c r="X103" s="1" t="str">
        <f t="shared" si="520"/>
        <v>ND</v>
      </c>
      <c r="Y103" s="1" t="str">
        <f t="shared" si="520"/>
        <v>ND</v>
      </c>
      <c r="Z103" s="1" t="str">
        <f t="shared" si="527"/>
        <v>ND</v>
      </c>
      <c r="AA103" s="1" t="str">
        <f t="shared" si="527"/>
        <v>ND</v>
      </c>
      <c r="AB103" s="1" t="str">
        <f t="shared" si="527"/>
        <v>ND</v>
      </c>
      <c r="AC103" s="1" t="str">
        <f t="shared" si="527"/>
        <v>ND</v>
      </c>
      <c r="AD103" s="1" t="str">
        <f t="shared" si="527"/>
        <v>ND</v>
      </c>
      <c r="AE103" s="1" t="str">
        <f t="shared" si="527"/>
        <v>ND</v>
      </c>
      <c r="AF103" s="1" t="str">
        <f t="shared" si="527"/>
        <v>ND</v>
      </c>
      <c r="AG103" s="1" t="str">
        <f t="shared" si="527"/>
        <v>ND</v>
      </c>
      <c r="AH103" s="1" t="str">
        <f t="shared" si="527"/>
        <v>ND</v>
      </c>
      <c r="AI103" s="1" t="str">
        <f t="shared" si="360"/>
        <v>ND</v>
      </c>
      <c r="AJ103" s="1" t="str">
        <f t="shared" si="361"/>
        <v>ND</v>
      </c>
      <c r="AK103" s="1" t="str">
        <f t="shared" si="362"/>
        <v>ND</v>
      </c>
      <c r="AL103" s="1" t="str">
        <f t="shared" si="363"/>
        <v>ND</v>
      </c>
      <c r="AM103" s="1" t="str">
        <f t="shared" si="364"/>
        <v>ND</v>
      </c>
      <c r="AN103" s="1" t="str">
        <f t="shared" si="365"/>
        <v>ND</v>
      </c>
      <c r="AO103" s="1" t="str">
        <f t="shared" si="366"/>
        <v>ND</v>
      </c>
      <c r="AP103" s="1" t="str">
        <f t="shared" si="367"/>
        <v>ND</v>
      </c>
      <c r="AQ103" s="1" t="str">
        <f t="shared" si="368"/>
        <v>ND</v>
      </c>
      <c r="AR103" s="1" t="str">
        <f t="shared" si="369"/>
        <v>ND</v>
      </c>
      <c r="AS103" s="1" t="str">
        <f t="shared" si="370"/>
        <v>ND</v>
      </c>
      <c r="AT103" s="1" t="str">
        <f t="shared" si="371"/>
        <v>ND</v>
      </c>
      <c r="AU103" s="1" t="str">
        <f t="shared" si="372"/>
        <v>ND</v>
      </c>
      <c r="AV103" s="1" t="str">
        <f t="shared" si="373"/>
        <v>ND</v>
      </c>
      <c r="AW103" s="1" t="str">
        <f t="shared" si="374"/>
        <v>ND</v>
      </c>
      <c r="AX103" s="1" t="str">
        <f t="shared" si="375"/>
        <v>ND</v>
      </c>
      <c r="AY103" s="1" t="str">
        <f t="shared" si="376"/>
        <v>ND</v>
      </c>
      <c r="AZ103" s="1" t="str">
        <f t="shared" si="377"/>
        <v>ND</v>
      </c>
      <c r="BA103" s="1" t="str">
        <f t="shared" si="378"/>
        <v>ND</v>
      </c>
      <c r="BB103" s="1" t="str">
        <f t="shared" si="379"/>
        <v>ND</v>
      </c>
      <c r="BC103" s="1" t="str">
        <f t="shared" si="380"/>
        <v>ND</v>
      </c>
      <c r="BD103" s="1" t="str">
        <f t="shared" si="381"/>
        <v>ND</v>
      </c>
      <c r="BE103" s="1" t="str">
        <f t="shared" si="382"/>
        <v>ND</v>
      </c>
      <c r="BF103" s="1" t="str">
        <f t="shared" si="383"/>
        <v>ND</v>
      </c>
      <c r="BG103" s="1" t="str">
        <f t="shared" si="384"/>
        <v>ND</v>
      </c>
      <c r="BH103" s="1" t="str">
        <f t="shared" si="385"/>
        <v>ND</v>
      </c>
      <c r="BI103" s="1" t="str">
        <f t="shared" si="386"/>
        <v>ND</v>
      </c>
      <c r="BJ103" s="1" t="str">
        <f t="shared" si="387"/>
        <v>ND</v>
      </c>
      <c r="BK103" s="1" t="str">
        <f t="shared" si="388"/>
        <v>ND</v>
      </c>
      <c r="BL103" s="1" t="str">
        <f t="shared" si="389"/>
        <v>ND</v>
      </c>
      <c r="BM103" s="1" t="str">
        <f t="shared" si="390"/>
        <v>ND</v>
      </c>
      <c r="BN103" s="1" t="str">
        <f t="shared" si="391"/>
        <v>ND</v>
      </c>
      <c r="BO103" s="1" t="str">
        <f t="shared" si="392"/>
        <v>ND</v>
      </c>
      <c r="BP103" s="1" t="str">
        <f t="shared" si="393"/>
        <v>ND</v>
      </c>
      <c r="BQ103" s="1" t="str">
        <f t="shared" si="394"/>
        <v>ND</v>
      </c>
      <c r="BR103" s="1" t="str">
        <f t="shared" si="395"/>
        <v>ND</v>
      </c>
      <c r="BS103" s="1" t="str">
        <f t="shared" si="396"/>
        <v>ND</v>
      </c>
      <c r="BT103" s="1" t="str">
        <f t="shared" si="397"/>
        <v>ND</v>
      </c>
      <c r="BU103" s="1" t="str">
        <f t="shared" si="398"/>
        <v>ND</v>
      </c>
      <c r="BV103" s="1" t="str">
        <f t="shared" si="399"/>
        <v>ND</v>
      </c>
      <c r="BW103" s="1" t="str">
        <f t="shared" si="400"/>
        <v>ND</v>
      </c>
      <c r="BX103" s="1" t="str">
        <f t="shared" si="401"/>
        <v>ND</v>
      </c>
      <c r="BY103" s="1" t="str">
        <f t="shared" si="402"/>
        <v>ND</v>
      </c>
      <c r="BZ103" s="1" t="str">
        <f t="shared" si="403"/>
        <v>ND</v>
      </c>
      <c r="CA103" s="1" t="str">
        <f t="shared" si="528"/>
        <v>ND</v>
      </c>
      <c r="CB103" s="1" t="str">
        <f t="shared" si="528"/>
        <v>ND</v>
      </c>
      <c r="CC103" s="1" t="str">
        <f t="shared" si="528"/>
        <v>ND</v>
      </c>
      <c r="CD103" s="1" t="str">
        <f t="shared" si="528"/>
        <v>ND</v>
      </c>
      <c r="CE103" s="1" t="str">
        <f t="shared" si="528"/>
        <v>ND</v>
      </c>
      <c r="CF103" s="1" t="str">
        <f t="shared" si="528"/>
        <v>ND</v>
      </c>
      <c r="CG103" s="1" t="str">
        <f t="shared" si="528"/>
        <v>ND</v>
      </c>
      <c r="CH103" s="1" t="str">
        <f t="shared" si="528"/>
        <v>ND</v>
      </c>
      <c r="CI103" s="1" t="str">
        <f t="shared" si="528"/>
        <v>ND</v>
      </c>
      <c r="CJ103" s="1" t="str">
        <f t="shared" si="528"/>
        <v>ND</v>
      </c>
      <c r="CK103" s="1" t="str">
        <f t="shared" si="528"/>
        <v>ND</v>
      </c>
      <c r="CL103" s="1" t="str">
        <f t="shared" si="529"/>
        <v>ND</v>
      </c>
      <c r="CM103" s="1" t="str">
        <f t="shared" si="529"/>
        <v>ND</v>
      </c>
      <c r="CN103" s="1" t="str">
        <f t="shared" si="529"/>
        <v>ND</v>
      </c>
      <c r="CO103" s="1" t="str">
        <f t="shared" si="529"/>
        <v>ND</v>
      </c>
      <c r="CP103" s="1" t="str">
        <f t="shared" si="529"/>
        <v>ND</v>
      </c>
      <c r="CQ103" s="1" t="str">
        <f t="shared" si="529"/>
        <v>ND</v>
      </c>
      <c r="CR103" s="1" t="str">
        <f t="shared" si="529"/>
        <v>ND</v>
      </c>
      <c r="CS103" s="1" t="str">
        <f t="shared" si="529"/>
        <v>ND</v>
      </c>
      <c r="CT103" s="1" t="str">
        <f t="shared" si="529"/>
        <v>ND</v>
      </c>
      <c r="CU103" s="1" t="str">
        <f t="shared" si="529"/>
        <v>ND</v>
      </c>
      <c r="CV103" s="1" t="str">
        <f t="shared" si="529"/>
        <v>ND</v>
      </c>
      <c r="CW103" s="1" t="str">
        <f t="shared" si="404"/>
        <v>ND</v>
      </c>
      <c r="CX103" s="1" t="str">
        <f t="shared" si="405"/>
        <v>ND</v>
      </c>
      <c r="CY103" s="1" t="str">
        <f t="shared" si="406"/>
        <v>ND</v>
      </c>
      <c r="CZ103" s="1" t="str">
        <f t="shared" si="407"/>
        <v>ND</v>
      </c>
      <c r="DA103" s="1" t="str">
        <f t="shared" si="408"/>
        <v>ND</v>
      </c>
      <c r="DB103" s="1" t="str">
        <f t="shared" si="409"/>
        <v>ND</v>
      </c>
      <c r="DC103" s="1" t="str">
        <f t="shared" si="410"/>
        <v>ND</v>
      </c>
      <c r="DD103" s="1" t="str">
        <f t="shared" si="411"/>
        <v>ND</v>
      </c>
      <c r="DE103" s="1" t="str">
        <f t="shared" si="412"/>
        <v>ND</v>
      </c>
      <c r="DF103" s="1" t="str">
        <f t="shared" si="413"/>
        <v>ND</v>
      </c>
      <c r="DG103" s="1" t="str">
        <f t="shared" si="414"/>
        <v>ND</v>
      </c>
      <c r="DH103" s="1" t="str">
        <f t="shared" si="415"/>
        <v>ND</v>
      </c>
      <c r="DI103" s="1" t="str">
        <f t="shared" si="416"/>
        <v>ND</v>
      </c>
      <c r="DJ103" s="1" t="str">
        <f t="shared" si="417"/>
        <v>ND</v>
      </c>
      <c r="DK103" s="1" t="str">
        <f t="shared" si="418"/>
        <v>ND</v>
      </c>
      <c r="DL103" s="1" t="str">
        <f t="shared" si="419"/>
        <v>ND</v>
      </c>
      <c r="DM103" s="1" t="str">
        <f t="shared" si="420"/>
        <v>ND</v>
      </c>
      <c r="DN103" s="1" t="str">
        <f t="shared" si="421"/>
        <v>ND</v>
      </c>
      <c r="DO103" s="1" t="str">
        <f t="shared" si="422"/>
        <v>ND</v>
      </c>
      <c r="DP103" s="1" t="str">
        <f t="shared" si="423"/>
        <v>ND</v>
      </c>
      <c r="DQ103" s="1" t="str">
        <f t="shared" si="424"/>
        <v>ND</v>
      </c>
      <c r="DR103" s="1" t="str">
        <f t="shared" si="425"/>
        <v>ND</v>
      </c>
      <c r="DS103" s="1" t="str">
        <f t="shared" si="426"/>
        <v>ND</v>
      </c>
      <c r="DT103" s="1" t="str">
        <f t="shared" si="427"/>
        <v>ND</v>
      </c>
      <c r="DU103" s="1" t="str">
        <f t="shared" si="428"/>
        <v>ND</v>
      </c>
      <c r="DV103" s="1" t="str">
        <f t="shared" si="429"/>
        <v>ND</v>
      </c>
      <c r="DW103" s="1" t="str">
        <f t="shared" si="430"/>
        <v>ND</v>
      </c>
      <c r="DX103" s="1" t="str">
        <f t="shared" si="431"/>
        <v>ND</v>
      </c>
      <c r="DY103" s="1" t="str">
        <f t="shared" si="432"/>
        <v>ND</v>
      </c>
      <c r="DZ103" s="1" t="str">
        <f t="shared" si="433"/>
        <v>ND</v>
      </c>
      <c r="EA103" s="1" t="str">
        <f t="shared" si="434"/>
        <v>ND</v>
      </c>
      <c r="EB103" s="1" t="str">
        <f t="shared" si="435"/>
        <v>ND</v>
      </c>
      <c r="EC103" s="1" t="str">
        <f t="shared" si="436"/>
        <v>ND</v>
      </c>
      <c r="ED103" s="1" t="str">
        <f t="shared" si="437"/>
        <v>ND</v>
      </c>
      <c r="EE103" s="1" t="str">
        <f t="shared" si="438"/>
        <v>ND</v>
      </c>
      <c r="EF103" s="1" t="str">
        <f t="shared" si="439"/>
        <v>ND</v>
      </c>
      <c r="EG103" s="1" t="str">
        <f t="shared" si="440"/>
        <v>ND</v>
      </c>
      <c r="EH103" s="1" t="str">
        <f t="shared" si="441"/>
        <v>ND</v>
      </c>
      <c r="EI103" s="1" t="str">
        <f t="shared" si="442"/>
        <v>ND</v>
      </c>
      <c r="EJ103" s="1" t="str">
        <f t="shared" si="443"/>
        <v>ND</v>
      </c>
      <c r="EK103" s="1" t="str">
        <f t="shared" si="444"/>
        <v>ND</v>
      </c>
      <c r="EL103" s="1" t="str">
        <f t="shared" si="445"/>
        <v>ND</v>
      </c>
      <c r="EM103" s="1" t="str">
        <f t="shared" si="446"/>
        <v>ND</v>
      </c>
      <c r="EN103" s="1" t="str">
        <f t="shared" si="447"/>
        <v>ND</v>
      </c>
      <c r="EO103" s="1" t="str">
        <f t="shared" si="530"/>
        <v>ND</v>
      </c>
      <c r="EP103" s="1" t="str">
        <f t="shared" si="530"/>
        <v>ND</v>
      </c>
      <c r="EQ103" s="1" t="str">
        <f t="shared" si="530"/>
        <v>ND</v>
      </c>
      <c r="ER103" s="1" t="str">
        <f t="shared" si="530"/>
        <v>ND</v>
      </c>
      <c r="ES103" s="1" t="str">
        <f t="shared" si="530"/>
        <v>ND</v>
      </c>
      <c r="ET103" s="1" t="str">
        <f t="shared" si="530"/>
        <v>ND</v>
      </c>
      <c r="EU103" s="1" t="str">
        <f t="shared" si="530"/>
        <v>ND</v>
      </c>
      <c r="EV103" s="1" t="str">
        <f t="shared" si="530"/>
        <v>ND</v>
      </c>
      <c r="EW103" s="1" t="str">
        <f t="shared" si="530"/>
        <v>ND</v>
      </c>
      <c r="EX103" s="1" t="str">
        <f t="shared" si="530"/>
        <v>ND</v>
      </c>
      <c r="EY103" s="1" t="str">
        <f t="shared" si="530"/>
        <v>ND</v>
      </c>
      <c r="EZ103" s="1" t="str">
        <f t="shared" si="531"/>
        <v>ND</v>
      </c>
      <c r="FA103" s="1" t="str">
        <f t="shared" si="531"/>
        <v>ND</v>
      </c>
      <c r="FB103" s="1" t="str">
        <f t="shared" si="531"/>
        <v>ND</v>
      </c>
      <c r="FC103" s="1" t="str">
        <f t="shared" si="531"/>
        <v>ND</v>
      </c>
      <c r="FD103" s="1" t="str">
        <f t="shared" si="531"/>
        <v>ND</v>
      </c>
      <c r="FE103" s="1" t="str">
        <f t="shared" si="531"/>
        <v>ND</v>
      </c>
      <c r="FF103" s="1" t="str">
        <f t="shared" si="531"/>
        <v>ND</v>
      </c>
      <c r="FG103" s="1" t="str">
        <f t="shared" si="531"/>
        <v>ND</v>
      </c>
      <c r="FH103" s="1" t="str">
        <f t="shared" si="531"/>
        <v>ND</v>
      </c>
      <c r="FI103" s="1" t="str">
        <f t="shared" si="531"/>
        <v>ND</v>
      </c>
      <c r="FJ103" s="1" t="str">
        <f t="shared" si="531"/>
        <v>ND</v>
      </c>
      <c r="FK103" s="1" t="str">
        <f t="shared" si="532"/>
        <v>ND</v>
      </c>
      <c r="FL103" s="1" t="str">
        <f t="shared" si="532"/>
        <v>ND</v>
      </c>
      <c r="FM103" s="1" t="str">
        <f t="shared" si="532"/>
        <v>ND</v>
      </c>
      <c r="FN103" s="1" t="str">
        <f t="shared" si="532"/>
        <v>ND</v>
      </c>
      <c r="FO103" s="1" t="str">
        <f t="shared" si="532"/>
        <v>ND</v>
      </c>
      <c r="FP103" s="1" t="str">
        <f t="shared" si="532"/>
        <v>ND</v>
      </c>
      <c r="FQ103" s="1" t="str">
        <f t="shared" si="532"/>
        <v>ND</v>
      </c>
      <c r="FR103" s="1" t="str">
        <f t="shared" si="532"/>
        <v>ND</v>
      </c>
      <c r="FS103" s="1" t="str">
        <f t="shared" si="532"/>
        <v>ND</v>
      </c>
      <c r="FT103" s="1" t="str">
        <f t="shared" si="532"/>
        <v>ND</v>
      </c>
      <c r="FU103" s="1" t="str">
        <f t="shared" si="532"/>
        <v>ND</v>
      </c>
      <c r="FV103" s="1" t="str">
        <f t="shared" si="448"/>
        <v>ND</v>
      </c>
      <c r="FW103" s="1" t="str">
        <f t="shared" si="449"/>
        <v>ND</v>
      </c>
      <c r="FX103" s="1" t="str">
        <f t="shared" si="450"/>
        <v>ND</v>
      </c>
      <c r="FY103" s="1" t="str">
        <f t="shared" si="451"/>
        <v>ND</v>
      </c>
      <c r="FZ103" s="1" t="str">
        <f t="shared" si="452"/>
        <v>ND</v>
      </c>
      <c r="GA103" s="1" t="str">
        <f t="shared" si="453"/>
        <v>ND</v>
      </c>
      <c r="GB103" s="1" t="str">
        <f t="shared" si="454"/>
        <v>ND</v>
      </c>
      <c r="GC103" s="1" t="str">
        <f t="shared" si="455"/>
        <v>ND</v>
      </c>
      <c r="GD103" s="1" t="str">
        <f t="shared" si="456"/>
        <v>ND</v>
      </c>
      <c r="GE103" s="1" t="str">
        <f t="shared" si="457"/>
        <v>ND</v>
      </c>
      <c r="GF103" s="1" t="str">
        <f t="shared" si="458"/>
        <v>ND</v>
      </c>
      <c r="GG103" s="1" t="str">
        <f t="shared" si="459"/>
        <v>ND</v>
      </c>
      <c r="GH103" s="1" t="str">
        <f t="shared" si="460"/>
        <v>ND</v>
      </c>
      <c r="GI103" s="1" t="str">
        <f t="shared" si="461"/>
        <v>ND</v>
      </c>
      <c r="GJ103" s="1" t="str">
        <f t="shared" si="462"/>
        <v>ND</v>
      </c>
      <c r="GK103" s="1" t="str">
        <f t="shared" si="463"/>
        <v>ND</v>
      </c>
      <c r="GL103" s="1" t="str">
        <f t="shared" si="464"/>
        <v>ND</v>
      </c>
      <c r="GM103" s="1" t="str">
        <f t="shared" si="465"/>
        <v>ND</v>
      </c>
      <c r="GN103" s="1" t="str">
        <f t="shared" si="466"/>
        <v>ND</v>
      </c>
      <c r="GO103" s="1" t="str">
        <f t="shared" si="467"/>
        <v>ND</v>
      </c>
      <c r="GP103" s="1" t="str">
        <f t="shared" si="468"/>
        <v>ND</v>
      </c>
      <c r="GQ103" s="1" t="str">
        <f t="shared" si="469"/>
        <v>ND</v>
      </c>
      <c r="GR103" s="1" t="str">
        <f t="shared" si="470"/>
        <v>ND</v>
      </c>
      <c r="GS103" s="1" t="str">
        <f t="shared" si="471"/>
        <v>ND</v>
      </c>
      <c r="GT103" s="1" t="str">
        <f t="shared" si="472"/>
        <v>ND</v>
      </c>
      <c r="GU103" s="1" t="str">
        <f t="shared" si="473"/>
        <v>ND</v>
      </c>
      <c r="GV103" s="1" t="str">
        <f t="shared" si="474"/>
        <v>ND</v>
      </c>
      <c r="GW103" s="1" t="str">
        <f t="shared" si="475"/>
        <v>ND</v>
      </c>
      <c r="GX103" s="1" t="str">
        <f t="shared" si="476"/>
        <v>ND</v>
      </c>
      <c r="GY103" s="1" t="str">
        <f t="shared" si="477"/>
        <v>ND</v>
      </c>
      <c r="GZ103" s="1" t="str">
        <f t="shared" si="478"/>
        <v>ND</v>
      </c>
      <c r="HA103" s="1" t="str">
        <f t="shared" si="479"/>
        <v>ND</v>
      </c>
      <c r="HB103" s="1" t="str">
        <f t="shared" si="480"/>
        <v>ND</v>
      </c>
      <c r="HC103" s="1" t="str">
        <f t="shared" si="481"/>
        <v>ND</v>
      </c>
      <c r="HD103" s="1" t="str">
        <f t="shared" si="482"/>
        <v>ND</v>
      </c>
      <c r="HE103" s="1" t="str">
        <f t="shared" si="483"/>
        <v>ND</v>
      </c>
      <c r="HF103" s="1" t="str">
        <f t="shared" si="484"/>
        <v>ND</v>
      </c>
      <c r="HG103" s="1" t="str">
        <f t="shared" si="485"/>
        <v>ND</v>
      </c>
      <c r="HH103" s="1" t="str">
        <f t="shared" si="486"/>
        <v>ND</v>
      </c>
      <c r="HI103" s="1" t="str">
        <f t="shared" si="487"/>
        <v>ND</v>
      </c>
      <c r="HJ103" s="1" t="str">
        <f t="shared" si="488"/>
        <v>ND</v>
      </c>
      <c r="HK103" s="1" t="str">
        <f t="shared" si="489"/>
        <v>ND</v>
      </c>
      <c r="HL103" s="1" t="str">
        <f t="shared" si="490"/>
        <v>ND</v>
      </c>
      <c r="HM103" s="1" t="str">
        <f t="shared" si="491"/>
        <v>ND</v>
      </c>
      <c r="HN103" s="1" t="str">
        <f t="shared" si="492"/>
        <v>ND</v>
      </c>
      <c r="HO103" s="1" t="str">
        <f t="shared" si="493"/>
        <v>ND</v>
      </c>
      <c r="HP103" s="1" t="str">
        <f t="shared" si="494"/>
        <v>ND</v>
      </c>
      <c r="HQ103" s="1" t="str">
        <f t="shared" si="495"/>
        <v>ND</v>
      </c>
      <c r="HR103" s="1" t="str">
        <f t="shared" si="496"/>
        <v>ND</v>
      </c>
      <c r="HS103" s="1" t="str">
        <f t="shared" si="497"/>
        <v>ND</v>
      </c>
      <c r="HT103" s="1" t="str">
        <f t="shared" si="498"/>
        <v>ND</v>
      </c>
      <c r="HU103" s="1" t="str">
        <f t="shared" si="499"/>
        <v>ND</v>
      </c>
      <c r="HV103" s="1" t="str">
        <f t="shared" si="500"/>
        <v>ND</v>
      </c>
      <c r="HW103" s="1" t="str">
        <f t="shared" si="501"/>
        <v>ND</v>
      </c>
      <c r="HX103" s="1" t="str">
        <f t="shared" si="502"/>
        <v>ND</v>
      </c>
      <c r="HY103" s="1" t="str">
        <f t="shared" si="503"/>
        <v>ND</v>
      </c>
      <c r="HZ103" s="1" t="str">
        <f t="shared" si="504"/>
        <v>ND</v>
      </c>
      <c r="IA103" s="1" t="str">
        <f t="shared" si="505"/>
        <v>ND</v>
      </c>
      <c r="IB103" s="1" t="str">
        <f t="shared" si="506"/>
        <v>ND</v>
      </c>
      <c r="IC103" s="1" t="str">
        <f t="shared" si="507"/>
        <v>ND</v>
      </c>
      <c r="ID103" s="1" t="str">
        <f t="shared" si="508"/>
        <v>ND</v>
      </c>
      <c r="IE103" s="1" t="str">
        <f t="shared" si="509"/>
        <v>ND</v>
      </c>
      <c r="IF103" s="1" t="str">
        <f t="shared" si="510"/>
        <v>ND</v>
      </c>
      <c r="IG103" s="1" t="str">
        <f t="shared" si="511"/>
        <v>ND</v>
      </c>
      <c r="IH103" s="1" t="str">
        <f t="shared" si="512"/>
        <v>ND</v>
      </c>
      <c r="II103" s="1" t="str">
        <f t="shared" si="513"/>
        <v>ND</v>
      </c>
    </row>
    <row r="104" spans="3:243" x14ac:dyDescent="0.25">
      <c r="C104" t="s">
        <v>105</v>
      </c>
      <c r="D104">
        <f>SUMIFS(DICCIONARIO[Cantidad],DICCIONARIO[Modelo],UNIFICADA[[#This Row],[Equipo]])</f>
        <v>0</v>
      </c>
      <c r="E104" s="1">
        <f>IFERROR(VLOOKUP($C104,EQUIPOS[],UNIFICADO!E$9,0),"")</f>
        <v>12</v>
      </c>
      <c r="F104" s="1">
        <f>IFERROR(VLOOKUP($C104,EQUIPOS[],UNIFICADO!F$9,0),"")</f>
        <v>7.6</v>
      </c>
      <c r="G104" s="1">
        <f>IFERROR(VLOOKUP($C104,EQUIPOS[],UNIFICADO!G$9,0),"")</f>
        <v>50</v>
      </c>
      <c r="H104" s="1">
        <f>IFERROR(VLOOKUP($C104,EQUIPOS[],UNIFICADO!H$9,0),"")</f>
        <v>3</v>
      </c>
      <c r="I104" s="1">
        <f>IFERROR(VLOOKUP($C104,EQUIPOS[],UNIFICADO!I$9,0),"")</f>
        <v>10</v>
      </c>
      <c r="J104" s="1" t="str">
        <f>IFERROR(VLOOKUP($C104,EQUIPOS[],UNIFICADO!J$9,0),"")</f>
        <v>256GB</v>
      </c>
      <c r="K104" s="1">
        <f>IFERROR(VLOOKUP($C104,EQUIPOS[],UNIFICADO!K$9,0),"")</f>
        <v>0</v>
      </c>
      <c r="L104" s="1">
        <f>IFERROR(VLOOKUP($C104,EQUIPOS[],UNIFICADO!L$9,0),"")</f>
        <v>8</v>
      </c>
      <c r="M104" s="1" t="str">
        <f>IFERROR(VLOOKUP($C104,EQUIPOS[],UNIFICADO!M$9,0),"")</f>
        <v>3.1/2.7/1.8</v>
      </c>
      <c r="N104" s="1">
        <f>IFERROR(VLOOKUP($C104,EQUIPOS[],UNIFICADO!N$9,0),"")</f>
        <v>12</v>
      </c>
      <c r="O104" s="1">
        <f>IFERROR(VLOOKUP($C104,EQUIPOS[],UNIFICADO!O$9,0),"")</f>
        <v>263</v>
      </c>
      <c r="P104" s="1">
        <f>IFERROR(VLOOKUP($C104,EQUIPOS[],UNIFICADO!P$9,0),"")</f>
        <v>15.5</v>
      </c>
      <c r="Q104" s="1">
        <f>IFERROR(VLOOKUP($C104,EQUIPOS[],UNIFICADO!Q$9,0),"")</f>
        <v>13</v>
      </c>
      <c r="R104" s="1">
        <f>IFERROR(VLOOKUP($C104,EQUIPOS[],UNIFICADO!R$9,0),"")</f>
        <v>0.63</v>
      </c>
      <c r="S104" s="1">
        <f>IFERROR(VLOOKUP($C104,EQUIPOS[],UNIFICADO!S$9,0),"")</f>
        <v>4400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8"/>
        <v>ND</v>
      </c>
      <c r="W104" s="1" t="str">
        <f t="shared" si="359"/>
        <v>ND</v>
      </c>
      <c r="X104" s="1" t="str">
        <f t="shared" si="520"/>
        <v>ND</v>
      </c>
      <c r="Y104" s="1" t="str">
        <f t="shared" si="520"/>
        <v>ND</v>
      </c>
      <c r="Z104" s="1" t="str">
        <f t="shared" si="527"/>
        <v>ND</v>
      </c>
      <c r="AA104" s="1" t="str">
        <f t="shared" si="527"/>
        <v>ND</v>
      </c>
      <c r="AB104" s="1" t="str">
        <f t="shared" si="527"/>
        <v>ND</v>
      </c>
      <c r="AC104" s="1" t="str">
        <f t="shared" si="527"/>
        <v>ND</v>
      </c>
      <c r="AD104" s="1" t="str">
        <f t="shared" si="527"/>
        <v>ND</v>
      </c>
      <c r="AE104" s="1" t="str">
        <f t="shared" si="527"/>
        <v>ND</v>
      </c>
      <c r="AF104" s="1" t="str">
        <f t="shared" si="527"/>
        <v>ND</v>
      </c>
      <c r="AG104" s="1" t="str">
        <f t="shared" si="527"/>
        <v>ND</v>
      </c>
      <c r="AH104" s="1" t="str">
        <f t="shared" si="527"/>
        <v>ND</v>
      </c>
      <c r="AI104" s="1" t="str">
        <f t="shared" si="360"/>
        <v>ND</v>
      </c>
      <c r="AJ104" s="1" t="str">
        <f t="shared" si="361"/>
        <v>ND</v>
      </c>
      <c r="AK104" s="1" t="str">
        <f t="shared" si="362"/>
        <v>ND</v>
      </c>
      <c r="AL104" s="1" t="str">
        <f t="shared" si="363"/>
        <v>ND</v>
      </c>
      <c r="AM104" s="1" t="str">
        <f t="shared" si="364"/>
        <v>ND</v>
      </c>
      <c r="AN104" s="1" t="str">
        <f t="shared" si="365"/>
        <v>ND</v>
      </c>
      <c r="AO104" s="1" t="str">
        <f t="shared" si="366"/>
        <v>ND</v>
      </c>
      <c r="AP104" s="1" t="str">
        <f t="shared" si="367"/>
        <v>ND</v>
      </c>
      <c r="AQ104" s="1" t="str">
        <f t="shared" si="368"/>
        <v>ND</v>
      </c>
      <c r="AR104" s="1" t="str">
        <f t="shared" si="369"/>
        <v>ND</v>
      </c>
      <c r="AS104" s="1" t="str">
        <f t="shared" si="370"/>
        <v>ND</v>
      </c>
      <c r="AT104" s="1" t="str">
        <f t="shared" si="371"/>
        <v>ND</v>
      </c>
      <c r="AU104" s="1" t="str">
        <f t="shared" si="372"/>
        <v>ND</v>
      </c>
      <c r="AV104" s="1" t="str">
        <f t="shared" si="373"/>
        <v>ND</v>
      </c>
      <c r="AW104" s="1" t="str">
        <f t="shared" si="374"/>
        <v>ND</v>
      </c>
      <c r="AX104" s="1" t="str">
        <f t="shared" si="375"/>
        <v>ND</v>
      </c>
      <c r="AY104" s="1" t="str">
        <f t="shared" si="376"/>
        <v>ND</v>
      </c>
      <c r="AZ104" s="1" t="str">
        <f t="shared" si="377"/>
        <v>ND</v>
      </c>
      <c r="BA104" s="1" t="str">
        <f t="shared" si="378"/>
        <v>ND</v>
      </c>
      <c r="BB104" s="1" t="str">
        <f t="shared" si="379"/>
        <v>ND</v>
      </c>
      <c r="BC104" s="1" t="str">
        <f t="shared" si="380"/>
        <v>ND</v>
      </c>
      <c r="BD104" s="1" t="str">
        <f t="shared" si="381"/>
        <v>ND</v>
      </c>
      <c r="BE104" s="1" t="str">
        <f t="shared" si="382"/>
        <v>ND</v>
      </c>
      <c r="BF104" s="1" t="str">
        <f t="shared" si="383"/>
        <v>ND</v>
      </c>
      <c r="BG104" s="1" t="str">
        <f t="shared" si="384"/>
        <v>ND</v>
      </c>
      <c r="BH104" s="1" t="str">
        <f t="shared" si="385"/>
        <v>ND</v>
      </c>
      <c r="BI104" s="1" t="str">
        <f t="shared" si="386"/>
        <v>ND</v>
      </c>
      <c r="BJ104" s="1" t="str">
        <f t="shared" si="387"/>
        <v>ND</v>
      </c>
      <c r="BK104" s="1" t="str">
        <f t="shared" si="388"/>
        <v>ND</v>
      </c>
      <c r="BL104" s="1" t="str">
        <f t="shared" si="389"/>
        <v>ND</v>
      </c>
      <c r="BM104" s="1" t="str">
        <f t="shared" si="390"/>
        <v>ND</v>
      </c>
      <c r="BN104" s="1" t="str">
        <f t="shared" si="391"/>
        <v>ND</v>
      </c>
      <c r="BO104" s="1" t="str">
        <f t="shared" si="392"/>
        <v>ND</v>
      </c>
      <c r="BP104" s="1" t="str">
        <f t="shared" si="393"/>
        <v>ND</v>
      </c>
      <c r="BQ104" s="1" t="str">
        <f t="shared" si="394"/>
        <v>ND</v>
      </c>
      <c r="BR104" s="1" t="str">
        <f t="shared" si="395"/>
        <v>ND</v>
      </c>
      <c r="BS104" s="1" t="str">
        <f t="shared" si="396"/>
        <v>ND</v>
      </c>
      <c r="BT104" s="1" t="str">
        <f t="shared" si="397"/>
        <v>ND</v>
      </c>
      <c r="BU104" s="1" t="str">
        <f t="shared" si="398"/>
        <v>ND</v>
      </c>
      <c r="BV104" s="1" t="str">
        <f t="shared" si="399"/>
        <v>ND</v>
      </c>
      <c r="BW104" s="1" t="str">
        <f t="shared" si="400"/>
        <v>ND</v>
      </c>
      <c r="BX104" s="1" t="str">
        <f t="shared" si="401"/>
        <v>ND</v>
      </c>
      <c r="BY104" s="1" t="str">
        <f t="shared" si="402"/>
        <v>ND</v>
      </c>
      <c r="BZ104" s="1" t="str">
        <f t="shared" si="403"/>
        <v>ND</v>
      </c>
      <c r="CA104" s="1" t="str">
        <f t="shared" si="528"/>
        <v>ND</v>
      </c>
      <c r="CB104" s="1" t="str">
        <f t="shared" si="528"/>
        <v>ND</v>
      </c>
      <c r="CC104" s="1" t="str">
        <f t="shared" si="528"/>
        <v>ND</v>
      </c>
      <c r="CD104" s="1" t="str">
        <f t="shared" si="528"/>
        <v>ND</v>
      </c>
      <c r="CE104" s="1" t="str">
        <f t="shared" si="528"/>
        <v>ND</v>
      </c>
      <c r="CF104" s="1" t="str">
        <f t="shared" si="528"/>
        <v>ND</v>
      </c>
      <c r="CG104" s="1" t="str">
        <f t="shared" si="528"/>
        <v>ND</v>
      </c>
      <c r="CH104" s="1" t="str">
        <f t="shared" si="528"/>
        <v>ND</v>
      </c>
      <c r="CI104" s="1" t="str">
        <f t="shared" si="528"/>
        <v>ND</v>
      </c>
      <c r="CJ104" s="1" t="str">
        <f t="shared" si="528"/>
        <v>ND</v>
      </c>
      <c r="CK104" s="1" t="str">
        <f t="shared" si="528"/>
        <v>ND</v>
      </c>
      <c r="CL104" s="1" t="str">
        <f t="shared" si="529"/>
        <v>ND</v>
      </c>
      <c r="CM104" s="1" t="str">
        <f t="shared" si="529"/>
        <v>ND</v>
      </c>
      <c r="CN104" s="1" t="str">
        <f t="shared" si="529"/>
        <v>ND</v>
      </c>
      <c r="CO104" s="1" t="str">
        <f t="shared" si="529"/>
        <v>ND</v>
      </c>
      <c r="CP104" s="1" t="str">
        <f t="shared" si="529"/>
        <v>ND</v>
      </c>
      <c r="CQ104" s="1" t="str">
        <f t="shared" si="529"/>
        <v>ND</v>
      </c>
      <c r="CR104" s="1" t="str">
        <f t="shared" si="529"/>
        <v>ND</v>
      </c>
      <c r="CS104" s="1" t="str">
        <f t="shared" si="529"/>
        <v>ND</v>
      </c>
      <c r="CT104" s="1" t="str">
        <f t="shared" si="529"/>
        <v>ND</v>
      </c>
      <c r="CU104" s="1" t="str">
        <f t="shared" si="529"/>
        <v>ND</v>
      </c>
      <c r="CV104" s="1" t="str">
        <f t="shared" si="529"/>
        <v>ND</v>
      </c>
      <c r="CW104" s="1" t="str">
        <f t="shared" si="404"/>
        <v>ND</v>
      </c>
      <c r="CX104" s="1" t="str">
        <f t="shared" si="405"/>
        <v>ND</v>
      </c>
      <c r="CY104" s="1" t="str">
        <f t="shared" si="406"/>
        <v>ND</v>
      </c>
      <c r="CZ104" s="1" t="str">
        <f t="shared" si="407"/>
        <v>ND</v>
      </c>
      <c r="DA104" s="1" t="str">
        <f t="shared" si="408"/>
        <v>ND</v>
      </c>
      <c r="DB104" s="1" t="str">
        <f t="shared" si="409"/>
        <v>ND</v>
      </c>
      <c r="DC104" s="1" t="str">
        <f t="shared" si="410"/>
        <v>ND</v>
      </c>
      <c r="DD104" s="1" t="str">
        <f t="shared" si="411"/>
        <v>ND</v>
      </c>
      <c r="DE104" s="1" t="str">
        <f t="shared" si="412"/>
        <v>ND</v>
      </c>
      <c r="DF104" s="1" t="str">
        <f t="shared" si="413"/>
        <v>ND</v>
      </c>
      <c r="DG104" s="1" t="str">
        <f t="shared" si="414"/>
        <v>ND</v>
      </c>
      <c r="DH104" s="1" t="str">
        <f t="shared" si="415"/>
        <v>ND</v>
      </c>
      <c r="DI104" s="1" t="str">
        <f t="shared" si="416"/>
        <v>ND</v>
      </c>
      <c r="DJ104" s="1" t="str">
        <f t="shared" si="417"/>
        <v>ND</v>
      </c>
      <c r="DK104" s="1" t="str">
        <f t="shared" si="418"/>
        <v>ND</v>
      </c>
      <c r="DL104" s="1" t="str">
        <f t="shared" si="419"/>
        <v>ND</v>
      </c>
      <c r="DM104" s="1" t="str">
        <f t="shared" si="420"/>
        <v>ND</v>
      </c>
      <c r="DN104" s="1" t="str">
        <f t="shared" si="421"/>
        <v>ND</v>
      </c>
      <c r="DO104" s="1" t="str">
        <f t="shared" si="422"/>
        <v>ND</v>
      </c>
      <c r="DP104" s="1" t="str">
        <f t="shared" si="423"/>
        <v>ND</v>
      </c>
      <c r="DQ104" s="1" t="str">
        <f t="shared" si="424"/>
        <v>ND</v>
      </c>
      <c r="DR104" s="1" t="str">
        <f t="shared" si="425"/>
        <v>ND</v>
      </c>
      <c r="DS104" s="1" t="str">
        <f t="shared" si="426"/>
        <v>ND</v>
      </c>
      <c r="DT104" s="1" t="str">
        <f t="shared" si="427"/>
        <v>ND</v>
      </c>
      <c r="DU104" s="1" t="str">
        <f t="shared" si="428"/>
        <v>ND</v>
      </c>
      <c r="DV104" s="1" t="str">
        <f t="shared" si="429"/>
        <v>ND</v>
      </c>
      <c r="DW104" s="1" t="str">
        <f t="shared" si="430"/>
        <v>ND</v>
      </c>
      <c r="DX104" s="1" t="str">
        <f t="shared" si="431"/>
        <v>ND</v>
      </c>
      <c r="DY104" s="1" t="str">
        <f t="shared" si="432"/>
        <v>ND</v>
      </c>
      <c r="DZ104" s="1" t="str">
        <f t="shared" si="433"/>
        <v>ND</v>
      </c>
      <c r="EA104" s="1" t="str">
        <f t="shared" si="434"/>
        <v>ND</v>
      </c>
      <c r="EB104" s="1" t="str">
        <f t="shared" si="435"/>
        <v>ND</v>
      </c>
      <c r="EC104" s="1" t="str">
        <f t="shared" si="436"/>
        <v>ND</v>
      </c>
      <c r="ED104" s="1" t="str">
        <f t="shared" si="437"/>
        <v>ND</v>
      </c>
      <c r="EE104" s="1" t="str">
        <f t="shared" si="438"/>
        <v>ND</v>
      </c>
      <c r="EF104" s="1" t="str">
        <f t="shared" si="439"/>
        <v>ND</v>
      </c>
      <c r="EG104" s="1" t="str">
        <f t="shared" si="440"/>
        <v>ND</v>
      </c>
      <c r="EH104" s="1" t="str">
        <f t="shared" si="441"/>
        <v>ND</v>
      </c>
      <c r="EI104" s="1" t="str">
        <f t="shared" si="442"/>
        <v>ND</v>
      </c>
      <c r="EJ104" s="1" t="str">
        <f t="shared" si="443"/>
        <v>ND</v>
      </c>
      <c r="EK104" s="1" t="str">
        <f t="shared" si="444"/>
        <v>ND</v>
      </c>
      <c r="EL104" s="1" t="str">
        <f t="shared" si="445"/>
        <v>ND</v>
      </c>
      <c r="EM104" s="1" t="str">
        <f t="shared" si="446"/>
        <v>ND</v>
      </c>
      <c r="EN104" s="1" t="str">
        <f t="shared" si="447"/>
        <v>ND</v>
      </c>
      <c r="EO104" s="1" t="str">
        <f t="shared" si="530"/>
        <v>ND</v>
      </c>
      <c r="EP104" s="1" t="str">
        <f t="shared" si="530"/>
        <v>ND</v>
      </c>
      <c r="EQ104" s="1" t="str">
        <f t="shared" si="530"/>
        <v>ND</v>
      </c>
      <c r="ER104" s="1" t="str">
        <f t="shared" si="530"/>
        <v>ND</v>
      </c>
      <c r="ES104" s="1" t="str">
        <f t="shared" si="530"/>
        <v>ND</v>
      </c>
      <c r="ET104" s="1" t="str">
        <f t="shared" si="530"/>
        <v>ND</v>
      </c>
      <c r="EU104" s="1" t="str">
        <f t="shared" si="530"/>
        <v>ND</v>
      </c>
      <c r="EV104" s="1" t="str">
        <f t="shared" si="530"/>
        <v>ND</v>
      </c>
      <c r="EW104" s="1" t="str">
        <f t="shared" si="530"/>
        <v>ND</v>
      </c>
      <c r="EX104" s="1" t="str">
        <f t="shared" si="530"/>
        <v>ND</v>
      </c>
      <c r="EY104" s="1" t="str">
        <f t="shared" si="530"/>
        <v>ND</v>
      </c>
      <c r="EZ104" s="1" t="str">
        <f t="shared" si="531"/>
        <v>ND</v>
      </c>
      <c r="FA104" s="1" t="str">
        <f t="shared" si="531"/>
        <v>ND</v>
      </c>
      <c r="FB104" s="1" t="str">
        <f t="shared" si="531"/>
        <v>ND</v>
      </c>
      <c r="FC104" s="1" t="str">
        <f t="shared" si="531"/>
        <v>ND</v>
      </c>
      <c r="FD104" s="1" t="str">
        <f t="shared" si="531"/>
        <v>ND</v>
      </c>
      <c r="FE104" s="1" t="str">
        <f t="shared" si="531"/>
        <v>ND</v>
      </c>
      <c r="FF104" s="1" t="str">
        <f t="shared" si="531"/>
        <v>ND</v>
      </c>
      <c r="FG104" s="1" t="str">
        <f t="shared" si="531"/>
        <v>ND</v>
      </c>
      <c r="FH104" s="1" t="str">
        <f t="shared" si="531"/>
        <v>ND</v>
      </c>
      <c r="FI104" s="1" t="str">
        <f t="shared" si="531"/>
        <v>ND</v>
      </c>
      <c r="FJ104" s="1" t="str">
        <f t="shared" si="531"/>
        <v>ND</v>
      </c>
      <c r="FK104" s="1" t="str">
        <f t="shared" si="532"/>
        <v>ND</v>
      </c>
      <c r="FL104" s="1" t="str">
        <f t="shared" si="532"/>
        <v>ND</v>
      </c>
      <c r="FM104" s="1" t="str">
        <f t="shared" si="532"/>
        <v>ND</v>
      </c>
      <c r="FN104" s="1" t="str">
        <f t="shared" si="532"/>
        <v>ND</v>
      </c>
      <c r="FO104" s="1" t="str">
        <f t="shared" si="532"/>
        <v>ND</v>
      </c>
      <c r="FP104" s="1" t="str">
        <f t="shared" si="532"/>
        <v>ND</v>
      </c>
      <c r="FQ104" s="1" t="str">
        <f t="shared" si="532"/>
        <v>ND</v>
      </c>
      <c r="FR104" s="1" t="str">
        <f t="shared" si="532"/>
        <v>ND</v>
      </c>
      <c r="FS104" s="1" t="str">
        <f t="shared" si="532"/>
        <v>ND</v>
      </c>
      <c r="FT104" s="1" t="str">
        <f t="shared" si="532"/>
        <v>ND</v>
      </c>
      <c r="FU104" s="1" t="str">
        <f t="shared" si="532"/>
        <v>ND</v>
      </c>
      <c r="FV104" s="1" t="str">
        <f t="shared" si="448"/>
        <v>ND</v>
      </c>
      <c r="FW104" s="1" t="str">
        <f t="shared" si="449"/>
        <v>ND</v>
      </c>
      <c r="FX104" s="1" t="str">
        <f t="shared" si="450"/>
        <v>ND</v>
      </c>
      <c r="FY104" s="1" t="str">
        <f t="shared" si="451"/>
        <v>ND</v>
      </c>
      <c r="FZ104" s="1" t="str">
        <f t="shared" si="452"/>
        <v>ND</v>
      </c>
      <c r="GA104" s="1" t="str">
        <f t="shared" si="453"/>
        <v>ND</v>
      </c>
      <c r="GB104" s="1" t="str">
        <f t="shared" si="454"/>
        <v>ND</v>
      </c>
      <c r="GC104" s="1" t="str">
        <f t="shared" si="455"/>
        <v>ND</v>
      </c>
      <c r="GD104" s="1" t="str">
        <f t="shared" si="456"/>
        <v>ND</v>
      </c>
      <c r="GE104" s="1" t="str">
        <f t="shared" si="457"/>
        <v>ND</v>
      </c>
      <c r="GF104" s="1" t="str">
        <f t="shared" si="458"/>
        <v>ND</v>
      </c>
      <c r="GG104" s="1" t="str">
        <f t="shared" si="459"/>
        <v>ND</v>
      </c>
      <c r="GH104" s="1" t="str">
        <f t="shared" si="460"/>
        <v>ND</v>
      </c>
      <c r="GI104" s="1" t="str">
        <f t="shared" si="461"/>
        <v>ND</v>
      </c>
      <c r="GJ104" s="1" t="str">
        <f t="shared" si="462"/>
        <v>ND</v>
      </c>
      <c r="GK104" s="1" t="str">
        <f t="shared" si="463"/>
        <v>ND</v>
      </c>
      <c r="GL104" s="1" t="str">
        <f t="shared" si="464"/>
        <v>ND</v>
      </c>
      <c r="GM104" s="1" t="str">
        <f t="shared" si="465"/>
        <v>ND</v>
      </c>
      <c r="GN104" s="1" t="str">
        <f t="shared" si="466"/>
        <v>ND</v>
      </c>
      <c r="GO104" s="1" t="str">
        <f t="shared" si="467"/>
        <v>ND</v>
      </c>
      <c r="GP104" s="1" t="str">
        <f t="shared" si="468"/>
        <v>ND</v>
      </c>
      <c r="GQ104" s="1" t="str">
        <f t="shared" si="469"/>
        <v>ND</v>
      </c>
      <c r="GR104" s="1" t="str">
        <f t="shared" si="470"/>
        <v>ND</v>
      </c>
      <c r="GS104" s="1" t="str">
        <f t="shared" si="471"/>
        <v>ND</v>
      </c>
      <c r="GT104" s="1" t="str">
        <f t="shared" si="472"/>
        <v>ND</v>
      </c>
      <c r="GU104" s="1" t="str">
        <f t="shared" si="473"/>
        <v>ND</v>
      </c>
      <c r="GV104" s="1" t="str">
        <f t="shared" si="474"/>
        <v>ND</v>
      </c>
      <c r="GW104" s="1" t="str">
        <f t="shared" si="475"/>
        <v>ND</v>
      </c>
      <c r="GX104" s="1" t="str">
        <f t="shared" si="476"/>
        <v>ND</v>
      </c>
      <c r="GY104" s="1" t="str">
        <f t="shared" si="477"/>
        <v>ND</v>
      </c>
      <c r="GZ104" s="1" t="str">
        <f t="shared" si="478"/>
        <v>ND</v>
      </c>
      <c r="HA104" s="1" t="str">
        <f t="shared" si="479"/>
        <v>ND</v>
      </c>
      <c r="HB104" s="1" t="str">
        <f t="shared" si="480"/>
        <v>ND</v>
      </c>
      <c r="HC104" s="1" t="str">
        <f t="shared" si="481"/>
        <v>ND</v>
      </c>
      <c r="HD104" s="1" t="str">
        <f t="shared" si="482"/>
        <v>ND</v>
      </c>
      <c r="HE104" s="1" t="str">
        <f t="shared" si="483"/>
        <v>ND</v>
      </c>
      <c r="HF104" s="1" t="str">
        <f t="shared" si="484"/>
        <v>ND</v>
      </c>
      <c r="HG104" s="1" t="str">
        <f t="shared" si="485"/>
        <v>ND</v>
      </c>
      <c r="HH104" s="1" t="str">
        <f t="shared" si="486"/>
        <v>ND</v>
      </c>
      <c r="HI104" s="1" t="str">
        <f t="shared" si="487"/>
        <v>ND</v>
      </c>
      <c r="HJ104" s="1" t="str">
        <f t="shared" si="488"/>
        <v>ND</v>
      </c>
      <c r="HK104" s="1" t="str">
        <f t="shared" si="489"/>
        <v>ND</v>
      </c>
      <c r="HL104" s="1" t="str">
        <f t="shared" si="490"/>
        <v>ND</v>
      </c>
      <c r="HM104" s="1" t="str">
        <f t="shared" si="491"/>
        <v>ND</v>
      </c>
      <c r="HN104" s="1" t="str">
        <f t="shared" si="492"/>
        <v>ND</v>
      </c>
      <c r="HO104" s="1" t="str">
        <f t="shared" si="493"/>
        <v>ND</v>
      </c>
      <c r="HP104" s="1" t="str">
        <f t="shared" si="494"/>
        <v>ND</v>
      </c>
      <c r="HQ104" s="1" t="str">
        <f t="shared" si="495"/>
        <v>ND</v>
      </c>
      <c r="HR104" s="1" t="str">
        <f t="shared" si="496"/>
        <v>ND</v>
      </c>
      <c r="HS104" s="1" t="str">
        <f t="shared" si="497"/>
        <v>ND</v>
      </c>
      <c r="HT104" s="1" t="str">
        <f t="shared" si="498"/>
        <v>ND</v>
      </c>
      <c r="HU104" s="1" t="str">
        <f t="shared" si="499"/>
        <v>ND</v>
      </c>
      <c r="HV104" s="1" t="str">
        <f t="shared" si="500"/>
        <v>ND</v>
      </c>
      <c r="HW104" s="1" t="str">
        <f t="shared" si="501"/>
        <v>ND</v>
      </c>
      <c r="HX104" s="1" t="str">
        <f t="shared" si="502"/>
        <v>ND</v>
      </c>
      <c r="HY104" s="1" t="str">
        <f t="shared" si="503"/>
        <v>ND</v>
      </c>
      <c r="HZ104" s="1" t="str">
        <f t="shared" si="504"/>
        <v>ND</v>
      </c>
      <c r="IA104" s="1" t="str">
        <f t="shared" si="505"/>
        <v>ND</v>
      </c>
      <c r="IB104" s="1" t="str">
        <f t="shared" si="506"/>
        <v>ND</v>
      </c>
      <c r="IC104" s="1" t="str">
        <f t="shared" si="507"/>
        <v>ND</v>
      </c>
      <c r="ID104" s="1" t="str">
        <f t="shared" si="508"/>
        <v>ND</v>
      </c>
      <c r="IE104" s="1" t="str">
        <f t="shared" si="509"/>
        <v>ND</v>
      </c>
      <c r="IF104" s="1" t="str">
        <f t="shared" si="510"/>
        <v>ND</v>
      </c>
      <c r="IG104" s="1" t="str">
        <f t="shared" si="511"/>
        <v>ND</v>
      </c>
      <c r="IH104" s="1" t="str">
        <f t="shared" si="512"/>
        <v>ND</v>
      </c>
      <c r="II104" s="1" t="str">
        <f t="shared" si="513"/>
        <v>ND</v>
      </c>
    </row>
    <row r="105" spans="3:243" x14ac:dyDescent="0.25">
      <c r="C105" t="s">
        <v>92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48</v>
      </c>
      <c r="H105" s="1">
        <f>IFERROR(VLOOKUP($C105,EQUIPOS[],UNIFICADO!H$9,0),"")</f>
        <v>4</v>
      </c>
      <c r="I105" s="1">
        <f>IFERROR(VLOOKUP($C105,EQUIPOS[],UNIFICADO!I$9,0),"")</f>
        <v>32</v>
      </c>
      <c r="J105" s="1" t="str">
        <f>IFERROR(VLOOKUP($C105,EQUIPOS[],UNIFICADO!J$9,0),"")</f>
        <v>256GB</v>
      </c>
      <c r="K105" s="1">
        <f>IFERROR(VLOOKUP($C105,EQUIPOS[],UNIFICADO!K$9,0),"")</f>
        <v>256</v>
      </c>
      <c r="L105" s="1">
        <f>IFERROR(VLOOKUP($C105,EQUIPOS[],UNIFICADO!L$9,0),"")</f>
        <v>8</v>
      </c>
      <c r="M105" s="1" t="str">
        <f>IFERROR(VLOOKUP($C105,EQUIPOS[],UNIFICADO!M$9,0),"")</f>
        <v>2.0/1.7</v>
      </c>
      <c r="N105" s="1">
        <f>IFERROR(VLOOKUP($C105,EQUIPOS[],UNIFICADO!N$9,0),"")</f>
        <v>6</v>
      </c>
      <c r="O105" s="1">
        <f>IFERROR(VLOOKUP($C105,EQUIPOS[],UNIFICADO!O$9,0),"")</f>
        <v>190</v>
      </c>
      <c r="P105" s="1">
        <f>IFERROR(VLOOKUP($C105,EQUIPOS[],UNIFICADO!P$9,0),"")</f>
        <v>16.399999999999999</v>
      </c>
      <c r="Q105" s="1">
        <f>IFERROR(VLOOKUP($C105,EQUIPOS[],UNIFICADO!Q$9,0),"")</f>
        <v>7.3</v>
      </c>
      <c r="R105" s="1">
        <f>IFERROR(VLOOKUP($C105,EQUIPOS[],UNIFICADO!R$9,0),"")</f>
        <v>0.88</v>
      </c>
      <c r="S105" s="1">
        <f>IFERROR(VLOOKUP($C105,EQUIPOS[],UNIFICADO!S$9,0),"")</f>
        <v>4500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8"/>
        <v>ND</v>
      </c>
      <c r="W105" s="1" t="str">
        <f t="shared" si="359"/>
        <v>ND</v>
      </c>
      <c r="X105" s="1" t="str">
        <f t="shared" si="520"/>
        <v>ND</v>
      </c>
      <c r="Y105" s="1" t="str">
        <f t="shared" si="520"/>
        <v>ND</v>
      </c>
      <c r="Z105" s="1" t="str">
        <f t="shared" si="527"/>
        <v>ND</v>
      </c>
      <c r="AA105" s="1" t="str">
        <f t="shared" si="527"/>
        <v>ND</v>
      </c>
      <c r="AB105" s="1" t="str">
        <f t="shared" si="527"/>
        <v>ND</v>
      </c>
      <c r="AC105" s="1" t="str">
        <f t="shared" si="527"/>
        <v>ND</v>
      </c>
      <c r="AD105" s="1" t="str">
        <f t="shared" si="527"/>
        <v>ND</v>
      </c>
      <c r="AE105" s="1" t="str">
        <f t="shared" si="527"/>
        <v>ND</v>
      </c>
      <c r="AF105" s="1" t="str">
        <f t="shared" si="527"/>
        <v>ND</v>
      </c>
      <c r="AG105" s="1" t="str">
        <f t="shared" si="527"/>
        <v>ND</v>
      </c>
      <c r="AH105" s="1" t="str">
        <f t="shared" si="527"/>
        <v>ND</v>
      </c>
      <c r="AI105" s="1" t="str">
        <f t="shared" si="360"/>
        <v>ND</v>
      </c>
      <c r="AJ105" s="1" t="str">
        <f t="shared" si="361"/>
        <v>ND</v>
      </c>
      <c r="AK105" s="1" t="str">
        <f t="shared" si="362"/>
        <v>ND</v>
      </c>
      <c r="AL105" s="1" t="str">
        <f t="shared" si="363"/>
        <v>ND</v>
      </c>
      <c r="AM105" s="1" t="str">
        <f t="shared" si="364"/>
        <v>ND</v>
      </c>
      <c r="AN105" s="1" t="str">
        <f t="shared" si="365"/>
        <v>ND</v>
      </c>
      <c r="AO105" s="1" t="str">
        <f t="shared" si="366"/>
        <v>ND</v>
      </c>
      <c r="AP105" s="1" t="str">
        <f t="shared" si="367"/>
        <v>ND</v>
      </c>
      <c r="AQ105" s="1" t="str">
        <f t="shared" si="368"/>
        <v>ND</v>
      </c>
      <c r="AR105" s="1" t="str">
        <f t="shared" si="369"/>
        <v>ND</v>
      </c>
      <c r="AS105" s="1" t="str">
        <f t="shared" si="370"/>
        <v>ND</v>
      </c>
      <c r="AT105" s="1" t="str">
        <f t="shared" si="371"/>
        <v>ND</v>
      </c>
      <c r="AU105" s="1" t="str">
        <f t="shared" si="372"/>
        <v>ND</v>
      </c>
      <c r="AV105" s="1" t="str">
        <f t="shared" si="373"/>
        <v>ND</v>
      </c>
      <c r="AW105" s="1" t="str">
        <f t="shared" si="374"/>
        <v>ND</v>
      </c>
      <c r="AX105" s="1" t="str">
        <f t="shared" si="375"/>
        <v>ND</v>
      </c>
      <c r="AY105" s="1" t="str">
        <f t="shared" si="376"/>
        <v>ND</v>
      </c>
      <c r="AZ105" s="1" t="str">
        <f t="shared" si="377"/>
        <v>ND</v>
      </c>
      <c r="BA105" s="1" t="str">
        <f t="shared" si="378"/>
        <v>ND</v>
      </c>
      <c r="BB105" s="1" t="str">
        <f t="shared" si="379"/>
        <v>ND</v>
      </c>
      <c r="BC105" s="1" t="str">
        <f t="shared" si="380"/>
        <v>ND</v>
      </c>
      <c r="BD105" s="1" t="str">
        <f t="shared" si="381"/>
        <v>ND</v>
      </c>
      <c r="BE105" s="1" t="str">
        <f t="shared" si="382"/>
        <v>ND</v>
      </c>
      <c r="BF105" s="1" t="str">
        <f t="shared" si="383"/>
        <v>ND</v>
      </c>
      <c r="BG105" s="1" t="str">
        <f t="shared" si="384"/>
        <v>ND</v>
      </c>
      <c r="BH105" s="1" t="str">
        <f t="shared" si="385"/>
        <v>ND</v>
      </c>
      <c r="BI105" s="1" t="str">
        <f t="shared" si="386"/>
        <v>ND</v>
      </c>
      <c r="BJ105" s="1" t="str">
        <f t="shared" si="387"/>
        <v>ND</v>
      </c>
      <c r="BK105" s="1" t="str">
        <f t="shared" si="388"/>
        <v>ND</v>
      </c>
      <c r="BL105" s="1" t="str">
        <f t="shared" si="389"/>
        <v>ND</v>
      </c>
      <c r="BM105" s="1" t="str">
        <f t="shared" si="390"/>
        <v>ND</v>
      </c>
      <c r="BN105" s="1" t="str">
        <f t="shared" si="391"/>
        <v>ND</v>
      </c>
      <c r="BO105" s="1" t="str">
        <f t="shared" si="392"/>
        <v>ND</v>
      </c>
      <c r="BP105" s="1" t="str">
        <f t="shared" si="393"/>
        <v>ND</v>
      </c>
      <c r="BQ105" s="1" t="str">
        <f t="shared" si="394"/>
        <v>ND</v>
      </c>
      <c r="BR105" s="1" t="str">
        <f t="shared" si="395"/>
        <v>ND</v>
      </c>
      <c r="BS105" s="1" t="str">
        <f t="shared" si="396"/>
        <v>ND</v>
      </c>
      <c r="BT105" s="1" t="str">
        <f t="shared" si="397"/>
        <v>ND</v>
      </c>
      <c r="BU105" s="1" t="str">
        <f t="shared" si="398"/>
        <v>ND</v>
      </c>
      <c r="BV105" s="1" t="str">
        <f t="shared" si="399"/>
        <v>ND</v>
      </c>
      <c r="BW105" s="1" t="str">
        <f t="shared" si="400"/>
        <v>ND</v>
      </c>
      <c r="BX105" s="1" t="str">
        <f t="shared" si="401"/>
        <v>ND</v>
      </c>
      <c r="BY105" s="1" t="str">
        <f t="shared" si="402"/>
        <v>ND</v>
      </c>
      <c r="BZ105" s="1" t="str">
        <f t="shared" si="403"/>
        <v>ND</v>
      </c>
      <c r="CA105" s="1" t="str">
        <f t="shared" si="528"/>
        <v>ND</v>
      </c>
      <c r="CB105" s="1" t="str">
        <f t="shared" si="528"/>
        <v>ND</v>
      </c>
      <c r="CC105" s="1" t="str">
        <f t="shared" si="528"/>
        <v>ND</v>
      </c>
      <c r="CD105" s="1" t="str">
        <f t="shared" si="528"/>
        <v>ND</v>
      </c>
      <c r="CE105" s="1" t="str">
        <f t="shared" si="528"/>
        <v>ND</v>
      </c>
      <c r="CF105" s="1" t="str">
        <f t="shared" si="528"/>
        <v>ND</v>
      </c>
      <c r="CG105" s="1" t="str">
        <f t="shared" si="528"/>
        <v>ND</v>
      </c>
      <c r="CH105" s="1" t="str">
        <f t="shared" si="528"/>
        <v>ND</v>
      </c>
      <c r="CI105" s="1" t="str">
        <f t="shared" si="528"/>
        <v>ND</v>
      </c>
      <c r="CJ105" s="1" t="str">
        <f t="shared" si="528"/>
        <v>ND</v>
      </c>
      <c r="CK105" s="1" t="str">
        <f t="shared" si="528"/>
        <v>ND</v>
      </c>
      <c r="CL105" s="1" t="str">
        <f t="shared" si="529"/>
        <v>ND</v>
      </c>
      <c r="CM105" s="1" t="str">
        <f t="shared" si="529"/>
        <v>ND</v>
      </c>
      <c r="CN105" s="1" t="str">
        <f t="shared" si="529"/>
        <v>ND</v>
      </c>
      <c r="CO105" s="1" t="str">
        <f t="shared" si="529"/>
        <v>ND</v>
      </c>
      <c r="CP105" s="1" t="str">
        <f t="shared" si="529"/>
        <v>ND</v>
      </c>
      <c r="CQ105" s="1" t="str">
        <f t="shared" si="529"/>
        <v>ND</v>
      </c>
      <c r="CR105" s="1" t="str">
        <f t="shared" si="529"/>
        <v>ND</v>
      </c>
      <c r="CS105" s="1" t="str">
        <f t="shared" si="529"/>
        <v>ND</v>
      </c>
      <c r="CT105" s="1" t="str">
        <f t="shared" si="529"/>
        <v>ND</v>
      </c>
      <c r="CU105" s="1" t="str">
        <f t="shared" si="529"/>
        <v>ND</v>
      </c>
      <c r="CV105" s="1" t="str">
        <f t="shared" si="529"/>
        <v>ND</v>
      </c>
      <c r="CW105" s="1" t="str">
        <f t="shared" si="404"/>
        <v>ND</v>
      </c>
      <c r="CX105" s="1" t="str">
        <f t="shared" si="405"/>
        <v>ND</v>
      </c>
      <c r="CY105" s="1" t="str">
        <f t="shared" si="406"/>
        <v>ND</v>
      </c>
      <c r="CZ105" s="1" t="str">
        <f t="shared" si="407"/>
        <v>ND</v>
      </c>
      <c r="DA105" s="1" t="str">
        <f t="shared" si="408"/>
        <v>ND</v>
      </c>
      <c r="DB105" s="1" t="str">
        <f t="shared" si="409"/>
        <v>ND</v>
      </c>
      <c r="DC105" s="1" t="str">
        <f t="shared" si="410"/>
        <v>ND</v>
      </c>
      <c r="DD105" s="1" t="str">
        <f t="shared" si="411"/>
        <v>ND</v>
      </c>
      <c r="DE105" s="1" t="str">
        <f t="shared" si="412"/>
        <v>ND</v>
      </c>
      <c r="DF105" s="1" t="str">
        <f t="shared" si="413"/>
        <v>ND</v>
      </c>
      <c r="DG105" s="1" t="str">
        <f t="shared" si="414"/>
        <v>ND</v>
      </c>
      <c r="DH105" s="1" t="str">
        <f t="shared" si="415"/>
        <v>ND</v>
      </c>
      <c r="DI105" s="1" t="str">
        <f t="shared" si="416"/>
        <v>ND</v>
      </c>
      <c r="DJ105" s="1" t="str">
        <f t="shared" si="417"/>
        <v>ND</v>
      </c>
      <c r="DK105" s="1" t="str">
        <f t="shared" si="418"/>
        <v>ND</v>
      </c>
      <c r="DL105" s="1" t="str">
        <f t="shared" si="419"/>
        <v>ND</v>
      </c>
      <c r="DM105" s="1" t="str">
        <f t="shared" si="420"/>
        <v>ND</v>
      </c>
      <c r="DN105" s="1" t="str">
        <f t="shared" si="421"/>
        <v>ND</v>
      </c>
      <c r="DO105" s="1" t="str">
        <f t="shared" si="422"/>
        <v>ND</v>
      </c>
      <c r="DP105" s="1" t="str">
        <f t="shared" si="423"/>
        <v>ND</v>
      </c>
      <c r="DQ105" s="1" t="str">
        <f t="shared" si="424"/>
        <v>ND</v>
      </c>
      <c r="DR105" s="1" t="str">
        <f t="shared" si="425"/>
        <v>ND</v>
      </c>
      <c r="DS105" s="1" t="str">
        <f t="shared" si="426"/>
        <v>ND</v>
      </c>
      <c r="DT105" s="1" t="str">
        <f t="shared" si="427"/>
        <v>ND</v>
      </c>
      <c r="DU105" s="1" t="str">
        <f t="shared" si="428"/>
        <v>ND</v>
      </c>
      <c r="DV105" s="1" t="str">
        <f t="shared" si="429"/>
        <v>ND</v>
      </c>
      <c r="DW105" s="1" t="str">
        <f t="shared" si="430"/>
        <v>ND</v>
      </c>
      <c r="DX105" s="1" t="str">
        <f t="shared" si="431"/>
        <v>ND</v>
      </c>
      <c r="DY105" s="1" t="str">
        <f t="shared" si="432"/>
        <v>ND</v>
      </c>
      <c r="DZ105" s="1" t="str">
        <f t="shared" si="433"/>
        <v>ND</v>
      </c>
      <c r="EA105" s="1" t="str">
        <f t="shared" si="434"/>
        <v>ND</v>
      </c>
      <c r="EB105" s="1" t="str">
        <f t="shared" si="435"/>
        <v>ND</v>
      </c>
      <c r="EC105" s="1" t="str">
        <f t="shared" si="436"/>
        <v>ND</v>
      </c>
      <c r="ED105" s="1" t="str">
        <f t="shared" si="437"/>
        <v>ND</v>
      </c>
      <c r="EE105" s="1" t="str">
        <f t="shared" si="438"/>
        <v>ND</v>
      </c>
      <c r="EF105" s="1" t="str">
        <f t="shared" si="439"/>
        <v>ND</v>
      </c>
      <c r="EG105" s="1" t="str">
        <f t="shared" si="440"/>
        <v>ND</v>
      </c>
      <c r="EH105" s="1" t="str">
        <f t="shared" si="441"/>
        <v>ND</v>
      </c>
      <c r="EI105" s="1" t="str">
        <f t="shared" si="442"/>
        <v>ND</v>
      </c>
      <c r="EJ105" s="1" t="str">
        <f t="shared" si="443"/>
        <v>ND</v>
      </c>
      <c r="EK105" s="1" t="str">
        <f t="shared" si="444"/>
        <v>ND</v>
      </c>
      <c r="EL105" s="1" t="str">
        <f t="shared" si="445"/>
        <v>ND</v>
      </c>
      <c r="EM105" s="1" t="str">
        <f t="shared" si="446"/>
        <v>ND</v>
      </c>
      <c r="EN105" s="1" t="str">
        <f t="shared" si="447"/>
        <v>ND</v>
      </c>
      <c r="EO105" s="1" t="str">
        <f t="shared" si="530"/>
        <v>ND</v>
      </c>
      <c r="EP105" s="1" t="str">
        <f t="shared" si="530"/>
        <v>ND</v>
      </c>
      <c r="EQ105" s="1" t="str">
        <f t="shared" si="530"/>
        <v>ND</v>
      </c>
      <c r="ER105" s="1" t="str">
        <f t="shared" si="530"/>
        <v>ND</v>
      </c>
      <c r="ES105" s="1" t="str">
        <f t="shared" si="530"/>
        <v>ND</v>
      </c>
      <c r="ET105" s="1" t="str">
        <f t="shared" si="530"/>
        <v>ND</v>
      </c>
      <c r="EU105" s="1" t="str">
        <f t="shared" si="530"/>
        <v>ND</v>
      </c>
      <c r="EV105" s="1" t="str">
        <f t="shared" si="530"/>
        <v>ND</v>
      </c>
      <c r="EW105" s="1" t="str">
        <f t="shared" si="530"/>
        <v>ND</v>
      </c>
      <c r="EX105" s="1" t="str">
        <f t="shared" si="530"/>
        <v>ND</v>
      </c>
      <c r="EY105" s="1" t="str">
        <f t="shared" si="530"/>
        <v>ND</v>
      </c>
      <c r="EZ105" s="1" t="str">
        <f t="shared" si="531"/>
        <v>ND</v>
      </c>
      <c r="FA105" s="1" t="str">
        <f t="shared" si="531"/>
        <v>ND</v>
      </c>
      <c r="FB105" s="1" t="str">
        <f t="shared" si="531"/>
        <v>ND</v>
      </c>
      <c r="FC105" s="1" t="str">
        <f t="shared" si="531"/>
        <v>ND</v>
      </c>
      <c r="FD105" s="1" t="str">
        <f t="shared" si="531"/>
        <v>ND</v>
      </c>
      <c r="FE105" s="1" t="str">
        <f t="shared" si="531"/>
        <v>ND</v>
      </c>
      <c r="FF105" s="1" t="str">
        <f t="shared" si="531"/>
        <v>ND</v>
      </c>
      <c r="FG105" s="1" t="str">
        <f t="shared" si="531"/>
        <v>ND</v>
      </c>
      <c r="FH105" s="1" t="str">
        <f t="shared" si="531"/>
        <v>ND</v>
      </c>
      <c r="FI105" s="1" t="str">
        <f t="shared" si="531"/>
        <v>ND</v>
      </c>
      <c r="FJ105" s="1" t="str">
        <f t="shared" si="531"/>
        <v>ND</v>
      </c>
      <c r="FK105" s="1" t="str">
        <f t="shared" si="532"/>
        <v>ND</v>
      </c>
      <c r="FL105" s="1" t="str">
        <f t="shared" si="532"/>
        <v>ND</v>
      </c>
      <c r="FM105" s="1" t="str">
        <f t="shared" si="532"/>
        <v>ND</v>
      </c>
      <c r="FN105" s="1" t="str">
        <f t="shared" si="532"/>
        <v>ND</v>
      </c>
      <c r="FO105" s="1" t="str">
        <f t="shared" si="532"/>
        <v>ND</v>
      </c>
      <c r="FP105" s="1" t="str">
        <f t="shared" si="532"/>
        <v>ND</v>
      </c>
      <c r="FQ105" s="1" t="str">
        <f t="shared" si="532"/>
        <v>ND</v>
      </c>
      <c r="FR105" s="1" t="str">
        <f t="shared" si="532"/>
        <v>ND</v>
      </c>
      <c r="FS105" s="1" t="str">
        <f t="shared" si="532"/>
        <v>ND</v>
      </c>
      <c r="FT105" s="1" t="str">
        <f t="shared" si="532"/>
        <v>ND</v>
      </c>
      <c r="FU105" s="1" t="str">
        <f t="shared" si="532"/>
        <v>ND</v>
      </c>
      <c r="FV105" s="1" t="str">
        <f t="shared" si="448"/>
        <v>ND</v>
      </c>
      <c r="FW105" s="1" t="str">
        <f t="shared" si="449"/>
        <v>ND</v>
      </c>
      <c r="FX105" s="1" t="str">
        <f t="shared" si="450"/>
        <v>ND</v>
      </c>
      <c r="FY105" s="1" t="str">
        <f t="shared" si="451"/>
        <v>ND</v>
      </c>
      <c r="FZ105" s="1" t="str">
        <f t="shared" si="452"/>
        <v>ND</v>
      </c>
      <c r="GA105" s="1" t="str">
        <f t="shared" si="453"/>
        <v>ND</v>
      </c>
      <c r="GB105" s="1" t="str">
        <f t="shared" si="454"/>
        <v>ND</v>
      </c>
      <c r="GC105" s="1" t="str">
        <f t="shared" si="455"/>
        <v>ND</v>
      </c>
      <c r="GD105" s="1" t="str">
        <f t="shared" si="456"/>
        <v>ND</v>
      </c>
      <c r="GE105" s="1" t="str">
        <f t="shared" si="457"/>
        <v>ND</v>
      </c>
      <c r="GF105" s="1" t="str">
        <f t="shared" si="458"/>
        <v>ND</v>
      </c>
      <c r="GG105" s="1" t="str">
        <f t="shared" si="459"/>
        <v>ND</v>
      </c>
      <c r="GH105" s="1" t="str">
        <f t="shared" si="460"/>
        <v>ND</v>
      </c>
      <c r="GI105" s="1" t="str">
        <f t="shared" si="461"/>
        <v>ND</v>
      </c>
      <c r="GJ105" s="1" t="str">
        <f t="shared" si="462"/>
        <v>ND</v>
      </c>
      <c r="GK105" s="1" t="str">
        <f t="shared" si="463"/>
        <v>ND</v>
      </c>
      <c r="GL105" s="1" t="str">
        <f t="shared" si="464"/>
        <v>ND</v>
      </c>
      <c r="GM105" s="1" t="str">
        <f t="shared" si="465"/>
        <v>ND</v>
      </c>
      <c r="GN105" s="1" t="str">
        <f t="shared" si="466"/>
        <v>ND</v>
      </c>
      <c r="GO105" s="1" t="str">
        <f t="shared" si="467"/>
        <v>ND</v>
      </c>
      <c r="GP105" s="1" t="str">
        <f t="shared" si="468"/>
        <v>ND</v>
      </c>
      <c r="GQ105" s="1" t="str">
        <f t="shared" si="469"/>
        <v>ND</v>
      </c>
      <c r="GR105" s="1" t="str">
        <f t="shared" si="470"/>
        <v>ND</v>
      </c>
      <c r="GS105" s="1" t="str">
        <f t="shared" si="471"/>
        <v>ND</v>
      </c>
      <c r="GT105" s="1" t="str">
        <f t="shared" si="472"/>
        <v>ND</v>
      </c>
      <c r="GU105" s="1" t="str">
        <f t="shared" si="473"/>
        <v>ND</v>
      </c>
      <c r="GV105" s="1" t="str">
        <f t="shared" si="474"/>
        <v>ND</v>
      </c>
      <c r="GW105" s="1" t="str">
        <f t="shared" si="475"/>
        <v>ND</v>
      </c>
      <c r="GX105" s="1" t="str">
        <f t="shared" si="476"/>
        <v>ND</v>
      </c>
      <c r="GY105" s="1" t="str">
        <f t="shared" si="477"/>
        <v>ND</v>
      </c>
      <c r="GZ105" s="1" t="str">
        <f t="shared" si="478"/>
        <v>ND</v>
      </c>
      <c r="HA105" s="1" t="str">
        <f t="shared" si="479"/>
        <v>ND</v>
      </c>
      <c r="HB105" s="1" t="str">
        <f t="shared" si="480"/>
        <v>ND</v>
      </c>
      <c r="HC105" s="1" t="str">
        <f t="shared" si="481"/>
        <v>ND</v>
      </c>
      <c r="HD105" s="1" t="str">
        <f t="shared" si="482"/>
        <v>ND</v>
      </c>
      <c r="HE105" s="1" t="str">
        <f t="shared" si="483"/>
        <v>ND</v>
      </c>
      <c r="HF105" s="1" t="str">
        <f t="shared" si="484"/>
        <v>ND</v>
      </c>
      <c r="HG105" s="1" t="str">
        <f t="shared" si="485"/>
        <v>ND</v>
      </c>
      <c r="HH105" s="1" t="str">
        <f t="shared" si="486"/>
        <v>ND</v>
      </c>
      <c r="HI105" s="1" t="str">
        <f t="shared" si="487"/>
        <v>ND</v>
      </c>
      <c r="HJ105" s="1" t="str">
        <f t="shared" si="488"/>
        <v>ND</v>
      </c>
      <c r="HK105" s="1" t="str">
        <f t="shared" si="489"/>
        <v>ND</v>
      </c>
      <c r="HL105" s="1" t="str">
        <f t="shared" si="490"/>
        <v>ND</v>
      </c>
      <c r="HM105" s="1" t="str">
        <f t="shared" si="491"/>
        <v>ND</v>
      </c>
      <c r="HN105" s="1" t="str">
        <f t="shared" si="492"/>
        <v>ND</v>
      </c>
      <c r="HO105" s="1" t="str">
        <f t="shared" si="493"/>
        <v>ND</v>
      </c>
      <c r="HP105" s="1" t="str">
        <f t="shared" si="494"/>
        <v>ND</v>
      </c>
      <c r="HQ105" s="1" t="str">
        <f t="shared" si="495"/>
        <v>ND</v>
      </c>
      <c r="HR105" s="1" t="str">
        <f t="shared" si="496"/>
        <v>ND</v>
      </c>
      <c r="HS105" s="1" t="str">
        <f t="shared" si="497"/>
        <v>ND</v>
      </c>
      <c r="HT105" s="1" t="str">
        <f t="shared" si="498"/>
        <v>ND</v>
      </c>
      <c r="HU105" s="1" t="str">
        <f t="shared" si="499"/>
        <v>ND</v>
      </c>
      <c r="HV105" s="1" t="str">
        <f t="shared" si="500"/>
        <v>ND</v>
      </c>
      <c r="HW105" s="1" t="str">
        <f t="shared" si="501"/>
        <v>ND</v>
      </c>
      <c r="HX105" s="1" t="str">
        <f t="shared" si="502"/>
        <v>ND</v>
      </c>
      <c r="HY105" s="1" t="str">
        <f t="shared" si="503"/>
        <v>ND</v>
      </c>
      <c r="HZ105" s="1" t="str">
        <f t="shared" si="504"/>
        <v>ND</v>
      </c>
      <c r="IA105" s="1" t="str">
        <f t="shared" si="505"/>
        <v>ND</v>
      </c>
      <c r="IB105" s="1" t="str">
        <f t="shared" si="506"/>
        <v>ND</v>
      </c>
      <c r="IC105" s="1" t="str">
        <f t="shared" si="507"/>
        <v>ND</v>
      </c>
      <c r="ID105" s="1" t="str">
        <f t="shared" si="508"/>
        <v>ND</v>
      </c>
      <c r="IE105" s="1" t="str">
        <f t="shared" si="509"/>
        <v>ND</v>
      </c>
      <c r="IF105" s="1" t="str">
        <f t="shared" si="510"/>
        <v>ND</v>
      </c>
      <c r="IG105" s="1" t="str">
        <f t="shared" si="511"/>
        <v>ND</v>
      </c>
      <c r="IH105" s="1" t="str">
        <f t="shared" si="512"/>
        <v>ND</v>
      </c>
      <c r="II105" s="1" t="str">
        <f t="shared" si="513"/>
        <v>ND</v>
      </c>
    </row>
    <row r="106" spans="3:243" x14ac:dyDescent="0.25">
      <c r="C106" t="s">
        <v>87</v>
      </c>
      <c r="D106">
        <f>SUMIFS(DICCIONARIO[Cantidad],DICCIONARIO[Modelo],UNIFICADA[[#This Row],[Equipo]])</f>
        <v>4</v>
      </c>
      <c r="E106" s="1">
        <f>IFERROR(VLOOKUP($C106,EQUIPOS[],UNIFICADO!E$9,0),"")</f>
        <v>11</v>
      </c>
      <c r="F106" s="1">
        <f>IFERROR(VLOOKUP($C106,EQUIPOS[],UNIFICADO!F$9,0),"")</f>
        <v>6.44</v>
      </c>
      <c r="G106" s="1">
        <f>IFERROR(VLOOKUP($C106,EQUIPOS[],UNIFICADO!G$9,0),"")</f>
        <v>64</v>
      </c>
      <c r="H106" s="1">
        <f>IFERROR(VLOOKUP($C106,EQUIPOS[],UNIFICADO!H$9,0),"")</f>
        <v>3</v>
      </c>
      <c r="I106" s="1">
        <f>IFERROR(VLOOKUP($C106,EQUIPOS[],UNIFICADO!I$9,0),"")</f>
        <v>44</v>
      </c>
      <c r="J106" s="1" t="str">
        <f>IFERROR(VLOOKUP($C106,EQUIPOS[],UNIFICADO!J$9,0),"")</f>
        <v>128GB</v>
      </c>
      <c r="K106" s="1">
        <f>IFERROR(VLOOKUP($C106,EQUIPOS[],UNIFICADO!K$9,0),"")</f>
        <v>256</v>
      </c>
      <c r="L106" s="1">
        <f>IFERROR(VLOOKUP($C106,EQUIPOS[],UNIFICADO!L$9,0),"")</f>
        <v>8</v>
      </c>
      <c r="M106" s="1" t="str">
        <f>IFERROR(VLOOKUP($C106,EQUIPOS[],UNIFICADO!M$9,0),"")</f>
        <v>2.4/2</v>
      </c>
      <c r="N106" s="1">
        <f>IFERROR(VLOOKUP($C106,EQUIPOS[],UNIFICADO!N$9,0),"")</f>
        <v>8</v>
      </c>
      <c r="O106" s="1">
        <f>IFERROR(VLOOKUP($C106,EQUIPOS[],UNIFICADO!O$9,0),"")</f>
        <v>176</v>
      </c>
      <c r="P106" s="1">
        <f>IFERROR(VLOOKUP($C106,EQUIPOS[],UNIFICADO!P$9,0),"")</f>
        <v>15.9</v>
      </c>
      <c r="Q106" s="1">
        <f>IFERROR(VLOOKUP($C106,EQUIPOS[],UNIFICADO!Q$9,0),"")</f>
        <v>7.39</v>
      </c>
      <c r="R106" s="1">
        <f>IFERROR(VLOOKUP($C106,EQUIPOS[],UNIFICADO!R$9,0),"")</f>
        <v>0.73</v>
      </c>
      <c r="S106" s="1">
        <f>IFERROR(VLOOKUP($C106,EQUIPOS[],UNIFICADO!S$9,0),"")</f>
        <v>4000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8"/>
        <v>ND</v>
      </c>
      <c r="W106" s="1" t="str">
        <f t="shared" si="359"/>
        <v>ND</v>
      </c>
      <c r="X106" s="1" t="str">
        <f t="shared" si="520"/>
        <v>ND</v>
      </c>
      <c r="Y106" s="1" t="str">
        <f t="shared" si="520"/>
        <v>ND</v>
      </c>
      <c r="Z106" s="1" t="str">
        <f t="shared" si="527"/>
        <v>ND</v>
      </c>
      <c r="AA106" s="1" t="str">
        <f t="shared" si="527"/>
        <v>ND</v>
      </c>
      <c r="AB106" s="1" t="str">
        <f t="shared" si="527"/>
        <v>ND</v>
      </c>
      <c r="AC106" s="1" t="str">
        <f t="shared" si="527"/>
        <v>ND</v>
      </c>
      <c r="AD106" s="1" t="str">
        <f t="shared" si="527"/>
        <v>ND</v>
      </c>
      <c r="AE106" s="1" t="str">
        <f t="shared" si="527"/>
        <v>ND</v>
      </c>
      <c r="AF106" s="1" t="str">
        <f t="shared" si="527"/>
        <v>ND</v>
      </c>
      <c r="AG106" s="1" t="str">
        <f t="shared" si="527"/>
        <v>ND</v>
      </c>
      <c r="AH106" s="1" t="str">
        <f t="shared" si="527"/>
        <v>ND</v>
      </c>
      <c r="AI106" s="1" t="str">
        <f t="shared" si="360"/>
        <v>ND</v>
      </c>
      <c r="AJ106" s="1" t="str">
        <f t="shared" si="361"/>
        <v>ND</v>
      </c>
      <c r="AK106" s="1" t="str">
        <f t="shared" si="362"/>
        <v>ND</v>
      </c>
      <c r="AL106" s="1" t="str">
        <f t="shared" si="363"/>
        <v>ND</v>
      </c>
      <c r="AM106" s="1" t="str">
        <f t="shared" si="364"/>
        <v>ND</v>
      </c>
      <c r="AN106" s="1" t="str">
        <f t="shared" si="365"/>
        <v>ND</v>
      </c>
      <c r="AO106" s="1" t="str">
        <f t="shared" si="366"/>
        <v>ND</v>
      </c>
      <c r="AP106" s="1" t="str">
        <f t="shared" si="367"/>
        <v>ND</v>
      </c>
      <c r="AQ106" s="1" t="str">
        <f t="shared" si="368"/>
        <v>ND</v>
      </c>
      <c r="AR106" s="1" t="str">
        <f t="shared" si="369"/>
        <v>ND</v>
      </c>
      <c r="AS106" s="1" t="str">
        <f t="shared" si="370"/>
        <v>ND</v>
      </c>
      <c r="AT106" s="1" t="str">
        <f t="shared" si="371"/>
        <v>ND</v>
      </c>
      <c r="AU106" s="1" t="str">
        <f t="shared" si="372"/>
        <v>ND</v>
      </c>
      <c r="AV106" s="1" t="str">
        <f t="shared" si="373"/>
        <v>ND</v>
      </c>
      <c r="AW106" s="1" t="str">
        <f t="shared" si="374"/>
        <v>ND</v>
      </c>
      <c r="AX106" s="1" t="str">
        <f t="shared" si="375"/>
        <v>ND</v>
      </c>
      <c r="AY106" s="1" t="str">
        <f t="shared" si="376"/>
        <v>ND</v>
      </c>
      <c r="AZ106" s="1" t="str">
        <f t="shared" si="377"/>
        <v>ND</v>
      </c>
      <c r="BA106" s="1" t="str">
        <f t="shared" si="378"/>
        <v>ND</v>
      </c>
      <c r="BB106" s="1" t="str">
        <f t="shared" si="379"/>
        <v>ND</v>
      </c>
      <c r="BC106" s="1" t="str">
        <f t="shared" si="380"/>
        <v>ND</v>
      </c>
      <c r="BD106" s="1" t="str">
        <f t="shared" si="381"/>
        <v>ND</v>
      </c>
      <c r="BE106" s="1" t="str">
        <f t="shared" si="382"/>
        <v>ND</v>
      </c>
      <c r="BF106" s="1" t="str">
        <f t="shared" si="383"/>
        <v>ND</v>
      </c>
      <c r="BG106" s="1" t="str">
        <f t="shared" si="384"/>
        <v>ND</v>
      </c>
      <c r="BH106" s="1" t="str">
        <f t="shared" si="385"/>
        <v>ND</v>
      </c>
      <c r="BI106" s="1" t="str">
        <f t="shared" si="386"/>
        <v>ND</v>
      </c>
      <c r="BJ106" s="1" t="str">
        <f t="shared" si="387"/>
        <v>ND</v>
      </c>
      <c r="BK106" s="1" t="str">
        <f t="shared" si="388"/>
        <v>ND</v>
      </c>
      <c r="BL106" s="1" t="str">
        <f t="shared" si="389"/>
        <v>ND</v>
      </c>
      <c r="BM106" s="1" t="str">
        <f t="shared" si="390"/>
        <v>ND</v>
      </c>
      <c r="BN106" s="1" t="str">
        <f t="shared" si="391"/>
        <v>ND</v>
      </c>
      <c r="BO106" s="1" t="str">
        <f t="shared" si="392"/>
        <v>ND</v>
      </c>
      <c r="BP106" s="1" t="str">
        <f t="shared" si="393"/>
        <v>ND</v>
      </c>
      <c r="BQ106" s="1" t="str">
        <f t="shared" si="394"/>
        <v>ND</v>
      </c>
      <c r="BR106" s="1" t="str">
        <f t="shared" si="395"/>
        <v>ND</v>
      </c>
      <c r="BS106" s="1" t="str">
        <f t="shared" si="396"/>
        <v>ND</v>
      </c>
      <c r="BT106" s="1" t="str">
        <f t="shared" si="397"/>
        <v>ND</v>
      </c>
      <c r="BU106" s="1" t="str">
        <f t="shared" si="398"/>
        <v>ND</v>
      </c>
      <c r="BV106" s="1" t="str">
        <f t="shared" si="399"/>
        <v>ND</v>
      </c>
      <c r="BW106" s="1" t="str">
        <f t="shared" si="400"/>
        <v>ND</v>
      </c>
      <c r="BX106" s="1" t="str">
        <f t="shared" si="401"/>
        <v>ND</v>
      </c>
      <c r="BY106" s="1" t="str">
        <f t="shared" si="402"/>
        <v>ND</v>
      </c>
      <c r="BZ106" s="1" t="str">
        <f t="shared" si="403"/>
        <v>ND</v>
      </c>
      <c r="CA106" s="1" t="str">
        <f t="shared" si="528"/>
        <v>ND</v>
      </c>
      <c r="CB106" s="1" t="str">
        <f t="shared" si="528"/>
        <v>ND</v>
      </c>
      <c r="CC106" s="1" t="str">
        <f t="shared" si="528"/>
        <v>ND</v>
      </c>
      <c r="CD106" s="1" t="str">
        <f t="shared" si="528"/>
        <v>ND</v>
      </c>
      <c r="CE106" s="1" t="str">
        <f t="shared" si="528"/>
        <v>ND</v>
      </c>
      <c r="CF106" s="1" t="str">
        <f t="shared" si="528"/>
        <v>ND</v>
      </c>
      <c r="CG106" s="1" t="str">
        <f t="shared" si="528"/>
        <v>ND</v>
      </c>
      <c r="CH106" s="1" t="str">
        <f t="shared" si="528"/>
        <v>ND</v>
      </c>
      <c r="CI106" s="1" t="str">
        <f t="shared" si="528"/>
        <v>ND</v>
      </c>
      <c r="CJ106" s="1" t="str">
        <f t="shared" si="528"/>
        <v>ND</v>
      </c>
      <c r="CK106" s="1" t="str">
        <f t="shared" si="528"/>
        <v>ND</v>
      </c>
      <c r="CL106" s="1" t="str">
        <f t="shared" si="529"/>
        <v>ND</v>
      </c>
      <c r="CM106" s="1" t="str">
        <f t="shared" si="529"/>
        <v>ND</v>
      </c>
      <c r="CN106" s="1" t="str">
        <f t="shared" si="529"/>
        <v>ND</v>
      </c>
      <c r="CO106" s="1" t="str">
        <f t="shared" si="529"/>
        <v>ND</v>
      </c>
      <c r="CP106" s="1" t="str">
        <f t="shared" si="529"/>
        <v>ND</v>
      </c>
      <c r="CQ106" s="1" t="str">
        <f t="shared" si="529"/>
        <v>ND</v>
      </c>
      <c r="CR106" s="1" t="str">
        <f t="shared" si="529"/>
        <v>ND</v>
      </c>
      <c r="CS106" s="1" t="str">
        <f t="shared" si="529"/>
        <v>ND</v>
      </c>
      <c r="CT106" s="1" t="str">
        <f t="shared" si="529"/>
        <v>ND</v>
      </c>
      <c r="CU106" s="1" t="str">
        <f t="shared" si="529"/>
        <v>ND</v>
      </c>
      <c r="CV106" s="1" t="str">
        <f t="shared" si="529"/>
        <v>ND</v>
      </c>
      <c r="CW106" s="1" t="str">
        <f t="shared" si="404"/>
        <v>ND</v>
      </c>
      <c r="CX106" s="1" t="str">
        <f t="shared" si="405"/>
        <v>ND</v>
      </c>
      <c r="CY106" s="1" t="str">
        <f t="shared" si="406"/>
        <v>ND</v>
      </c>
      <c r="CZ106" s="1" t="str">
        <f t="shared" si="407"/>
        <v>ND</v>
      </c>
      <c r="DA106" s="1" t="str">
        <f t="shared" si="408"/>
        <v>ND</v>
      </c>
      <c r="DB106" s="1" t="str">
        <f t="shared" si="409"/>
        <v>ND</v>
      </c>
      <c r="DC106" s="1" t="str">
        <f t="shared" si="410"/>
        <v>ND</v>
      </c>
      <c r="DD106" s="1" t="str">
        <f t="shared" si="411"/>
        <v>ND</v>
      </c>
      <c r="DE106" s="1" t="str">
        <f t="shared" si="412"/>
        <v>ND</v>
      </c>
      <c r="DF106" s="1" t="str">
        <f t="shared" si="413"/>
        <v>ND</v>
      </c>
      <c r="DG106" s="1" t="str">
        <f t="shared" si="414"/>
        <v>ND</v>
      </c>
      <c r="DH106" s="1" t="str">
        <f t="shared" si="415"/>
        <v>ND</v>
      </c>
      <c r="DI106" s="1" t="str">
        <f t="shared" si="416"/>
        <v>ND</v>
      </c>
      <c r="DJ106" s="1" t="str">
        <f t="shared" si="417"/>
        <v>ND</v>
      </c>
      <c r="DK106" s="1" t="str">
        <f t="shared" si="418"/>
        <v>ND</v>
      </c>
      <c r="DL106" s="1" t="str">
        <f t="shared" si="419"/>
        <v>ND</v>
      </c>
      <c r="DM106" s="1" t="str">
        <f t="shared" si="420"/>
        <v>ND</v>
      </c>
      <c r="DN106" s="1" t="str">
        <f t="shared" si="421"/>
        <v>ND</v>
      </c>
      <c r="DO106" s="1" t="str">
        <f t="shared" si="422"/>
        <v>ND</v>
      </c>
      <c r="DP106" s="1" t="str">
        <f t="shared" si="423"/>
        <v>ND</v>
      </c>
      <c r="DQ106" s="1" t="str">
        <f t="shared" si="424"/>
        <v>ND</v>
      </c>
      <c r="DR106" s="1" t="str">
        <f t="shared" si="425"/>
        <v>ND</v>
      </c>
      <c r="DS106" s="1" t="str">
        <f t="shared" si="426"/>
        <v>ND</v>
      </c>
      <c r="DT106" s="1" t="str">
        <f t="shared" si="427"/>
        <v>ND</v>
      </c>
      <c r="DU106" s="1" t="str">
        <f t="shared" si="428"/>
        <v>ND</v>
      </c>
      <c r="DV106" s="1" t="str">
        <f t="shared" si="429"/>
        <v>ND</v>
      </c>
      <c r="DW106" s="1" t="str">
        <f t="shared" si="430"/>
        <v>ND</v>
      </c>
      <c r="DX106" s="1" t="str">
        <f t="shared" si="431"/>
        <v>ND</v>
      </c>
      <c r="DY106" s="1" t="str">
        <f t="shared" si="432"/>
        <v>ND</v>
      </c>
      <c r="DZ106" s="1" t="str">
        <f t="shared" si="433"/>
        <v>ND</v>
      </c>
      <c r="EA106" s="1" t="str">
        <f t="shared" si="434"/>
        <v>ND</v>
      </c>
      <c r="EB106" s="1" t="str">
        <f t="shared" si="435"/>
        <v>ND</v>
      </c>
      <c r="EC106" s="1" t="str">
        <f t="shared" si="436"/>
        <v>ND</v>
      </c>
      <c r="ED106" s="1" t="str">
        <f t="shared" si="437"/>
        <v>ND</v>
      </c>
      <c r="EE106" s="1" t="str">
        <f t="shared" si="438"/>
        <v>ND</v>
      </c>
      <c r="EF106" s="1" t="str">
        <f t="shared" si="439"/>
        <v>ND</v>
      </c>
      <c r="EG106" s="1" t="str">
        <f t="shared" si="440"/>
        <v>ND</v>
      </c>
      <c r="EH106" s="1" t="str">
        <f t="shared" si="441"/>
        <v>ND</v>
      </c>
      <c r="EI106" s="1" t="str">
        <f t="shared" si="442"/>
        <v>ND</v>
      </c>
      <c r="EJ106" s="1" t="str">
        <f t="shared" si="443"/>
        <v>ND</v>
      </c>
      <c r="EK106" s="1" t="str">
        <f t="shared" si="444"/>
        <v>ND</v>
      </c>
      <c r="EL106" s="1" t="str">
        <f t="shared" si="445"/>
        <v>ND</v>
      </c>
      <c r="EM106" s="1" t="str">
        <f t="shared" si="446"/>
        <v>ND</v>
      </c>
      <c r="EN106" s="1" t="str">
        <f t="shared" si="447"/>
        <v>ND</v>
      </c>
      <c r="EO106" s="1" t="str">
        <f t="shared" si="530"/>
        <v>ND</v>
      </c>
      <c r="EP106" s="1" t="str">
        <f t="shared" si="530"/>
        <v>ND</v>
      </c>
      <c r="EQ106" s="1" t="str">
        <f t="shared" si="530"/>
        <v>ND</v>
      </c>
      <c r="ER106" s="1" t="str">
        <f t="shared" si="530"/>
        <v>ND</v>
      </c>
      <c r="ES106" s="1" t="str">
        <f t="shared" si="530"/>
        <v>ND</v>
      </c>
      <c r="ET106" s="1" t="str">
        <f t="shared" si="530"/>
        <v>ND</v>
      </c>
      <c r="EU106" s="1" t="str">
        <f t="shared" si="530"/>
        <v>ND</v>
      </c>
      <c r="EV106" s="1" t="str">
        <f t="shared" si="530"/>
        <v>ND</v>
      </c>
      <c r="EW106" s="1" t="str">
        <f t="shared" si="530"/>
        <v>ND</v>
      </c>
      <c r="EX106" s="1" t="str">
        <f t="shared" si="530"/>
        <v>ND</v>
      </c>
      <c r="EY106" s="1" t="str">
        <f t="shared" si="530"/>
        <v>ND</v>
      </c>
      <c r="EZ106" s="1" t="str">
        <f t="shared" si="531"/>
        <v>ND</v>
      </c>
      <c r="FA106" s="1" t="str">
        <f t="shared" si="531"/>
        <v>ND</v>
      </c>
      <c r="FB106" s="1" t="str">
        <f t="shared" si="531"/>
        <v>ND</v>
      </c>
      <c r="FC106" s="1" t="str">
        <f t="shared" si="531"/>
        <v>ND</v>
      </c>
      <c r="FD106" s="1" t="str">
        <f t="shared" si="531"/>
        <v>ND</v>
      </c>
      <c r="FE106" s="1" t="str">
        <f t="shared" si="531"/>
        <v>ND</v>
      </c>
      <c r="FF106" s="1" t="str">
        <f t="shared" si="531"/>
        <v>ND</v>
      </c>
      <c r="FG106" s="1" t="str">
        <f t="shared" si="531"/>
        <v>ND</v>
      </c>
      <c r="FH106" s="1" t="str">
        <f t="shared" si="531"/>
        <v>ND</v>
      </c>
      <c r="FI106" s="1" t="str">
        <f t="shared" si="531"/>
        <v>ND</v>
      </c>
      <c r="FJ106" s="1" t="str">
        <f t="shared" si="531"/>
        <v>ND</v>
      </c>
      <c r="FK106" s="1" t="str">
        <f t="shared" si="532"/>
        <v>ND</v>
      </c>
      <c r="FL106" s="1" t="str">
        <f t="shared" si="532"/>
        <v>ND</v>
      </c>
      <c r="FM106" s="1" t="str">
        <f t="shared" si="532"/>
        <v>ND</v>
      </c>
      <c r="FN106" s="1" t="str">
        <f t="shared" si="532"/>
        <v>ND</v>
      </c>
      <c r="FO106" s="1" t="str">
        <f t="shared" si="532"/>
        <v>ND</v>
      </c>
      <c r="FP106" s="1" t="str">
        <f t="shared" si="532"/>
        <v>ND</v>
      </c>
      <c r="FQ106" s="1" t="str">
        <f t="shared" si="532"/>
        <v>ND</v>
      </c>
      <c r="FR106" s="1" t="str">
        <f t="shared" si="532"/>
        <v>ND</v>
      </c>
      <c r="FS106" s="1" t="str">
        <f t="shared" si="532"/>
        <v>ND</v>
      </c>
      <c r="FT106" s="1" t="str">
        <f t="shared" si="532"/>
        <v>ND</v>
      </c>
      <c r="FU106" s="1" t="str">
        <f t="shared" si="532"/>
        <v>ND</v>
      </c>
      <c r="FV106" s="1" t="str">
        <f t="shared" si="448"/>
        <v>ND</v>
      </c>
      <c r="FW106" s="1" t="str">
        <f t="shared" si="449"/>
        <v>ND</v>
      </c>
      <c r="FX106" s="1" t="str">
        <f t="shared" si="450"/>
        <v>ND</v>
      </c>
      <c r="FY106" s="1" t="str">
        <f t="shared" si="451"/>
        <v>ND</v>
      </c>
      <c r="FZ106" s="1" t="str">
        <f t="shared" si="452"/>
        <v>ND</v>
      </c>
      <c r="GA106" s="1" t="str">
        <f t="shared" si="453"/>
        <v>ND</v>
      </c>
      <c r="GB106" s="1" t="str">
        <f t="shared" si="454"/>
        <v>ND</v>
      </c>
      <c r="GC106" s="1" t="str">
        <f t="shared" si="455"/>
        <v>ND</v>
      </c>
      <c r="GD106" s="1" t="str">
        <f t="shared" si="456"/>
        <v>ND</v>
      </c>
      <c r="GE106" s="1" t="str">
        <f t="shared" si="457"/>
        <v>ND</v>
      </c>
      <c r="GF106" s="1" t="str">
        <f t="shared" si="458"/>
        <v>ND</v>
      </c>
      <c r="GG106" s="1" t="str">
        <f t="shared" si="459"/>
        <v>ND</v>
      </c>
      <c r="GH106" s="1" t="str">
        <f t="shared" si="460"/>
        <v>ND</v>
      </c>
      <c r="GI106" s="1" t="str">
        <f t="shared" si="461"/>
        <v>ND</v>
      </c>
      <c r="GJ106" s="1" t="str">
        <f t="shared" si="462"/>
        <v>ND</v>
      </c>
      <c r="GK106" s="1" t="str">
        <f t="shared" si="463"/>
        <v>ND</v>
      </c>
      <c r="GL106" s="1" t="str">
        <f t="shared" si="464"/>
        <v>ND</v>
      </c>
      <c r="GM106" s="1" t="str">
        <f t="shared" si="465"/>
        <v>ND</v>
      </c>
      <c r="GN106" s="1" t="str">
        <f t="shared" si="466"/>
        <v>ND</v>
      </c>
      <c r="GO106" s="1" t="str">
        <f t="shared" si="467"/>
        <v>ND</v>
      </c>
      <c r="GP106" s="1" t="str">
        <f t="shared" si="468"/>
        <v>ND</v>
      </c>
      <c r="GQ106" s="1" t="str">
        <f t="shared" si="469"/>
        <v>ND</v>
      </c>
      <c r="GR106" s="1" t="str">
        <f t="shared" si="470"/>
        <v>ND</v>
      </c>
      <c r="GS106" s="1" t="str">
        <f t="shared" si="471"/>
        <v>ND</v>
      </c>
      <c r="GT106" s="1" t="str">
        <f t="shared" si="472"/>
        <v>ND</v>
      </c>
      <c r="GU106" s="1" t="str">
        <f t="shared" si="473"/>
        <v>ND</v>
      </c>
      <c r="GV106" s="1" t="str">
        <f t="shared" si="474"/>
        <v>ND</v>
      </c>
      <c r="GW106" s="1" t="str">
        <f t="shared" si="475"/>
        <v>ND</v>
      </c>
      <c r="GX106" s="1" t="str">
        <f t="shared" si="476"/>
        <v>ND</v>
      </c>
      <c r="GY106" s="1" t="str">
        <f t="shared" si="477"/>
        <v>ND</v>
      </c>
      <c r="GZ106" s="1" t="str">
        <f t="shared" si="478"/>
        <v>ND</v>
      </c>
      <c r="HA106" s="1" t="str">
        <f t="shared" si="479"/>
        <v>ND</v>
      </c>
      <c r="HB106" s="1" t="str">
        <f t="shared" si="480"/>
        <v>ND</v>
      </c>
      <c r="HC106" s="1" t="str">
        <f t="shared" si="481"/>
        <v>ND</v>
      </c>
      <c r="HD106" s="1" t="str">
        <f t="shared" si="482"/>
        <v>ND</v>
      </c>
      <c r="HE106" s="1" t="str">
        <f t="shared" si="483"/>
        <v>ND</v>
      </c>
      <c r="HF106" s="1" t="str">
        <f t="shared" si="484"/>
        <v>ND</v>
      </c>
      <c r="HG106" s="1" t="str">
        <f t="shared" si="485"/>
        <v>ND</v>
      </c>
      <c r="HH106" s="1" t="str">
        <f t="shared" si="486"/>
        <v>ND</v>
      </c>
      <c r="HI106" s="1" t="str">
        <f t="shared" si="487"/>
        <v>ND</v>
      </c>
      <c r="HJ106" s="1" t="str">
        <f t="shared" si="488"/>
        <v>ND</v>
      </c>
      <c r="HK106" s="1" t="str">
        <f t="shared" si="489"/>
        <v>ND</v>
      </c>
      <c r="HL106" s="1" t="str">
        <f t="shared" si="490"/>
        <v>ND</v>
      </c>
      <c r="HM106" s="1" t="str">
        <f t="shared" si="491"/>
        <v>ND</v>
      </c>
      <c r="HN106" s="1" t="str">
        <f t="shared" si="492"/>
        <v>ND</v>
      </c>
      <c r="HO106" s="1" t="str">
        <f t="shared" si="493"/>
        <v>ND</v>
      </c>
      <c r="HP106" s="1" t="str">
        <f t="shared" si="494"/>
        <v>ND</v>
      </c>
      <c r="HQ106" s="1" t="str">
        <f t="shared" si="495"/>
        <v>ND</v>
      </c>
      <c r="HR106" s="1" t="str">
        <f t="shared" si="496"/>
        <v>ND</v>
      </c>
      <c r="HS106" s="1" t="str">
        <f t="shared" si="497"/>
        <v>ND</v>
      </c>
      <c r="HT106" s="1" t="str">
        <f t="shared" si="498"/>
        <v>ND</v>
      </c>
      <c r="HU106" s="1" t="str">
        <f t="shared" si="499"/>
        <v>ND</v>
      </c>
      <c r="HV106" s="1" t="str">
        <f t="shared" si="500"/>
        <v>ND</v>
      </c>
      <c r="HW106" s="1" t="str">
        <f t="shared" si="501"/>
        <v>ND</v>
      </c>
      <c r="HX106" s="1" t="str">
        <f t="shared" si="502"/>
        <v>ND</v>
      </c>
      <c r="HY106" s="1" t="str">
        <f t="shared" si="503"/>
        <v>ND</v>
      </c>
      <c r="HZ106" s="1" t="str">
        <f t="shared" si="504"/>
        <v>ND</v>
      </c>
      <c r="IA106" s="1" t="str">
        <f t="shared" si="505"/>
        <v>ND</v>
      </c>
      <c r="IB106" s="1" t="str">
        <f t="shared" si="506"/>
        <v>ND</v>
      </c>
      <c r="IC106" s="1" t="str">
        <f t="shared" si="507"/>
        <v>ND</v>
      </c>
      <c r="ID106" s="1" t="str">
        <f t="shared" si="508"/>
        <v>ND</v>
      </c>
      <c r="IE106" s="1" t="str">
        <f t="shared" si="509"/>
        <v>ND</v>
      </c>
      <c r="IF106" s="1" t="str">
        <f t="shared" si="510"/>
        <v>ND</v>
      </c>
      <c r="IG106" s="1" t="str">
        <f t="shared" si="511"/>
        <v>ND</v>
      </c>
      <c r="IH106" s="1" t="str">
        <f t="shared" si="512"/>
        <v>ND</v>
      </c>
      <c r="II106" s="1" t="str">
        <f t="shared" si="513"/>
        <v>ND</v>
      </c>
    </row>
    <row r="107" spans="3:243" x14ac:dyDescent="0.25">
      <c r="C107" t="s">
        <v>131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>
        <f>IFERROR(VLOOKUP($C107,EQUIPOS[],UNIFICADO!F$9,0),"")</f>
        <v>6.78</v>
      </c>
      <c r="G107" s="1">
        <f>IFERROR(VLOOKUP($C107,EQUIPOS[],UNIFICADO!G$9,0),"")</f>
        <v>50</v>
      </c>
      <c r="H107" s="1">
        <f>IFERROR(VLOOKUP($C107,EQUIPOS[],UNIFICADO!H$9,0),"")</f>
        <v>4</v>
      </c>
      <c r="I107" s="1">
        <f>IFERROR(VLOOKUP($C107,EQUIPOS[],UNIFICADO!I$9,0),"")</f>
        <v>32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3.0/2.4/1.7</v>
      </c>
      <c r="N107" s="1">
        <f>IFERROR(VLOOKUP($C107,EQUIPOS[],UNIFICADO!N$9,0),"")</f>
        <v>12</v>
      </c>
      <c r="O107" s="1">
        <f>IFERROR(VLOOKUP($C107,EQUIPOS[],UNIFICADO!O$9,0),"")</f>
        <v>215</v>
      </c>
      <c r="P107" s="1">
        <f>IFERROR(VLOOKUP($C107,EQUIPOS[],UNIFICADO!P$9,0),"")</f>
        <v>16.399999999999999</v>
      </c>
      <c r="Q107" s="1">
        <f>IFERROR(VLOOKUP($C107,EQUIPOS[],UNIFICADO!Q$9,0),"")</f>
        <v>7.53</v>
      </c>
      <c r="R107" s="1">
        <f>IFERROR(VLOOKUP($C107,EQUIPOS[],UNIFICADO!R$9,0),"")</f>
        <v>0.91</v>
      </c>
      <c r="S107" s="1">
        <f>IFERROR(VLOOKUP($C107,EQUIPOS[],UNIFICADO!S$9,0),"")</f>
        <v>4700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ref="V107:V138" si="533">IFERROR(IF(V$9="ND","ND",VLOOKUP($C107,PAR,V$9,0)),"ND")</f>
        <v>ND</v>
      </c>
      <c r="W107" s="1" t="str">
        <f t="shared" ref="W107:W138" si="534">IFERROR(IF(W$9="ND","ND",VLOOKUP($C107,PRP,W$9,0)),"ND")</f>
        <v>ND</v>
      </c>
      <c r="X107" s="1" t="str">
        <f t="shared" si="520"/>
        <v>ND</v>
      </c>
      <c r="Y107" s="1" t="str">
        <f t="shared" si="520"/>
        <v>ND</v>
      </c>
      <c r="Z107" s="1" t="str">
        <f t="shared" si="527"/>
        <v>ND</v>
      </c>
      <c r="AA107" s="1" t="str">
        <f t="shared" si="527"/>
        <v>ND</v>
      </c>
      <c r="AB107" s="1" t="str">
        <f t="shared" si="527"/>
        <v>ND</v>
      </c>
      <c r="AC107" s="1" t="str">
        <f t="shared" si="527"/>
        <v>ND</v>
      </c>
      <c r="AD107" s="1" t="str">
        <f t="shared" si="527"/>
        <v>ND</v>
      </c>
      <c r="AE107" s="1" t="str">
        <f t="shared" si="527"/>
        <v>ND</v>
      </c>
      <c r="AF107" s="1" t="str">
        <f t="shared" si="527"/>
        <v>ND</v>
      </c>
      <c r="AG107" s="1" t="str">
        <f t="shared" si="527"/>
        <v>ND</v>
      </c>
      <c r="AH107" s="1" t="str">
        <f t="shared" si="527"/>
        <v>ND</v>
      </c>
      <c r="AI107" s="1" t="str">
        <f t="shared" ref="AI107:AI138" si="535">IFERROR(ROUNDUP(AJ107/6,2)+29.9,"ND")</f>
        <v>ND</v>
      </c>
      <c r="AJ107" s="1" t="str">
        <f t="shared" ref="AJ107:AJ138" si="536">IFERROR(IF(AJ$9="ND","ND",ROUNDUP(VALUE(VLOOKUP($C107,A6M,AJ$9,0))/6,2)),"ND")</f>
        <v>ND</v>
      </c>
      <c r="AK107" s="1" t="str">
        <f t="shared" ref="AK107:AK138" si="537">IFERROR(ROUNDUP(AL107/6,2)+39.9,"ND")</f>
        <v>ND</v>
      </c>
      <c r="AL107" s="1" t="str">
        <f t="shared" ref="AL107:AL138" si="538">IFERROR(IF(AL$9="ND","ND",ROUNDUP(VALUE(VLOOKUP($C107,A6M,AL$9,0))/6,2)),"ND")</f>
        <v>ND</v>
      </c>
      <c r="AM107" s="1" t="str">
        <f t="shared" ref="AM107:AM138" si="539">IFERROR(ROUNDUP(AN107/6,2)+49.9,"ND")</f>
        <v>ND</v>
      </c>
      <c r="AN107" s="1" t="str">
        <f t="shared" ref="AN107:AN138" si="540">IFERROR(IF(AN$9="ND","ND",VLOOKUP($C107,A6M,AN$9,0)),"ND")</f>
        <v>ND</v>
      </c>
      <c r="AO107" s="1" t="str">
        <f t="shared" ref="AO107:AO138" si="541">IFERROR(ROUNDUP(AP107/6,2)+55.9,"ND")</f>
        <v>ND</v>
      </c>
      <c r="AP107" s="1" t="str">
        <f t="shared" ref="AP107:AP138" si="542">IFERROR(IF(AP$9="ND","ND",VLOOKUP($C107,A6M,AP$9,0)),"ND")</f>
        <v>ND</v>
      </c>
      <c r="AQ107" s="1" t="str">
        <f t="shared" ref="AQ107:AQ138" si="543">IFERROR(ROUNDUP(AR107/6,2)+69.9,"ND")</f>
        <v>ND</v>
      </c>
      <c r="AR107" s="1" t="str">
        <f t="shared" ref="AR107:AR138" si="544">IFERROR(IF(AR$9="ND","ND",VLOOKUP($C107,A6M,AR$9,0)),"ND")</f>
        <v>ND</v>
      </c>
      <c r="AS107" s="1" t="str">
        <f t="shared" ref="AS107:AS138" si="545">IFERROR(ROUNDUP(AT107/6,2)+79.9,"ND")</f>
        <v>ND</v>
      </c>
      <c r="AT107" s="1" t="str">
        <f t="shared" ref="AT107:AT138" si="546">IFERROR(IF(AT$9="ND","ND",VLOOKUP($C107,A6M,AT$9,0)),"ND")</f>
        <v>ND</v>
      </c>
      <c r="AU107" s="1" t="str">
        <f t="shared" ref="AU107:AU138" si="547">IFERROR(ROUNDUP(AV107/6,2)+95.9,"ND")</f>
        <v>ND</v>
      </c>
      <c r="AV107" s="1" t="str">
        <f t="shared" ref="AV107:AV138" si="548">IFERROR(IF(AV$9="ND","ND",VLOOKUP($C107,A6M,AV$9,0)),"ND")</f>
        <v>ND</v>
      </c>
      <c r="AW107" s="1" t="str">
        <f t="shared" ref="AW107:AW138" si="549">IFERROR(ROUNDUP(AX107/6,2)+109.9,"ND")</f>
        <v>ND</v>
      </c>
      <c r="AX107" s="1" t="str">
        <f t="shared" ref="AX107:AX138" si="550">IFERROR(IF(AX$9="ND","ND",VLOOKUP($C107,A6M,AX$9,0)),"ND")</f>
        <v>ND</v>
      </c>
      <c r="AY107" s="1" t="str">
        <f t="shared" ref="AY107:AY138" si="551">IFERROR(ROUNDUP(AZ107/6,2)+159.9,"ND")</f>
        <v>ND</v>
      </c>
      <c r="AZ107" s="1" t="str">
        <f t="shared" ref="AZ107:AZ138" si="552">IFERROR(IF(AZ$9="ND","ND",VLOOKUP($C107,A6M,AZ$9,0)),"ND")</f>
        <v>ND</v>
      </c>
      <c r="BA107" s="1" t="str">
        <f t="shared" ref="BA107:BA138" si="553">IFERROR(ROUNDUP(BB107/6,2)+189.9,"ND")</f>
        <v>ND</v>
      </c>
      <c r="BB107" s="1" t="str">
        <f t="shared" ref="BB107:BB138" si="554">IFERROR(IF(BB$9="ND","ND",VLOOKUP($C107,A6M,BB$9,0)),"ND")</f>
        <v>ND</v>
      </c>
      <c r="BC107" s="1" t="str">
        <f t="shared" ref="BC107:BC138" si="555">IFERROR(ROUNDUP(BD107/6,2)+289.9,"ND")</f>
        <v>ND</v>
      </c>
      <c r="BD107" s="1" t="str">
        <f t="shared" ref="BD107:BD138" si="556">IFERROR(IF(BD$9="ND","ND",VLOOKUP($C107,A6M,BD$9,0)),"ND")</f>
        <v>ND</v>
      </c>
      <c r="BE107" s="1" t="str">
        <f t="shared" ref="BE107:BE138" si="557">IFERROR(ROUNDUP(BF107/12,2)+29.9,"ND")</f>
        <v>ND</v>
      </c>
      <c r="BF107" s="1" t="str">
        <f t="shared" ref="BF107:BF138" si="558">IFERROR(IF(BF$9="ND","ND",VLOOKUP($C107,A12M,BF$9,0)),"ND")</f>
        <v>ND</v>
      </c>
      <c r="BG107" s="1" t="str">
        <f t="shared" ref="BG107:BG138" si="559">IFERROR(ROUNDUP(BH107/12,2)+39.9,"ND")</f>
        <v>ND</v>
      </c>
      <c r="BH107" s="1" t="str">
        <f t="shared" ref="BH107:BH138" si="560">IFERROR(IF(BH$9="ND","ND",VLOOKUP($C107,A12M,BH$9,0)),"ND")</f>
        <v>ND</v>
      </c>
      <c r="BI107" s="1" t="str">
        <f t="shared" ref="BI107:BI138" si="561">IFERROR(ROUNDUP(BJ107/12,2)+49.9,"ND")</f>
        <v>ND</v>
      </c>
      <c r="BJ107" s="1" t="str">
        <f t="shared" ref="BJ107:BJ138" si="562">IFERROR(IF(BJ$9="ND","ND",VLOOKUP($C107,A12M,BJ$9,0)),"ND")</f>
        <v>ND</v>
      </c>
      <c r="BK107" s="1" t="str">
        <f t="shared" ref="BK107:BK138" si="563">IFERROR(ROUNDUP(BL107/12,2)+55.9,"ND")</f>
        <v>ND</v>
      </c>
      <c r="BL107" s="1" t="str">
        <f t="shared" ref="BL107:BL138" si="564">IFERROR(IF(BL$9="ND","ND",VLOOKUP($C107,A12M,BL$9,0)),"ND")</f>
        <v>ND</v>
      </c>
      <c r="BM107" s="1" t="str">
        <f t="shared" ref="BM107:BM138" si="565">IFERROR(ROUNDUP(BN107/12,2)+69.9,"ND")</f>
        <v>ND</v>
      </c>
      <c r="BN107" s="1" t="str">
        <f t="shared" ref="BN107:BN138" si="566">IFERROR(IF(BN$9="ND","ND",VLOOKUP($C107,A12M,BN$9,0)),"ND")</f>
        <v>ND</v>
      </c>
      <c r="BO107" s="1" t="str">
        <f t="shared" ref="BO107:BO138" si="567">IFERROR(ROUNDUP(BP107/12,2)+79.9,"ND")</f>
        <v>ND</v>
      </c>
      <c r="BP107" s="1" t="str">
        <f t="shared" ref="BP107:BP138" si="568">IFERROR(IF(BP$9="ND","ND",VLOOKUP($C107,A12M,BP$9,0)),"ND")</f>
        <v>ND</v>
      </c>
      <c r="BQ107" s="1" t="str">
        <f t="shared" ref="BQ107:BQ138" si="569">IFERROR(ROUNDUP(BR107/12,2)+95.9,"ND")</f>
        <v>ND</v>
      </c>
      <c r="BR107" s="1" t="str">
        <f t="shared" ref="BR107:BR138" si="570">IFERROR(IF(BR$9="ND","ND",VLOOKUP($C107,A12M,BR$9,0)),"ND")</f>
        <v>ND</v>
      </c>
      <c r="BS107" s="1" t="str">
        <f t="shared" ref="BS107:BS138" si="571">IFERROR(ROUNDUP(BT107/12,2)+109.9,"ND")</f>
        <v>ND</v>
      </c>
      <c r="BT107" s="1" t="str">
        <f t="shared" ref="BT107:BT138" si="572">IFERROR(IF(BT$9="ND","ND",VLOOKUP($C107,A12M,BT$9,0)),"ND")</f>
        <v>ND</v>
      </c>
      <c r="BU107" s="1" t="str">
        <f t="shared" ref="BU107:BU138" si="573">IFERROR(ROUNDUP(BV107/12,2)+159.9,"ND")</f>
        <v>ND</v>
      </c>
      <c r="BV107" s="1" t="str">
        <f t="shared" ref="BV107:BV138" si="574">IFERROR(IF(BV$9="ND","ND",VLOOKUP($C107,A12M,BV$9,0)),"ND")</f>
        <v>ND</v>
      </c>
      <c r="BW107" s="1" t="str">
        <f t="shared" ref="BW107:BW138" si="575">IFERROR(ROUNDUP(BX107/12,2)+189.9,"ND")</f>
        <v>ND</v>
      </c>
      <c r="BX107" s="1" t="str">
        <f t="shared" ref="BX107:BX138" si="576">IFERROR(IF(BX$9="ND","ND",VLOOKUP($C107,A12M,BX$9,0)),"ND")</f>
        <v>ND</v>
      </c>
      <c r="BY107" s="1" t="str">
        <f t="shared" ref="BY107:BY138" si="577">IFERROR(ROUNDUP(BZ107/12,2)+289.9,"ND")</f>
        <v>ND</v>
      </c>
      <c r="BZ107" s="1" t="str">
        <f t="shared" ref="BZ107:BZ138" si="578">IFERROR(IF(BZ$9="ND","ND",VLOOKUP($C107,A12M,BZ$9,0)),"ND")</f>
        <v>ND</v>
      </c>
      <c r="CA107" s="1" t="str">
        <f t="shared" si="528"/>
        <v>ND</v>
      </c>
      <c r="CB107" s="1" t="str">
        <f t="shared" si="528"/>
        <v>ND</v>
      </c>
      <c r="CC107" s="1" t="str">
        <f t="shared" si="528"/>
        <v>ND</v>
      </c>
      <c r="CD107" s="1" t="str">
        <f t="shared" si="528"/>
        <v>ND</v>
      </c>
      <c r="CE107" s="1" t="str">
        <f t="shared" si="528"/>
        <v>ND</v>
      </c>
      <c r="CF107" s="1" t="str">
        <f t="shared" si="528"/>
        <v>ND</v>
      </c>
      <c r="CG107" s="1" t="str">
        <f t="shared" si="528"/>
        <v>ND</v>
      </c>
      <c r="CH107" s="1" t="str">
        <f t="shared" si="528"/>
        <v>ND</v>
      </c>
      <c r="CI107" s="1" t="str">
        <f t="shared" si="528"/>
        <v>ND</v>
      </c>
      <c r="CJ107" s="1" t="str">
        <f t="shared" si="528"/>
        <v>ND</v>
      </c>
      <c r="CK107" s="1" t="str">
        <f t="shared" si="528"/>
        <v>ND</v>
      </c>
      <c r="CL107" s="1" t="str">
        <f t="shared" si="529"/>
        <v>ND</v>
      </c>
      <c r="CM107" s="1" t="str">
        <f t="shared" si="529"/>
        <v>ND</v>
      </c>
      <c r="CN107" s="1" t="str">
        <f t="shared" si="529"/>
        <v>ND</v>
      </c>
      <c r="CO107" s="1" t="str">
        <f t="shared" si="529"/>
        <v>ND</v>
      </c>
      <c r="CP107" s="1" t="str">
        <f t="shared" si="529"/>
        <v>ND</v>
      </c>
      <c r="CQ107" s="1" t="str">
        <f t="shared" si="529"/>
        <v>ND</v>
      </c>
      <c r="CR107" s="1" t="str">
        <f t="shared" si="529"/>
        <v>ND</v>
      </c>
      <c r="CS107" s="1" t="str">
        <f t="shared" si="529"/>
        <v>ND</v>
      </c>
      <c r="CT107" s="1" t="str">
        <f t="shared" si="529"/>
        <v>ND</v>
      </c>
      <c r="CU107" s="1" t="str">
        <f t="shared" si="529"/>
        <v>ND</v>
      </c>
      <c r="CV107" s="1" t="str">
        <f t="shared" si="529"/>
        <v>ND</v>
      </c>
      <c r="CW107" s="1" t="str">
        <f t="shared" ref="CW107:CW138" si="579">IFERROR(ROUNDUP(CX107/6,2)+29.9,"ND")</f>
        <v>ND</v>
      </c>
      <c r="CX107" s="1" t="str">
        <f t="shared" ref="CX107:CX138" si="580">IFERROR(IF(CX$9="ND","ND",VLOOKUP($C107,AC6M,CX$9,0)),"ND")</f>
        <v>ND</v>
      </c>
      <c r="CY107" s="1" t="str">
        <f t="shared" ref="CY107:CY138" si="581">IFERROR(ROUNDUP(CZ107/6,2)+39.9,"ND")</f>
        <v>ND</v>
      </c>
      <c r="CZ107" s="1" t="str">
        <f t="shared" ref="CZ107:CZ138" si="582">IFERROR(IF(CZ$9="ND","ND",VLOOKUP($C107,AC6M,CZ$9,0)),"ND")</f>
        <v>ND</v>
      </c>
      <c r="DA107" s="1" t="str">
        <f t="shared" ref="DA107:DA138" si="583">IFERROR(ROUNDUP(DB107/6,2)+49.9,"ND")</f>
        <v>ND</v>
      </c>
      <c r="DB107" s="1" t="str">
        <f t="shared" ref="DB107:DB138" si="584">IFERROR(IF(DB$9="ND","ND",VLOOKUP($C107,AC6M,DB$9,0)),"ND")</f>
        <v>ND</v>
      </c>
      <c r="DC107" s="1" t="str">
        <f t="shared" ref="DC107:DC138" si="585">IFERROR(ROUNDUP(DD107/6,2)+55.9,"ND")</f>
        <v>ND</v>
      </c>
      <c r="DD107" s="1" t="str">
        <f t="shared" ref="DD107:DD138" si="586">IFERROR(IF(DD$9="ND","ND",VLOOKUP($C107,AC6M,DD$9,0)),"ND")</f>
        <v>ND</v>
      </c>
      <c r="DE107" s="1" t="str">
        <f t="shared" ref="DE107:DE138" si="587">IFERROR(ROUNDUP(DF107/6,2)+69.9,"ND")</f>
        <v>ND</v>
      </c>
      <c r="DF107" s="1" t="str">
        <f t="shared" ref="DF107:DF138" si="588">IFERROR(IF(DF$9="ND","ND",VLOOKUP($C107,AC6M,DF$9,0)),"ND")</f>
        <v>ND</v>
      </c>
      <c r="DG107" s="1" t="str">
        <f t="shared" ref="DG107:DG138" si="589">IFERROR(ROUNDUP(DH107/6,2)+79.9,"ND")</f>
        <v>ND</v>
      </c>
      <c r="DH107" s="1" t="str">
        <f t="shared" ref="DH107:DH138" si="590">IFERROR(IF(DH$9="ND","ND",VLOOKUP($C107,AC6M,DH$9,0)),"ND")</f>
        <v>ND</v>
      </c>
      <c r="DI107" s="1" t="str">
        <f t="shared" ref="DI107:DI138" si="591">IFERROR(ROUNDUP(DJ107/6,2)+95.9,"ND")</f>
        <v>ND</v>
      </c>
      <c r="DJ107" s="1" t="str">
        <f t="shared" ref="DJ107:DJ138" si="592">IFERROR(IF(DJ$9="ND","ND",VLOOKUP($C107,AC6M,DJ$9,0)),"ND")</f>
        <v>ND</v>
      </c>
      <c r="DK107" s="1" t="str">
        <f t="shared" ref="DK107:DK138" si="593">IFERROR(ROUNDUP(DL107/6,2)+109.9,"ND")</f>
        <v>ND</v>
      </c>
      <c r="DL107" s="1" t="str">
        <f t="shared" ref="DL107:DL138" si="594">IFERROR(IF(DL$9="ND","ND",VLOOKUP($C107,AC6M,DL$9,0)),"ND")</f>
        <v>ND</v>
      </c>
      <c r="DM107" s="1" t="str">
        <f t="shared" ref="DM107:DM138" si="595">IFERROR(ROUNDUP(DN107/6,2)+159.9,"ND")</f>
        <v>ND</v>
      </c>
      <c r="DN107" s="1" t="str">
        <f t="shared" ref="DN107:DN138" si="596">IFERROR(IF(DN$9="ND","ND",VLOOKUP($C107,AC6M,DN$9,0)),"ND")</f>
        <v>ND</v>
      </c>
      <c r="DO107" s="1" t="str">
        <f t="shared" ref="DO107:DO138" si="597">IFERROR(ROUNDUP(DP107/6,2)+189.9,"ND")</f>
        <v>ND</v>
      </c>
      <c r="DP107" s="1" t="str">
        <f t="shared" ref="DP107:DP138" si="598">IFERROR(IF(DP$9="ND","ND",VLOOKUP($C107,AC6M,DP$9,0)),"ND")</f>
        <v>ND</v>
      </c>
      <c r="DQ107" s="1" t="str">
        <f t="shared" ref="DQ107:DQ138" si="599">IFERROR(ROUNDUP(DR107/6,2)+289.9,"ND")</f>
        <v>ND</v>
      </c>
      <c r="DR107" s="1" t="str">
        <f t="shared" ref="DR107:DR138" si="600">IFERROR(IF(DR$9="ND","ND",VLOOKUP($C107,AC6M,DR$9,0)),"ND")</f>
        <v>ND</v>
      </c>
      <c r="DS107" s="1" t="str">
        <f t="shared" ref="DS107:DS138" si="601">IFERROR(ROUNDUP(DT107/12,2)+29.9,"ND")</f>
        <v>ND</v>
      </c>
      <c r="DT107" s="1" t="str">
        <f t="shared" ref="DT107:DT138" si="602">IFERROR(IF(DT$9="ND","ND",VLOOKUP($C107,AC12M,DT$9,0)),"ND")</f>
        <v>ND</v>
      </c>
      <c r="DU107" s="1" t="str">
        <f t="shared" ref="DU107:DU138" si="603">IFERROR(ROUNDUP(DV107/12,2)+39.9,"ND")</f>
        <v>ND</v>
      </c>
      <c r="DV107" s="1" t="str">
        <f t="shared" ref="DV107:DV138" si="604">IFERROR(IF(DV$9="ND","ND",VLOOKUP($C107,AC12M,DV$9,0)),"ND")</f>
        <v>ND</v>
      </c>
      <c r="DW107" s="1" t="str">
        <f t="shared" ref="DW107:DW138" si="605">IFERROR(ROUNDUP(DX107/12,2)+49.9,"ND")</f>
        <v>ND</v>
      </c>
      <c r="DX107" s="1" t="str">
        <f t="shared" ref="DX107:DX138" si="606">IFERROR(IF(DX$9="ND","ND",VLOOKUP($C107,AC12M,DX$9,0)),"ND")</f>
        <v>ND</v>
      </c>
      <c r="DY107" s="1" t="str">
        <f t="shared" ref="DY107:DY138" si="607">IFERROR(ROUNDUP(DZ107/12,2)+55.9,"ND")</f>
        <v>ND</v>
      </c>
      <c r="DZ107" s="1" t="str">
        <f t="shared" ref="DZ107:DZ138" si="608">IFERROR(IF(DZ$9="ND","ND",VLOOKUP($C107,AC12M,DZ$9,0)),"ND")</f>
        <v>ND</v>
      </c>
      <c r="EA107" s="1" t="str">
        <f t="shared" ref="EA107:EA138" si="609">IFERROR(ROUNDUP(EB107/12,2)+69.9,"ND")</f>
        <v>ND</v>
      </c>
      <c r="EB107" s="1" t="str">
        <f t="shared" ref="EB107:EB138" si="610">IFERROR(IF(EB$9="ND","ND",VLOOKUP($C107,AC12M,EB$9,0)),"ND")</f>
        <v>ND</v>
      </c>
      <c r="EC107" s="1" t="str">
        <f t="shared" ref="EC107:EC138" si="611">IFERROR(ROUNDUP(ED107/12,2)+79.9,"ND")</f>
        <v>ND</v>
      </c>
      <c r="ED107" s="1" t="str">
        <f t="shared" ref="ED107:ED138" si="612">IFERROR(IF(ED$9="ND","ND",VLOOKUP($C107,AC12M,ED$9,0)),"ND")</f>
        <v>ND</v>
      </c>
      <c r="EE107" s="1" t="str">
        <f t="shared" ref="EE107:EE138" si="613">IFERROR(ROUNDUP(EF107/12,2)+95.9,"ND")</f>
        <v>ND</v>
      </c>
      <c r="EF107" s="1" t="str">
        <f t="shared" ref="EF107:EF138" si="614">IFERROR(IF(EF$9="ND","ND",VLOOKUP($C107,AC12M,EF$9,0)),"ND")</f>
        <v>ND</v>
      </c>
      <c r="EG107" s="1" t="str">
        <f t="shared" ref="EG107:EG138" si="615">IFERROR(ROUNDUP(EH107/12,2)+109.9,"ND")</f>
        <v>ND</v>
      </c>
      <c r="EH107" s="1" t="str">
        <f t="shared" ref="EH107:EH138" si="616">IFERROR(IF(EH$9="ND","ND",VLOOKUP($C107,AC12M,EH$9,0)),"ND")</f>
        <v>ND</v>
      </c>
      <c r="EI107" s="1" t="str">
        <f t="shared" ref="EI107:EI138" si="617">IFERROR(ROUNDUP(EJ107/12,2)+159.9,"ND")</f>
        <v>ND</v>
      </c>
      <c r="EJ107" s="1" t="str">
        <f t="shared" ref="EJ107:EJ138" si="618">IFERROR(IF(EJ$9="ND","ND",VLOOKUP($C107,AC12M,EJ$9,0)),"ND")</f>
        <v>ND</v>
      </c>
      <c r="EK107" s="1" t="str">
        <f t="shared" ref="EK107:EK138" si="619">IFERROR(ROUNDUP(EL107/12,2)+189.9,"ND")</f>
        <v>ND</v>
      </c>
      <c r="EL107" s="1" t="str">
        <f t="shared" ref="EL107:EL138" si="620">IFERROR(IF(EL$9="ND","ND",VLOOKUP($C107,AC12M,EL$9,0)),"ND")</f>
        <v>ND</v>
      </c>
      <c r="EM107" s="1" t="str">
        <f t="shared" ref="EM107:EM138" si="621">IFERROR(ROUNDUP(EN107/12,2)+289.9,"ND")</f>
        <v>ND</v>
      </c>
      <c r="EN107" s="1" t="str">
        <f t="shared" ref="EN107:EN138" si="622">IFERROR(IF(EN$9="ND","ND",VLOOKUP($C107,AC12M,EN$9,0)),"ND")</f>
        <v>ND</v>
      </c>
      <c r="EO107" s="1" t="str">
        <f t="shared" si="530"/>
        <v>ND</v>
      </c>
      <c r="EP107" s="1" t="str">
        <f t="shared" si="530"/>
        <v>ND</v>
      </c>
      <c r="EQ107" s="1" t="str">
        <f t="shared" si="530"/>
        <v>ND</v>
      </c>
      <c r="ER107" s="1" t="str">
        <f t="shared" si="530"/>
        <v>ND</v>
      </c>
      <c r="ES107" s="1" t="str">
        <f t="shared" si="530"/>
        <v>ND</v>
      </c>
      <c r="ET107" s="1" t="str">
        <f t="shared" si="530"/>
        <v>ND</v>
      </c>
      <c r="EU107" s="1" t="str">
        <f t="shared" si="530"/>
        <v>ND</v>
      </c>
      <c r="EV107" s="1" t="str">
        <f t="shared" si="530"/>
        <v>ND</v>
      </c>
      <c r="EW107" s="1" t="str">
        <f t="shared" si="530"/>
        <v>ND</v>
      </c>
      <c r="EX107" s="1" t="str">
        <f t="shared" si="530"/>
        <v>ND</v>
      </c>
      <c r="EY107" s="1" t="str">
        <f t="shared" si="530"/>
        <v>ND</v>
      </c>
      <c r="EZ107" s="1" t="str">
        <f t="shared" si="531"/>
        <v>ND</v>
      </c>
      <c r="FA107" s="1" t="str">
        <f t="shared" si="531"/>
        <v>ND</v>
      </c>
      <c r="FB107" s="1" t="str">
        <f t="shared" si="531"/>
        <v>ND</v>
      </c>
      <c r="FC107" s="1" t="str">
        <f t="shared" si="531"/>
        <v>ND</v>
      </c>
      <c r="FD107" s="1" t="str">
        <f t="shared" si="531"/>
        <v>ND</v>
      </c>
      <c r="FE107" s="1" t="str">
        <f t="shared" si="531"/>
        <v>ND</v>
      </c>
      <c r="FF107" s="1" t="str">
        <f t="shared" si="531"/>
        <v>ND</v>
      </c>
      <c r="FG107" s="1" t="str">
        <f t="shared" si="531"/>
        <v>ND</v>
      </c>
      <c r="FH107" s="1" t="str">
        <f t="shared" si="531"/>
        <v>ND</v>
      </c>
      <c r="FI107" s="1" t="str">
        <f t="shared" si="531"/>
        <v>ND</v>
      </c>
      <c r="FJ107" s="1" t="str">
        <f t="shared" si="531"/>
        <v>ND</v>
      </c>
      <c r="FK107" s="1" t="str">
        <f t="shared" si="532"/>
        <v>ND</v>
      </c>
      <c r="FL107" s="1" t="str">
        <f t="shared" si="532"/>
        <v>ND</v>
      </c>
      <c r="FM107" s="1" t="str">
        <f t="shared" si="532"/>
        <v>ND</v>
      </c>
      <c r="FN107" s="1" t="str">
        <f t="shared" si="532"/>
        <v>ND</v>
      </c>
      <c r="FO107" s="1" t="str">
        <f t="shared" si="532"/>
        <v>ND</v>
      </c>
      <c r="FP107" s="1" t="str">
        <f t="shared" si="532"/>
        <v>ND</v>
      </c>
      <c r="FQ107" s="1" t="str">
        <f t="shared" si="532"/>
        <v>ND</v>
      </c>
      <c r="FR107" s="1" t="str">
        <f t="shared" si="532"/>
        <v>ND</v>
      </c>
      <c r="FS107" s="1" t="str">
        <f t="shared" si="532"/>
        <v>ND</v>
      </c>
      <c r="FT107" s="1" t="str">
        <f t="shared" si="532"/>
        <v>ND</v>
      </c>
      <c r="FU107" s="1" t="str">
        <f t="shared" si="532"/>
        <v>ND</v>
      </c>
      <c r="FV107" s="1" t="str">
        <f t="shared" ref="FV107:FV138" si="623">IFERROR(ROUNDUP(FW107/6,2)+29.9,"ND")</f>
        <v>ND</v>
      </c>
      <c r="FW107" s="1" t="str">
        <f t="shared" ref="FW107:FW138" si="624">IFERROR(IF(FW$9="ND","ND",VLOOKUP($C107,LC6M,FW$9,0)),"ND")</f>
        <v>ND</v>
      </c>
      <c r="FX107" s="1" t="str">
        <f t="shared" ref="FX107:FX138" si="625">IFERROR(ROUNDUP(FY107/6,2)+39.9,"ND")</f>
        <v>ND</v>
      </c>
      <c r="FY107" s="1" t="str">
        <f t="shared" ref="FY107:FY138" si="626">IFERROR(IF(FY$9="ND","ND",VLOOKUP($C107,LC6M,FY$9,0)),"ND")</f>
        <v>ND</v>
      </c>
      <c r="FZ107" s="1" t="str">
        <f t="shared" ref="FZ107:FZ138" si="627">IFERROR(ROUNDUP(GA107/6,2)+49.9,"ND")</f>
        <v>ND</v>
      </c>
      <c r="GA107" s="1" t="str">
        <f t="shared" ref="GA107:GA138" si="628">IFERROR(IF(GA$9="ND","ND",VLOOKUP($C107,LC6M,GA$9,0)),"ND")</f>
        <v>ND</v>
      </c>
      <c r="GB107" s="1" t="str">
        <f t="shared" ref="GB107:GB138" si="629">IFERROR(ROUNDUP(GC107/6,2)+55.9,"ND")</f>
        <v>ND</v>
      </c>
      <c r="GC107" s="1" t="str">
        <f t="shared" ref="GC107:GC138" si="630">IFERROR(IF(GC$9="ND","ND",VLOOKUP($C107,LC6M,GC$9,0)),"ND")</f>
        <v>ND</v>
      </c>
      <c r="GD107" s="1" t="str">
        <f t="shared" ref="GD107:GD138" si="631">IFERROR(ROUNDUP(GE107/6,2)+69.9,"ND")</f>
        <v>ND</v>
      </c>
      <c r="GE107" s="1" t="str">
        <f t="shared" ref="GE107:GE138" si="632">IFERROR(IF(GE$9="ND","ND",VLOOKUP($C107,LC6M,GE$9,0)),"ND")</f>
        <v>ND</v>
      </c>
      <c r="GF107" s="1" t="str">
        <f t="shared" ref="GF107:GF138" si="633">IFERROR(ROUNDUP(GG107/6,2)+79.9,"ND")</f>
        <v>ND</v>
      </c>
      <c r="GG107" s="1" t="str">
        <f t="shared" ref="GG107:GG138" si="634">IFERROR(IF(GG$9="ND","ND",VLOOKUP($C107,LC6M,GG$9,0)),"ND")</f>
        <v>ND</v>
      </c>
      <c r="GH107" s="1" t="str">
        <f t="shared" ref="GH107:GH138" si="635">IFERROR(ROUNDUP(GI107/6,2)+95.9,"ND")</f>
        <v>ND</v>
      </c>
      <c r="GI107" s="1" t="str">
        <f t="shared" ref="GI107:GI138" si="636">IFERROR(IF(GI$9="ND","ND",VLOOKUP($C107,LC6M,GI$9,0)),"ND")</f>
        <v>ND</v>
      </c>
      <c r="GJ107" s="1" t="str">
        <f t="shared" ref="GJ107:GJ138" si="637">IFERROR(ROUNDUP(GK107/6,2)+109.9,"ND")</f>
        <v>ND</v>
      </c>
      <c r="GK107" s="1" t="str">
        <f t="shared" ref="GK107:GK138" si="638">IFERROR(IF(GK$9="ND","ND",VLOOKUP($C107,LC6M,GK$9,0)),"ND")</f>
        <v>ND</v>
      </c>
      <c r="GL107" s="1" t="str">
        <f t="shared" ref="GL107:GL138" si="639">IFERROR(ROUNDUP(GM107/6,2)+159.9,"ND")</f>
        <v>ND</v>
      </c>
      <c r="GM107" s="1" t="str">
        <f t="shared" ref="GM107:GM138" si="640">IFERROR(IF(GM$9="ND","ND",VLOOKUP($C107,LC6M,GM$9,0)),"ND")</f>
        <v>ND</v>
      </c>
      <c r="GN107" s="1" t="str">
        <f t="shared" ref="GN107:GN138" si="641">IFERROR(ROUNDUP(GO107/6,2)+189.9,"ND")</f>
        <v>ND</v>
      </c>
      <c r="GO107" s="1" t="str">
        <f t="shared" ref="GO107:GO138" si="642">IFERROR(IF(GO$9="ND","ND",VLOOKUP($C107,LC6M,GO$9,0)),"ND")</f>
        <v>ND</v>
      </c>
      <c r="GP107" s="1" t="str">
        <f t="shared" ref="GP107:GP138" si="643">IFERROR(ROUNDUP(GQ107/6,2)+289.9,"ND")</f>
        <v>ND</v>
      </c>
      <c r="GQ107" s="1" t="str">
        <f t="shared" ref="GQ107:GQ138" si="644">IFERROR(IF(GQ$9="ND","ND",VLOOKUP($C107,LC6M,GQ$9,0)),"ND")</f>
        <v>ND</v>
      </c>
      <c r="GR107" s="1" t="str">
        <f t="shared" ref="GR107:GR138" si="645">IFERROR(ROUNDUP(GS107/12,2)+29.9,"ND")</f>
        <v>ND</v>
      </c>
      <c r="GS107" s="1" t="str">
        <f t="shared" ref="GS107:GS138" si="646">IFERROR(IF(GS$9="ND","ND",VLOOKUP($C107,LP12M,GS$9,0)),"ND")</f>
        <v>ND</v>
      </c>
      <c r="GT107" s="1" t="str">
        <f t="shared" ref="GT107:GT138" si="647">IFERROR(ROUNDUP(GU107/12,2)+39.9,"ND")</f>
        <v>ND</v>
      </c>
      <c r="GU107" s="1" t="str">
        <f t="shared" ref="GU107:GU138" si="648">IFERROR(IF(GU$9="ND","ND",VLOOKUP($C107,LP12M,GU$9,0)),"ND")</f>
        <v>ND</v>
      </c>
      <c r="GV107" s="1" t="str">
        <f t="shared" ref="GV107:GV138" si="649">IFERROR(ROUNDUP(GW107/12,2)+49.9,"ND")</f>
        <v>ND</v>
      </c>
      <c r="GW107" s="1" t="str">
        <f t="shared" ref="GW107:GW138" si="650">IFERROR(IF(GW$9="ND","ND",VLOOKUP($C107,LP12M,GW$9,0)),"ND")</f>
        <v>ND</v>
      </c>
      <c r="GX107" s="1" t="str">
        <f t="shared" ref="GX107:GX138" si="651">IFERROR(ROUNDUP(GY107/12,2)+55.9,"ND")</f>
        <v>ND</v>
      </c>
      <c r="GY107" s="1" t="str">
        <f t="shared" ref="GY107:GY138" si="652">IFERROR(IF(GY$9="ND","ND",VLOOKUP($C107,LP12M,GY$9,0)),"ND")</f>
        <v>ND</v>
      </c>
      <c r="GZ107" s="1" t="str">
        <f t="shared" ref="GZ107:GZ138" si="653">IFERROR(ROUNDUP(HA107/12,2)+69.9,"ND")</f>
        <v>ND</v>
      </c>
      <c r="HA107" s="1" t="str">
        <f t="shared" ref="HA107:HA138" si="654">IFERROR(IF(HA$9="ND","ND",VLOOKUP($C107,LP12M,HA$9,0)),"ND")</f>
        <v>ND</v>
      </c>
      <c r="HB107" s="1" t="str">
        <f t="shared" ref="HB107:HB138" si="655">IFERROR(ROUNDUP(HC107/12,2)+79.9,"ND")</f>
        <v>ND</v>
      </c>
      <c r="HC107" s="1" t="str">
        <f t="shared" ref="HC107:HC138" si="656">IFERROR(IF(HC$9="ND","ND",VLOOKUP($C107,LP12M,HC$9,0)),"ND")</f>
        <v>ND</v>
      </c>
      <c r="HD107" s="1" t="str">
        <f t="shared" ref="HD107:HD138" si="657">IFERROR(ROUNDUP(HE107/12,2)+95.9,"ND")</f>
        <v>ND</v>
      </c>
      <c r="HE107" s="1" t="str">
        <f t="shared" ref="HE107:HE138" si="658">IFERROR(IF(HE$9="ND","ND",VLOOKUP($C107,LP12M,HE$9,0)),"ND")</f>
        <v>ND</v>
      </c>
      <c r="HF107" s="1" t="str">
        <f t="shared" ref="HF107:HF138" si="659">IFERROR(ROUNDUP(HG107/12,2)+109.9,"ND")</f>
        <v>ND</v>
      </c>
      <c r="HG107" s="1" t="str">
        <f t="shared" ref="HG107:HG138" si="660">IFERROR(IF(HG$9="ND","ND",VLOOKUP($C107,LP12M,HG$9,0)),"ND")</f>
        <v>ND</v>
      </c>
      <c r="HH107" s="1" t="str">
        <f t="shared" ref="HH107:HH138" si="661">IFERROR(ROUNDUP(HI107/12,2)+159.9,"ND")</f>
        <v>ND</v>
      </c>
      <c r="HI107" s="1" t="str">
        <f t="shared" ref="HI107:HI138" si="662">IFERROR(IF(HI$9="ND","ND",VLOOKUP($C107,LP12M,HI$9,0)),"ND")</f>
        <v>ND</v>
      </c>
      <c r="HJ107" s="1" t="str">
        <f t="shared" ref="HJ107:HJ138" si="663">IFERROR(ROUNDUP(HK107/12,2)+189.9,"ND")</f>
        <v>ND</v>
      </c>
      <c r="HK107" s="1" t="str">
        <f t="shared" ref="HK107:HK138" si="664">IFERROR(IF(HK$9="ND","ND",VLOOKUP($C107,LP12M,HK$9,0)),"ND")</f>
        <v>ND</v>
      </c>
      <c r="HL107" s="1" t="str">
        <f t="shared" ref="HL107:HL138" si="665">IFERROR(ROUNDUP(HM107/12,2)+289.9,"ND")</f>
        <v>ND</v>
      </c>
      <c r="HM107" s="1" t="str">
        <f t="shared" ref="HM107:HM138" si="666">IFERROR(IF(HM$9="ND","ND",VLOOKUP($C107,LP12M,HM$9,0)),"ND")</f>
        <v>ND</v>
      </c>
      <c r="HN107" s="1" t="str">
        <f t="shared" ref="HN107:HN138" si="667">IFERROR(ROUNDUP(HO107/12,2)+29.9,"ND")</f>
        <v>ND</v>
      </c>
      <c r="HO107" s="1" t="str">
        <f t="shared" ref="HO107:HO138" si="668">IFERROR(IF(HO$9="ND","ND",VLOOKUP($C107,LR12M,HO$9,0)),"ND")</f>
        <v>ND</v>
      </c>
      <c r="HP107" s="1" t="str">
        <f t="shared" ref="HP107:HP138" si="669">IFERROR(ROUNDUP(HQ107/12,2)+39.9,"ND")</f>
        <v>ND</v>
      </c>
      <c r="HQ107" s="1" t="str">
        <f t="shared" ref="HQ107:HQ138" si="670">IFERROR(IF(HQ$9="ND","ND",VLOOKUP($C107,LR12M,HQ$9,0)),"ND")</f>
        <v>ND</v>
      </c>
      <c r="HR107" s="1" t="str">
        <f t="shared" ref="HR107:HR138" si="671">IFERROR(ROUNDUP(HS107/12,2)+49.9,"ND")</f>
        <v>ND</v>
      </c>
      <c r="HS107" s="1" t="str">
        <f t="shared" ref="HS107:HS138" si="672">IFERROR(IF(HS$9="ND","ND",VLOOKUP($C107,LR12M,HS$9,0)),"ND")</f>
        <v>ND</v>
      </c>
      <c r="HT107" s="1" t="str">
        <f t="shared" ref="HT107:HT138" si="673">IFERROR(ROUNDUP(HU107/12,2)+55.9,"ND")</f>
        <v>ND</v>
      </c>
      <c r="HU107" s="1" t="str">
        <f t="shared" ref="HU107:HU138" si="674">IFERROR(IF(HU$9="ND","ND",VLOOKUP($C107,LR12M,HU$9,0)),"ND")</f>
        <v>ND</v>
      </c>
      <c r="HV107" s="1" t="str">
        <f t="shared" ref="HV107:HV138" si="675">IFERROR(ROUNDUP(HW107/12,2)+69.9,"ND")</f>
        <v>ND</v>
      </c>
      <c r="HW107" s="1" t="str">
        <f t="shared" ref="HW107:HW138" si="676">IFERROR(IF(HW$9="ND","ND",VLOOKUP($C107,LR12M,HW$9,0)),"ND")</f>
        <v>ND</v>
      </c>
      <c r="HX107" s="1" t="str">
        <f t="shared" ref="HX107:HX138" si="677">IFERROR(ROUNDUP(HY107/12,2)+79.9,"ND")</f>
        <v>ND</v>
      </c>
      <c r="HY107" s="1" t="str">
        <f t="shared" ref="HY107:HY138" si="678">IFERROR(IF(HY$9="ND","ND",VLOOKUP($C107,LR12M,HY$9,0)),"ND")</f>
        <v>ND</v>
      </c>
      <c r="HZ107" s="1" t="str">
        <f t="shared" ref="HZ107:HZ138" si="679">IFERROR(ROUNDUP(IA107/12,2)+95.9,"ND")</f>
        <v>ND</v>
      </c>
      <c r="IA107" s="1" t="str">
        <f t="shared" ref="IA107:IA138" si="680">IFERROR(IF(IA$9="ND","ND",VLOOKUP($C107,LR12M,IA$9,0)),"ND")</f>
        <v>ND</v>
      </c>
      <c r="IB107" s="1" t="str">
        <f t="shared" ref="IB107:IB138" si="681">IFERROR(ROUNDUP(IC107/12,2)+109.9,"ND")</f>
        <v>ND</v>
      </c>
      <c r="IC107" s="1" t="str">
        <f t="shared" ref="IC107:IC138" si="682">IFERROR(IF(IC$9="ND","ND",VLOOKUP($C107,LR12M,IC$9,0)),"ND")</f>
        <v>ND</v>
      </c>
      <c r="ID107" s="1" t="str">
        <f t="shared" ref="ID107:ID138" si="683">IFERROR(ROUNDUP(IE107/12,2)+159.9,"ND")</f>
        <v>ND</v>
      </c>
      <c r="IE107" s="1" t="str">
        <f t="shared" ref="IE107:IE138" si="684">IFERROR(IF(IE$9="ND","ND",VLOOKUP($C107,LR12M,IE$9,0)),"ND")</f>
        <v>ND</v>
      </c>
      <c r="IF107" s="1" t="str">
        <f t="shared" ref="IF107:IF138" si="685">IFERROR(ROUNDUP(IG107/12,2)+189.9,"ND")</f>
        <v>ND</v>
      </c>
      <c r="IG107" s="1" t="str">
        <f t="shared" ref="IG107:IG138" si="686">IFERROR(IF(IG$9="ND","ND",VLOOKUP($C107,LR12M,IG$9,0)),"ND")</f>
        <v>ND</v>
      </c>
      <c r="IH107" s="1" t="str">
        <f t="shared" ref="IH107:IH138" si="687">IFERROR(ROUNDUP(II107/12,2)+289.9,"ND")</f>
        <v>ND</v>
      </c>
      <c r="II107" s="1" t="str">
        <f t="shared" ref="II107:II138" si="688">IFERROR(IF(II$9="ND","ND",VLOOKUP($C107,LR12M,II$9,0)),"ND")</f>
        <v>ND</v>
      </c>
    </row>
    <row r="108" spans="3:243" x14ac:dyDescent="0.25">
      <c r="C108" t="s">
        <v>1040</v>
      </c>
      <c r="D108">
        <f>SUMIFS(DICCIONARIO[Cantidad],DICCIONARIO[Modelo],UNIFICADA[[#This Row],[Equipo]])</f>
        <v>10</v>
      </c>
      <c r="E108" s="1">
        <f>IFERROR(VLOOKUP($C108,EQUIPOS[],UNIFICADO!E$9,0),"")</f>
        <v>12</v>
      </c>
      <c r="F108" s="1" t="str">
        <f>IFERROR(VLOOKUP($C108,EQUIPOS[],UNIFICADO!F$9,0),"")</f>
        <v>6.51 LCD HD+</v>
      </c>
      <c r="G108" s="1">
        <f>IFERROR(VLOOKUP($C108,EQUIPOS[],UNIFICADO!G$9,0),"")</f>
        <v>13</v>
      </c>
      <c r="H108" s="1">
        <f>IFERROR(VLOOKUP($C108,EQUIPOS[],UNIFICADO!H$9,0),"")</f>
        <v>2</v>
      </c>
      <c r="I108" s="1">
        <f>IFERROR(VLOOKUP($C108,EQUIPOS[],UNIFICADO!I$9,0),"")</f>
        <v>5</v>
      </c>
      <c r="J108" s="1" t="str">
        <f>IFERROR(VLOOKUP($C108,EQUIPOS[],UNIFICADO!J$9,0),"")</f>
        <v>64GB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 t="str">
        <f>IFERROR(VLOOKUP($C108,EQUIPOS[],UNIFICADO!M$9,0),"")</f>
        <v>Helio P35</v>
      </c>
      <c r="N108" s="1">
        <f>IFERROR(VLOOKUP($C108,EQUIPOS[],UNIFICADO!N$9,0),"")</f>
        <v>4</v>
      </c>
      <c r="O108" s="1">
        <f>IFERROR(VLOOKUP($C108,EQUIPOS[],UNIFICADO!O$9,0),"")</f>
        <v>183</v>
      </c>
      <c r="P108" s="1">
        <f>IFERROR(VLOOKUP($C108,EQUIPOS[],UNIFICADO!P$9,0),"")</f>
        <v>16.399999999999999</v>
      </c>
      <c r="Q108" s="1">
        <f>IFERROR(VLOOKUP($C108,EQUIPOS[],UNIFICADO!Q$9,0),"")</f>
        <v>7.55</v>
      </c>
      <c r="R108" s="1">
        <f>IFERROR(VLOOKUP($C108,EQUIPOS[],UNIFICADO!R$9,0),"")</f>
        <v>0.82</v>
      </c>
      <c r="S108" s="1" t="str">
        <f>IFERROR(VLOOKUP($C108,EQUIPOS[],UNIFICADO!S$9,0),"")</f>
        <v>5000 10W</v>
      </c>
      <c r="T108" s="1">
        <f>IFERROR(VLOOKUP($C108,EQUIPOS[],UNIFICADO!T$9,0),"")</f>
        <v>4</v>
      </c>
      <c r="U108" s="1">
        <f>VLOOKUP(UNIFICADA[[#This Row],[Equipo]],EQUIPOS[],19,0)</f>
        <v>98</v>
      </c>
      <c r="V108" s="1" t="str">
        <f t="shared" si="533"/>
        <v>ND</v>
      </c>
      <c r="W108" s="1" t="str">
        <f t="shared" si="534"/>
        <v>ND</v>
      </c>
      <c r="X108" s="1" t="str">
        <f t="shared" si="520"/>
        <v>ND</v>
      </c>
      <c r="Y108" s="1" t="str">
        <f t="shared" si="520"/>
        <v>ND</v>
      </c>
      <c r="Z108" s="1" t="str">
        <f t="shared" si="527"/>
        <v>ND</v>
      </c>
      <c r="AA108" s="1" t="str">
        <f t="shared" si="527"/>
        <v>ND</v>
      </c>
      <c r="AB108" s="1" t="str">
        <f t="shared" si="527"/>
        <v>ND</v>
      </c>
      <c r="AC108" s="1" t="str">
        <f t="shared" si="527"/>
        <v>ND</v>
      </c>
      <c r="AD108" s="1" t="str">
        <f t="shared" si="527"/>
        <v>ND</v>
      </c>
      <c r="AE108" s="1" t="str">
        <f t="shared" si="527"/>
        <v>ND</v>
      </c>
      <c r="AF108" s="1" t="str">
        <f t="shared" si="527"/>
        <v>ND</v>
      </c>
      <c r="AG108" s="1" t="str">
        <f t="shared" si="527"/>
        <v>ND</v>
      </c>
      <c r="AH108" s="1" t="str">
        <f t="shared" si="527"/>
        <v>ND</v>
      </c>
      <c r="AI108" s="1" t="str">
        <f t="shared" si="535"/>
        <v>ND</v>
      </c>
      <c r="AJ108" s="1" t="str">
        <f t="shared" si="536"/>
        <v>ND</v>
      </c>
      <c r="AK108" s="1" t="str">
        <f t="shared" si="537"/>
        <v>ND</v>
      </c>
      <c r="AL108" s="1" t="str">
        <f t="shared" si="538"/>
        <v>ND</v>
      </c>
      <c r="AM108" s="1" t="str">
        <f t="shared" si="539"/>
        <v>ND</v>
      </c>
      <c r="AN108" s="1" t="str">
        <f t="shared" si="540"/>
        <v>ND</v>
      </c>
      <c r="AO108" s="1" t="str">
        <f t="shared" si="541"/>
        <v>ND</v>
      </c>
      <c r="AP108" s="1" t="str">
        <f t="shared" si="542"/>
        <v>ND</v>
      </c>
      <c r="AQ108" s="1" t="str">
        <f t="shared" si="543"/>
        <v>ND</v>
      </c>
      <c r="AR108" s="1" t="str">
        <f t="shared" si="544"/>
        <v>ND</v>
      </c>
      <c r="AS108" s="1" t="str">
        <f t="shared" si="545"/>
        <v>ND</v>
      </c>
      <c r="AT108" s="1" t="str">
        <f t="shared" si="546"/>
        <v>ND</v>
      </c>
      <c r="AU108" s="1" t="str">
        <f t="shared" si="547"/>
        <v>ND</v>
      </c>
      <c r="AV108" s="1" t="str">
        <f t="shared" si="548"/>
        <v>ND</v>
      </c>
      <c r="AW108" s="1" t="str">
        <f t="shared" si="549"/>
        <v>ND</v>
      </c>
      <c r="AX108" s="1" t="str">
        <f t="shared" si="550"/>
        <v>ND</v>
      </c>
      <c r="AY108" s="1" t="str">
        <f t="shared" si="551"/>
        <v>ND</v>
      </c>
      <c r="AZ108" s="1" t="str">
        <f t="shared" si="552"/>
        <v>ND</v>
      </c>
      <c r="BA108" s="1" t="str">
        <f t="shared" si="553"/>
        <v>ND</v>
      </c>
      <c r="BB108" s="1" t="str">
        <f t="shared" si="554"/>
        <v>ND</v>
      </c>
      <c r="BC108" s="1" t="str">
        <f t="shared" si="555"/>
        <v>ND</v>
      </c>
      <c r="BD108" s="1" t="str">
        <f t="shared" si="556"/>
        <v>ND</v>
      </c>
      <c r="BE108" s="1" t="str">
        <f t="shared" si="557"/>
        <v>ND</v>
      </c>
      <c r="BF108" s="1" t="str">
        <f t="shared" si="558"/>
        <v>ND</v>
      </c>
      <c r="BG108" s="1" t="str">
        <f t="shared" si="559"/>
        <v>ND</v>
      </c>
      <c r="BH108" s="1" t="str">
        <f t="shared" si="560"/>
        <v>ND</v>
      </c>
      <c r="BI108" s="1" t="str">
        <f t="shared" si="561"/>
        <v>ND</v>
      </c>
      <c r="BJ108" s="1" t="str">
        <f t="shared" si="562"/>
        <v>ND</v>
      </c>
      <c r="BK108" s="1" t="str">
        <f t="shared" si="563"/>
        <v>ND</v>
      </c>
      <c r="BL108" s="1" t="str">
        <f t="shared" si="564"/>
        <v>ND</v>
      </c>
      <c r="BM108" s="1" t="str">
        <f t="shared" si="565"/>
        <v>ND</v>
      </c>
      <c r="BN108" s="1" t="str">
        <f t="shared" si="566"/>
        <v>ND</v>
      </c>
      <c r="BO108" s="1" t="str">
        <f t="shared" si="567"/>
        <v>ND</v>
      </c>
      <c r="BP108" s="1" t="str">
        <f t="shared" si="568"/>
        <v>ND</v>
      </c>
      <c r="BQ108" s="1" t="str">
        <f t="shared" si="569"/>
        <v>ND</v>
      </c>
      <c r="BR108" s="1" t="str">
        <f t="shared" si="570"/>
        <v>ND</v>
      </c>
      <c r="BS108" s="1" t="str">
        <f t="shared" si="571"/>
        <v>ND</v>
      </c>
      <c r="BT108" s="1" t="str">
        <f t="shared" si="572"/>
        <v>ND</v>
      </c>
      <c r="BU108" s="1" t="str">
        <f t="shared" si="573"/>
        <v>ND</v>
      </c>
      <c r="BV108" s="1" t="str">
        <f t="shared" si="574"/>
        <v>ND</v>
      </c>
      <c r="BW108" s="1" t="str">
        <f t="shared" si="575"/>
        <v>ND</v>
      </c>
      <c r="BX108" s="1" t="str">
        <f t="shared" si="576"/>
        <v>ND</v>
      </c>
      <c r="BY108" s="1" t="str">
        <f t="shared" si="577"/>
        <v>ND</v>
      </c>
      <c r="BZ108" s="1" t="str">
        <f t="shared" si="578"/>
        <v>ND</v>
      </c>
      <c r="CA108" s="1" t="str">
        <f t="shared" si="528"/>
        <v>ND</v>
      </c>
      <c r="CB108" s="1" t="str">
        <f t="shared" si="528"/>
        <v>ND</v>
      </c>
      <c r="CC108" s="1" t="str">
        <f t="shared" si="528"/>
        <v>ND</v>
      </c>
      <c r="CD108" s="1" t="str">
        <f t="shared" si="528"/>
        <v>ND</v>
      </c>
      <c r="CE108" s="1" t="str">
        <f t="shared" si="528"/>
        <v>ND</v>
      </c>
      <c r="CF108" s="1" t="str">
        <f t="shared" si="528"/>
        <v>ND</v>
      </c>
      <c r="CG108" s="1" t="str">
        <f t="shared" si="528"/>
        <v>ND</v>
      </c>
      <c r="CH108" s="1" t="str">
        <f t="shared" si="528"/>
        <v>ND</v>
      </c>
      <c r="CI108" s="1" t="str">
        <f t="shared" si="528"/>
        <v>ND</v>
      </c>
      <c r="CJ108" s="1" t="str">
        <f t="shared" si="528"/>
        <v>ND</v>
      </c>
      <c r="CK108" s="1" t="str">
        <f t="shared" si="528"/>
        <v>ND</v>
      </c>
      <c r="CL108" s="1" t="str">
        <f t="shared" si="529"/>
        <v>ND</v>
      </c>
      <c r="CM108" s="1" t="str">
        <f t="shared" si="529"/>
        <v>ND</v>
      </c>
      <c r="CN108" s="1" t="str">
        <f t="shared" si="529"/>
        <v>ND</v>
      </c>
      <c r="CO108" s="1" t="str">
        <f t="shared" si="529"/>
        <v>ND</v>
      </c>
      <c r="CP108" s="1" t="str">
        <f t="shared" si="529"/>
        <v>ND</v>
      </c>
      <c r="CQ108" s="1" t="str">
        <f t="shared" si="529"/>
        <v>ND</v>
      </c>
      <c r="CR108" s="1" t="str">
        <f t="shared" si="529"/>
        <v>ND</v>
      </c>
      <c r="CS108" s="1" t="str">
        <f t="shared" si="529"/>
        <v>ND</v>
      </c>
      <c r="CT108" s="1" t="str">
        <f t="shared" si="529"/>
        <v>ND</v>
      </c>
      <c r="CU108" s="1" t="str">
        <f t="shared" si="529"/>
        <v>ND</v>
      </c>
      <c r="CV108" s="1" t="str">
        <f t="shared" si="529"/>
        <v>ND</v>
      </c>
      <c r="CW108" s="1" t="str">
        <f t="shared" si="579"/>
        <v>ND</v>
      </c>
      <c r="CX108" s="1" t="str">
        <f t="shared" si="580"/>
        <v>ND</v>
      </c>
      <c r="CY108" s="1" t="str">
        <f t="shared" si="581"/>
        <v>ND</v>
      </c>
      <c r="CZ108" s="1" t="str">
        <f t="shared" si="582"/>
        <v>ND</v>
      </c>
      <c r="DA108" s="1" t="str">
        <f t="shared" si="583"/>
        <v>ND</v>
      </c>
      <c r="DB108" s="1" t="str">
        <f t="shared" si="584"/>
        <v>ND</v>
      </c>
      <c r="DC108" s="1" t="str">
        <f t="shared" si="585"/>
        <v>ND</v>
      </c>
      <c r="DD108" s="1" t="str">
        <f t="shared" si="586"/>
        <v>ND</v>
      </c>
      <c r="DE108" s="1" t="str">
        <f t="shared" si="587"/>
        <v>ND</v>
      </c>
      <c r="DF108" s="1" t="str">
        <f t="shared" si="588"/>
        <v>ND</v>
      </c>
      <c r="DG108" s="1" t="str">
        <f t="shared" si="589"/>
        <v>ND</v>
      </c>
      <c r="DH108" s="1" t="str">
        <f t="shared" si="590"/>
        <v>ND</v>
      </c>
      <c r="DI108" s="1" t="str">
        <f t="shared" si="591"/>
        <v>ND</v>
      </c>
      <c r="DJ108" s="1" t="str">
        <f t="shared" si="592"/>
        <v>ND</v>
      </c>
      <c r="DK108" s="1" t="str">
        <f t="shared" si="593"/>
        <v>ND</v>
      </c>
      <c r="DL108" s="1" t="str">
        <f t="shared" si="594"/>
        <v>ND</v>
      </c>
      <c r="DM108" s="1" t="str">
        <f t="shared" si="595"/>
        <v>ND</v>
      </c>
      <c r="DN108" s="1" t="str">
        <f t="shared" si="596"/>
        <v>ND</v>
      </c>
      <c r="DO108" s="1" t="str">
        <f t="shared" si="597"/>
        <v>ND</v>
      </c>
      <c r="DP108" s="1" t="str">
        <f t="shared" si="598"/>
        <v>ND</v>
      </c>
      <c r="DQ108" s="1" t="str">
        <f t="shared" si="599"/>
        <v>ND</v>
      </c>
      <c r="DR108" s="1" t="str">
        <f t="shared" si="600"/>
        <v>ND</v>
      </c>
      <c r="DS108" s="1" t="str">
        <f t="shared" si="601"/>
        <v>ND</v>
      </c>
      <c r="DT108" s="1" t="str">
        <f t="shared" si="602"/>
        <v>ND</v>
      </c>
      <c r="DU108" s="1" t="str">
        <f t="shared" si="603"/>
        <v>ND</v>
      </c>
      <c r="DV108" s="1" t="str">
        <f t="shared" si="604"/>
        <v>ND</v>
      </c>
      <c r="DW108" s="1" t="str">
        <f t="shared" si="605"/>
        <v>ND</v>
      </c>
      <c r="DX108" s="1" t="str">
        <f t="shared" si="606"/>
        <v>ND</v>
      </c>
      <c r="DY108" s="1" t="str">
        <f t="shared" si="607"/>
        <v>ND</v>
      </c>
      <c r="DZ108" s="1" t="str">
        <f t="shared" si="608"/>
        <v>ND</v>
      </c>
      <c r="EA108" s="1" t="str">
        <f t="shared" si="609"/>
        <v>ND</v>
      </c>
      <c r="EB108" s="1" t="str">
        <f t="shared" si="610"/>
        <v>ND</v>
      </c>
      <c r="EC108" s="1" t="str">
        <f t="shared" si="611"/>
        <v>ND</v>
      </c>
      <c r="ED108" s="1" t="str">
        <f t="shared" si="612"/>
        <v>ND</v>
      </c>
      <c r="EE108" s="1" t="str">
        <f t="shared" si="613"/>
        <v>ND</v>
      </c>
      <c r="EF108" s="1" t="str">
        <f t="shared" si="614"/>
        <v>ND</v>
      </c>
      <c r="EG108" s="1" t="str">
        <f t="shared" si="615"/>
        <v>ND</v>
      </c>
      <c r="EH108" s="1" t="str">
        <f t="shared" si="616"/>
        <v>ND</v>
      </c>
      <c r="EI108" s="1" t="str">
        <f t="shared" si="617"/>
        <v>ND</v>
      </c>
      <c r="EJ108" s="1" t="str">
        <f t="shared" si="618"/>
        <v>ND</v>
      </c>
      <c r="EK108" s="1" t="str">
        <f t="shared" si="619"/>
        <v>ND</v>
      </c>
      <c r="EL108" s="1" t="str">
        <f t="shared" si="620"/>
        <v>ND</v>
      </c>
      <c r="EM108" s="1" t="str">
        <f t="shared" si="621"/>
        <v>ND</v>
      </c>
      <c r="EN108" s="1" t="str">
        <f t="shared" si="622"/>
        <v>ND</v>
      </c>
      <c r="EO108" s="1" t="str">
        <f t="shared" si="530"/>
        <v>ND</v>
      </c>
      <c r="EP108" s="1" t="str">
        <f t="shared" si="530"/>
        <v>ND</v>
      </c>
      <c r="EQ108" s="1" t="str">
        <f t="shared" si="530"/>
        <v>ND</v>
      </c>
      <c r="ER108" s="1" t="str">
        <f t="shared" si="530"/>
        <v>ND</v>
      </c>
      <c r="ES108" s="1" t="str">
        <f t="shared" si="530"/>
        <v>ND</v>
      </c>
      <c r="ET108" s="1" t="str">
        <f t="shared" si="530"/>
        <v>ND</v>
      </c>
      <c r="EU108" s="1" t="str">
        <f t="shared" si="530"/>
        <v>ND</v>
      </c>
      <c r="EV108" s="1" t="str">
        <f t="shared" si="530"/>
        <v>ND</v>
      </c>
      <c r="EW108" s="1" t="str">
        <f t="shared" si="530"/>
        <v>ND</v>
      </c>
      <c r="EX108" s="1" t="str">
        <f t="shared" si="530"/>
        <v>ND</v>
      </c>
      <c r="EY108" s="1" t="str">
        <f t="shared" si="530"/>
        <v>ND</v>
      </c>
      <c r="EZ108" s="1" t="str">
        <f t="shared" si="531"/>
        <v>ND</v>
      </c>
      <c r="FA108" s="1" t="str">
        <f t="shared" si="531"/>
        <v>ND</v>
      </c>
      <c r="FB108" s="1" t="str">
        <f t="shared" si="531"/>
        <v>ND</v>
      </c>
      <c r="FC108" s="1" t="str">
        <f t="shared" si="531"/>
        <v>ND</v>
      </c>
      <c r="FD108" s="1" t="str">
        <f t="shared" si="531"/>
        <v>ND</v>
      </c>
      <c r="FE108" s="1" t="str">
        <f t="shared" si="531"/>
        <v>ND</v>
      </c>
      <c r="FF108" s="1" t="str">
        <f t="shared" si="531"/>
        <v>ND</v>
      </c>
      <c r="FG108" s="1" t="str">
        <f t="shared" si="531"/>
        <v>ND</v>
      </c>
      <c r="FH108" s="1" t="str">
        <f t="shared" si="531"/>
        <v>ND</v>
      </c>
      <c r="FI108" s="1" t="str">
        <f t="shared" si="531"/>
        <v>ND</v>
      </c>
      <c r="FJ108" s="1" t="str">
        <f t="shared" si="531"/>
        <v>ND</v>
      </c>
      <c r="FK108" s="1" t="str">
        <f t="shared" si="532"/>
        <v>ND</v>
      </c>
      <c r="FL108" s="1" t="str">
        <f t="shared" si="532"/>
        <v>ND</v>
      </c>
      <c r="FM108" s="1" t="str">
        <f t="shared" si="532"/>
        <v>ND</v>
      </c>
      <c r="FN108" s="1" t="str">
        <f t="shared" si="532"/>
        <v>ND</v>
      </c>
      <c r="FO108" s="1" t="str">
        <f t="shared" si="532"/>
        <v>ND</v>
      </c>
      <c r="FP108" s="1" t="str">
        <f t="shared" si="532"/>
        <v>ND</v>
      </c>
      <c r="FQ108" s="1" t="str">
        <f t="shared" si="532"/>
        <v>ND</v>
      </c>
      <c r="FR108" s="1" t="str">
        <f t="shared" si="532"/>
        <v>ND</v>
      </c>
      <c r="FS108" s="1" t="str">
        <f t="shared" si="532"/>
        <v>ND</v>
      </c>
      <c r="FT108" s="1" t="str">
        <f t="shared" si="532"/>
        <v>ND</v>
      </c>
      <c r="FU108" s="1" t="str">
        <f t="shared" si="532"/>
        <v>ND</v>
      </c>
      <c r="FV108" s="1" t="str">
        <f t="shared" si="623"/>
        <v>ND</v>
      </c>
      <c r="FW108" s="1" t="str">
        <f t="shared" si="624"/>
        <v>ND</v>
      </c>
      <c r="FX108" s="1" t="str">
        <f t="shared" si="625"/>
        <v>ND</v>
      </c>
      <c r="FY108" s="1" t="str">
        <f t="shared" si="626"/>
        <v>ND</v>
      </c>
      <c r="FZ108" s="1" t="str">
        <f t="shared" si="627"/>
        <v>ND</v>
      </c>
      <c r="GA108" s="1" t="str">
        <f t="shared" si="628"/>
        <v>ND</v>
      </c>
      <c r="GB108" s="1" t="str">
        <f t="shared" si="629"/>
        <v>ND</v>
      </c>
      <c r="GC108" s="1" t="str">
        <f t="shared" si="630"/>
        <v>ND</v>
      </c>
      <c r="GD108" s="1" t="str">
        <f t="shared" si="631"/>
        <v>ND</v>
      </c>
      <c r="GE108" s="1" t="str">
        <f t="shared" si="632"/>
        <v>ND</v>
      </c>
      <c r="GF108" s="1" t="str">
        <f t="shared" si="633"/>
        <v>ND</v>
      </c>
      <c r="GG108" s="1" t="str">
        <f t="shared" si="634"/>
        <v>ND</v>
      </c>
      <c r="GH108" s="1" t="str">
        <f t="shared" si="635"/>
        <v>ND</v>
      </c>
      <c r="GI108" s="1" t="str">
        <f t="shared" si="636"/>
        <v>ND</v>
      </c>
      <c r="GJ108" s="1" t="str">
        <f t="shared" si="637"/>
        <v>ND</v>
      </c>
      <c r="GK108" s="1" t="str">
        <f t="shared" si="638"/>
        <v>ND</v>
      </c>
      <c r="GL108" s="1" t="str">
        <f t="shared" si="639"/>
        <v>ND</v>
      </c>
      <c r="GM108" s="1" t="str">
        <f t="shared" si="640"/>
        <v>ND</v>
      </c>
      <c r="GN108" s="1" t="str">
        <f t="shared" si="641"/>
        <v>ND</v>
      </c>
      <c r="GO108" s="1" t="str">
        <f t="shared" si="642"/>
        <v>ND</v>
      </c>
      <c r="GP108" s="1" t="str">
        <f t="shared" si="643"/>
        <v>ND</v>
      </c>
      <c r="GQ108" s="1" t="str">
        <f t="shared" si="644"/>
        <v>ND</v>
      </c>
      <c r="GR108" s="1" t="str">
        <f t="shared" si="645"/>
        <v>ND</v>
      </c>
      <c r="GS108" s="1" t="str">
        <f t="shared" si="646"/>
        <v>ND</v>
      </c>
      <c r="GT108" s="1" t="str">
        <f t="shared" si="647"/>
        <v>ND</v>
      </c>
      <c r="GU108" s="1" t="str">
        <f t="shared" si="648"/>
        <v>ND</v>
      </c>
      <c r="GV108" s="1" t="str">
        <f t="shared" si="649"/>
        <v>ND</v>
      </c>
      <c r="GW108" s="1" t="str">
        <f t="shared" si="650"/>
        <v>ND</v>
      </c>
      <c r="GX108" s="1" t="str">
        <f t="shared" si="651"/>
        <v>ND</v>
      </c>
      <c r="GY108" s="1" t="str">
        <f t="shared" si="652"/>
        <v>ND</v>
      </c>
      <c r="GZ108" s="1" t="str">
        <f t="shared" si="653"/>
        <v>ND</v>
      </c>
      <c r="HA108" s="1" t="str">
        <f t="shared" si="654"/>
        <v>ND</v>
      </c>
      <c r="HB108" s="1" t="str">
        <f t="shared" si="655"/>
        <v>ND</v>
      </c>
      <c r="HC108" s="1" t="str">
        <f t="shared" si="656"/>
        <v>ND</v>
      </c>
      <c r="HD108" s="1" t="str">
        <f t="shared" si="657"/>
        <v>ND</v>
      </c>
      <c r="HE108" s="1" t="str">
        <f t="shared" si="658"/>
        <v>ND</v>
      </c>
      <c r="HF108" s="1" t="str">
        <f t="shared" si="659"/>
        <v>ND</v>
      </c>
      <c r="HG108" s="1" t="str">
        <f t="shared" si="660"/>
        <v>ND</v>
      </c>
      <c r="HH108" s="1" t="str">
        <f t="shared" si="661"/>
        <v>ND</v>
      </c>
      <c r="HI108" s="1" t="str">
        <f t="shared" si="662"/>
        <v>ND</v>
      </c>
      <c r="HJ108" s="1" t="str">
        <f t="shared" si="663"/>
        <v>ND</v>
      </c>
      <c r="HK108" s="1" t="str">
        <f t="shared" si="664"/>
        <v>ND</v>
      </c>
      <c r="HL108" s="1" t="str">
        <f t="shared" si="665"/>
        <v>ND</v>
      </c>
      <c r="HM108" s="1" t="str">
        <f t="shared" si="666"/>
        <v>ND</v>
      </c>
      <c r="HN108" s="1" t="str">
        <f t="shared" si="667"/>
        <v>ND</v>
      </c>
      <c r="HO108" s="1" t="str">
        <f t="shared" si="668"/>
        <v>ND</v>
      </c>
      <c r="HP108" s="1" t="str">
        <f t="shared" si="669"/>
        <v>ND</v>
      </c>
      <c r="HQ108" s="1" t="str">
        <f t="shared" si="670"/>
        <v>ND</v>
      </c>
      <c r="HR108" s="1" t="str">
        <f t="shared" si="671"/>
        <v>ND</v>
      </c>
      <c r="HS108" s="1" t="str">
        <f t="shared" si="672"/>
        <v>ND</v>
      </c>
      <c r="HT108" s="1" t="str">
        <f t="shared" si="673"/>
        <v>ND</v>
      </c>
      <c r="HU108" s="1" t="str">
        <f t="shared" si="674"/>
        <v>ND</v>
      </c>
      <c r="HV108" s="1" t="str">
        <f t="shared" si="675"/>
        <v>ND</v>
      </c>
      <c r="HW108" s="1" t="str">
        <f t="shared" si="676"/>
        <v>ND</v>
      </c>
      <c r="HX108" s="1" t="str">
        <f t="shared" si="677"/>
        <v>ND</v>
      </c>
      <c r="HY108" s="1" t="str">
        <f t="shared" si="678"/>
        <v>ND</v>
      </c>
      <c r="HZ108" s="1" t="str">
        <f t="shared" si="679"/>
        <v>ND</v>
      </c>
      <c r="IA108" s="1" t="str">
        <f t="shared" si="680"/>
        <v>ND</v>
      </c>
      <c r="IB108" s="1" t="str">
        <f t="shared" si="681"/>
        <v>ND</v>
      </c>
      <c r="IC108" s="1" t="str">
        <f t="shared" si="682"/>
        <v>ND</v>
      </c>
      <c r="ID108" s="1" t="str">
        <f t="shared" si="683"/>
        <v>ND</v>
      </c>
      <c r="IE108" s="1" t="str">
        <f t="shared" si="684"/>
        <v>ND</v>
      </c>
      <c r="IF108" s="1" t="str">
        <f t="shared" si="685"/>
        <v>ND</v>
      </c>
      <c r="IG108" s="1" t="str">
        <f t="shared" si="686"/>
        <v>ND</v>
      </c>
      <c r="IH108" s="1" t="str">
        <f t="shared" si="687"/>
        <v>ND</v>
      </c>
      <c r="II108" s="1" t="str">
        <f t="shared" si="688"/>
        <v>ND</v>
      </c>
    </row>
    <row r="109" spans="3:243" x14ac:dyDescent="0.25">
      <c r="C109" t="s">
        <v>1038</v>
      </c>
      <c r="D109">
        <f>SUMIFS(DICCIONARIO[Cantidad],DICCIONARIO[Modelo],UNIFICADA[[#This Row],[Equipo]])</f>
        <v>10</v>
      </c>
      <c r="E109" s="1">
        <f>IFERROR(VLOOKUP($C109,EQUIPOS[],UNIFICADO!E$9,0),"")</f>
        <v>12</v>
      </c>
      <c r="F109" s="1" t="str">
        <f>IFERROR(VLOOKUP($C109,EQUIPOS[],UNIFICADO!F$9,0),"")</f>
        <v>6.55 LCD HD+ 90Hz</v>
      </c>
      <c r="G109" s="1">
        <f>IFERROR(VLOOKUP($C109,EQUIPOS[],UNIFICADO!G$9,0),"")</f>
        <v>50</v>
      </c>
      <c r="H109" s="1">
        <f>IFERROR(VLOOKUP($C109,EQUIPOS[],UNIFICADO!H$9,0),"")</f>
        <v>3</v>
      </c>
      <c r="I109" s="1">
        <f>IFERROR(VLOOKUP($C109,EQUIPOS[],UNIFICADO!I$9,0),"")</f>
        <v>8</v>
      </c>
      <c r="J109" s="1" t="str">
        <f>IFERROR(VLOOKUP($C109,EQUIPOS[],UNIFICADO!J$9,0),"")</f>
        <v>128GB</v>
      </c>
      <c r="K109" s="1">
        <f>IFERROR(VLOOKUP($C109,EQUIPOS[],UNIFICADO!K$9,0),"")</f>
        <v>1024</v>
      </c>
      <c r="L109" s="1">
        <f>IFERROR(VLOOKUP($C109,EQUIPOS[],UNIFICADO!L$9,0),"")</f>
        <v>8</v>
      </c>
      <c r="M109" s="1" t="str">
        <f>IFERROR(VLOOKUP($C109,EQUIPOS[],UNIFICADO!M$9,0),"")</f>
        <v>Snapdragon 680</v>
      </c>
      <c r="N109" s="1">
        <f>IFERROR(VLOOKUP($C109,EQUIPOS[],UNIFICADO!N$9,0),"")</f>
        <v>6</v>
      </c>
      <c r="O109" s="1">
        <f>IFERROR(VLOOKUP($C109,EQUIPOS[],UNIFICADO!O$9,0),"")</f>
        <v>192</v>
      </c>
      <c r="P109" s="1">
        <f>IFERROR(VLOOKUP($C109,EQUIPOS[],UNIFICADO!P$9,0),"")</f>
        <v>16.43</v>
      </c>
      <c r="Q109" s="1">
        <f>IFERROR(VLOOKUP($C109,EQUIPOS[],UNIFICADO!Q$9,0),"")</f>
        <v>7.61</v>
      </c>
      <c r="R109" s="1">
        <f>IFERROR(VLOOKUP($C109,EQUIPOS[],UNIFICADO!R$9,0),"")</f>
        <v>0.84</v>
      </c>
      <c r="S109" s="1" t="str">
        <f>IFERROR(VLOOKUP($C109,EQUIPOS[],UNIFICADO!S$9,0),"")</f>
        <v>5000 18W</v>
      </c>
      <c r="T109" s="1">
        <f>IFERROR(VLOOKUP($C109,EQUIPOS[],UNIFICADO!T$9,0),"")</f>
        <v>4</v>
      </c>
      <c r="U109" s="1">
        <f>VLOOKUP(UNIFICADA[[#This Row],[Equipo]],EQUIPOS[],19,0)</f>
        <v>99</v>
      </c>
      <c r="V109" s="1" t="str">
        <f t="shared" si="533"/>
        <v>ND</v>
      </c>
      <c r="W109" s="1" t="str">
        <f t="shared" si="534"/>
        <v>ND</v>
      </c>
      <c r="X109" s="1" t="str">
        <f t="shared" si="520"/>
        <v>ND</v>
      </c>
      <c r="Y109" s="1" t="str">
        <f t="shared" si="520"/>
        <v>ND</v>
      </c>
      <c r="Z109" s="1" t="str">
        <f t="shared" si="527"/>
        <v>ND</v>
      </c>
      <c r="AA109" s="1" t="str">
        <f t="shared" si="527"/>
        <v>ND</v>
      </c>
      <c r="AB109" s="1" t="str">
        <f t="shared" si="527"/>
        <v>ND</v>
      </c>
      <c r="AC109" s="1" t="str">
        <f t="shared" si="527"/>
        <v>ND</v>
      </c>
      <c r="AD109" s="1" t="str">
        <f t="shared" si="527"/>
        <v>ND</v>
      </c>
      <c r="AE109" s="1" t="str">
        <f t="shared" si="527"/>
        <v>ND</v>
      </c>
      <c r="AF109" s="1" t="str">
        <f t="shared" si="527"/>
        <v>ND</v>
      </c>
      <c r="AG109" s="1" t="str">
        <f t="shared" si="527"/>
        <v>ND</v>
      </c>
      <c r="AH109" s="1" t="str">
        <f t="shared" si="527"/>
        <v>ND</v>
      </c>
      <c r="AI109" s="1" t="str">
        <f t="shared" si="535"/>
        <v>ND</v>
      </c>
      <c r="AJ109" s="1" t="str">
        <f t="shared" si="536"/>
        <v>ND</v>
      </c>
      <c r="AK109" s="1" t="str">
        <f t="shared" si="537"/>
        <v>ND</v>
      </c>
      <c r="AL109" s="1" t="str">
        <f t="shared" si="538"/>
        <v>ND</v>
      </c>
      <c r="AM109" s="1" t="str">
        <f t="shared" si="539"/>
        <v>ND</v>
      </c>
      <c r="AN109" s="1" t="str">
        <f t="shared" si="540"/>
        <v>ND</v>
      </c>
      <c r="AO109" s="1" t="str">
        <f t="shared" si="541"/>
        <v>ND</v>
      </c>
      <c r="AP109" s="1" t="str">
        <f t="shared" si="542"/>
        <v>ND</v>
      </c>
      <c r="AQ109" s="1" t="str">
        <f t="shared" si="543"/>
        <v>ND</v>
      </c>
      <c r="AR109" s="1" t="str">
        <f t="shared" si="544"/>
        <v>ND</v>
      </c>
      <c r="AS109" s="1" t="str">
        <f t="shared" si="545"/>
        <v>ND</v>
      </c>
      <c r="AT109" s="1" t="str">
        <f t="shared" si="546"/>
        <v>ND</v>
      </c>
      <c r="AU109" s="1" t="str">
        <f t="shared" si="547"/>
        <v>ND</v>
      </c>
      <c r="AV109" s="1" t="str">
        <f t="shared" si="548"/>
        <v>ND</v>
      </c>
      <c r="AW109" s="1" t="str">
        <f t="shared" si="549"/>
        <v>ND</v>
      </c>
      <c r="AX109" s="1" t="str">
        <f t="shared" si="550"/>
        <v>ND</v>
      </c>
      <c r="AY109" s="1" t="str">
        <f t="shared" si="551"/>
        <v>ND</v>
      </c>
      <c r="AZ109" s="1" t="str">
        <f t="shared" si="552"/>
        <v>ND</v>
      </c>
      <c r="BA109" s="1" t="str">
        <f t="shared" si="553"/>
        <v>ND</v>
      </c>
      <c r="BB109" s="1" t="str">
        <f t="shared" si="554"/>
        <v>ND</v>
      </c>
      <c r="BC109" s="1" t="str">
        <f t="shared" si="555"/>
        <v>ND</v>
      </c>
      <c r="BD109" s="1" t="str">
        <f t="shared" si="556"/>
        <v>ND</v>
      </c>
      <c r="BE109" s="1" t="str">
        <f t="shared" si="557"/>
        <v>ND</v>
      </c>
      <c r="BF109" s="1" t="str">
        <f t="shared" si="558"/>
        <v>ND</v>
      </c>
      <c r="BG109" s="1" t="str">
        <f t="shared" si="559"/>
        <v>ND</v>
      </c>
      <c r="BH109" s="1" t="str">
        <f t="shared" si="560"/>
        <v>ND</v>
      </c>
      <c r="BI109" s="1" t="str">
        <f t="shared" si="561"/>
        <v>ND</v>
      </c>
      <c r="BJ109" s="1" t="str">
        <f t="shared" si="562"/>
        <v>ND</v>
      </c>
      <c r="BK109" s="1" t="str">
        <f t="shared" si="563"/>
        <v>ND</v>
      </c>
      <c r="BL109" s="1" t="str">
        <f t="shared" si="564"/>
        <v>ND</v>
      </c>
      <c r="BM109" s="1" t="str">
        <f t="shared" si="565"/>
        <v>ND</v>
      </c>
      <c r="BN109" s="1" t="str">
        <f t="shared" si="566"/>
        <v>ND</v>
      </c>
      <c r="BO109" s="1" t="str">
        <f t="shared" si="567"/>
        <v>ND</v>
      </c>
      <c r="BP109" s="1" t="str">
        <f t="shared" si="568"/>
        <v>ND</v>
      </c>
      <c r="BQ109" s="1" t="str">
        <f t="shared" si="569"/>
        <v>ND</v>
      </c>
      <c r="BR109" s="1" t="str">
        <f t="shared" si="570"/>
        <v>ND</v>
      </c>
      <c r="BS109" s="1" t="str">
        <f t="shared" si="571"/>
        <v>ND</v>
      </c>
      <c r="BT109" s="1" t="str">
        <f t="shared" si="572"/>
        <v>ND</v>
      </c>
      <c r="BU109" s="1" t="str">
        <f t="shared" si="573"/>
        <v>ND</v>
      </c>
      <c r="BV109" s="1" t="str">
        <f t="shared" si="574"/>
        <v>ND</v>
      </c>
      <c r="BW109" s="1" t="str">
        <f t="shared" si="575"/>
        <v>ND</v>
      </c>
      <c r="BX109" s="1" t="str">
        <f t="shared" si="576"/>
        <v>ND</v>
      </c>
      <c r="BY109" s="1" t="str">
        <f t="shared" si="577"/>
        <v>ND</v>
      </c>
      <c r="BZ109" s="1" t="str">
        <f t="shared" si="578"/>
        <v>ND</v>
      </c>
      <c r="CA109" s="1" t="str">
        <f t="shared" si="528"/>
        <v>ND</v>
      </c>
      <c r="CB109" s="1" t="str">
        <f t="shared" si="528"/>
        <v>ND</v>
      </c>
      <c r="CC109" s="1" t="str">
        <f t="shared" si="528"/>
        <v>ND</v>
      </c>
      <c r="CD109" s="1" t="str">
        <f t="shared" si="528"/>
        <v>ND</v>
      </c>
      <c r="CE109" s="1" t="str">
        <f t="shared" si="528"/>
        <v>ND</v>
      </c>
      <c r="CF109" s="1" t="str">
        <f t="shared" si="528"/>
        <v>ND</v>
      </c>
      <c r="CG109" s="1" t="str">
        <f t="shared" si="528"/>
        <v>ND</v>
      </c>
      <c r="CH109" s="1" t="str">
        <f t="shared" si="528"/>
        <v>ND</v>
      </c>
      <c r="CI109" s="1" t="str">
        <f t="shared" si="528"/>
        <v>ND</v>
      </c>
      <c r="CJ109" s="1" t="str">
        <f t="shared" si="528"/>
        <v>ND</v>
      </c>
      <c r="CK109" s="1" t="str">
        <f t="shared" si="528"/>
        <v>ND</v>
      </c>
      <c r="CL109" s="1" t="str">
        <f t="shared" si="529"/>
        <v>ND</v>
      </c>
      <c r="CM109" s="1" t="str">
        <f t="shared" si="529"/>
        <v>ND</v>
      </c>
      <c r="CN109" s="1" t="str">
        <f t="shared" si="529"/>
        <v>ND</v>
      </c>
      <c r="CO109" s="1" t="str">
        <f t="shared" si="529"/>
        <v>ND</v>
      </c>
      <c r="CP109" s="1" t="str">
        <f t="shared" si="529"/>
        <v>ND</v>
      </c>
      <c r="CQ109" s="1" t="str">
        <f t="shared" si="529"/>
        <v>ND</v>
      </c>
      <c r="CR109" s="1" t="str">
        <f t="shared" si="529"/>
        <v>ND</v>
      </c>
      <c r="CS109" s="1" t="str">
        <f t="shared" si="529"/>
        <v>ND</v>
      </c>
      <c r="CT109" s="1" t="str">
        <f t="shared" si="529"/>
        <v>ND</v>
      </c>
      <c r="CU109" s="1" t="str">
        <f t="shared" si="529"/>
        <v>ND</v>
      </c>
      <c r="CV109" s="1" t="str">
        <f t="shared" si="529"/>
        <v>ND</v>
      </c>
      <c r="CW109" s="1" t="str">
        <f t="shared" si="579"/>
        <v>ND</v>
      </c>
      <c r="CX109" s="1" t="str">
        <f t="shared" si="580"/>
        <v>ND</v>
      </c>
      <c r="CY109" s="1" t="str">
        <f t="shared" si="581"/>
        <v>ND</v>
      </c>
      <c r="CZ109" s="1" t="str">
        <f t="shared" si="582"/>
        <v>ND</v>
      </c>
      <c r="DA109" s="1" t="str">
        <f t="shared" si="583"/>
        <v>ND</v>
      </c>
      <c r="DB109" s="1" t="str">
        <f t="shared" si="584"/>
        <v>ND</v>
      </c>
      <c r="DC109" s="1" t="str">
        <f t="shared" si="585"/>
        <v>ND</v>
      </c>
      <c r="DD109" s="1" t="str">
        <f t="shared" si="586"/>
        <v>ND</v>
      </c>
      <c r="DE109" s="1" t="str">
        <f t="shared" si="587"/>
        <v>ND</v>
      </c>
      <c r="DF109" s="1" t="str">
        <f t="shared" si="588"/>
        <v>ND</v>
      </c>
      <c r="DG109" s="1" t="str">
        <f t="shared" si="589"/>
        <v>ND</v>
      </c>
      <c r="DH109" s="1" t="str">
        <f t="shared" si="590"/>
        <v>ND</v>
      </c>
      <c r="DI109" s="1" t="str">
        <f t="shared" si="591"/>
        <v>ND</v>
      </c>
      <c r="DJ109" s="1" t="str">
        <f t="shared" si="592"/>
        <v>ND</v>
      </c>
      <c r="DK109" s="1" t="str">
        <f t="shared" si="593"/>
        <v>ND</v>
      </c>
      <c r="DL109" s="1" t="str">
        <f t="shared" si="594"/>
        <v>ND</v>
      </c>
      <c r="DM109" s="1" t="str">
        <f t="shared" si="595"/>
        <v>ND</v>
      </c>
      <c r="DN109" s="1" t="str">
        <f t="shared" si="596"/>
        <v>ND</v>
      </c>
      <c r="DO109" s="1" t="str">
        <f t="shared" si="597"/>
        <v>ND</v>
      </c>
      <c r="DP109" s="1" t="str">
        <f t="shared" si="598"/>
        <v>ND</v>
      </c>
      <c r="DQ109" s="1" t="str">
        <f t="shared" si="599"/>
        <v>ND</v>
      </c>
      <c r="DR109" s="1" t="str">
        <f t="shared" si="600"/>
        <v>ND</v>
      </c>
      <c r="DS109" s="1" t="str">
        <f t="shared" si="601"/>
        <v>ND</v>
      </c>
      <c r="DT109" s="1" t="str">
        <f t="shared" si="602"/>
        <v>ND</v>
      </c>
      <c r="DU109" s="1" t="str">
        <f t="shared" si="603"/>
        <v>ND</v>
      </c>
      <c r="DV109" s="1" t="str">
        <f t="shared" si="604"/>
        <v>ND</v>
      </c>
      <c r="DW109" s="1" t="str">
        <f t="shared" si="605"/>
        <v>ND</v>
      </c>
      <c r="DX109" s="1" t="str">
        <f t="shared" si="606"/>
        <v>ND</v>
      </c>
      <c r="DY109" s="1" t="str">
        <f t="shared" si="607"/>
        <v>ND</v>
      </c>
      <c r="DZ109" s="1" t="str">
        <f t="shared" si="608"/>
        <v>ND</v>
      </c>
      <c r="EA109" s="1" t="str">
        <f t="shared" si="609"/>
        <v>ND</v>
      </c>
      <c r="EB109" s="1" t="str">
        <f t="shared" si="610"/>
        <v>ND</v>
      </c>
      <c r="EC109" s="1" t="str">
        <f t="shared" si="611"/>
        <v>ND</v>
      </c>
      <c r="ED109" s="1" t="str">
        <f t="shared" si="612"/>
        <v>ND</v>
      </c>
      <c r="EE109" s="1" t="str">
        <f t="shared" si="613"/>
        <v>ND</v>
      </c>
      <c r="EF109" s="1" t="str">
        <f t="shared" si="614"/>
        <v>ND</v>
      </c>
      <c r="EG109" s="1" t="str">
        <f t="shared" si="615"/>
        <v>ND</v>
      </c>
      <c r="EH109" s="1" t="str">
        <f t="shared" si="616"/>
        <v>ND</v>
      </c>
      <c r="EI109" s="1" t="str">
        <f t="shared" si="617"/>
        <v>ND</v>
      </c>
      <c r="EJ109" s="1" t="str">
        <f t="shared" si="618"/>
        <v>ND</v>
      </c>
      <c r="EK109" s="1" t="str">
        <f t="shared" si="619"/>
        <v>ND</v>
      </c>
      <c r="EL109" s="1" t="str">
        <f t="shared" si="620"/>
        <v>ND</v>
      </c>
      <c r="EM109" s="1" t="str">
        <f t="shared" si="621"/>
        <v>ND</v>
      </c>
      <c r="EN109" s="1" t="str">
        <f t="shared" si="622"/>
        <v>ND</v>
      </c>
      <c r="EO109" s="1" t="str">
        <f t="shared" si="530"/>
        <v>ND</v>
      </c>
      <c r="EP109" s="1" t="str">
        <f t="shared" si="530"/>
        <v>ND</v>
      </c>
      <c r="EQ109" s="1" t="str">
        <f t="shared" si="530"/>
        <v>ND</v>
      </c>
      <c r="ER109" s="1" t="str">
        <f t="shared" si="530"/>
        <v>ND</v>
      </c>
      <c r="ES109" s="1" t="str">
        <f t="shared" si="530"/>
        <v>ND</v>
      </c>
      <c r="ET109" s="1" t="str">
        <f t="shared" si="530"/>
        <v>ND</v>
      </c>
      <c r="EU109" s="1" t="str">
        <f t="shared" si="530"/>
        <v>ND</v>
      </c>
      <c r="EV109" s="1" t="str">
        <f t="shared" si="530"/>
        <v>ND</v>
      </c>
      <c r="EW109" s="1" t="str">
        <f t="shared" si="530"/>
        <v>ND</v>
      </c>
      <c r="EX109" s="1" t="str">
        <f t="shared" si="530"/>
        <v>ND</v>
      </c>
      <c r="EY109" s="1" t="str">
        <f t="shared" si="530"/>
        <v>ND</v>
      </c>
      <c r="EZ109" s="1" t="str">
        <f t="shared" si="531"/>
        <v>ND</v>
      </c>
      <c r="FA109" s="1" t="str">
        <f t="shared" si="531"/>
        <v>ND</v>
      </c>
      <c r="FB109" s="1" t="str">
        <f t="shared" si="531"/>
        <v>ND</v>
      </c>
      <c r="FC109" s="1" t="str">
        <f t="shared" si="531"/>
        <v>ND</v>
      </c>
      <c r="FD109" s="1" t="str">
        <f t="shared" si="531"/>
        <v>ND</v>
      </c>
      <c r="FE109" s="1" t="str">
        <f t="shared" si="531"/>
        <v>ND</v>
      </c>
      <c r="FF109" s="1" t="str">
        <f t="shared" si="531"/>
        <v>ND</v>
      </c>
      <c r="FG109" s="1" t="str">
        <f t="shared" si="531"/>
        <v>ND</v>
      </c>
      <c r="FH109" s="1" t="str">
        <f t="shared" si="531"/>
        <v>ND</v>
      </c>
      <c r="FI109" s="1" t="str">
        <f t="shared" si="531"/>
        <v>ND</v>
      </c>
      <c r="FJ109" s="1" t="str">
        <f t="shared" si="531"/>
        <v>ND</v>
      </c>
      <c r="FK109" s="1" t="str">
        <f t="shared" si="532"/>
        <v>ND</v>
      </c>
      <c r="FL109" s="1" t="str">
        <f t="shared" si="532"/>
        <v>ND</v>
      </c>
      <c r="FM109" s="1" t="str">
        <f t="shared" si="532"/>
        <v>ND</v>
      </c>
      <c r="FN109" s="1" t="str">
        <f t="shared" si="532"/>
        <v>ND</v>
      </c>
      <c r="FO109" s="1" t="str">
        <f t="shared" si="532"/>
        <v>ND</v>
      </c>
      <c r="FP109" s="1" t="str">
        <f t="shared" si="532"/>
        <v>ND</v>
      </c>
      <c r="FQ109" s="1" t="str">
        <f t="shared" si="532"/>
        <v>ND</v>
      </c>
      <c r="FR109" s="1" t="str">
        <f t="shared" si="532"/>
        <v>ND</v>
      </c>
      <c r="FS109" s="1" t="str">
        <f t="shared" si="532"/>
        <v>ND</v>
      </c>
      <c r="FT109" s="1" t="str">
        <f t="shared" si="532"/>
        <v>ND</v>
      </c>
      <c r="FU109" s="1" t="str">
        <f t="shared" si="532"/>
        <v>ND</v>
      </c>
      <c r="FV109" s="1" t="str">
        <f t="shared" si="623"/>
        <v>ND</v>
      </c>
      <c r="FW109" s="1" t="str">
        <f t="shared" si="624"/>
        <v>ND</v>
      </c>
      <c r="FX109" s="1" t="str">
        <f t="shared" si="625"/>
        <v>ND</v>
      </c>
      <c r="FY109" s="1" t="str">
        <f t="shared" si="626"/>
        <v>ND</v>
      </c>
      <c r="FZ109" s="1" t="str">
        <f t="shared" si="627"/>
        <v>ND</v>
      </c>
      <c r="GA109" s="1" t="str">
        <f t="shared" si="628"/>
        <v>ND</v>
      </c>
      <c r="GB109" s="1" t="str">
        <f t="shared" si="629"/>
        <v>ND</v>
      </c>
      <c r="GC109" s="1" t="str">
        <f t="shared" si="630"/>
        <v>ND</v>
      </c>
      <c r="GD109" s="1" t="str">
        <f t="shared" si="631"/>
        <v>ND</v>
      </c>
      <c r="GE109" s="1" t="str">
        <f t="shared" si="632"/>
        <v>ND</v>
      </c>
      <c r="GF109" s="1" t="str">
        <f t="shared" si="633"/>
        <v>ND</v>
      </c>
      <c r="GG109" s="1" t="str">
        <f t="shared" si="634"/>
        <v>ND</v>
      </c>
      <c r="GH109" s="1" t="str">
        <f t="shared" si="635"/>
        <v>ND</v>
      </c>
      <c r="GI109" s="1" t="str">
        <f t="shared" si="636"/>
        <v>ND</v>
      </c>
      <c r="GJ109" s="1" t="str">
        <f t="shared" si="637"/>
        <v>ND</v>
      </c>
      <c r="GK109" s="1" t="str">
        <f t="shared" si="638"/>
        <v>ND</v>
      </c>
      <c r="GL109" s="1" t="str">
        <f t="shared" si="639"/>
        <v>ND</v>
      </c>
      <c r="GM109" s="1" t="str">
        <f t="shared" si="640"/>
        <v>ND</v>
      </c>
      <c r="GN109" s="1" t="str">
        <f t="shared" si="641"/>
        <v>ND</v>
      </c>
      <c r="GO109" s="1" t="str">
        <f t="shared" si="642"/>
        <v>ND</v>
      </c>
      <c r="GP109" s="1" t="str">
        <f t="shared" si="643"/>
        <v>ND</v>
      </c>
      <c r="GQ109" s="1" t="str">
        <f t="shared" si="644"/>
        <v>ND</v>
      </c>
      <c r="GR109" s="1" t="str">
        <f t="shared" si="645"/>
        <v>ND</v>
      </c>
      <c r="GS109" s="1" t="str">
        <f t="shared" si="646"/>
        <v>ND</v>
      </c>
      <c r="GT109" s="1" t="str">
        <f t="shared" si="647"/>
        <v>ND</v>
      </c>
      <c r="GU109" s="1" t="str">
        <f t="shared" si="648"/>
        <v>ND</v>
      </c>
      <c r="GV109" s="1" t="str">
        <f t="shared" si="649"/>
        <v>ND</v>
      </c>
      <c r="GW109" s="1" t="str">
        <f t="shared" si="650"/>
        <v>ND</v>
      </c>
      <c r="GX109" s="1" t="str">
        <f t="shared" si="651"/>
        <v>ND</v>
      </c>
      <c r="GY109" s="1" t="str">
        <f t="shared" si="652"/>
        <v>ND</v>
      </c>
      <c r="GZ109" s="1" t="str">
        <f t="shared" si="653"/>
        <v>ND</v>
      </c>
      <c r="HA109" s="1" t="str">
        <f t="shared" si="654"/>
        <v>ND</v>
      </c>
      <c r="HB109" s="1" t="str">
        <f t="shared" si="655"/>
        <v>ND</v>
      </c>
      <c r="HC109" s="1" t="str">
        <f t="shared" si="656"/>
        <v>ND</v>
      </c>
      <c r="HD109" s="1" t="str">
        <f t="shared" si="657"/>
        <v>ND</v>
      </c>
      <c r="HE109" s="1" t="str">
        <f t="shared" si="658"/>
        <v>ND</v>
      </c>
      <c r="HF109" s="1" t="str">
        <f t="shared" si="659"/>
        <v>ND</v>
      </c>
      <c r="HG109" s="1" t="str">
        <f t="shared" si="660"/>
        <v>ND</v>
      </c>
      <c r="HH109" s="1" t="str">
        <f t="shared" si="661"/>
        <v>ND</v>
      </c>
      <c r="HI109" s="1" t="str">
        <f t="shared" si="662"/>
        <v>ND</v>
      </c>
      <c r="HJ109" s="1" t="str">
        <f t="shared" si="663"/>
        <v>ND</v>
      </c>
      <c r="HK109" s="1" t="str">
        <f t="shared" si="664"/>
        <v>ND</v>
      </c>
      <c r="HL109" s="1" t="str">
        <f t="shared" si="665"/>
        <v>ND</v>
      </c>
      <c r="HM109" s="1" t="str">
        <f t="shared" si="666"/>
        <v>ND</v>
      </c>
      <c r="HN109" s="1" t="str">
        <f t="shared" si="667"/>
        <v>ND</v>
      </c>
      <c r="HO109" s="1" t="str">
        <f t="shared" si="668"/>
        <v>ND</v>
      </c>
      <c r="HP109" s="1" t="str">
        <f t="shared" si="669"/>
        <v>ND</v>
      </c>
      <c r="HQ109" s="1" t="str">
        <f t="shared" si="670"/>
        <v>ND</v>
      </c>
      <c r="HR109" s="1" t="str">
        <f t="shared" si="671"/>
        <v>ND</v>
      </c>
      <c r="HS109" s="1" t="str">
        <f t="shared" si="672"/>
        <v>ND</v>
      </c>
      <c r="HT109" s="1" t="str">
        <f t="shared" si="673"/>
        <v>ND</v>
      </c>
      <c r="HU109" s="1" t="str">
        <f t="shared" si="674"/>
        <v>ND</v>
      </c>
      <c r="HV109" s="1" t="str">
        <f t="shared" si="675"/>
        <v>ND</v>
      </c>
      <c r="HW109" s="1" t="str">
        <f t="shared" si="676"/>
        <v>ND</v>
      </c>
      <c r="HX109" s="1" t="str">
        <f t="shared" si="677"/>
        <v>ND</v>
      </c>
      <c r="HY109" s="1" t="str">
        <f t="shared" si="678"/>
        <v>ND</v>
      </c>
      <c r="HZ109" s="1" t="str">
        <f t="shared" si="679"/>
        <v>ND</v>
      </c>
      <c r="IA109" s="1" t="str">
        <f t="shared" si="680"/>
        <v>ND</v>
      </c>
      <c r="IB109" s="1" t="str">
        <f t="shared" si="681"/>
        <v>ND</v>
      </c>
      <c r="IC109" s="1" t="str">
        <f t="shared" si="682"/>
        <v>ND</v>
      </c>
      <c r="ID109" s="1" t="str">
        <f t="shared" si="683"/>
        <v>ND</v>
      </c>
      <c r="IE109" s="1" t="str">
        <f t="shared" si="684"/>
        <v>ND</v>
      </c>
      <c r="IF109" s="1" t="str">
        <f t="shared" si="685"/>
        <v>ND</v>
      </c>
      <c r="IG109" s="1" t="str">
        <f t="shared" si="686"/>
        <v>ND</v>
      </c>
      <c r="IH109" s="1" t="str">
        <f t="shared" si="687"/>
        <v>ND</v>
      </c>
      <c r="II109" s="1" t="str">
        <f t="shared" si="688"/>
        <v>ND</v>
      </c>
    </row>
    <row r="110" spans="3:243" x14ac:dyDescent="0.25">
      <c r="C110" t="s">
        <v>85</v>
      </c>
      <c r="D110">
        <f>SUMIFS(DICCIONARIO[Cantidad],DICCIONARIO[Modelo],UNIFICADA[[#This Row],[Equipo]])</f>
        <v>0</v>
      </c>
      <c r="E110" s="1">
        <f>IFERROR(VLOOKUP($C110,EQUIPOS[],UNIFICADO!E$9,0),"")</f>
        <v>11</v>
      </c>
      <c r="F110" s="1">
        <f>IFERROR(VLOOKUP($C110,EQUIPOS[],UNIFICADO!F$9,0),"")</f>
        <v>6.58</v>
      </c>
      <c r="G110" s="1">
        <f>IFERROR(VLOOKUP($C110,EQUIPOS[],UNIFICADO!G$9,0),"")</f>
        <v>48</v>
      </c>
      <c r="H110" s="1">
        <f>IFERROR(VLOOKUP($C110,EQUIPOS[],UNIFICADO!H$9,0),"")</f>
        <v>3</v>
      </c>
      <c r="I110" s="1">
        <f>IFERROR(VLOOKUP($C110,EQUIPOS[],UNIFICADO!I$9,0),"")</f>
        <v>16</v>
      </c>
      <c r="J110" s="1" t="str">
        <f>IFERROR(VLOOKUP($C110,EQUIPOS[],UNIFICADO!J$9,0),"")</f>
        <v>128GB</v>
      </c>
      <c r="K110" s="1">
        <f>IFERROR(VLOOKUP($C110,EQUIPOS[],UNIFICADO!K$9,0),"")</f>
        <v>256</v>
      </c>
      <c r="L110" s="1">
        <f>IFERROR(VLOOKUP($C110,EQUIPOS[],UNIFICADO!L$9,0),"")</f>
        <v>8</v>
      </c>
      <c r="M110" s="1" t="str">
        <f>IFERROR(VLOOKUP($C110,EQUIPOS[],UNIFICADO!M$9,0),"")</f>
        <v>2.0/1.8</v>
      </c>
      <c r="N110" s="1">
        <f>IFERROR(VLOOKUP($C110,EQUIPOS[],UNIFICADO!N$9,0),"")</f>
        <v>4</v>
      </c>
      <c r="O110" s="1">
        <f>IFERROR(VLOOKUP($C110,EQUIPOS[],UNIFICADO!O$9,0),"")</f>
        <v>191</v>
      </c>
      <c r="P110" s="1">
        <f>IFERROR(VLOOKUP($C110,EQUIPOS[],UNIFICADO!P$9,0),"")</f>
        <v>16.399999999999999</v>
      </c>
      <c r="Q110" s="1">
        <f>IFERROR(VLOOKUP($C110,EQUIPOS[],UNIFICADO!Q$9,0),"")</f>
        <v>7.55</v>
      </c>
      <c r="R110" s="1">
        <f>IFERROR(VLOOKUP($C110,EQUIPOS[],UNIFICADO!R$9,0),"")</f>
        <v>0.84</v>
      </c>
      <c r="S110" s="1">
        <f>IFERROR(VLOOKUP($C110,EQUIPOS[],UNIFICADO!S$9,0),"")</f>
        <v>5000</v>
      </c>
      <c r="T110" s="1">
        <f>IFERROR(VLOOKUP($C110,EQUIPOS[],UNIFICADO!T$9,0),"")</f>
        <v>4.5</v>
      </c>
      <c r="U110" s="1">
        <f>VLOOKUP(UNIFICADA[[#This Row],[Equipo]],EQUIPOS[],19,0)</f>
        <v>100</v>
      </c>
      <c r="V110" s="1" t="str">
        <f t="shared" si="533"/>
        <v>ND</v>
      </c>
      <c r="W110" s="1" t="str">
        <f t="shared" si="534"/>
        <v>ND</v>
      </c>
      <c r="X110" s="1" t="str">
        <f t="shared" si="520"/>
        <v>ND</v>
      </c>
      <c r="Y110" s="1" t="str">
        <f t="shared" si="520"/>
        <v>ND</v>
      </c>
      <c r="Z110" s="1" t="str">
        <f t="shared" si="527"/>
        <v>ND</v>
      </c>
      <c r="AA110" s="1" t="str">
        <f t="shared" si="527"/>
        <v>ND</v>
      </c>
      <c r="AB110" s="1" t="str">
        <f t="shared" si="527"/>
        <v>ND</v>
      </c>
      <c r="AC110" s="1" t="str">
        <f t="shared" si="527"/>
        <v>ND</v>
      </c>
      <c r="AD110" s="1" t="str">
        <f t="shared" si="527"/>
        <v>ND</v>
      </c>
      <c r="AE110" s="1" t="str">
        <f t="shared" si="527"/>
        <v>ND</v>
      </c>
      <c r="AF110" s="1" t="str">
        <f t="shared" si="527"/>
        <v>ND</v>
      </c>
      <c r="AG110" s="1" t="str">
        <f t="shared" si="527"/>
        <v>ND</v>
      </c>
      <c r="AH110" s="1" t="str">
        <f t="shared" si="527"/>
        <v>ND</v>
      </c>
      <c r="AI110" s="1" t="str">
        <f t="shared" si="535"/>
        <v>ND</v>
      </c>
      <c r="AJ110" s="1" t="str">
        <f t="shared" si="536"/>
        <v>ND</v>
      </c>
      <c r="AK110" s="1" t="str">
        <f t="shared" si="537"/>
        <v>ND</v>
      </c>
      <c r="AL110" s="1" t="str">
        <f t="shared" si="538"/>
        <v>ND</v>
      </c>
      <c r="AM110" s="1" t="str">
        <f t="shared" si="539"/>
        <v>ND</v>
      </c>
      <c r="AN110" s="1" t="str">
        <f t="shared" si="540"/>
        <v>ND</v>
      </c>
      <c r="AO110" s="1" t="str">
        <f t="shared" si="541"/>
        <v>ND</v>
      </c>
      <c r="AP110" s="1" t="str">
        <f t="shared" si="542"/>
        <v>ND</v>
      </c>
      <c r="AQ110" s="1" t="str">
        <f t="shared" si="543"/>
        <v>ND</v>
      </c>
      <c r="AR110" s="1" t="str">
        <f t="shared" si="544"/>
        <v>ND</v>
      </c>
      <c r="AS110" s="1" t="str">
        <f t="shared" si="545"/>
        <v>ND</v>
      </c>
      <c r="AT110" s="1" t="str">
        <f t="shared" si="546"/>
        <v>ND</v>
      </c>
      <c r="AU110" s="1" t="str">
        <f t="shared" si="547"/>
        <v>ND</v>
      </c>
      <c r="AV110" s="1" t="str">
        <f t="shared" si="548"/>
        <v>ND</v>
      </c>
      <c r="AW110" s="1" t="str">
        <f t="shared" si="549"/>
        <v>ND</v>
      </c>
      <c r="AX110" s="1" t="str">
        <f t="shared" si="550"/>
        <v>ND</v>
      </c>
      <c r="AY110" s="1" t="str">
        <f t="shared" si="551"/>
        <v>ND</v>
      </c>
      <c r="AZ110" s="1" t="str">
        <f t="shared" si="552"/>
        <v>ND</v>
      </c>
      <c r="BA110" s="1" t="str">
        <f t="shared" si="553"/>
        <v>ND</v>
      </c>
      <c r="BB110" s="1" t="str">
        <f t="shared" si="554"/>
        <v>ND</v>
      </c>
      <c r="BC110" s="1" t="str">
        <f t="shared" si="555"/>
        <v>ND</v>
      </c>
      <c r="BD110" s="1" t="str">
        <f t="shared" si="556"/>
        <v>ND</v>
      </c>
      <c r="BE110" s="1" t="str">
        <f t="shared" si="557"/>
        <v>ND</v>
      </c>
      <c r="BF110" s="1" t="str">
        <f t="shared" si="558"/>
        <v>ND</v>
      </c>
      <c r="BG110" s="1" t="str">
        <f t="shared" si="559"/>
        <v>ND</v>
      </c>
      <c r="BH110" s="1" t="str">
        <f t="shared" si="560"/>
        <v>ND</v>
      </c>
      <c r="BI110" s="1" t="str">
        <f t="shared" si="561"/>
        <v>ND</v>
      </c>
      <c r="BJ110" s="1" t="str">
        <f t="shared" si="562"/>
        <v>ND</v>
      </c>
      <c r="BK110" s="1" t="str">
        <f t="shared" si="563"/>
        <v>ND</v>
      </c>
      <c r="BL110" s="1" t="str">
        <f t="shared" si="564"/>
        <v>ND</v>
      </c>
      <c r="BM110" s="1" t="str">
        <f t="shared" si="565"/>
        <v>ND</v>
      </c>
      <c r="BN110" s="1" t="str">
        <f t="shared" si="566"/>
        <v>ND</v>
      </c>
      <c r="BO110" s="1" t="str">
        <f t="shared" si="567"/>
        <v>ND</v>
      </c>
      <c r="BP110" s="1" t="str">
        <f t="shared" si="568"/>
        <v>ND</v>
      </c>
      <c r="BQ110" s="1" t="str">
        <f t="shared" si="569"/>
        <v>ND</v>
      </c>
      <c r="BR110" s="1" t="str">
        <f t="shared" si="570"/>
        <v>ND</v>
      </c>
      <c r="BS110" s="1" t="str">
        <f t="shared" si="571"/>
        <v>ND</v>
      </c>
      <c r="BT110" s="1" t="str">
        <f t="shared" si="572"/>
        <v>ND</v>
      </c>
      <c r="BU110" s="1" t="str">
        <f t="shared" si="573"/>
        <v>ND</v>
      </c>
      <c r="BV110" s="1" t="str">
        <f t="shared" si="574"/>
        <v>ND</v>
      </c>
      <c r="BW110" s="1" t="str">
        <f t="shared" si="575"/>
        <v>ND</v>
      </c>
      <c r="BX110" s="1" t="str">
        <f t="shared" si="576"/>
        <v>ND</v>
      </c>
      <c r="BY110" s="1" t="str">
        <f t="shared" si="577"/>
        <v>ND</v>
      </c>
      <c r="BZ110" s="1" t="str">
        <f t="shared" si="578"/>
        <v>ND</v>
      </c>
      <c r="CA110" s="1" t="str">
        <f t="shared" si="528"/>
        <v>ND</v>
      </c>
      <c r="CB110" s="1" t="str">
        <f t="shared" si="528"/>
        <v>ND</v>
      </c>
      <c r="CC110" s="1" t="str">
        <f t="shared" si="528"/>
        <v>ND</v>
      </c>
      <c r="CD110" s="1" t="str">
        <f t="shared" si="528"/>
        <v>ND</v>
      </c>
      <c r="CE110" s="1" t="str">
        <f t="shared" si="528"/>
        <v>ND</v>
      </c>
      <c r="CF110" s="1" t="str">
        <f t="shared" si="528"/>
        <v>ND</v>
      </c>
      <c r="CG110" s="1" t="str">
        <f t="shared" si="528"/>
        <v>ND</v>
      </c>
      <c r="CH110" s="1" t="str">
        <f t="shared" si="528"/>
        <v>ND</v>
      </c>
      <c r="CI110" s="1" t="str">
        <f t="shared" si="528"/>
        <v>ND</v>
      </c>
      <c r="CJ110" s="1" t="str">
        <f t="shared" si="528"/>
        <v>ND</v>
      </c>
      <c r="CK110" s="1" t="str">
        <f t="shared" si="528"/>
        <v>ND</v>
      </c>
      <c r="CL110" s="1" t="str">
        <f t="shared" si="529"/>
        <v>ND</v>
      </c>
      <c r="CM110" s="1" t="str">
        <f t="shared" si="529"/>
        <v>ND</v>
      </c>
      <c r="CN110" s="1" t="str">
        <f t="shared" si="529"/>
        <v>ND</v>
      </c>
      <c r="CO110" s="1" t="str">
        <f t="shared" si="529"/>
        <v>ND</v>
      </c>
      <c r="CP110" s="1" t="str">
        <f t="shared" si="529"/>
        <v>ND</v>
      </c>
      <c r="CQ110" s="1" t="str">
        <f t="shared" si="529"/>
        <v>ND</v>
      </c>
      <c r="CR110" s="1" t="str">
        <f t="shared" si="529"/>
        <v>ND</v>
      </c>
      <c r="CS110" s="1" t="str">
        <f t="shared" si="529"/>
        <v>ND</v>
      </c>
      <c r="CT110" s="1" t="str">
        <f t="shared" si="529"/>
        <v>ND</v>
      </c>
      <c r="CU110" s="1" t="str">
        <f t="shared" si="529"/>
        <v>ND</v>
      </c>
      <c r="CV110" s="1" t="str">
        <f t="shared" si="529"/>
        <v>ND</v>
      </c>
      <c r="CW110" s="1" t="str">
        <f t="shared" si="579"/>
        <v>ND</v>
      </c>
      <c r="CX110" s="1" t="str">
        <f t="shared" si="580"/>
        <v>ND</v>
      </c>
      <c r="CY110" s="1" t="str">
        <f t="shared" si="581"/>
        <v>ND</v>
      </c>
      <c r="CZ110" s="1" t="str">
        <f t="shared" si="582"/>
        <v>ND</v>
      </c>
      <c r="DA110" s="1" t="str">
        <f t="shared" si="583"/>
        <v>ND</v>
      </c>
      <c r="DB110" s="1" t="str">
        <f t="shared" si="584"/>
        <v>ND</v>
      </c>
      <c r="DC110" s="1" t="str">
        <f t="shared" si="585"/>
        <v>ND</v>
      </c>
      <c r="DD110" s="1" t="str">
        <f t="shared" si="586"/>
        <v>ND</v>
      </c>
      <c r="DE110" s="1" t="str">
        <f t="shared" si="587"/>
        <v>ND</v>
      </c>
      <c r="DF110" s="1" t="str">
        <f t="shared" si="588"/>
        <v>ND</v>
      </c>
      <c r="DG110" s="1" t="str">
        <f t="shared" si="589"/>
        <v>ND</v>
      </c>
      <c r="DH110" s="1" t="str">
        <f t="shared" si="590"/>
        <v>ND</v>
      </c>
      <c r="DI110" s="1" t="str">
        <f t="shared" si="591"/>
        <v>ND</v>
      </c>
      <c r="DJ110" s="1" t="str">
        <f t="shared" si="592"/>
        <v>ND</v>
      </c>
      <c r="DK110" s="1" t="str">
        <f t="shared" si="593"/>
        <v>ND</v>
      </c>
      <c r="DL110" s="1" t="str">
        <f t="shared" si="594"/>
        <v>ND</v>
      </c>
      <c r="DM110" s="1" t="str">
        <f t="shared" si="595"/>
        <v>ND</v>
      </c>
      <c r="DN110" s="1" t="str">
        <f t="shared" si="596"/>
        <v>ND</v>
      </c>
      <c r="DO110" s="1" t="str">
        <f t="shared" si="597"/>
        <v>ND</v>
      </c>
      <c r="DP110" s="1" t="str">
        <f t="shared" si="598"/>
        <v>ND</v>
      </c>
      <c r="DQ110" s="1" t="str">
        <f t="shared" si="599"/>
        <v>ND</v>
      </c>
      <c r="DR110" s="1" t="str">
        <f t="shared" si="600"/>
        <v>ND</v>
      </c>
      <c r="DS110" s="1" t="str">
        <f t="shared" si="601"/>
        <v>ND</v>
      </c>
      <c r="DT110" s="1" t="str">
        <f t="shared" si="602"/>
        <v>ND</v>
      </c>
      <c r="DU110" s="1" t="str">
        <f t="shared" si="603"/>
        <v>ND</v>
      </c>
      <c r="DV110" s="1" t="str">
        <f t="shared" si="604"/>
        <v>ND</v>
      </c>
      <c r="DW110" s="1" t="str">
        <f t="shared" si="605"/>
        <v>ND</v>
      </c>
      <c r="DX110" s="1" t="str">
        <f t="shared" si="606"/>
        <v>ND</v>
      </c>
      <c r="DY110" s="1" t="str">
        <f t="shared" si="607"/>
        <v>ND</v>
      </c>
      <c r="DZ110" s="1" t="str">
        <f t="shared" si="608"/>
        <v>ND</v>
      </c>
      <c r="EA110" s="1" t="str">
        <f t="shared" si="609"/>
        <v>ND</v>
      </c>
      <c r="EB110" s="1" t="str">
        <f t="shared" si="610"/>
        <v>ND</v>
      </c>
      <c r="EC110" s="1" t="str">
        <f t="shared" si="611"/>
        <v>ND</v>
      </c>
      <c r="ED110" s="1" t="str">
        <f t="shared" si="612"/>
        <v>ND</v>
      </c>
      <c r="EE110" s="1" t="str">
        <f t="shared" si="613"/>
        <v>ND</v>
      </c>
      <c r="EF110" s="1" t="str">
        <f t="shared" si="614"/>
        <v>ND</v>
      </c>
      <c r="EG110" s="1" t="str">
        <f t="shared" si="615"/>
        <v>ND</v>
      </c>
      <c r="EH110" s="1" t="str">
        <f t="shared" si="616"/>
        <v>ND</v>
      </c>
      <c r="EI110" s="1" t="str">
        <f t="shared" si="617"/>
        <v>ND</v>
      </c>
      <c r="EJ110" s="1" t="str">
        <f t="shared" si="618"/>
        <v>ND</v>
      </c>
      <c r="EK110" s="1" t="str">
        <f t="shared" si="619"/>
        <v>ND</v>
      </c>
      <c r="EL110" s="1" t="str">
        <f t="shared" si="620"/>
        <v>ND</v>
      </c>
      <c r="EM110" s="1" t="str">
        <f t="shared" si="621"/>
        <v>ND</v>
      </c>
      <c r="EN110" s="1" t="str">
        <f t="shared" si="622"/>
        <v>ND</v>
      </c>
      <c r="EO110" s="1" t="str">
        <f t="shared" si="530"/>
        <v>ND</v>
      </c>
      <c r="EP110" s="1" t="str">
        <f t="shared" si="530"/>
        <v>ND</v>
      </c>
      <c r="EQ110" s="1" t="str">
        <f t="shared" si="530"/>
        <v>ND</v>
      </c>
      <c r="ER110" s="1" t="str">
        <f t="shared" si="530"/>
        <v>ND</v>
      </c>
      <c r="ES110" s="1" t="str">
        <f t="shared" si="530"/>
        <v>ND</v>
      </c>
      <c r="ET110" s="1" t="str">
        <f t="shared" si="530"/>
        <v>ND</v>
      </c>
      <c r="EU110" s="1" t="str">
        <f t="shared" si="530"/>
        <v>ND</v>
      </c>
      <c r="EV110" s="1" t="str">
        <f t="shared" si="530"/>
        <v>ND</v>
      </c>
      <c r="EW110" s="1" t="str">
        <f t="shared" si="530"/>
        <v>ND</v>
      </c>
      <c r="EX110" s="1" t="str">
        <f t="shared" si="530"/>
        <v>ND</v>
      </c>
      <c r="EY110" s="1" t="str">
        <f t="shared" si="530"/>
        <v>ND</v>
      </c>
      <c r="EZ110" s="1" t="str">
        <f t="shared" si="531"/>
        <v>ND</v>
      </c>
      <c r="FA110" s="1" t="str">
        <f t="shared" si="531"/>
        <v>ND</v>
      </c>
      <c r="FB110" s="1" t="str">
        <f t="shared" si="531"/>
        <v>ND</v>
      </c>
      <c r="FC110" s="1" t="str">
        <f t="shared" si="531"/>
        <v>ND</v>
      </c>
      <c r="FD110" s="1" t="str">
        <f t="shared" si="531"/>
        <v>ND</v>
      </c>
      <c r="FE110" s="1" t="str">
        <f t="shared" si="531"/>
        <v>ND</v>
      </c>
      <c r="FF110" s="1" t="str">
        <f t="shared" si="531"/>
        <v>ND</v>
      </c>
      <c r="FG110" s="1" t="str">
        <f t="shared" si="531"/>
        <v>ND</v>
      </c>
      <c r="FH110" s="1" t="str">
        <f t="shared" si="531"/>
        <v>ND</v>
      </c>
      <c r="FI110" s="1" t="str">
        <f t="shared" si="531"/>
        <v>ND</v>
      </c>
      <c r="FJ110" s="1" t="str">
        <f t="shared" si="531"/>
        <v>ND</v>
      </c>
      <c r="FK110" s="1" t="str">
        <f t="shared" si="532"/>
        <v>ND</v>
      </c>
      <c r="FL110" s="1" t="str">
        <f t="shared" si="532"/>
        <v>ND</v>
      </c>
      <c r="FM110" s="1" t="str">
        <f t="shared" si="532"/>
        <v>ND</v>
      </c>
      <c r="FN110" s="1" t="str">
        <f t="shared" si="532"/>
        <v>ND</v>
      </c>
      <c r="FO110" s="1" t="str">
        <f t="shared" si="532"/>
        <v>ND</v>
      </c>
      <c r="FP110" s="1" t="str">
        <f t="shared" si="532"/>
        <v>ND</v>
      </c>
      <c r="FQ110" s="1" t="str">
        <f t="shared" si="532"/>
        <v>ND</v>
      </c>
      <c r="FR110" s="1" t="str">
        <f t="shared" si="532"/>
        <v>ND</v>
      </c>
      <c r="FS110" s="1" t="str">
        <f t="shared" si="532"/>
        <v>ND</v>
      </c>
      <c r="FT110" s="1" t="str">
        <f t="shared" si="532"/>
        <v>ND</v>
      </c>
      <c r="FU110" s="1" t="str">
        <f t="shared" si="532"/>
        <v>ND</v>
      </c>
      <c r="FV110" s="1" t="str">
        <f t="shared" si="623"/>
        <v>ND</v>
      </c>
      <c r="FW110" s="1" t="str">
        <f t="shared" si="624"/>
        <v>ND</v>
      </c>
      <c r="FX110" s="1" t="str">
        <f t="shared" si="625"/>
        <v>ND</v>
      </c>
      <c r="FY110" s="1" t="str">
        <f t="shared" si="626"/>
        <v>ND</v>
      </c>
      <c r="FZ110" s="1" t="str">
        <f t="shared" si="627"/>
        <v>ND</v>
      </c>
      <c r="GA110" s="1" t="str">
        <f t="shared" si="628"/>
        <v>ND</v>
      </c>
      <c r="GB110" s="1" t="str">
        <f t="shared" si="629"/>
        <v>ND</v>
      </c>
      <c r="GC110" s="1" t="str">
        <f t="shared" si="630"/>
        <v>ND</v>
      </c>
      <c r="GD110" s="1" t="str">
        <f t="shared" si="631"/>
        <v>ND</v>
      </c>
      <c r="GE110" s="1" t="str">
        <f t="shared" si="632"/>
        <v>ND</v>
      </c>
      <c r="GF110" s="1" t="str">
        <f t="shared" si="633"/>
        <v>ND</v>
      </c>
      <c r="GG110" s="1" t="str">
        <f t="shared" si="634"/>
        <v>ND</v>
      </c>
      <c r="GH110" s="1" t="str">
        <f t="shared" si="635"/>
        <v>ND</v>
      </c>
      <c r="GI110" s="1" t="str">
        <f t="shared" si="636"/>
        <v>ND</v>
      </c>
      <c r="GJ110" s="1" t="str">
        <f t="shared" si="637"/>
        <v>ND</v>
      </c>
      <c r="GK110" s="1" t="str">
        <f t="shared" si="638"/>
        <v>ND</v>
      </c>
      <c r="GL110" s="1" t="str">
        <f t="shared" si="639"/>
        <v>ND</v>
      </c>
      <c r="GM110" s="1" t="str">
        <f t="shared" si="640"/>
        <v>ND</v>
      </c>
      <c r="GN110" s="1" t="str">
        <f t="shared" si="641"/>
        <v>ND</v>
      </c>
      <c r="GO110" s="1" t="str">
        <f t="shared" si="642"/>
        <v>ND</v>
      </c>
      <c r="GP110" s="1" t="str">
        <f t="shared" si="643"/>
        <v>ND</v>
      </c>
      <c r="GQ110" s="1" t="str">
        <f t="shared" si="644"/>
        <v>ND</v>
      </c>
      <c r="GR110" s="1" t="str">
        <f t="shared" si="645"/>
        <v>ND</v>
      </c>
      <c r="GS110" s="1" t="str">
        <f t="shared" si="646"/>
        <v>ND</v>
      </c>
      <c r="GT110" s="1" t="str">
        <f t="shared" si="647"/>
        <v>ND</v>
      </c>
      <c r="GU110" s="1" t="str">
        <f t="shared" si="648"/>
        <v>ND</v>
      </c>
      <c r="GV110" s="1" t="str">
        <f t="shared" si="649"/>
        <v>ND</v>
      </c>
      <c r="GW110" s="1" t="str">
        <f t="shared" si="650"/>
        <v>ND</v>
      </c>
      <c r="GX110" s="1" t="str">
        <f t="shared" si="651"/>
        <v>ND</v>
      </c>
      <c r="GY110" s="1" t="str">
        <f t="shared" si="652"/>
        <v>ND</v>
      </c>
      <c r="GZ110" s="1" t="str">
        <f t="shared" si="653"/>
        <v>ND</v>
      </c>
      <c r="HA110" s="1" t="str">
        <f t="shared" si="654"/>
        <v>ND</v>
      </c>
      <c r="HB110" s="1" t="str">
        <f t="shared" si="655"/>
        <v>ND</v>
      </c>
      <c r="HC110" s="1" t="str">
        <f t="shared" si="656"/>
        <v>ND</v>
      </c>
      <c r="HD110" s="1" t="str">
        <f t="shared" si="657"/>
        <v>ND</v>
      </c>
      <c r="HE110" s="1" t="str">
        <f t="shared" si="658"/>
        <v>ND</v>
      </c>
      <c r="HF110" s="1" t="str">
        <f t="shared" si="659"/>
        <v>ND</v>
      </c>
      <c r="HG110" s="1" t="str">
        <f t="shared" si="660"/>
        <v>ND</v>
      </c>
      <c r="HH110" s="1" t="str">
        <f t="shared" si="661"/>
        <v>ND</v>
      </c>
      <c r="HI110" s="1" t="str">
        <f t="shared" si="662"/>
        <v>ND</v>
      </c>
      <c r="HJ110" s="1" t="str">
        <f t="shared" si="663"/>
        <v>ND</v>
      </c>
      <c r="HK110" s="1" t="str">
        <f t="shared" si="664"/>
        <v>ND</v>
      </c>
      <c r="HL110" s="1" t="str">
        <f t="shared" si="665"/>
        <v>ND</v>
      </c>
      <c r="HM110" s="1" t="str">
        <f t="shared" si="666"/>
        <v>ND</v>
      </c>
      <c r="HN110" s="1" t="str">
        <f t="shared" si="667"/>
        <v>ND</v>
      </c>
      <c r="HO110" s="1" t="str">
        <f t="shared" si="668"/>
        <v>ND</v>
      </c>
      <c r="HP110" s="1" t="str">
        <f t="shared" si="669"/>
        <v>ND</v>
      </c>
      <c r="HQ110" s="1" t="str">
        <f t="shared" si="670"/>
        <v>ND</v>
      </c>
      <c r="HR110" s="1" t="str">
        <f t="shared" si="671"/>
        <v>ND</v>
      </c>
      <c r="HS110" s="1" t="str">
        <f t="shared" si="672"/>
        <v>ND</v>
      </c>
      <c r="HT110" s="1" t="str">
        <f t="shared" si="673"/>
        <v>ND</v>
      </c>
      <c r="HU110" s="1" t="str">
        <f t="shared" si="674"/>
        <v>ND</v>
      </c>
      <c r="HV110" s="1" t="str">
        <f t="shared" si="675"/>
        <v>ND</v>
      </c>
      <c r="HW110" s="1" t="str">
        <f t="shared" si="676"/>
        <v>ND</v>
      </c>
      <c r="HX110" s="1" t="str">
        <f t="shared" si="677"/>
        <v>ND</v>
      </c>
      <c r="HY110" s="1" t="str">
        <f t="shared" si="678"/>
        <v>ND</v>
      </c>
      <c r="HZ110" s="1" t="str">
        <f t="shared" si="679"/>
        <v>ND</v>
      </c>
      <c r="IA110" s="1" t="str">
        <f t="shared" si="680"/>
        <v>ND</v>
      </c>
      <c r="IB110" s="1" t="str">
        <f t="shared" si="681"/>
        <v>ND</v>
      </c>
      <c r="IC110" s="1" t="str">
        <f t="shared" si="682"/>
        <v>ND</v>
      </c>
      <c r="ID110" s="1" t="str">
        <f t="shared" si="683"/>
        <v>ND</v>
      </c>
      <c r="IE110" s="1" t="str">
        <f t="shared" si="684"/>
        <v>ND</v>
      </c>
      <c r="IF110" s="1" t="str">
        <f t="shared" si="685"/>
        <v>ND</v>
      </c>
      <c r="IG110" s="1" t="str">
        <f t="shared" si="686"/>
        <v>ND</v>
      </c>
      <c r="IH110" s="1" t="str">
        <f t="shared" si="687"/>
        <v>ND</v>
      </c>
      <c r="II110" s="1" t="str">
        <f t="shared" si="688"/>
        <v>ND</v>
      </c>
    </row>
    <row r="111" spans="3:243" x14ac:dyDescent="0.25">
      <c r="C111" t="s">
        <v>1039</v>
      </c>
      <c r="D111">
        <f>SUMIFS(DICCIONARIO[Cantidad],DICCIONARIO[Modelo],UNIFICADA[[#This Row],[Equipo]])</f>
        <v>4</v>
      </c>
      <c r="E111" s="1">
        <f>IFERROR(VLOOKUP($C111,EQUIPOS[],UNIFICADO!E$9,0),"")</f>
        <v>12</v>
      </c>
      <c r="F111" s="1" t="str">
        <f>IFERROR(VLOOKUP($C111,EQUIPOS[],UNIFICADO!F$9,0),"")</f>
        <v>6.58 LCD FullHD+ 90Hz</v>
      </c>
      <c r="G111" s="1">
        <f>IFERROR(VLOOKUP($C111,EQUIPOS[],UNIFICADO!G$9,0),"")</f>
        <v>50</v>
      </c>
      <c r="H111" s="1">
        <f>IFERROR(VLOOKUP($C111,EQUIPOS[],UNIFICADO!H$9,0),"")</f>
        <v>3</v>
      </c>
      <c r="I111" s="1">
        <f>IFERROR(VLOOKUP($C111,EQUIPOS[],UNIFICADO!I$9,0),"")</f>
        <v>16</v>
      </c>
      <c r="J111" s="1" t="str">
        <f>IFERROR(VLOOKUP($C111,EQUIPOS[],UNIFICADO!J$9,0),"")</f>
        <v>128GB</v>
      </c>
      <c r="K111" s="1">
        <f>IFERROR(VLOOKUP($C111,EQUIPOS[],UNIFICADO!K$9,0),"")</f>
        <v>0</v>
      </c>
      <c r="L111" s="1">
        <f>IFERROR(VLOOKUP($C111,EQUIPOS[],UNIFICADO!L$9,0),"")</f>
        <v>8</v>
      </c>
      <c r="M111" s="1" t="str">
        <f>IFERROR(VLOOKUP($C111,EQUIPOS[],UNIFICADO!M$9,0),"")</f>
        <v>Snapdragon 680</v>
      </c>
      <c r="N111" s="1">
        <f>IFERROR(VLOOKUP($C111,EQUIPOS[],UNIFICADO!N$9,0),"")</f>
        <v>8</v>
      </c>
      <c r="O111" s="1">
        <f>IFERROR(VLOOKUP($C111,EQUIPOS[],UNIFICADO!O$9,0),"")</f>
        <v>188</v>
      </c>
      <c r="P111" s="1">
        <f>IFERROR(VLOOKUP($C111,EQUIPOS[],UNIFICADO!P$9,0),"")</f>
        <v>16.43</v>
      </c>
      <c r="Q111" s="1">
        <f>IFERROR(VLOOKUP($C111,EQUIPOS[],UNIFICADO!Q$9,0),"")</f>
        <v>7.61</v>
      </c>
      <c r="R111" s="1">
        <f>IFERROR(VLOOKUP($C111,EQUIPOS[],UNIFICADO!R$9,0),"")</f>
        <v>0.83</v>
      </c>
      <c r="S111" s="1" t="str">
        <f>IFERROR(VLOOKUP($C111,EQUIPOS[],UNIFICADO!S$9,0),"")</f>
        <v>5000 44W</v>
      </c>
      <c r="T111" s="1">
        <f>IFERROR(VLOOKUP($C111,EQUIPOS[],UNIFICADO!T$9,0),"")</f>
        <v>4.5</v>
      </c>
      <c r="U111" s="1">
        <f>VLOOKUP(UNIFICADA[[#This Row],[Equipo]],EQUIPOS[],19,0)</f>
        <v>101</v>
      </c>
      <c r="V111" s="1" t="str">
        <f t="shared" si="533"/>
        <v>ND</v>
      </c>
      <c r="W111" s="1" t="str">
        <f t="shared" si="534"/>
        <v>ND</v>
      </c>
      <c r="X111" s="1" t="str">
        <f t="shared" ref="X111:Y130" si="689">IF(X$9="ND","ND",VLOOKUP($C111,AC,X$9,0))</f>
        <v>ND</v>
      </c>
      <c r="Y111" s="1" t="str">
        <f t="shared" si="689"/>
        <v>ND</v>
      </c>
      <c r="Z111" s="1" t="str">
        <f t="shared" ref="Z111:AH120" si="690">IFERROR(IF(Z$9="ND","ND",VLOOKUP($C111,AC,Z$9,0)),"ND")</f>
        <v>ND</v>
      </c>
      <c r="AA111" s="1" t="str">
        <f t="shared" si="690"/>
        <v>ND</v>
      </c>
      <c r="AB111" s="1" t="str">
        <f t="shared" si="690"/>
        <v>ND</v>
      </c>
      <c r="AC111" s="1" t="str">
        <f t="shared" si="690"/>
        <v>ND</v>
      </c>
      <c r="AD111" s="1" t="str">
        <f t="shared" si="690"/>
        <v>ND</v>
      </c>
      <c r="AE111" s="1" t="str">
        <f t="shared" si="690"/>
        <v>ND</v>
      </c>
      <c r="AF111" s="1" t="str">
        <f t="shared" si="690"/>
        <v>ND</v>
      </c>
      <c r="AG111" s="1" t="str">
        <f t="shared" si="690"/>
        <v>ND</v>
      </c>
      <c r="AH111" s="1" t="str">
        <f t="shared" si="690"/>
        <v>ND</v>
      </c>
      <c r="AI111" s="1" t="str">
        <f t="shared" si="535"/>
        <v>ND</v>
      </c>
      <c r="AJ111" s="1" t="str">
        <f t="shared" si="536"/>
        <v>ND</v>
      </c>
      <c r="AK111" s="1" t="str">
        <f t="shared" si="537"/>
        <v>ND</v>
      </c>
      <c r="AL111" s="1" t="str">
        <f t="shared" si="538"/>
        <v>ND</v>
      </c>
      <c r="AM111" s="1" t="str">
        <f t="shared" si="539"/>
        <v>ND</v>
      </c>
      <c r="AN111" s="1" t="str">
        <f t="shared" si="540"/>
        <v>ND</v>
      </c>
      <c r="AO111" s="1" t="str">
        <f t="shared" si="541"/>
        <v>ND</v>
      </c>
      <c r="AP111" s="1" t="str">
        <f t="shared" si="542"/>
        <v>ND</v>
      </c>
      <c r="AQ111" s="1" t="str">
        <f t="shared" si="543"/>
        <v>ND</v>
      </c>
      <c r="AR111" s="1" t="str">
        <f t="shared" si="544"/>
        <v>ND</v>
      </c>
      <c r="AS111" s="1" t="str">
        <f t="shared" si="545"/>
        <v>ND</v>
      </c>
      <c r="AT111" s="1" t="str">
        <f t="shared" si="546"/>
        <v>ND</v>
      </c>
      <c r="AU111" s="1" t="str">
        <f t="shared" si="547"/>
        <v>ND</v>
      </c>
      <c r="AV111" s="1" t="str">
        <f t="shared" si="548"/>
        <v>ND</v>
      </c>
      <c r="AW111" s="1" t="str">
        <f t="shared" si="549"/>
        <v>ND</v>
      </c>
      <c r="AX111" s="1" t="str">
        <f t="shared" si="550"/>
        <v>ND</v>
      </c>
      <c r="AY111" s="1" t="str">
        <f t="shared" si="551"/>
        <v>ND</v>
      </c>
      <c r="AZ111" s="1" t="str">
        <f t="shared" si="552"/>
        <v>ND</v>
      </c>
      <c r="BA111" s="1" t="str">
        <f t="shared" si="553"/>
        <v>ND</v>
      </c>
      <c r="BB111" s="1" t="str">
        <f t="shared" si="554"/>
        <v>ND</v>
      </c>
      <c r="BC111" s="1" t="str">
        <f t="shared" si="555"/>
        <v>ND</v>
      </c>
      <c r="BD111" s="1" t="str">
        <f t="shared" si="556"/>
        <v>ND</v>
      </c>
      <c r="BE111" s="1" t="str">
        <f t="shared" si="557"/>
        <v>ND</v>
      </c>
      <c r="BF111" s="1" t="str">
        <f t="shared" si="558"/>
        <v>ND</v>
      </c>
      <c r="BG111" s="1" t="str">
        <f t="shared" si="559"/>
        <v>ND</v>
      </c>
      <c r="BH111" s="1" t="str">
        <f t="shared" si="560"/>
        <v>ND</v>
      </c>
      <c r="BI111" s="1" t="str">
        <f t="shared" si="561"/>
        <v>ND</v>
      </c>
      <c r="BJ111" s="1" t="str">
        <f t="shared" si="562"/>
        <v>ND</v>
      </c>
      <c r="BK111" s="1" t="str">
        <f t="shared" si="563"/>
        <v>ND</v>
      </c>
      <c r="BL111" s="1" t="str">
        <f t="shared" si="564"/>
        <v>ND</v>
      </c>
      <c r="BM111" s="1" t="str">
        <f t="shared" si="565"/>
        <v>ND</v>
      </c>
      <c r="BN111" s="1" t="str">
        <f t="shared" si="566"/>
        <v>ND</v>
      </c>
      <c r="BO111" s="1" t="str">
        <f t="shared" si="567"/>
        <v>ND</v>
      </c>
      <c r="BP111" s="1" t="str">
        <f t="shared" si="568"/>
        <v>ND</v>
      </c>
      <c r="BQ111" s="1" t="str">
        <f t="shared" si="569"/>
        <v>ND</v>
      </c>
      <c r="BR111" s="1" t="str">
        <f t="shared" si="570"/>
        <v>ND</v>
      </c>
      <c r="BS111" s="1" t="str">
        <f t="shared" si="571"/>
        <v>ND</v>
      </c>
      <c r="BT111" s="1" t="str">
        <f t="shared" si="572"/>
        <v>ND</v>
      </c>
      <c r="BU111" s="1" t="str">
        <f t="shared" si="573"/>
        <v>ND</v>
      </c>
      <c r="BV111" s="1" t="str">
        <f t="shared" si="574"/>
        <v>ND</v>
      </c>
      <c r="BW111" s="1" t="str">
        <f t="shared" si="575"/>
        <v>ND</v>
      </c>
      <c r="BX111" s="1" t="str">
        <f t="shared" si="576"/>
        <v>ND</v>
      </c>
      <c r="BY111" s="1" t="str">
        <f t="shared" si="577"/>
        <v>ND</v>
      </c>
      <c r="BZ111" s="1" t="str">
        <f t="shared" si="578"/>
        <v>ND</v>
      </c>
      <c r="CA111" s="1" t="str">
        <f t="shared" ref="CA111:CK120" si="691">IFERROR(IF(CA$9="ND","ND",VLOOKUP($C111,FULLC,CA$9,0)),"ND")</f>
        <v>ND</v>
      </c>
      <c r="CB111" s="1" t="str">
        <f t="shared" si="691"/>
        <v>ND</v>
      </c>
      <c r="CC111" s="1" t="str">
        <f t="shared" si="691"/>
        <v>ND</v>
      </c>
      <c r="CD111" s="1" t="str">
        <f t="shared" si="691"/>
        <v>ND</v>
      </c>
      <c r="CE111" s="1" t="str">
        <f t="shared" si="691"/>
        <v>ND</v>
      </c>
      <c r="CF111" s="1" t="str">
        <f t="shared" si="691"/>
        <v>ND</v>
      </c>
      <c r="CG111" s="1" t="str">
        <f t="shared" si="691"/>
        <v>ND</v>
      </c>
      <c r="CH111" s="1" t="str">
        <f t="shared" si="691"/>
        <v>ND</v>
      </c>
      <c r="CI111" s="1" t="str">
        <f t="shared" si="691"/>
        <v>ND</v>
      </c>
      <c r="CJ111" s="1" t="str">
        <f t="shared" si="691"/>
        <v>ND</v>
      </c>
      <c r="CK111" s="1" t="str">
        <f t="shared" si="691"/>
        <v>ND</v>
      </c>
      <c r="CL111" s="1" t="str">
        <f t="shared" ref="CL111:CV120" si="692">IFERROR(IF(CL$9="ND","ND",VLOOKUP($C111,LINA,CL$9,0)),"ND")</f>
        <v>ND</v>
      </c>
      <c r="CM111" s="1" t="str">
        <f t="shared" si="692"/>
        <v>ND</v>
      </c>
      <c r="CN111" s="1" t="str">
        <f t="shared" si="692"/>
        <v>ND</v>
      </c>
      <c r="CO111" s="1" t="str">
        <f t="shared" si="692"/>
        <v>ND</v>
      </c>
      <c r="CP111" s="1" t="str">
        <f t="shared" si="692"/>
        <v>ND</v>
      </c>
      <c r="CQ111" s="1" t="str">
        <f t="shared" si="692"/>
        <v>ND</v>
      </c>
      <c r="CR111" s="1" t="str">
        <f t="shared" si="692"/>
        <v>ND</v>
      </c>
      <c r="CS111" s="1" t="str">
        <f t="shared" si="692"/>
        <v>ND</v>
      </c>
      <c r="CT111" s="1" t="str">
        <f t="shared" si="692"/>
        <v>ND</v>
      </c>
      <c r="CU111" s="1" t="str">
        <f t="shared" si="692"/>
        <v>ND</v>
      </c>
      <c r="CV111" s="1" t="str">
        <f t="shared" si="692"/>
        <v>ND</v>
      </c>
      <c r="CW111" s="1" t="str">
        <f t="shared" si="579"/>
        <v>ND</v>
      </c>
      <c r="CX111" s="1" t="str">
        <f t="shared" si="580"/>
        <v>ND</v>
      </c>
      <c r="CY111" s="1" t="str">
        <f t="shared" si="581"/>
        <v>ND</v>
      </c>
      <c r="CZ111" s="1" t="str">
        <f t="shared" si="582"/>
        <v>ND</v>
      </c>
      <c r="DA111" s="1" t="str">
        <f t="shared" si="583"/>
        <v>ND</v>
      </c>
      <c r="DB111" s="1" t="str">
        <f t="shared" si="584"/>
        <v>ND</v>
      </c>
      <c r="DC111" s="1" t="str">
        <f t="shared" si="585"/>
        <v>ND</v>
      </c>
      <c r="DD111" s="1" t="str">
        <f t="shared" si="586"/>
        <v>ND</v>
      </c>
      <c r="DE111" s="1" t="str">
        <f t="shared" si="587"/>
        <v>ND</v>
      </c>
      <c r="DF111" s="1" t="str">
        <f t="shared" si="588"/>
        <v>ND</v>
      </c>
      <c r="DG111" s="1" t="str">
        <f t="shared" si="589"/>
        <v>ND</v>
      </c>
      <c r="DH111" s="1" t="str">
        <f t="shared" si="590"/>
        <v>ND</v>
      </c>
      <c r="DI111" s="1" t="str">
        <f t="shared" si="591"/>
        <v>ND</v>
      </c>
      <c r="DJ111" s="1" t="str">
        <f t="shared" si="592"/>
        <v>ND</v>
      </c>
      <c r="DK111" s="1" t="str">
        <f t="shared" si="593"/>
        <v>ND</v>
      </c>
      <c r="DL111" s="1" t="str">
        <f t="shared" si="594"/>
        <v>ND</v>
      </c>
      <c r="DM111" s="1" t="str">
        <f t="shared" si="595"/>
        <v>ND</v>
      </c>
      <c r="DN111" s="1" t="str">
        <f t="shared" si="596"/>
        <v>ND</v>
      </c>
      <c r="DO111" s="1" t="str">
        <f t="shared" si="597"/>
        <v>ND</v>
      </c>
      <c r="DP111" s="1" t="str">
        <f t="shared" si="598"/>
        <v>ND</v>
      </c>
      <c r="DQ111" s="1" t="str">
        <f t="shared" si="599"/>
        <v>ND</v>
      </c>
      <c r="DR111" s="1" t="str">
        <f t="shared" si="600"/>
        <v>ND</v>
      </c>
      <c r="DS111" s="1" t="str">
        <f t="shared" si="601"/>
        <v>ND</v>
      </c>
      <c r="DT111" s="1" t="str">
        <f t="shared" si="602"/>
        <v>ND</v>
      </c>
      <c r="DU111" s="1" t="str">
        <f t="shared" si="603"/>
        <v>ND</v>
      </c>
      <c r="DV111" s="1" t="str">
        <f t="shared" si="604"/>
        <v>ND</v>
      </c>
      <c r="DW111" s="1" t="str">
        <f t="shared" si="605"/>
        <v>ND</v>
      </c>
      <c r="DX111" s="1" t="str">
        <f t="shared" si="606"/>
        <v>ND</v>
      </c>
      <c r="DY111" s="1" t="str">
        <f t="shared" si="607"/>
        <v>ND</v>
      </c>
      <c r="DZ111" s="1" t="str">
        <f t="shared" si="608"/>
        <v>ND</v>
      </c>
      <c r="EA111" s="1" t="str">
        <f t="shared" si="609"/>
        <v>ND</v>
      </c>
      <c r="EB111" s="1" t="str">
        <f t="shared" si="610"/>
        <v>ND</v>
      </c>
      <c r="EC111" s="1" t="str">
        <f t="shared" si="611"/>
        <v>ND</v>
      </c>
      <c r="ED111" s="1" t="str">
        <f t="shared" si="612"/>
        <v>ND</v>
      </c>
      <c r="EE111" s="1" t="str">
        <f t="shared" si="613"/>
        <v>ND</v>
      </c>
      <c r="EF111" s="1" t="str">
        <f t="shared" si="614"/>
        <v>ND</v>
      </c>
      <c r="EG111" s="1" t="str">
        <f t="shared" si="615"/>
        <v>ND</v>
      </c>
      <c r="EH111" s="1" t="str">
        <f t="shared" si="616"/>
        <v>ND</v>
      </c>
      <c r="EI111" s="1" t="str">
        <f t="shared" si="617"/>
        <v>ND</v>
      </c>
      <c r="EJ111" s="1" t="str">
        <f t="shared" si="618"/>
        <v>ND</v>
      </c>
      <c r="EK111" s="1" t="str">
        <f t="shared" si="619"/>
        <v>ND</v>
      </c>
      <c r="EL111" s="1" t="str">
        <f t="shared" si="620"/>
        <v>ND</v>
      </c>
      <c r="EM111" s="1" t="str">
        <f t="shared" si="621"/>
        <v>ND</v>
      </c>
      <c r="EN111" s="1" t="str">
        <f t="shared" si="622"/>
        <v>ND</v>
      </c>
      <c r="EO111" s="1" t="str">
        <f t="shared" ref="EO111:EY120" si="693">IFERROR(IF(EO$9="ND","ND",VLOOKUP($C111,PAR,EO$9,0)),"ND")</f>
        <v>ND</v>
      </c>
      <c r="EP111" s="1" t="str">
        <f t="shared" si="693"/>
        <v>ND</v>
      </c>
      <c r="EQ111" s="1" t="str">
        <f t="shared" si="693"/>
        <v>ND</v>
      </c>
      <c r="ER111" s="1" t="str">
        <f t="shared" si="693"/>
        <v>ND</v>
      </c>
      <c r="ES111" s="1" t="str">
        <f t="shared" si="693"/>
        <v>ND</v>
      </c>
      <c r="ET111" s="1" t="str">
        <f t="shared" si="693"/>
        <v>ND</v>
      </c>
      <c r="EU111" s="1" t="str">
        <f t="shared" si="693"/>
        <v>ND</v>
      </c>
      <c r="EV111" s="1" t="str">
        <f t="shared" si="693"/>
        <v>ND</v>
      </c>
      <c r="EW111" s="1" t="str">
        <f t="shared" si="693"/>
        <v>ND</v>
      </c>
      <c r="EX111" s="1" t="str">
        <f t="shared" si="693"/>
        <v>ND</v>
      </c>
      <c r="EY111" s="1" t="str">
        <f t="shared" si="693"/>
        <v>ND</v>
      </c>
      <c r="EZ111" s="1" t="str">
        <f t="shared" ref="EZ111:FJ120" si="694">IFERROR(IF(EZ$9="ND","ND",VLOOKUP($C111,PE,EZ$9,0)),"ND")</f>
        <v>ND</v>
      </c>
      <c r="FA111" s="1" t="str">
        <f t="shared" si="694"/>
        <v>ND</v>
      </c>
      <c r="FB111" s="1" t="str">
        <f t="shared" si="694"/>
        <v>ND</v>
      </c>
      <c r="FC111" s="1" t="str">
        <f t="shared" si="694"/>
        <v>ND</v>
      </c>
      <c r="FD111" s="1" t="str">
        <f t="shared" si="694"/>
        <v>ND</v>
      </c>
      <c r="FE111" s="1" t="str">
        <f t="shared" si="694"/>
        <v>ND</v>
      </c>
      <c r="FF111" s="1" t="str">
        <f t="shared" si="694"/>
        <v>ND</v>
      </c>
      <c r="FG111" s="1" t="str">
        <f t="shared" si="694"/>
        <v>ND</v>
      </c>
      <c r="FH111" s="1" t="str">
        <f t="shared" si="694"/>
        <v>ND</v>
      </c>
      <c r="FI111" s="1" t="str">
        <f t="shared" si="694"/>
        <v>ND</v>
      </c>
      <c r="FJ111" s="1" t="str">
        <f t="shared" si="694"/>
        <v>ND</v>
      </c>
      <c r="FK111" s="1" t="str">
        <f t="shared" ref="FK111:FU120" si="695">IFERROR(IF(FK$9="ND","ND",VLOOKUP($C111,RE,FK$9,0)),"ND")</f>
        <v>ND</v>
      </c>
      <c r="FL111" s="1" t="str">
        <f t="shared" si="695"/>
        <v>ND</v>
      </c>
      <c r="FM111" s="1" t="str">
        <f t="shared" si="695"/>
        <v>ND</v>
      </c>
      <c r="FN111" s="1" t="str">
        <f t="shared" si="695"/>
        <v>ND</v>
      </c>
      <c r="FO111" s="1" t="str">
        <f t="shared" si="695"/>
        <v>ND</v>
      </c>
      <c r="FP111" s="1" t="str">
        <f t="shared" si="695"/>
        <v>ND</v>
      </c>
      <c r="FQ111" s="1" t="str">
        <f t="shared" si="695"/>
        <v>ND</v>
      </c>
      <c r="FR111" s="1" t="str">
        <f t="shared" si="695"/>
        <v>ND</v>
      </c>
      <c r="FS111" s="1" t="str">
        <f t="shared" si="695"/>
        <v>ND</v>
      </c>
      <c r="FT111" s="1" t="str">
        <f t="shared" si="695"/>
        <v>ND</v>
      </c>
      <c r="FU111" s="1" t="str">
        <f t="shared" si="695"/>
        <v>ND</v>
      </c>
      <c r="FV111" s="1" t="str">
        <f t="shared" si="623"/>
        <v>ND</v>
      </c>
      <c r="FW111" s="1" t="str">
        <f t="shared" si="624"/>
        <v>ND</v>
      </c>
      <c r="FX111" s="1" t="str">
        <f t="shared" si="625"/>
        <v>ND</v>
      </c>
      <c r="FY111" s="1" t="str">
        <f t="shared" si="626"/>
        <v>ND</v>
      </c>
      <c r="FZ111" s="1" t="str">
        <f t="shared" si="627"/>
        <v>ND</v>
      </c>
      <c r="GA111" s="1" t="str">
        <f t="shared" si="628"/>
        <v>ND</v>
      </c>
      <c r="GB111" s="1" t="str">
        <f t="shared" si="629"/>
        <v>ND</v>
      </c>
      <c r="GC111" s="1" t="str">
        <f t="shared" si="630"/>
        <v>ND</v>
      </c>
      <c r="GD111" s="1" t="str">
        <f t="shared" si="631"/>
        <v>ND</v>
      </c>
      <c r="GE111" s="1" t="str">
        <f t="shared" si="632"/>
        <v>ND</v>
      </c>
      <c r="GF111" s="1" t="str">
        <f t="shared" si="633"/>
        <v>ND</v>
      </c>
      <c r="GG111" s="1" t="str">
        <f t="shared" si="634"/>
        <v>ND</v>
      </c>
      <c r="GH111" s="1" t="str">
        <f t="shared" si="635"/>
        <v>ND</v>
      </c>
      <c r="GI111" s="1" t="str">
        <f t="shared" si="636"/>
        <v>ND</v>
      </c>
      <c r="GJ111" s="1" t="str">
        <f t="shared" si="637"/>
        <v>ND</v>
      </c>
      <c r="GK111" s="1" t="str">
        <f t="shared" si="638"/>
        <v>ND</v>
      </c>
      <c r="GL111" s="1" t="str">
        <f t="shared" si="639"/>
        <v>ND</v>
      </c>
      <c r="GM111" s="1" t="str">
        <f t="shared" si="640"/>
        <v>ND</v>
      </c>
      <c r="GN111" s="1" t="str">
        <f t="shared" si="641"/>
        <v>ND</v>
      </c>
      <c r="GO111" s="1" t="str">
        <f t="shared" si="642"/>
        <v>ND</v>
      </c>
      <c r="GP111" s="1" t="str">
        <f t="shared" si="643"/>
        <v>ND</v>
      </c>
      <c r="GQ111" s="1" t="str">
        <f t="shared" si="644"/>
        <v>ND</v>
      </c>
      <c r="GR111" s="1" t="str">
        <f t="shared" si="645"/>
        <v>ND</v>
      </c>
      <c r="GS111" s="1" t="str">
        <f t="shared" si="646"/>
        <v>ND</v>
      </c>
      <c r="GT111" s="1" t="str">
        <f t="shared" si="647"/>
        <v>ND</v>
      </c>
      <c r="GU111" s="1" t="str">
        <f t="shared" si="648"/>
        <v>ND</v>
      </c>
      <c r="GV111" s="1" t="str">
        <f t="shared" si="649"/>
        <v>ND</v>
      </c>
      <c r="GW111" s="1" t="str">
        <f t="shared" si="650"/>
        <v>ND</v>
      </c>
      <c r="GX111" s="1" t="str">
        <f t="shared" si="651"/>
        <v>ND</v>
      </c>
      <c r="GY111" s="1" t="str">
        <f t="shared" si="652"/>
        <v>ND</v>
      </c>
      <c r="GZ111" s="1" t="str">
        <f t="shared" si="653"/>
        <v>ND</v>
      </c>
      <c r="HA111" s="1" t="str">
        <f t="shared" si="654"/>
        <v>ND</v>
      </c>
      <c r="HB111" s="1" t="str">
        <f t="shared" si="655"/>
        <v>ND</v>
      </c>
      <c r="HC111" s="1" t="str">
        <f t="shared" si="656"/>
        <v>ND</v>
      </c>
      <c r="HD111" s="1" t="str">
        <f t="shared" si="657"/>
        <v>ND</v>
      </c>
      <c r="HE111" s="1" t="str">
        <f t="shared" si="658"/>
        <v>ND</v>
      </c>
      <c r="HF111" s="1" t="str">
        <f t="shared" si="659"/>
        <v>ND</v>
      </c>
      <c r="HG111" s="1" t="str">
        <f t="shared" si="660"/>
        <v>ND</v>
      </c>
      <c r="HH111" s="1" t="str">
        <f t="shared" si="661"/>
        <v>ND</v>
      </c>
      <c r="HI111" s="1" t="str">
        <f t="shared" si="662"/>
        <v>ND</v>
      </c>
      <c r="HJ111" s="1" t="str">
        <f t="shared" si="663"/>
        <v>ND</v>
      </c>
      <c r="HK111" s="1" t="str">
        <f t="shared" si="664"/>
        <v>ND</v>
      </c>
      <c r="HL111" s="1" t="str">
        <f t="shared" si="665"/>
        <v>ND</v>
      </c>
      <c r="HM111" s="1" t="str">
        <f t="shared" si="666"/>
        <v>ND</v>
      </c>
      <c r="HN111" s="1" t="str">
        <f t="shared" si="667"/>
        <v>ND</v>
      </c>
      <c r="HO111" s="1" t="str">
        <f t="shared" si="668"/>
        <v>ND</v>
      </c>
      <c r="HP111" s="1" t="str">
        <f t="shared" si="669"/>
        <v>ND</v>
      </c>
      <c r="HQ111" s="1" t="str">
        <f t="shared" si="670"/>
        <v>ND</v>
      </c>
      <c r="HR111" s="1" t="str">
        <f t="shared" si="671"/>
        <v>ND</v>
      </c>
      <c r="HS111" s="1" t="str">
        <f t="shared" si="672"/>
        <v>ND</v>
      </c>
      <c r="HT111" s="1" t="str">
        <f t="shared" si="673"/>
        <v>ND</v>
      </c>
      <c r="HU111" s="1" t="str">
        <f t="shared" si="674"/>
        <v>ND</v>
      </c>
      <c r="HV111" s="1" t="str">
        <f t="shared" si="675"/>
        <v>ND</v>
      </c>
      <c r="HW111" s="1" t="str">
        <f t="shared" si="676"/>
        <v>ND</v>
      </c>
      <c r="HX111" s="1" t="str">
        <f t="shared" si="677"/>
        <v>ND</v>
      </c>
      <c r="HY111" s="1" t="str">
        <f t="shared" si="678"/>
        <v>ND</v>
      </c>
      <c r="HZ111" s="1" t="str">
        <f t="shared" si="679"/>
        <v>ND</v>
      </c>
      <c r="IA111" s="1" t="str">
        <f t="shared" si="680"/>
        <v>ND</v>
      </c>
      <c r="IB111" s="1" t="str">
        <f t="shared" si="681"/>
        <v>ND</v>
      </c>
      <c r="IC111" s="1" t="str">
        <f t="shared" si="682"/>
        <v>ND</v>
      </c>
      <c r="ID111" s="1" t="str">
        <f t="shared" si="683"/>
        <v>ND</v>
      </c>
      <c r="IE111" s="1" t="str">
        <f t="shared" si="684"/>
        <v>ND</v>
      </c>
      <c r="IF111" s="1" t="str">
        <f t="shared" si="685"/>
        <v>ND</v>
      </c>
      <c r="IG111" s="1" t="str">
        <f t="shared" si="686"/>
        <v>ND</v>
      </c>
      <c r="IH111" s="1" t="str">
        <f t="shared" si="687"/>
        <v>ND</v>
      </c>
      <c r="II111" s="1" t="str">
        <f t="shared" si="688"/>
        <v>ND</v>
      </c>
    </row>
    <row r="112" spans="3:243" x14ac:dyDescent="0.25">
      <c r="C112" t="s">
        <v>86</v>
      </c>
      <c r="D112">
        <f>SUMIFS(DICCIONARIO[Cantidad],DICCIONARIO[Modelo],UNIFICADA[[#This Row],[Equipo]])</f>
        <v>0</v>
      </c>
      <c r="E112" s="1">
        <f>IFERROR(VLOOKUP($C112,EQUIPOS[],UNIFICADO!E$9,0),"")</f>
        <v>11</v>
      </c>
      <c r="F112" s="1">
        <f>IFERROR(VLOOKUP($C112,EQUIPOS[],UNIFICADO!F$9,0),"")</f>
        <v>6.58</v>
      </c>
      <c r="G112" s="1">
        <f>IFERROR(VLOOKUP($C112,EQUIPOS[],UNIFICADO!G$9,0),"")</f>
        <v>64</v>
      </c>
      <c r="H112" s="1">
        <f>IFERROR(VLOOKUP($C112,EQUIPOS[],UNIFICADO!H$9,0),"")</f>
        <v>3</v>
      </c>
      <c r="I112" s="1">
        <f>IFERROR(VLOOKUP($C112,EQUIPOS[],UNIFICADO!I$9,0),"")</f>
        <v>16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2.0/1.8</v>
      </c>
      <c r="N112" s="1">
        <f>IFERROR(VLOOKUP($C112,EQUIPOS[],UNIFICADO!N$9,0),"")</f>
        <v>6</v>
      </c>
      <c r="O112" s="1">
        <f>IFERROR(VLOOKUP($C112,EQUIPOS[],UNIFICADO!O$9,0),"")</f>
        <v>190</v>
      </c>
      <c r="P112" s="1">
        <f>IFERROR(VLOOKUP($C112,EQUIPOS[],UNIFICADO!P$9,0),"")</f>
        <v>16.5</v>
      </c>
      <c r="Q112" s="1">
        <f>IFERROR(VLOOKUP($C112,EQUIPOS[],UNIFICADO!Q$9,0),"")</f>
        <v>7.55</v>
      </c>
      <c r="R112" s="1">
        <f>IFERROR(VLOOKUP($C112,EQUIPOS[],UNIFICADO!R$9,0),"")</f>
        <v>0.84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f>VLOOKUP(UNIFICADA[[#This Row],[Equipo]],EQUIPOS[],19,0)</f>
        <v>102</v>
      </c>
      <c r="V112" s="1" t="str">
        <f t="shared" si="533"/>
        <v>ND</v>
      </c>
      <c r="W112" s="1" t="str">
        <f t="shared" si="534"/>
        <v>ND</v>
      </c>
      <c r="X112" s="1" t="str">
        <f t="shared" si="689"/>
        <v>ND</v>
      </c>
      <c r="Y112" s="1" t="str">
        <f t="shared" si="689"/>
        <v>ND</v>
      </c>
      <c r="Z112" s="1" t="str">
        <f t="shared" si="690"/>
        <v>ND</v>
      </c>
      <c r="AA112" s="1" t="str">
        <f t="shared" si="690"/>
        <v>ND</v>
      </c>
      <c r="AB112" s="1" t="str">
        <f t="shared" si="690"/>
        <v>ND</v>
      </c>
      <c r="AC112" s="1" t="str">
        <f t="shared" si="690"/>
        <v>ND</v>
      </c>
      <c r="AD112" s="1" t="str">
        <f t="shared" si="690"/>
        <v>ND</v>
      </c>
      <c r="AE112" s="1" t="str">
        <f t="shared" si="690"/>
        <v>ND</v>
      </c>
      <c r="AF112" s="1" t="str">
        <f t="shared" si="690"/>
        <v>ND</v>
      </c>
      <c r="AG112" s="1" t="str">
        <f t="shared" si="690"/>
        <v>ND</v>
      </c>
      <c r="AH112" s="1" t="str">
        <f t="shared" si="690"/>
        <v>ND</v>
      </c>
      <c r="AI112" s="1" t="str">
        <f t="shared" si="535"/>
        <v>ND</v>
      </c>
      <c r="AJ112" s="1" t="str">
        <f t="shared" si="536"/>
        <v>ND</v>
      </c>
      <c r="AK112" s="1" t="str">
        <f t="shared" si="537"/>
        <v>ND</v>
      </c>
      <c r="AL112" s="1" t="str">
        <f t="shared" si="538"/>
        <v>ND</v>
      </c>
      <c r="AM112" s="1" t="str">
        <f t="shared" si="539"/>
        <v>ND</v>
      </c>
      <c r="AN112" s="1" t="str">
        <f t="shared" si="540"/>
        <v>ND</v>
      </c>
      <c r="AO112" s="1" t="str">
        <f t="shared" si="541"/>
        <v>ND</v>
      </c>
      <c r="AP112" s="1" t="str">
        <f t="shared" si="542"/>
        <v>ND</v>
      </c>
      <c r="AQ112" s="1" t="str">
        <f t="shared" si="543"/>
        <v>ND</v>
      </c>
      <c r="AR112" s="1" t="str">
        <f t="shared" si="544"/>
        <v>ND</v>
      </c>
      <c r="AS112" s="1" t="str">
        <f t="shared" si="545"/>
        <v>ND</v>
      </c>
      <c r="AT112" s="1" t="str">
        <f t="shared" si="546"/>
        <v>ND</v>
      </c>
      <c r="AU112" s="1" t="str">
        <f t="shared" si="547"/>
        <v>ND</v>
      </c>
      <c r="AV112" s="1" t="str">
        <f t="shared" si="548"/>
        <v>ND</v>
      </c>
      <c r="AW112" s="1" t="str">
        <f t="shared" si="549"/>
        <v>ND</v>
      </c>
      <c r="AX112" s="1" t="str">
        <f t="shared" si="550"/>
        <v>ND</v>
      </c>
      <c r="AY112" s="1" t="str">
        <f t="shared" si="551"/>
        <v>ND</v>
      </c>
      <c r="AZ112" s="1" t="str">
        <f t="shared" si="552"/>
        <v>ND</v>
      </c>
      <c r="BA112" s="1" t="str">
        <f t="shared" si="553"/>
        <v>ND</v>
      </c>
      <c r="BB112" s="1" t="str">
        <f t="shared" si="554"/>
        <v>ND</v>
      </c>
      <c r="BC112" s="1" t="str">
        <f t="shared" si="555"/>
        <v>ND</v>
      </c>
      <c r="BD112" s="1" t="str">
        <f t="shared" si="556"/>
        <v>ND</v>
      </c>
      <c r="BE112" s="1" t="str">
        <f t="shared" si="557"/>
        <v>ND</v>
      </c>
      <c r="BF112" s="1" t="str">
        <f t="shared" si="558"/>
        <v>ND</v>
      </c>
      <c r="BG112" s="1" t="str">
        <f t="shared" si="559"/>
        <v>ND</v>
      </c>
      <c r="BH112" s="1" t="str">
        <f t="shared" si="560"/>
        <v>ND</v>
      </c>
      <c r="BI112" s="1" t="str">
        <f t="shared" si="561"/>
        <v>ND</v>
      </c>
      <c r="BJ112" s="1" t="str">
        <f t="shared" si="562"/>
        <v>ND</v>
      </c>
      <c r="BK112" s="1" t="str">
        <f t="shared" si="563"/>
        <v>ND</v>
      </c>
      <c r="BL112" s="1" t="str">
        <f t="shared" si="564"/>
        <v>ND</v>
      </c>
      <c r="BM112" s="1" t="str">
        <f t="shared" si="565"/>
        <v>ND</v>
      </c>
      <c r="BN112" s="1" t="str">
        <f t="shared" si="566"/>
        <v>ND</v>
      </c>
      <c r="BO112" s="1" t="str">
        <f t="shared" si="567"/>
        <v>ND</v>
      </c>
      <c r="BP112" s="1" t="str">
        <f t="shared" si="568"/>
        <v>ND</v>
      </c>
      <c r="BQ112" s="1" t="str">
        <f t="shared" si="569"/>
        <v>ND</v>
      </c>
      <c r="BR112" s="1" t="str">
        <f t="shared" si="570"/>
        <v>ND</v>
      </c>
      <c r="BS112" s="1" t="str">
        <f t="shared" si="571"/>
        <v>ND</v>
      </c>
      <c r="BT112" s="1" t="str">
        <f t="shared" si="572"/>
        <v>ND</v>
      </c>
      <c r="BU112" s="1" t="str">
        <f t="shared" si="573"/>
        <v>ND</v>
      </c>
      <c r="BV112" s="1" t="str">
        <f t="shared" si="574"/>
        <v>ND</v>
      </c>
      <c r="BW112" s="1" t="str">
        <f t="shared" si="575"/>
        <v>ND</v>
      </c>
      <c r="BX112" s="1" t="str">
        <f t="shared" si="576"/>
        <v>ND</v>
      </c>
      <c r="BY112" s="1" t="str">
        <f t="shared" si="577"/>
        <v>ND</v>
      </c>
      <c r="BZ112" s="1" t="str">
        <f t="shared" si="578"/>
        <v>ND</v>
      </c>
      <c r="CA112" s="1" t="str">
        <f t="shared" si="691"/>
        <v>ND</v>
      </c>
      <c r="CB112" s="1" t="str">
        <f t="shared" si="691"/>
        <v>ND</v>
      </c>
      <c r="CC112" s="1" t="str">
        <f t="shared" si="691"/>
        <v>ND</v>
      </c>
      <c r="CD112" s="1" t="str">
        <f t="shared" si="691"/>
        <v>ND</v>
      </c>
      <c r="CE112" s="1" t="str">
        <f t="shared" si="691"/>
        <v>ND</v>
      </c>
      <c r="CF112" s="1" t="str">
        <f t="shared" si="691"/>
        <v>ND</v>
      </c>
      <c r="CG112" s="1" t="str">
        <f t="shared" si="691"/>
        <v>ND</v>
      </c>
      <c r="CH112" s="1" t="str">
        <f t="shared" si="691"/>
        <v>ND</v>
      </c>
      <c r="CI112" s="1" t="str">
        <f t="shared" si="691"/>
        <v>ND</v>
      </c>
      <c r="CJ112" s="1" t="str">
        <f t="shared" si="691"/>
        <v>ND</v>
      </c>
      <c r="CK112" s="1" t="str">
        <f t="shared" si="691"/>
        <v>ND</v>
      </c>
      <c r="CL112" s="1" t="str">
        <f t="shared" si="692"/>
        <v>ND</v>
      </c>
      <c r="CM112" s="1" t="str">
        <f t="shared" si="692"/>
        <v>ND</v>
      </c>
      <c r="CN112" s="1" t="str">
        <f t="shared" si="692"/>
        <v>ND</v>
      </c>
      <c r="CO112" s="1" t="str">
        <f t="shared" si="692"/>
        <v>ND</v>
      </c>
      <c r="CP112" s="1" t="str">
        <f t="shared" si="692"/>
        <v>ND</v>
      </c>
      <c r="CQ112" s="1" t="str">
        <f t="shared" si="692"/>
        <v>ND</v>
      </c>
      <c r="CR112" s="1" t="str">
        <f t="shared" si="692"/>
        <v>ND</v>
      </c>
      <c r="CS112" s="1" t="str">
        <f t="shared" si="692"/>
        <v>ND</v>
      </c>
      <c r="CT112" s="1" t="str">
        <f t="shared" si="692"/>
        <v>ND</v>
      </c>
      <c r="CU112" s="1" t="str">
        <f t="shared" si="692"/>
        <v>ND</v>
      </c>
      <c r="CV112" s="1" t="str">
        <f t="shared" si="692"/>
        <v>ND</v>
      </c>
      <c r="CW112" s="1" t="str">
        <f t="shared" si="579"/>
        <v>ND</v>
      </c>
      <c r="CX112" s="1" t="str">
        <f t="shared" si="580"/>
        <v>ND</v>
      </c>
      <c r="CY112" s="1" t="str">
        <f t="shared" si="581"/>
        <v>ND</v>
      </c>
      <c r="CZ112" s="1" t="str">
        <f t="shared" si="582"/>
        <v>ND</v>
      </c>
      <c r="DA112" s="1" t="str">
        <f t="shared" si="583"/>
        <v>ND</v>
      </c>
      <c r="DB112" s="1" t="str">
        <f t="shared" si="584"/>
        <v>ND</v>
      </c>
      <c r="DC112" s="1" t="str">
        <f t="shared" si="585"/>
        <v>ND</v>
      </c>
      <c r="DD112" s="1" t="str">
        <f t="shared" si="586"/>
        <v>ND</v>
      </c>
      <c r="DE112" s="1" t="str">
        <f t="shared" si="587"/>
        <v>ND</v>
      </c>
      <c r="DF112" s="1" t="str">
        <f t="shared" si="588"/>
        <v>ND</v>
      </c>
      <c r="DG112" s="1" t="str">
        <f t="shared" si="589"/>
        <v>ND</v>
      </c>
      <c r="DH112" s="1" t="str">
        <f t="shared" si="590"/>
        <v>ND</v>
      </c>
      <c r="DI112" s="1" t="str">
        <f t="shared" si="591"/>
        <v>ND</v>
      </c>
      <c r="DJ112" s="1" t="str">
        <f t="shared" si="592"/>
        <v>ND</v>
      </c>
      <c r="DK112" s="1" t="str">
        <f t="shared" si="593"/>
        <v>ND</v>
      </c>
      <c r="DL112" s="1" t="str">
        <f t="shared" si="594"/>
        <v>ND</v>
      </c>
      <c r="DM112" s="1" t="str">
        <f t="shared" si="595"/>
        <v>ND</v>
      </c>
      <c r="DN112" s="1" t="str">
        <f t="shared" si="596"/>
        <v>ND</v>
      </c>
      <c r="DO112" s="1" t="str">
        <f t="shared" si="597"/>
        <v>ND</v>
      </c>
      <c r="DP112" s="1" t="str">
        <f t="shared" si="598"/>
        <v>ND</v>
      </c>
      <c r="DQ112" s="1" t="str">
        <f t="shared" si="599"/>
        <v>ND</v>
      </c>
      <c r="DR112" s="1" t="str">
        <f t="shared" si="600"/>
        <v>ND</v>
      </c>
      <c r="DS112" s="1" t="str">
        <f t="shared" si="601"/>
        <v>ND</v>
      </c>
      <c r="DT112" s="1" t="str">
        <f t="shared" si="602"/>
        <v>ND</v>
      </c>
      <c r="DU112" s="1" t="str">
        <f t="shared" si="603"/>
        <v>ND</v>
      </c>
      <c r="DV112" s="1" t="str">
        <f t="shared" si="604"/>
        <v>ND</v>
      </c>
      <c r="DW112" s="1" t="str">
        <f t="shared" si="605"/>
        <v>ND</v>
      </c>
      <c r="DX112" s="1" t="str">
        <f t="shared" si="606"/>
        <v>ND</v>
      </c>
      <c r="DY112" s="1" t="str">
        <f t="shared" si="607"/>
        <v>ND</v>
      </c>
      <c r="DZ112" s="1" t="str">
        <f t="shared" si="608"/>
        <v>ND</v>
      </c>
      <c r="EA112" s="1" t="str">
        <f t="shared" si="609"/>
        <v>ND</v>
      </c>
      <c r="EB112" s="1" t="str">
        <f t="shared" si="610"/>
        <v>ND</v>
      </c>
      <c r="EC112" s="1" t="str">
        <f t="shared" si="611"/>
        <v>ND</v>
      </c>
      <c r="ED112" s="1" t="str">
        <f t="shared" si="612"/>
        <v>ND</v>
      </c>
      <c r="EE112" s="1" t="str">
        <f t="shared" si="613"/>
        <v>ND</v>
      </c>
      <c r="EF112" s="1" t="str">
        <f t="shared" si="614"/>
        <v>ND</v>
      </c>
      <c r="EG112" s="1" t="str">
        <f t="shared" si="615"/>
        <v>ND</v>
      </c>
      <c r="EH112" s="1" t="str">
        <f t="shared" si="616"/>
        <v>ND</v>
      </c>
      <c r="EI112" s="1" t="str">
        <f t="shared" si="617"/>
        <v>ND</v>
      </c>
      <c r="EJ112" s="1" t="str">
        <f t="shared" si="618"/>
        <v>ND</v>
      </c>
      <c r="EK112" s="1" t="str">
        <f t="shared" si="619"/>
        <v>ND</v>
      </c>
      <c r="EL112" s="1" t="str">
        <f t="shared" si="620"/>
        <v>ND</v>
      </c>
      <c r="EM112" s="1" t="str">
        <f t="shared" si="621"/>
        <v>ND</v>
      </c>
      <c r="EN112" s="1" t="str">
        <f t="shared" si="622"/>
        <v>ND</v>
      </c>
      <c r="EO112" s="1" t="str">
        <f t="shared" si="693"/>
        <v>ND</v>
      </c>
      <c r="EP112" s="1" t="str">
        <f t="shared" si="693"/>
        <v>ND</v>
      </c>
      <c r="EQ112" s="1" t="str">
        <f t="shared" si="693"/>
        <v>ND</v>
      </c>
      <c r="ER112" s="1" t="str">
        <f t="shared" si="693"/>
        <v>ND</v>
      </c>
      <c r="ES112" s="1" t="str">
        <f t="shared" si="693"/>
        <v>ND</v>
      </c>
      <c r="ET112" s="1" t="str">
        <f t="shared" si="693"/>
        <v>ND</v>
      </c>
      <c r="EU112" s="1" t="str">
        <f t="shared" si="693"/>
        <v>ND</v>
      </c>
      <c r="EV112" s="1" t="str">
        <f t="shared" si="693"/>
        <v>ND</v>
      </c>
      <c r="EW112" s="1" t="str">
        <f t="shared" si="693"/>
        <v>ND</v>
      </c>
      <c r="EX112" s="1" t="str">
        <f t="shared" si="693"/>
        <v>ND</v>
      </c>
      <c r="EY112" s="1" t="str">
        <f t="shared" si="693"/>
        <v>ND</v>
      </c>
      <c r="EZ112" s="1" t="str">
        <f t="shared" si="694"/>
        <v>ND</v>
      </c>
      <c r="FA112" s="1" t="str">
        <f t="shared" si="694"/>
        <v>ND</v>
      </c>
      <c r="FB112" s="1" t="str">
        <f t="shared" si="694"/>
        <v>ND</v>
      </c>
      <c r="FC112" s="1" t="str">
        <f t="shared" si="694"/>
        <v>ND</v>
      </c>
      <c r="FD112" s="1" t="str">
        <f t="shared" si="694"/>
        <v>ND</v>
      </c>
      <c r="FE112" s="1" t="str">
        <f t="shared" si="694"/>
        <v>ND</v>
      </c>
      <c r="FF112" s="1" t="str">
        <f t="shared" si="694"/>
        <v>ND</v>
      </c>
      <c r="FG112" s="1" t="str">
        <f t="shared" si="694"/>
        <v>ND</v>
      </c>
      <c r="FH112" s="1" t="str">
        <f t="shared" si="694"/>
        <v>ND</v>
      </c>
      <c r="FI112" s="1" t="str">
        <f t="shared" si="694"/>
        <v>ND</v>
      </c>
      <c r="FJ112" s="1" t="str">
        <f t="shared" si="694"/>
        <v>ND</v>
      </c>
      <c r="FK112" s="1" t="str">
        <f t="shared" si="695"/>
        <v>ND</v>
      </c>
      <c r="FL112" s="1" t="str">
        <f t="shared" si="695"/>
        <v>ND</v>
      </c>
      <c r="FM112" s="1" t="str">
        <f t="shared" si="695"/>
        <v>ND</v>
      </c>
      <c r="FN112" s="1" t="str">
        <f t="shared" si="695"/>
        <v>ND</v>
      </c>
      <c r="FO112" s="1" t="str">
        <f t="shared" si="695"/>
        <v>ND</v>
      </c>
      <c r="FP112" s="1" t="str">
        <f t="shared" si="695"/>
        <v>ND</v>
      </c>
      <c r="FQ112" s="1" t="str">
        <f t="shared" si="695"/>
        <v>ND</v>
      </c>
      <c r="FR112" s="1" t="str">
        <f t="shared" si="695"/>
        <v>ND</v>
      </c>
      <c r="FS112" s="1" t="str">
        <f t="shared" si="695"/>
        <v>ND</v>
      </c>
      <c r="FT112" s="1" t="str">
        <f t="shared" si="695"/>
        <v>ND</v>
      </c>
      <c r="FU112" s="1" t="str">
        <f t="shared" si="695"/>
        <v>ND</v>
      </c>
      <c r="FV112" s="1" t="str">
        <f t="shared" si="623"/>
        <v>ND</v>
      </c>
      <c r="FW112" s="1" t="str">
        <f t="shared" si="624"/>
        <v>ND</v>
      </c>
      <c r="FX112" s="1" t="str">
        <f t="shared" si="625"/>
        <v>ND</v>
      </c>
      <c r="FY112" s="1" t="str">
        <f t="shared" si="626"/>
        <v>ND</v>
      </c>
      <c r="FZ112" s="1" t="str">
        <f t="shared" si="627"/>
        <v>ND</v>
      </c>
      <c r="GA112" s="1" t="str">
        <f t="shared" si="628"/>
        <v>ND</v>
      </c>
      <c r="GB112" s="1" t="str">
        <f t="shared" si="629"/>
        <v>ND</v>
      </c>
      <c r="GC112" s="1" t="str">
        <f t="shared" si="630"/>
        <v>ND</v>
      </c>
      <c r="GD112" s="1" t="str">
        <f t="shared" si="631"/>
        <v>ND</v>
      </c>
      <c r="GE112" s="1" t="str">
        <f t="shared" si="632"/>
        <v>ND</v>
      </c>
      <c r="GF112" s="1" t="str">
        <f t="shared" si="633"/>
        <v>ND</v>
      </c>
      <c r="GG112" s="1" t="str">
        <f t="shared" si="634"/>
        <v>ND</v>
      </c>
      <c r="GH112" s="1" t="str">
        <f t="shared" si="635"/>
        <v>ND</v>
      </c>
      <c r="GI112" s="1" t="str">
        <f t="shared" si="636"/>
        <v>ND</v>
      </c>
      <c r="GJ112" s="1" t="str">
        <f t="shared" si="637"/>
        <v>ND</v>
      </c>
      <c r="GK112" s="1" t="str">
        <f t="shared" si="638"/>
        <v>ND</v>
      </c>
      <c r="GL112" s="1" t="str">
        <f t="shared" si="639"/>
        <v>ND</v>
      </c>
      <c r="GM112" s="1" t="str">
        <f t="shared" si="640"/>
        <v>ND</v>
      </c>
      <c r="GN112" s="1" t="str">
        <f t="shared" si="641"/>
        <v>ND</v>
      </c>
      <c r="GO112" s="1" t="str">
        <f t="shared" si="642"/>
        <v>ND</v>
      </c>
      <c r="GP112" s="1" t="str">
        <f t="shared" si="643"/>
        <v>ND</v>
      </c>
      <c r="GQ112" s="1" t="str">
        <f t="shared" si="644"/>
        <v>ND</v>
      </c>
      <c r="GR112" s="1" t="str">
        <f t="shared" si="645"/>
        <v>ND</v>
      </c>
      <c r="GS112" s="1" t="str">
        <f t="shared" si="646"/>
        <v>ND</v>
      </c>
      <c r="GT112" s="1" t="str">
        <f t="shared" si="647"/>
        <v>ND</v>
      </c>
      <c r="GU112" s="1" t="str">
        <f t="shared" si="648"/>
        <v>ND</v>
      </c>
      <c r="GV112" s="1" t="str">
        <f t="shared" si="649"/>
        <v>ND</v>
      </c>
      <c r="GW112" s="1" t="str">
        <f t="shared" si="650"/>
        <v>ND</v>
      </c>
      <c r="GX112" s="1" t="str">
        <f t="shared" si="651"/>
        <v>ND</v>
      </c>
      <c r="GY112" s="1" t="str">
        <f t="shared" si="652"/>
        <v>ND</v>
      </c>
      <c r="GZ112" s="1" t="str">
        <f t="shared" si="653"/>
        <v>ND</v>
      </c>
      <c r="HA112" s="1" t="str">
        <f t="shared" si="654"/>
        <v>ND</v>
      </c>
      <c r="HB112" s="1" t="str">
        <f t="shared" si="655"/>
        <v>ND</v>
      </c>
      <c r="HC112" s="1" t="str">
        <f t="shared" si="656"/>
        <v>ND</v>
      </c>
      <c r="HD112" s="1" t="str">
        <f t="shared" si="657"/>
        <v>ND</v>
      </c>
      <c r="HE112" s="1" t="str">
        <f t="shared" si="658"/>
        <v>ND</v>
      </c>
      <c r="HF112" s="1" t="str">
        <f t="shared" si="659"/>
        <v>ND</v>
      </c>
      <c r="HG112" s="1" t="str">
        <f t="shared" si="660"/>
        <v>ND</v>
      </c>
      <c r="HH112" s="1" t="str">
        <f t="shared" si="661"/>
        <v>ND</v>
      </c>
      <c r="HI112" s="1" t="str">
        <f t="shared" si="662"/>
        <v>ND</v>
      </c>
      <c r="HJ112" s="1" t="str">
        <f t="shared" si="663"/>
        <v>ND</v>
      </c>
      <c r="HK112" s="1" t="str">
        <f t="shared" si="664"/>
        <v>ND</v>
      </c>
      <c r="HL112" s="1" t="str">
        <f t="shared" si="665"/>
        <v>ND</v>
      </c>
      <c r="HM112" s="1" t="str">
        <f t="shared" si="666"/>
        <v>ND</v>
      </c>
      <c r="HN112" s="1" t="str">
        <f t="shared" si="667"/>
        <v>ND</v>
      </c>
      <c r="HO112" s="1" t="str">
        <f t="shared" si="668"/>
        <v>ND</v>
      </c>
      <c r="HP112" s="1" t="str">
        <f t="shared" si="669"/>
        <v>ND</v>
      </c>
      <c r="HQ112" s="1" t="str">
        <f t="shared" si="670"/>
        <v>ND</v>
      </c>
      <c r="HR112" s="1" t="str">
        <f t="shared" si="671"/>
        <v>ND</v>
      </c>
      <c r="HS112" s="1" t="str">
        <f t="shared" si="672"/>
        <v>ND</v>
      </c>
      <c r="HT112" s="1" t="str">
        <f t="shared" si="673"/>
        <v>ND</v>
      </c>
      <c r="HU112" s="1" t="str">
        <f t="shared" si="674"/>
        <v>ND</v>
      </c>
      <c r="HV112" s="1" t="str">
        <f t="shared" si="675"/>
        <v>ND</v>
      </c>
      <c r="HW112" s="1" t="str">
        <f t="shared" si="676"/>
        <v>ND</v>
      </c>
      <c r="HX112" s="1" t="str">
        <f t="shared" si="677"/>
        <v>ND</v>
      </c>
      <c r="HY112" s="1" t="str">
        <f t="shared" si="678"/>
        <v>ND</v>
      </c>
      <c r="HZ112" s="1" t="str">
        <f t="shared" si="679"/>
        <v>ND</v>
      </c>
      <c r="IA112" s="1" t="str">
        <f t="shared" si="680"/>
        <v>ND</v>
      </c>
      <c r="IB112" s="1" t="str">
        <f t="shared" si="681"/>
        <v>ND</v>
      </c>
      <c r="IC112" s="1" t="str">
        <f t="shared" si="682"/>
        <v>ND</v>
      </c>
      <c r="ID112" s="1" t="str">
        <f t="shared" si="683"/>
        <v>ND</v>
      </c>
      <c r="IE112" s="1" t="str">
        <f t="shared" si="684"/>
        <v>ND</v>
      </c>
      <c r="IF112" s="1" t="str">
        <f t="shared" si="685"/>
        <v>ND</v>
      </c>
      <c r="IG112" s="1" t="str">
        <f t="shared" si="686"/>
        <v>ND</v>
      </c>
      <c r="IH112" s="1" t="str">
        <f t="shared" si="687"/>
        <v>ND</v>
      </c>
      <c r="II112" s="1" t="str">
        <f t="shared" si="688"/>
        <v>ND</v>
      </c>
    </row>
    <row r="113" spans="3:243" x14ac:dyDescent="0.25">
      <c r="C113" t="s">
        <v>34</v>
      </c>
      <c r="D113">
        <f>SUMIFS(DICCIONARIO[Cantidad],DICCIONARIO[Modelo],UNIFICADA[[#This Row],[Equipo]])</f>
        <v>0</v>
      </c>
      <c r="E113" s="1">
        <f>IFERROR(VLOOKUP($C113,EQUIPOS[],UNIFICADO!E$9,0),"")</f>
        <v>11</v>
      </c>
      <c r="F113" s="1">
        <f>IFERROR(VLOOKUP($C113,EQUIPOS[],UNIFICADO!F$9,0),"")</f>
        <v>6.55</v>
      </c>
      <c r="G113" s="1">
        <f>IFERROR(VLOOKUP($C113,EQUIPOS[],UNIFICADO!G$9,0),"")</f>
        <v>64</v>
      </c>
      <c r="H113" s="1">
        <f>IFERROR(VLOOKUP($C113,EQUIPOS[],UNIFICADO!H$9,0),"")</f>
        <v>3</v>
      </c>
      <c r="I113" s="1">
        <f>IFERROR(VLOOKUP($C113,EQUIPOS[],UNIFICADO!I$9,0),"")</f>
        <v>20</v>
      </c>
      <c r="J113" s="1" t="str">
        <f>IFERROR(VLOOKUP($C113,EQUIPOS[],UNIFICADO!J$9,0),"")</f>
        <v>128GB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2.4/1.8</v>
      </c>
      <c r="N113" s="1">
        <f>IFERROR(VLOOKUP($C113,EQUIPOS[],UNIFICADO!N$9,0),"")</f>
        <v>6</v>
      </c>
      <c r="O113" s="1">
        <f>IFERROR(VLOOKUP($C113,EQUIPOS[],UNIFICADO!O$9,0),"")</f>
        <v>159</v>
      </c>
      <c r="P113" s="1">
        <f>IFERROR(VLOOKUP($C113,EQUIPOS[],UNIFICADO!P$9,0),"")</f>
        <v>16</v>
      </c>
      <c r="Q113" s="1">
        <f>IFERROR(VLOOKUP($C113,EQUIPOS[],UNIFICADO!Q$9,0),"")</f>
        <v>7.57</v>
      </c>
      <c r="R113" s="1">
        <f>IFERROR(VLOOKUP($C113,EQUIPOS[],UNIFICADO!R$9,0),"")</f>
        <v>0.68</v>
      </c>
      <c r="S113" s="1">
        <f>IFERROR(VLOOKUP($C113,EQUIPOS[],UNIFICADO!S$9,0),"")</f>
        <v>4250</v>
      </c>
      <c r="T113" s="1">
        <f>IFERROR(VLOOKUP($C113,EQUIPOS[],UNIFICADO!T$9,0),"")</f>
        <v>5</v>
      </c>
      <c r="U113" s="1">
        <f>VLOOKUP(UNIFICADA[[#This Row],[Equipo]],EQUIPOS[],19,0)</f>
        <v>103</v>
      </c>
      <c r="V113" s="1" t="str">
        <f t="shared" si="533"/>
        <v>ND</v>
      </c>
      <c r="W113" s="1" t="str">
        <f t="shared" si="534"/>
        <v>ND</v>
      </c>
      <c r="X113" s="1" t="str">
        <f t="shared" si="689"/>
        <v>ND</v>
      </c>
      <c r="Y113" s="1" t="str">
        <f t="shared" si="689"/>
        <v>ND</v>
      </c>
      <c r="Z113" s="1" t="str">
        <f t="shared" si="690"/>
        <v>ND</v>
      </c>
      <c r="AA113" s="1" t="str">
        <f t="shared" si="690"/>
        <v>ND</v>
      </c>
      <c r="AB113" s="1" t="str">
        <f t="shared" si="690"/>
        <v>ND</v>
      </c>
      <c r="AC113" s="1" t="str">
        <f t="shared" si="690"/>
        <v>ND</v>
      </c>
      <c r="AD113" s="1" t="str">
        <f t="shared" si="690"/>
        <v>ND</v>
      </c>
      <c r="AE113" s="1" t="str">
        <f t="shared" si="690"/>
        <v>ND</v>
      </c>
      <c r="AF113" s="1" t="str">
        <f t="shared" si="690"/>
        <v>ND</v>
      </c>
      <c r="AG113" s="1" t="str">
        <f t="shared" si="690"/>
        <v>ND</v>
      </c>
      <c r="AH113" s="1" t="str">
        <f t="shared" si="690"/>
        <v>ND</v>
      </c>
      <c r="AI113" s="1" t="str">
        <f t="shared" si="535"/>
        <v>ND</v>
      </c>
      <c r="AJ113" s="1" t="str">
        <f t="shared" si="536"/>
        <v>ND</v>
      </c>
      <c r="AK113" s="1" t="str">
        <f t="shared" si="537"/>
        <v>ND</v>
      </c>
      <c r="AL113" s="1" t="str">
        <f t="shared" si="538"/>
        <v>ND</v>
      </c>
      <c r="AM113" s="1" t="str">
        <f t="shared" si="539"/>
        <v>ND</v>
      </c>
      <c r="AN113" s="1" t="str">
        <f t="shared" si="540"/>
        <v>ND</v>
      </c>
      <c r="AO113" s="1" t="str">
        <f t="shared" si="541"/>
        <v>ND</v>
      </c>
      <c r="AP113" s="1" t="str">
        <f t="shared" si="542"/>
        <v>ND</v>
      </c>
      <c r="AQ113" s="1" t="str">
        <f t="shared" si="543"/>
        <v>ND</v>
      </c>
      <c r="AR113" s="1" t="str">
        <f t="shared" si="544"/>
        <v>ND</v>
      </c>
      <c r="AS113" s="1" t="str">
        <f t="shared" si="545"/>
        <v>ND</v>
      </c>
      <c r="AT113" s="1" t="str">
        <f t="shared" si="546"/>
        <v>ND</v>
      </c>
      <c r="AU113" s="1" t="str">
        <f t="shared" si="547"/>
        <v>ND</v>
      </c>
      <c r="AV113" s="1" t="str">
        <f t="shared" si="548"/>
        <v>ND</v>
      </c>
      <c r="AW113" s="1" t="str">
        <f t="shared" si="549"/>
        <v>ND</v>
      </c>
      <c r="AX113" s="1" t="str">
        <f t="shared" si="550"/>
        <v>ND</v>
      </c>
      <c r="AY113" s="1" t="str">
        <f t="shared" si="551"/>
        <v>ND</v>
      </c>
      <c r="AZ113" s="1" t="str">
        <f t="shared" si="552"/>
        <v>ND</v>
      </c>
      <c r="BA113" s="1" t="str">
        <f t="shared" si="553"/>
        <v>ND</v>
      </c>
      <c r="BB113" s="1" t="str">
        <f t="shared" si="554"/>
        <v>ND</v>
      </c>
      <c r="BC113" s="1" t="str">
        <f t="shared" si="555"/>
        <v>ND</v>
      </c>
      <c r="BD113" s="1" t="str">
        <f t="shared" si="556"/>
        <v>ND</v>
      </c>
      <c r="BE113" s="1" t="str">
        <f t="shared" si="557"/>
        <v>ND</v>
      </c>
      <c r="BF113" s="1" t="str">
        <f t="shared" si="558"/>
        <v>ND</v>
      </c>
      <c r="BG113" s="1" t="str">
        <f t="shared" si="559"/>
        <v>ND</v>
      </c>
      <c r="BH113" s="1" t="str">
        <f t="shared" si="560"/>
        <v>ND</v>
      </c>
      <c r="BI113" s="1" t="str">
        <f t="shared" si="561"/>
        <v>ND</v>
      </c>
      <c r="BJ113" s="1" t="str">
        <f t="shared" si="562"/>
        <v>ND</v>
      </c>
      <c r="BK113" s="1" t="str">
        <f t="shared" si="563"/>
        <v>ND</v>
      </c>
      <c r="BL113" s="1" t="str">
        <f t="shared" si="564"/>
        <v>ND</v>
      </c>
      <c r="BM113" s="1" t="str">
        <f t="shared" si="565"/>
        <v>ND</v>
      </c>
      <c r="BN113" s="1" t="str">
        <f t="shared" si="566"/>
        <v>ND</v>
      </c>
      <c r="BO113" s="1" t="str">
        <f t="shared" si="567"/>
        <v>ND</v>
      </c>
      <c r="BP113" s="1" t="str">
        <f t="shared" si="568"/>
        <v>ND</v>
      </c>
      <c r="BQ113" s="1" t="str">
        <f t="shared" si="569"/>
        <v>ND</v>
      </c>
      <c r="BR113" s="1" t="str">
        <f t="shared" si="570"/>
        <v>ND</v>
      </c>
      <c r="BS113" s="1" t="str">
        <f t="shared" si="571"/>
        <v>ND</v>
      </c>
      <c r="BT113" s="1" t="str">
        <f t="shared" si="572"/>
        <v>ND</v>
      </c>
      <c r="BU113" s="1" t="str">
        <f t="shared" si="573"/>
        <v>ND</v>
      </c>
      <c r="BV113" s="1" t="str">
        <f t="shared" si="574"/>
        <v>ND</v>
      </c>
      <c r="BW113" s="1" t="str">
        <f t="shared" si="575"/>
        <v>ND</v>
      </c>
      <c r="BX113" s="1" t="str">
        <f t="shared" si="576"/>
        <v>ND</v>
      </c>
      <c r="BY113" s="1" t="str">
        <f t="shared" si="577"/>
        <v>ND</v>
      </c>
      <c r="BZ113" s="1" t="str">
        <f t="shared" si="578"/>
        <v>ND</v>
      </c>
      <c r="CA113" s="1" t="str">
        <f t="shared" si="691"/>
        <v>ND</v>
      </c>
      <c r="CB113" s="1" t="str">
        <f t="shared" si="691"/>
        <v>ND</v>
      </c>
      <c r="CC113" s="1" t="str">
        <f t="shared" si="691"/>
        <v>ND</v>
      </c>
      <c r="CD113" s="1" t="str">
        <f t="shared" si="691"/>
        <v>ND</v>
      </c>
      <c r="CE113" s="1" t="str">
        <f t="shared" si="691"/>
        <v>ND</v>
      </c>
      <c r="CF113" s="1" t="str">
        <f t="shared" si="691"/>
        <v>ND</v>
      </c>
      <c r="CG113" s="1" t="str">
        <f t="shared" si="691"/>
        <v>ND</v>
      </c>
      <c r="CH113" s="1" t="str">
        <f t="shared" si="691"/>
        <v>ND</v>
      </c>
      <c r="CI113" s="1" t="str">
        <f t="shared" si="691"/>
        <v>ND</v>
      </c>
      <c r="CJ113" s="1" t="str">
        <f t="shared" si="691"/>
        <v>ND</v>
      </c>
      <c r="CK113" s="1" t="str">
        <f t="shared" si="691"/>
        <v>ND</v>
      </c>
      <c r="CL113" s="1" t="str">
        <f t="shared" si="692"/>
        <v>ND</v>
      </c>
      <c r="CM113" s="1" t="str">
        <f t="shared" si="692"/>
        <v>ND</v>
      </c>
      <c r="CN113" s="1" t="str">
        <f t="shared" si="692"/>
        <v>ND</v>
      </c>
      <c r="CO113" s="1" t="str">
        <f t="shared" si="692"/>
        <v>ND</v>
      </c>
      <c r="CP113" s="1" t="str">
        <f t="shared" si="692"/>
        <v>ND</v>
      </c>
      <c r="CQ113" s="1" t="str">
        <f t="shared" si="692"/>
        <v>ND</v>
      </c>
      <c r="CR113" s="1" t="str">
        <f t="shared" si="692"/>
        <v>ND</v>
      </c>
      <c r="CS113" s="1" t="str">
        <f t="shared" si="692"/>
        <v>ND</v>
      </c>
      <c r="CT113" s="1" t="str">
        <f t="shared" si="692"/>
        <v>ND</v>
      </c>
      <c r="CU113" s="1" t="str">
        <f t="shared" si="692"/>
        <v>ND</v>
      </c>
      <c r="CV113" s="1" t="str">
        <f t="shared" si="692"/>
        <v>ND</v>
      </c>
      <c r="CW113" s="1" t="str">
        <f t="shared" si="579"/>
        <v>ND</v>
      </c>
      <c r="CX113" s="1" t="str">
        <f t="shared" si="580"/>
        <v>ND</v>
      </c>
      <c r="CY113" s="1" t="str">
        <f t="shared" si="581"/>
        <v>ND</v>
      </c>
      <c r="CZ113" s="1" t="str">
        <f t="shared" si="582"/>
        <v>ND</v>
      </c>
      <c r="DA113" s="1" t="str">
        <f t="shared" si="583"/>
        <v>ND</v>
      </c>
      <c r="DB113" s="1" t="str">
        <f t="shared" si="584"/>
        <v>ND</v>
      </c>
      <c r="DC113" s="1" t="str">
        <f t="shared" si="585"/>
        <v>ND</v>
      </c>
      <c r="DD113" s="1" t="str">
        <f t="shared" si="586"/>
        <v>ND</v>
      </c>
      <c r="DE113" s="1" t="str">
        <f t="shared" si="587"/>
        <v>ND</v>
      </c>
      <c r="DF113" s="1" t="str">
        <f t="shared" si="588"/>
        <v>ND</v>
      </c>
      <c r="DG113" s="1" t="str">
        <f t="shared" si="589"/>
        <v>ND</v>
      </c>
      <c r="DH113" s="1" t="str">
        <f t="shared" si="590"/>
        <v>ND</v>
      </c>
      <c r="DI113" s="1" t="str">
        <f t="shared" si="591"/>
        <v>ND</v>
      </c>
      <c r="DJ113" s="1" t="str">
        <f t="shared" si="592"/>
        <v>ND</v>
      </c>
      <c r="DK113" s="1" t="str">
        <f t="shared" si="593"/>
        <v>ND</v>
      </c>
      <c r="DL113" s="1" t="str">
        <f t="shared" si="594"/>
        <v>ND</v>
      </c>
      <c r="DM113" s="1" t="str">
        <f t="shared" si="595"/>
        <v>ND</v>
      </c>
      <c r="DN113" s="1" t="str">
        <f t="shared" si="596"/>
        <v>ND</v>
      </c>
      <c r="DO113" s="1" t="str">
        <f t="shared" si="597"/>
        <v>ND</v>
      </c>
      <c r="DP113" s="1" t="str">
        <f t="shared" si="598"/>
        <v>ND</v>
      </c>
      <c r="DQ113" s="1" t="str">
        <f t="shared" si="599"/>
        <v>ND</v>
      </c>
      <c r="DR113" s="1" t="str">
        <f t="shared" si="600"/>
        <v>ND</v>
      </c>
      <c r="DS113" s="1" t="str">
        <f t="shared" si="601"/>
        <v>ND</v>
      </c>
      <c r="DT113" s="1" t="str">
        <f t="shared" si="602"/>
        <v>ND</v>
      </c>
      <c r="DU113" s="1" t="str">
        <f t="shared" si="603"/>
        <v>ND</v>
      </c>
      <c r="DV113" s="1" t="str">
        <f t="shared" si="604"/>
        <v>ND</v>
      </c>
      <c r="DW113" s="1" t="str">
        <f t="shared" si="605"/>
        <v>ND</v>
      </c>
      <c r="DX113" s="1" t="str">
        <f t="shared" si="606"/>
        <v>ND</v>
      </c>
      <c r="DY113" s="1" t="str">
        <f t="shared" si="607"/>
        <v>ND</v>
      </c>
      <c r="DZ113" s="1" t="str">
        <f t="shared" si="608"/>
        <v>ND</v>
      </c>
      <c r="EA113" s="1" t="str">
        <f t="shared" si="609"/>
        <v>ND</v>
      </c>
      <c r="EB113" s="1" t="str">
        <f t="shared" si="610"/>
        <v>ND</v>
      </c>
      <c r="EC113" s="1" t="str">
        <f t="shared" si="611"/>
        <v>ND</v>
      </c>
      <c r="ED113" s="1" t="str">
        <f t="shared" si="612"/>
        <v>ND</v>
      </c>
      <c r="EE113" s="1" t="str">
        <f t="shared" si="613"/>
        <v>ND</v>
      </c>
      <c r="EF113" s="1" t="str">
        <f t="shared" si="614"/>
        <v>ND</v>
      </c>
      <c r="EG113" s="1" t="str">
        <f t="shared" si="615"/>
        <v>ND</v>
      </c>
      <c r="EH113" s="1" t="str">
        <f t="shared" si="616"/>
        <v>ND</v>
      </c>
      <c r="EI113" s="1" t="str">
        <f t="shared" si="617"/>
        <v>ND</v>
      </c>
      <c r="EJ113" s="1" t="str">
        <f t="shared" si="618"/>
        <v>ND</v>
      </c>
      <c r="EK113" s="1" t="str">
        <f t="shared" si="619"/>
        <v>ND</v>
      </c>
      <c r="EL113" s="1" t="str">
        <f t="shared" si="620"/>
        <v>ND</v>
      </c>
      <c r="EM113" s="1" t="str">
        <f t="shared" si="621"/>
        <v>ND</v>
      </c>
      <c r="EN113" s="1" t="str">
        <f t="shared" si="622"/>
        <v>ND</v>
      </c>
      <c r="EO113" s="1" t="str">
        <f t="shared" si="693"/>
        <v>ND</v>
      </c>
      <c r="EP113" s="1" t="str">
        <f t="shared" si="693"/>
        <v>ND</v>
      </c>
      <c r="EQ113" s="1" t="str">
        <f t="shared" si="693"/>
        <v>ND</v>
      </c>
      <c r="ER113" s="1" t="str">
        <f t="shared" si="693"/>
        <v>ND</v>
      </c>
      <c r="ES113" s="1" t="str">
        <f t="shared" si="693"/>
        <v>ND</v>
      </c>
      <c r="ET113" s="1" t="str">
        <f t="shared" si="693"/>
        <v>ND</v>
      </c>
      <c r="EU113" s="1" t="str">
        <f t="shared" si="693"/>
        <v>ND</v>
      </c>
      <c r="EV113" s="1" t="str">
        <f t="shared" si="693"/>
        <v>ND</v>
      </c>
      <c r="EW113" s="1" t="str">
        <f t="shared" si="693"/>
        <v>ND</v>
      </c>
      <c r="EX113" s="1" t="str">
        <f t="shared" si="693"/>
        <v>ND</v>
      </c>
      <c r="EY113" s="1" t="str">
        <f t="shared" si="693"/>
        <v>ND</v>
      </c>
      <c r="EZ113" s="1" t="str">
        <f t="shared" si="694"/>
        <v>ND</v>
      </c>
      <c r="FA113" s="1" t="str">
        <f t="shared" si="694"/>
        <v>ND</v>
      </c>
      <c r="FB113" s="1" t="str">
        <f t="shared" si="694"/>
        <v>ND</v>
      </c>
      <c r="FC113" s="1" t="str">
        <f t="shared" si="694"/>
        <v>ND</v>
      </c>
      <c r="FD113" s="1" t="str">
        <f t="shared" si="694"/>
        <v>ND</v>
      </c>
      <c r="FE113" s="1" t="str">
        <f t="shared" si="694"/>
        <v>ND</v>
      </c>
      <c r="FF113" s="1" t="str">
        <f t="shared" si="694"/>
        <v>ND</v>
      </c>
      <c r="FG113" s="1" t="str">
        <f t="shared" si="694"/>
        <v>ND</v>
      </c>
      <c r="FH113" s="1" t="str">
        <f t="shared" si="694"/>
        <v>ND</v>
      </c>
      <c r="FI113" s="1" t="str">
        <f t="shared" si="694"/>
        <v>ND</v>
      </c>
      <c r="FJ113" s="1" t="str">
        <f t="shared" si="694"/>
        <v>ND</v>
      </c>
      <c r="FK113" s="1" t="str">
        <f t="shared" si="695"/>
        <v>ND</v>
      </c>
      <c r="FL113" s="1" t="str">
        <f t="shared" si="695"/>
        <v>ND</v>
      </c>
      <c r="FM113" s="1" t="str">
        <f t="shared" si="695"/>
        <v>ND</v>
      </c>
      <c r="FN113" s="1" t="str">
        <f t="shared" si="695"/>
        <v>ND</v>
      </c>
      <c r="FO113" s="1" t="str">
        <f t="shared" si="695"/>
        <v>ND</v>
      </c>
      <c r="FP113" s="1" t="str">
        <f t="shared" si="695"/>
        <v>ND</v>
      </c>
      <c r="FQ113" s="1" t="str">
        <f t="shared" si="695"/>
        <v>ND</v>
      </c>
      <c r="FR113" s="1" t="str">
        <f t="shared" si="695"/>
        <v>ND</v>
      </c>
      <c r="FS113" s="1" t="str">
        <f t="shared" si="695"/>
        <v>ND</v>
      </c>
      <c r="FT113" s="1" t="str">
        <f t="shared" si="695"/>
        <v>ND</v>
      </c>
      <c r="FU113" s="1" t="str">
        <f t="shared" si="695"/>
        <v>ND</v>
      </c>
      <c r="FV113" s="1" t="str">
        <f t="shared" si="623"/>
        <v>ND</v>
      </c>
      <c r="FW113" s="1" t="str">
        <f t="shared" si="624"/>
        <v>ND</v>
      </c>
      <c r="FX113" s="1" t="str">
        <f t="shared" si="625"/>
        <v>ND</v>
      </c>
      <c r="FY113" s="1" t="str">
        <f t="shared" si="626"/>
        <v>ND</v>
      </c>
      <c r="FZ113" s="1" t="str">
        <f t="shared" si="627"/>
        <v>ND</v>
      </c>
      <c r="GA113" s="1" t="str">
        <f t="shared" si="628"/>
        <v>ND</v>
      </c>
      <c r="GB113" s="1" t="str">
        <f t="shared" si="629"/>
        <v>ND</v>
      </c>
      <c r="GC113" s="1" t="str">
        <f t="shared" si="630"/>
        <v>ND</v>
      </c>
      <c r="GD113" s="1" t="str">
        <f t="shared" si="631"/>
        <v>ND</v>
      </c>
      <c r="GE113" s="1" t="str">
        <f t="shared" si="632"/>
        <v>ND</v>
      </c>
      <c r="GF113" s="1" t="str">
        <f t="shared" si="633"/>
        <v>ND</v>
      </c>
      <c r="GG113" s="1" t="str">
        <f t="shared" si="634"/>
        <v>ND</v>
      </c>
      <c r="GH113" s="1" t="str">
        <f t="shared" si="635"/>
        <v>ND</v>
      </c>
      <c r="GI113" s="1" t="str">
        <f t="shared" si="636"/>
        <v>ND</v>
      </c>
      <c r="GJ113" s="1" t="str">
        <f t="shared" si="637"/>
        <v>ND</v>
      </c>
      <c r="GK113" s="1" t="str">
        <f t="shared" si="638"/>
        <v>ND</v>
      </c>
      <c r="GL113" s="1" t="str">
        <f t="shared" si="639"/>
        <v>ND</v>
      </c>
      <c r="GM113" s="1" t="str">
        <f t="shared" si="640"/>
        <v>ND</v>
      </c>
      <c r="GN113" s="1" t="str">
        <f t="shared" si="641"/>
        <v>ND</v>
      </c>
      <c r="GO113" s="1" t="str">
        <f t="shared" si="642"/>
        <v>ND</v>
      </c>
      <c r="GP113" s="1" t="str">
        <f t="shared" si="643"/>
        <v>ND</v>
      </c>
      <c r="GQ113" s="1" t="str">
        <f t="shared" si="644"/>
        <v>ND</v>
      </c>
      <c r="GR113" s="1" t="str">
        <f t="shared" si="645"/>
        <v>ND</v>
      </c>
      <c r="GS113" s="1" t="str">
        <f t="shared" si="646"/>
        <v>ND</v>
      </c>
      <c r="GT113" s="1" t="str">
        <f t="shared" si="647"/>
        <v>ND</v>
      </c>
      <c r="GU113" s="1" t="str">
        <f t="shared" si="648"/>
        <v>ND</v>
      </c>
      <c r="GV113" s="1" t="str">
        <f t="shared" si="649"/>
        <v>ND</v>
      </c>
      <c r="GW113" s="1" t="str">
        <f t="shared" si="650"/>
        <v>ND</v>
      </c>
      <c r="GX113" s="1" t="str">
        <f t="shared" si="651"/>
        <v>ND</v>
      </c>
      <c r="GY113" s="1" t="str">
        <f t="shared" si="652"/>
        <v>ND</v>
      </c>
      <c r="GZ113" s="1" t="str">
        <f t="shared" si="653"/>
        <v>ND</v>
      </c>
      <c r="HA113" s="1" t="str">
        <f t="shared" si="654"/>
        <v>ND</v>
      </c>
      <c r="HB113" s="1" t="str">
        <f t="shared" si="655"/>
        <v>ND</v>
      </c>
      <c r="HC113" s="1" t="str">
        <f t="shared" si="656"/>
        <v>ND</v>
      </c>
      <c r="HD113" s="1" t="str">
        <f t="shared" si="657"/>
        <v>ND</v>
      </c>
      <c r="HE113" s="1" t="str">
        <f t="shared" si="658"/>
        <v>ND</v>
      </c>
      <c r="HF113" s="1" t="str">
        <f t="shared" si="659"/>
        <v>ND</v>
      </c>
      <c r="HG113" s="1" t="str">
        <f t="shared" si="660"/>
        <v>ND</v>
      </c>
      <c r="HH113" s="1" t="str">
        <f t="shared" si="661"/>
        <v>ND</v>
      </c>
      <c r="HI113" s="1" t="str">
        <f t="shared" si="662"/>
        <v>ND</v>
      </c>
      <c r="HJ113" s="1" t="str">
        <f t="shared" si="663"/>
        <v>ND</v>
      </c>
      <c r="HK113" s="1" t="str">
        <f t="shared" si="664"/>
        <v>ND</v>
      </c>
      <c r="HL113" s="1" t="str">
        <f t="shared" si="665"/>
        <v>ND</v>
      </c>
      <c r="HM113" s="1" t="str">
        <f t="shared" si="666"/>
        <v>ND</v>
      </c>
      <c r="HN113" s="1" t="str">
        <f t="shared" si="667"/>
        <v>ND</v>
      </c>
      <c r="HO113" s="1" t="str">
        <f t="shared" si="668"/>
        <v>ND</v>
      </c>
      <c r="HP113" s="1" t="str">
        <f t="shared" si="669"/>
        <v>ND</v>
      </c>
      <c r="HQ113" s="1" t="str">
        <f t="shared" si="670"/>
        <v>ND</v>
      </c>
      <c r="HR113" s="1" t="str">
        <f t="shared" si="671"/>
        <v>ND</v>
      </c>
      <c r="HS113" s="1" t="str">
        <f t="shared" si="672"/>
        <v>ND</v>
      </c>
      <c r="HT113" s="1" t="str">
        <f t="shared" si="673"/>
        <v>ND</v>
      </c>
      <c r="HU113" s="1" t="str">
        <f t="shared" si="674"/>
        <v>ND</v>
      </c>
      <c r="HV113" s="1" t="str">
        <f t="shared" si="675"/>
        <v>ND</v>
      </c>
      <c r="HW113" s="1" t="str">
        <f t="shared" si="676"/>
        <v>ND</v>
      </c>
      <c r="HX113" s="1" t="str">
        <f t="shared" si="677"/>
        <v>ND</v>
      </c>
      <c r="HY113" s="1" t="str">
        <f t="shared" si="678"/>
        <v>ND</v>
      </c>
      <c r="HZ113" s="1" t="str">
        <f t="shared" si="679"/>
        <v>ND</v>
      </c>
      <c r="IA113" s="1" t="str">
        <f t="shared" si="680"/>
        <v>ND</v>
      </c>
      <c r="IB113" s="1" t="str">
        <f t="shared" si="681"/>
        <v>ND</v>
      </c>
      <c r="IC113" s="1" t="str">
        <f t="shared" si="682"/>
        <v>ND</v>
      </c>
      <c r="ID113" s="1" t="str">
        <f t="shared" si="683"/>
        <v>ND</v>
      </c>
      <c r="IE113" s="1" t="str">
        <f t="shared" si="684"/>
        <v>ND</v>
      </c>
      <c r="IF113" s="1" t="str">
        <f t="shared" si="685"/>
        <v>ND</v>
      </c>
      <c r="IG113" s="1" t="str">
        <f t="shared" si="686"/>
        <v>ND</v>
      </c>
      <c r="IH113" s="1" t="str">
        <f t="shared" si="687"/>
        <v>ND</v>
      </c>
      <c r="II113" s="1" t="str">
        <f t="shared" si="688"/>
        <v>ND</v>
      </c>
    </row>
    <row r="114" spans="3:243" x14ac:dyDescent="0.25">
      <c r="C114" t="s">
        <v>35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6.55</v>
      </c>
      <c r="G114" s="1">
        <f>IFERROR(VLOOKUP($C114,EQUIPOS[],UNIFICADO!G$9,0),"")</f>
        <v>64</v>
      </c>
      <c r="H114" s="1">
        <f>IFERROR(VLOOKUP($C114,EQUIPOS[],UNIFICADO!H$9,0),"")</f>
        <v>3</v>
      </c>
      <c r="I114" s="1">
        <f>IFERROR(VLOOKUP($C114,EQUIPOS[],UNIFICADO!I$9,0),"")</f>
        <v>20</v>
      </c>
      <c r="J114" s="1" t="str">
        <f>IFERROR(VLOOKUP($C114,EQUIPOS[],UNIFICADO!J$9,0),"")</f>
        <v>256GB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2.4/1.8</v>
      </c>
      <c r="N114" s="1">
        <f>IFERROR(VLOOKUP($C114,EQUIPOS[],UNIFICADO!N$9,0),"")</f>
        <v>8</v>
      </c>
      <c r="O114" s="1">
        <f>IFERROR(VLOOKUP($C114,EQUIPOS[],UNIFICADO!O$9,0),"")</f>
        <v>159</v>
      </c>
      <c r="P114" s="1">
        <f>IFERROR(VLOOKUP($C114,EQUIPOS[],UNIFICADO!P$9,0),"")</f>
        <v>16</v>
      </c>
      <c r="Q114" s="1">
        <f>IFERROR(VLOOKUP($C114,EQUIPOS[],UNIFICADO!Q$9,0),"")</f>
        <v>7.57</v>
      </c>
      <c r="R114" s="1">
        <f>IFERROR(VLOOKUP($C114,EQUIPOS[],UNIFICADO!R$9,0),"")</f>
        <v>0.68</v>
      </c>
      <c r="S114" s="1">
        <f>IFERROR(VLOOKUP($C114,EQUIPOS[],UNIFICADO!S$9,0),"")</f>
        <v>4250</v>
      </c>
      <c r="T114" s="1">
        <f>IFERROR(VLOOKUP($C114,EQUIPOS[],UNIFICADO!T$9,0),"")</f>
        <v>5</v>
      </c>
      <c r="U114" s="1">
        <f>VLOOKUP(UNIFICADA[[#This Row],[Equipo]],EQUIPOS[],19,0)</f>
        <v>104</v>
      </c>
      <c r="V114" s="1" t="str">
        <f t="shared" si="533"/>
        <v>ND</v>
      </c>
      <c r="W114" s="1" t="str">
        <f t="shared" si="534"/>
        <v>ND</v>
      </c>
      <c r="X114" s="1" t="str">
        <f t="shared" si="689"/>
        <v>ND</v>
      </c>
      <c r="Y114" s="1" t="str">
        <f t="shared" si="689"/>
        <v>ND</v>
      </c>
      <c r="Z114" s="1" t="str">
        <f t="shared" si="690"/>
        <v>ND</v>
      </c>
      <c r="AA114" s="1" t="str">
        <f t="shared" si="690"/>
        <v>ND</v>
      </c>
      <c r="AB114" s="1" t="str">
        <f t="shared" si="690"/>
        <v>ND</v>
      </c>
      <c r="AC114" s="1" t="str">
        <f t="shared" si="690"/>
        <v>ND</v>
      </c>
      <c r="AD114" s="1" t="str">
        <f t="shared" si="690"/>
        <v>ND</v>
      </c>
      <c r="AE114" s="1" t="str">
        <f t="shared" si="690"/>
        <v>ND</v>
      </c>
      <c r="AF114" s="1" t="str">
        <f t="shared" si="690"/>
        <v>ND</v>
      </c>
      <c r="AG114" s="1" t="str">
        <f t="shared" si="690"/>
        <v>ND</v>
      </c>
      <c r="AH114" s="1" t="str">
        <f t="shared" si="690"/>
        <v>ND</v>
      </c>
      <c r="AI114" s="1" t="str">
        <f t="shared" si="535"/>
        <v>ND</v>
      </c>
      <c r="AJ114" s="1" t="str">
        <f t="shared" si="536"/>
        <v>ND</v>
      </c>
      <c r="AK114" s="1" t="str">
        <f t="shared" si="537"/>
        <v>ND</v>
      </c>
      <c r="AL114" s="1" t="str">
        <f t="shared" si="538"/>
        <v>ND</v>
      </c>
      <c r="AM114" s="1" t="str">
        <f t="shared" si="539"/>
        <v>ND</v>
      </c>
      <c r="AN114" s="1" t="str">
        <f t="shared" si="540"/>
        <v>ND</v>
      </c>
      <c r="AO114" s="1" t="str">
        <f t="shared" si="541"/>
        <v>ND</v>
      </c>
      <c r="AP114" s="1" t="str">
        <f t="shared" si="542"/>
        <v>ND</v>
      </c>
      <c r="AQ114" s="1" t="str">
        <f t="shared" si="543"/>
        <v>ND</v>
      </c>
      <c r="AR114" s="1" t="str">
        <f t="shared" si="544"/>
        <v>ND</v>
      </c>
      <c r="AS114" s="1" t="str">
        <f t="shared" si="545"/>
        <v>ND</v>
      </c>
      <c r="AT114" s="1" t="str">
        <f t="shared" si="546"/>
        <v>ND</v>
      </c>
      <c r="AU114" s="1" t="str">
        <f t="shared" si="547"/>
        <v>ND</v>
      </c>
      <c r="AV114" s="1" t="str">
        <f t="shared" si="548"/>
        <v>ND</v>
      </c>
      <c r="AW114" s="1" t="str">
        <f t="shared" si="549"/>
        <v>ND</v>
      </c>
      <c r="AX114" s="1" t="str">
        <f t="shared" si="550"/>
        <v>ND</v>
      </c>
      <c r="AY114" s="1" t="str">
        <f t="shared" si="551"/>
        <v>ND</v>
      </c>
      <c r="AZ114" s="1" t="str">
        <f t="shared" si="552"/>
        <v>ND</v>
      </c>
      <c r="BA114" s="1" t="str">
        <f t="shared" si="553"/>
        <v>ND</v>
      </c>
      <c r="BB114" s="1" t="str">
        <f t="shared" si="554"/>
        <v>ND</v>
      </c>
      <c r="BC114" s="1" t="str">
        <f t="shared" si="555"/>
        <v>ND</v>
      </c>
      <c r="BD114" s="1" t="str">
        <f t="shared" si="556"/>
        <v>ND</v>
      </c>
      <c r="BE114" s="1" t="str">
        <f t="shared" si="557"/>
        <v>ND</v>
      </c>
      <c r="BF114" s="1" t="str">
        <f t="shared" si="558"/>
        <v>ND</v>
      </c>
      <c r="BG114" s="1" t="str">
        <f t="shared" si="559"/>
        <v>ND</v>
      </c>
      <c r="BH114" s="1" t="str">
        <f t="shared" si="560"/>
        <v>ND</v>
      </c>
      <c r="BI114" s="1" t="str">
        <f t="shared" si="561"/>
        <v>ND</v>
      </c>
      <c r="BJ114" s="1" t="str">
        <f t="shared" si="562"/>
        <v>ND</v>
      </c>
      <c r="BK114" s="1" t="str">
        <f t="shared" si="563"/>
        <v>ND</v>
      </c>
      <c r="BL114" s="1" t="str">
        <f t="shared" si="564"/>
        <v>ND</v>
      </c>
      <c r="BM114" s="1" t="str">
        <f t="shared" si="565"/>
        <v>ND</v>
      </c>
      <c r="BN114" s="1" t="str">
        <f t="shared" si="566"/>
        <v>ND</v>
      </c>
      <c r="BO114" s="1" t="str">
        <f t="shared" si="567"/>
        <v>ND</v>
      </c>
      <c r="BP114" s="1" t="str">
        <f t="shared" si="568"/>
        <v>ND</v>
      </c>
      <c r="BQ114" s="1" t="str">
        <f t="shared" si="569"/>
        <v>ND</v>
      </c>
      <c r="BR114" s="1" t="str">
        <f t="shared" si="570"/>
        <v>ND</v>
      </c>
      <c r="BS114" s="1" t="str">
        <f t="shared" si="571"/>
        <v>ND</v>
      </c>
      <c r="BT114" s="1" t="str">
        <f t="shared" si="572"/>
        <v>ND</v>
      </c>
      <c r="BU114" s="1" t="str">
        <f t="shared" si="573"/>
        <v>ND</v>
      </c>
      <c r="BV114" s="1" t="str">
        <f t="shared" si="574"/>
        <v>ND</v>
      </c>
      <c r="BW114" s="1" t="str">
        <f t="shared" si="575"/>
        <v>ND</v>
      </c>
      <c r="BX114" s="1" t="str">
        <f t="shared" si="576"/>
        <v>ND</v>
      </c>
      <c r="BY114" s="1" t="str">
        <f t="shared" si="577"/>
        <v>ND</v>
      </c>
      <c r="BZ114" s="1" t="str">
        <f t="shared" si="578"/>
        <v>ND</v>
      </c>
      <c r="CA114" s="1" t="str">
        <f t="shared" si="691"/>
        <v>ND</v>
      </c>
      <c r="CB114" s="1" t="str">
        <f t="shared" si="691"/>
        <v>ND</v>
      </c>
      <c r="CC114" s="1" t="str">
        <f t="shared" si="691"/>
        <v>ND</v>
      </c>
      <c r="CD114" s="1" t="str">
        <f t="shared" si="691"/>
        <v>ND</v>
      </c>
      <c r="CE114" s="1" t="str">
        <f t="shared" si="691"/>
        <v>ND</v>
      </c>
      <c r="CF114" s="1" t="str">
        <f t="shared" si="691"/>
        <v>ND</v>
      </c>
      <c r="CG114" s="1" t="str">
        <f t="shared" si="691"/>
        <v>ND</v>
      </c>
      <c r="CH114" s="1" t="str">
        <f t="shared" si="691"/>
        <v>ND</v>
      </c>
      <c r="CI114" s="1" t="str">
        <f t="shared" si="691"/>
        <v>ND</v>
      </c>
      <c r="CJ114" s="1" t="str">
        <f t="shared" si="691"/>
        <v>ND</v>
      </c>
      <c r="CK114" s="1" t="str">
        <f t="shared" si="691"/>
        <v>ND</v>
      </c>
      <c r="CL114" s="1" t="str">
        <f t="shared" si="692"/>
        <v>ND</v>
      </c>
      <c r="CM114" s="1" t="str">
        <f t="shared" si="692"/>
        <v>ND</v>
      </c>
      <c r="CN114" s="1" t="str">
        <f t="shared" si="692"/>
        <v>ND</v>
      </c>
      <c r="CO114" s="1" t="str">
        <f t="shared" si="692"/>
        <v>ND</v>
      </c>
      <c r="CP114" s="1" t="str">
        <f t="shared" si="692"/>
        <v>ND</v>
      </c>
      <c r="CQ114" s="1" t="str">
        <f t="shared" si="692"/>
        <v>ND</v>
      </c>
      <c r="CR114" s="1" t="str">
        <f t="shared" si="692"/>
        <v>ND</v>
      </c>
      <c r="CS114" s="1" t="str">
        <f t="shared" si="692"/>
        <v>ND</v>
      </c>
      <c r="CT114" s="1" t="str">
        <f t="shared" si="692"/>
        <v>ND</v>
      </c>
      <c r="CU114" s="1" t="str">
        <f t="shared" si="692"/>
        <v>ND</v>
      </c>
      <c r="CV114" s="1" t="str">
        <f t="shared" si="692"/>
        <v>ND</v>
      </c>
      <c r="CW114" s="1" t="str">
        <f t="shared" si="579"/>
        <v>ND</v>
      </c>
      <c r="CX114" s="1" t="str">
        <f t="shared" si="580"/>
        <v>ND</v>
      </c>
      <c r="CY114" s="1" t="str">
        <f t="shared" si="581"/>
        <v>ND</v>
      </c>
      <c r="CZ114" s="1" t="str">
        <f t="shared" si="582"/>
        <v>ND</v>
      </c>
      <c r="DA114" s="1" t="str">
        <f t="shared" si="583"/>
        <v>ND</v>
      </c>
      <c r="DB114" s="1" t="str">
        <f t="shared" si="584"/>
        <v>ND</v>
      </c>
      <c r="DC114" s="1" t="str">
        <f t="shared" si="585"/>
        <v>ND</v>
      </c>
      <c r="DD114" s="1" t="str">
        <f t="shared" si="586"/>
        <v>ND</v>
      </c>
      <c r="DE114" s="1" t="str">
        <f t="shared" si="587"/>
        <v>ND</v>
      </c>
      <c r="DF114" s="1" t="str">
        <f t="shared" si="588"/>
        <v>ND</v>
      </c>
      <c r="DG114" s="1" t="str">
        <f t="shared" si="589"/>
        <v>ND</v>
      </c>
      <c r="DH114" s="1" t="str">
        <f t="shared" si="590"/>
        <v>ND</v>
      </c>
      <c r="DI114" s="1" t="str">
        <f t="shared" si="591"/>
        <v>ND</v>
      </c>
      <c r="DJ114" s="1" t="str">
        <f t="shared" si="592"/>
        <v>ND</v>
      </c>
      <c r="DK114" s="1" t="str">
        <f t="shared" si="593"/>
        <v>ND</v>
      </c>
      <c r="DL114" s="1" t="str">
        <f t="shared" si="594"/>
        <v>ND</v>
      </c>
      <c r="DM114" s="1" t="str">
        <f t="shared" si="595"/>
        <v>ND</v>
      </c>
      <c r="DN114" s="1" t="str">
        <f t="shared" si="596"/>
        <v>ND</v>
      </c>
      <c r="DO114" s="1" t="str">
        <f t="shared" si="597"/>
        <v>ND</v>
      </c>
      <c r="DP114" s="1" t="str">
        <f t="shared" si="598"/>
        <v>ND</v>
      </c>
      <c r="DQ114" s="1" t="str">
        <f t="shared" si="599"/>
        <v>ND</v>
      </c>
      <c r="DR114" s="1" t="str">
        <f t="shared" si="600"/>
        <v>ND</v>
      </c>
      <c r="DS114" s="1" t="str">
        <f t="shared" si="601"/>
        <v>ND</v>
      </c>
      <c r="DT114" s="1" t="str">
        <f t="shared" si="602"/>
        <v>ND</v>
      </c>
      <c r="DU114" s="1" t="str">
        <f t="shared" si="603"/>
        <v>ND</v>
      </c>
      <c r="DV114" s="1" t="str">
        <f t="shared" si="604"/>
        <v>ND</v>
      </c>
      <c r="DW114" s="1" t="str">
        <f t="shared" si="605"/>
        <v>ND</v>
      </c>
      <c r="DX114" s="1" t="str">
        <f t="shared" si="606"/>
        <v>ND</v>
      </c>
      <c r="DY114" s="1" t="str">
        <f t="shared" si="607"/>
        <v>ND</v>
      </c>
      <c r="DZ114" s="1" t="str">
        <f t="shared" si="608"/>
        <v>ND</v>
      </c>
      <c r="EA114" s="1" t="str">
        <f t="shared" si="609"/>
        <v>ND</v>
      </c>
      <c r="EB114" s="1" t="str">
        <f t="shared" si="610"/>
        <v>ND</v>
      </c>
      <c r="EC114" s="1" t="str">
        <f t="shared" si="611"/>
        <v>ND</v>
      </c>
      <c r="ED114" s="1" t="str">
        <f t="shared" si="612"/>
        <v>ND</v>
      </c>
      <c r="EE114" s="1" t="str">
        <f t="shared" si="613"/>
        <v>ND</v>
      </c>
      <c r="EF114" s="1" t="str">
        <f t="shared" si="614"/>
        <v>ND</v>
      </c>
      <c r="EG114" s="1" t="str">
        <f t="shared" si="615"/>
        <v>ND</v>
      </c>
      <c r="EH114" s="1" t="str">
        <f t="shared" si="616"/>
        <v>ND</v>
      </c>
      <c r="EI114" s="1" t="str">
        <f t="shared" si="617"/>
        <v>ND</v>
      </c>
      <c r="EJ114" s="1" t="str">
        <f t="shared" si="618"/>
        <v>ND</v>
      </c>
      <c r="EK114" s="1" t="str">
        <f t="shared" si="619"/>
        <v>ND</v>
      </c>
      <c r="EL114" s="1" t="str">
        <f t="shared" si="620"/>
        <v>ND</v>
      </c>
      <c r="EM114" s="1" t="str">
        <f t="shared" si="621"/>
        <v>ND</v>
      </c>
      <c r="EN114" s="1" t="str">
        <f t="shared" si="622"/>
        <v>ND</v>
      </c>
      <c r="EO114" s="1" t="str">
        <f t="shared" si="693"/>
        <v>ND</v>
      </c>
      <c r="EP114" s="1" t="str">
        <f t="shared" si="693"/>
        <v>ND</v>
      </c>
      <c r="EQ114" s="1" t="str">
        <f t="shared" si="693"/>
        <v>ND</v>
      </c>
      <c r="ER114" s="1" t="str">
        <f t="shared" si="693"/>
        <v>ND</v>
      </c>
      <c r="ES114" s="1" t="str">
        <f t="shared" si="693"/>
        <v>ND</v>
      </c>
      <c r="ET114" s="1" t="str">
        <f t="shared" si="693"/>
        <v>ND</v>
      </c>
      <c r="EU114" s="1" t="str">
        <f t="shared" si="693"/>
        <v>ND</v>
      </c>
      <c r="EV114" s="1" t="str">
        <f t="shared" si="693"/>
        <v>ND</v>
      </c>
      <c r="EW114" s="1" t="str">
        <f t="shared" si="693"/>
        <v>ND</v>
      </c>
      <c r="EX114" s="1" t="str">
        <f t="shared" si="693"/>
        <v>ND</v>
      </c>
      <c r="EY114" s="1" t="str">
        <f t="shared" si="693"/>
        <v>ND</v>
      </c>
      <c r="EZ114" s="1" t="str">
        <f t="shared" si="694"/>
        <v>ND</v>
      </c>
      <c r="FA114" s="1" t="str">
        <f t="shared" si="694"/>
        <v>ND</v>
      </c>
      <c r="FB114" s="1" t="str">
        <f t="shared" si="694"/>
        <v>ND</v>
      </c>
      <c r="FC114" s="1" t="str">
        <f t="shared" si="694"/>
        <v>ND</v>
      </c>
      <c r="FD114" s="1" t="str">
        <f t="shared" si="694"/>
        <v>ND</v>
      </c>
      <c r="FE114" s="1" t="str">
        <f t="shared" si="694"/>
        <v>ND</v>
      </c>
      <c r="FF114" s="1" t="str">
        <f t="shared" si="694"/>
        <v>ND</v>
      </c>
      <c r="FG114" s="1" t="str">
        <f t="shared" si="694"/>
        <v>ND</v>
      </c>
      <c r="FH114" s="1" t="str">
        <f t="shared" si="694"/>
        <v>ND</v>
      </c>
      <c r="FI114" s="1" t="str">
        <f t="shared" si="694"/>
        <v>ND</v>
      </c>
      <c r="FJ114" s="1" t="str">
        <f t="shared" si="694"/>
        <v>ND</v>
      </c>
      <c r="FK114" s="1" t="str">
        <f t="shared" si="695"/>
        <v>ND</v>
      </c>
      <c r="FL114" s="1" t="str">
        <f t="shared" si="695"/>
        <v>ND</v>
      </c>
      <c r="FM114" s="1" t="str">
        <f t="shared" si="695"/>
        <v>ND</v>
      </c>
      <c r="FN114" s="1" t="str">
        <f t="shared" si="695"/>
        <v>ND</v>
      </c>
      <c r="FO114" s="1" t="str">
        <f t="shared" si="695"/>
        <v>ND</v>
      </c>
      <c r="FP114" s="1" t="str">
        <f t="shared" si="695"/>
        <v>ND</v>
      </c>
      <c r="FQ114" s="1" t="str">
        <f t="shared" si="695"/>
        <v>ND</v>
      </c>
      <c r="FR114" s="1" t="str">
        <f t="shared" si="695"/>
        <v>ND</v>
      </c>
      <c r="FS114" s="1" t="str">
        <f t="shared" si="695"/>
        <v>ND</v>
      </c>
      <c r="FT114" s="1" t="str">
        <f t="shared" si="695"/>
        <v>ND</v>
      </c>
      <c r="FU114" s="1" t="str">
        <f t="shared" si="695"/>
        <v>ND</v>
      </c>
      <c r="FV114" s="1" t="str">
        <f t="shared" si="623"/>
        <v>ND</v>
      </c>
      <c r="FW114" s="1" t="str">
        <f t="shared" si="624"/>
        <v>ND</v>
      </c>
      <c r="FX114" s="1" t="str">
        <f t="shared" si="625"/>
        <v>ND</v>
      </c>
      <c r="FY114" s="1" t="str">
        <f t="shared" si="626"/>
        <v>ND</v>
      </c>
      <c r="FZ114" s="1" t="str">
        <f t="shared" si="627"/>
        <v>ND</v>
      </c>
      <c r="GA114" s="1" t="str">
        <f t="shared" si="628"/>
        <v>ND</v>
      </c>
      <c r="GB114" s="1" t="str">
        <f t="shared" si="629"/>
        <v>ND</v>
      </c>
      <c r="GC114" s="1" t="str">
        <f t="shared" si="630"/>
        <v>ND</v>
      </c>
      <c r="GD114" s="1" t="str">
        <f t="shared" si="631"/>
        <v>ND</v>
      </c>
      <c r="GE114" s="1" t="str">
        <f t="shared" si="632"/>
        <v>ND</v>
      </c>
      <c r="GF114" s="1" t="str">
        <f t="shared" si="633"/>
        <v>ND</v>
      </c>
      <c r="GG114" s="1" t="str">
        <f t="shared" si="634"/>
        <v>ND</v>
      </c>
      <c r="GH114" s="1" t="str">
        <f t="shared" si="635"/>
        <v>ND</v>
      </c>
      <c r="GI114" s="1" t="str">
        <f t="shared" si="636"/>
        <v>ND</v>
      </c>
      <c r="GJ114" s="1" t="str">
        <f t="shared" si="637"/>
        <v>ND</v>
      </c>
      <c r="GK114" s="1" t="str">
        <f t="shared" si="638"/>
        <v>ND</v>
      </c>
      <c r="GL114" s="1" t="str">
        <f t="shared" si="639"/>
        <v>ND</v>
      </c>
      <c r="GM114" s="1" t="str">
        <f t="shared" si="640"/>
        <v>ND</v>
      </c>
      <c r="GN114" s="1" t="str">
        <f t="shared" si="641"/>
        <v>ND</v>
      </c>
      <c r="GO114" s="1" t="str">
        <f t="shared" si="642"/>
        <v>ND</v>
      </c>
      <c r="GP114" s="1" t="str">
        <f t="shared" si="643"/>
        <v>ND</v>
      </c>
      <c r="GQ114" s="1" t="str">
        <f t="shared" si="644"/>
        <v>ND</v>
      </c>
      <c r="GR114" s="1" t="str">
        <f t="shared" si="645"/>
        <v>ND</v>
      </c>
      <c r="GS114" s="1" t="str">
        <f t="shared" si="646"/>
        <v>ND</v>
      </c>
      <c r="GT114" s="1" t="str">
        <f t="shared" si="647"/>
        <v>ND</v>
      </c>
      <c r="GU114" s="1" t="str">
        <f t="shared" si="648"/>
        <v>ND</v>
      </c>
      <c r="GV114" s="1" t="str">
        <f t="shared" si="649"/>
        <v>ND</v>
      </c>
      <c r="GW114" s="1" t="str">
        <f t="shared" si="650"/>
        <v>ND</v>
      </c>
      <c r="GX114" s="1" t="str">
        <f t="shared" si="651"/>
        <v>ND</v>
      </c>
      <c r="GY114" s="1" t="str">
        <f t="shared" si="652"/>
        <v>ND</v>
      </c>
      <c r="GZ114" s="1" t="str">
        <f t="shared" si="653"/>
        <v>ND</v>
      </c>
      <c r="HA114" s="1" t="str">
        <f t="shared" si="654"/>
        <v>ND</v>
      </c>
      <c r="HB114" s="1" t="str">
        <f t="shared" si="655"/>
        <v>ND</v>
      </c>
      <c r="HC114" s="1" t="str">
        <f t="shared" si="656"/>
        <v>ND</v>
      </c>
      <c r="HD114" s="1" t="str">
        <f t="shared" si="657"/>
        <v>ND</v>
      </c>
      <c r="HE114" s="1" t="str">
        <f t="shared" si="658"/>
        <v>ND</v>
      </c>
      <c r="HF114" s="1" t="str">
        <f t="shared" si="659"/>
        <v>ND</v>
      </c>
      <c r="HG114" s="1" t="str">
        <f t="shared" si="660"/>
        <v>ND</v>
      </c>
      <c r="HH114" s="1" t="str">
        <f t="shared" si="661"/>
        <v>ND</v>
      </c>
      <c r="HI114" s="1" t="str">
        <f t="shared" si="662"/>
        <v>ND</v>
      </c>
      <c r="HJ114" s="1" t="str">
        <f t="shared" si="663"/>
        <v>ND</v>
      </c>
      <c r="HK114" s="1" t="str">
        <f t="shared" si="664"/>
        <v>ND</v>
      </c>
      <c r="HL114" s="1" t="str">
        <f t="shared" si="665"/>
        <v>ND</v>
      </c>
      <c r="HM114" s="1" t="str">
        <f t="shared" si="666"/>
        <v>ND</v>
      </c>
      <c r="HN114" s="1" t="str">
        <f t="shared" si="667"/>
        <v>ND</v>
      </c>
      <c r="HO114" s="1" t="str">
        <f t="shared" si="668"/>
        <v>ND</v>
      </c>
      <c r="HP114" s="1" t="str">
        <f t="shared" si="669"/>
        <v>ND</v>
      </c>
      <c r="HQ114" s="1" t="str">
        <f t="shared" si="670"/>
        <v>ND</v>
      </c>
      <c r="HR114" s="1" t="str">
        <f t="shared" si="671"/>
        <v>ND</v>
      </c>
      <c r="HS114" s="1" t="str">
        <f t="shared" si="672"/>
        <v>ND</v>
      </c>
      <c r="HT114" s="1" t="str">
        <f t="shared" si="673"/>
        <v>ND</v>
      </c>
      <c r="HU114" s="1" t="str">
        <f t="shared" si="674"/>
        <v>ND</v>
      </c>
      <c r="HV114" s="1" t="str">
        <f t="shared" si="675"/>
        <v>ND</v>
      </c>
      <c r="HW114" s="1" t="str">
        <f t="shared" si="676"/>
        <v>ND</v>
      </c>
      <c r="HX114" s="1" t="str">
        <f t="shared" si="677"/>
        <v>ND</v>
      </c>
      <c r="HY114" s="1" t="str">
        <f t="shared" si="678"/>
        <v>ND</v>
      </c>
      <c r="HZ114" s="1" t="str">
        <f t="shared" si="679"/>
        <v>ND</v>
      </c>
      <c r="IA114" s="1" t="str">
        <f t="shared" si="680"/>
        <v>ND</v>
      </c>
      <c r="IB114" s="1" t="str">
        <f t="shared" si="681"/>
        <v>ND</v>
      </c>
      <c r="IC114" s="1" t="str">
        <f t="shared" si="682"/>
        <v>ND</v>
      </c>
      <c r="ID114" s="1" t="str">
        <f t="shared" si="683"/>
        <v>ND</v>
      </c>
      <c r="IE114" s="1" t="str">
        <f t="shared" si="684"/>
        <v>ND</v>
      </c>
      <c r="IF114" s="1" t="str">
        <f t="shared" si="685"/>
        <v>ND</v>
      </c>
      <c r="IG114" s="1" t="str">
        <f t="shared" si="686"/>
        <v>ND</v>
      </c>
      <c r="IH114" s="1" t="str">
        <f t="shared" si="687"/>
        <v>ND</v>
      </c>
      <c r="II114" s="1" t="str">
        <f t="shared" si="688"/>
        <v>ND</v>
      </c>
    </row>
    <row r="115" spans="3:243" x14ac:dyDescent="0.25">
      <c r="C115" t="s">
        <v>36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6.67</v>
      </c>
      <c r="G115" s="1">
        <f>IFERROR(VLOOKUP($C115,EQUIPOS[],UNIFICADO!G$9,0),"")</f>
        <v>108</v>
      </c>
      <c r="H115" s="1">
        <f>IFERROR(VLOOKUP($C115,EQUIPOS[],UNIFICADO!H$9,0),"")</f>
        <v>3</v>
      </c>
      <c r="I115" s="1">
        <f>IFERROR(VLOOKUP($C115,EQUIPOS[],UNIFICADO!I$9,0),"")</f>
        <v>16</v>
      </c>
      <c r="J115" s="1" t="str">
        <f>IFERROR(VLOOKUP($C115,EQUIPOS[],UNIFICADO!J$9,0),"")</f>
        <v>256GB</v>
      </c>
      <c r="K115" s="1">
        <f>IFERROR(VLOOKUP($C115,EQUIPOS[],UNIFICADO!K$9,0),"")</f>
        <v>0</v>
      </c>
      <c r="L115" s="1">
        <f>IFERROR(VLOOKUP($C115,EQUIPOS[],UNIFICADO!L$9,0),"")</f>
        <v>8</v>
      </c>
      <c r="M115" s="1" t="str">
        <f>IFERROR(VLOOKUP($C115,EQUIPOS[],UNIFICADO!M$9,0),"")</f>
        <v>3.0/2.6/2.0</v>
      </c>
      <c r="N115" s="1">
        <f>IFERROR(VLOOKUP($C115,EQUIPOS[],UNIFICADO!N$9,0),"")</f>
        <v>8</v>
      </c>
      <c r="O115" s="1">
        <f>IFERROR(VLOOKUP($C115,EQUIPOS[],UNIFICADO!O$9,0),"")</f>
        <v>203</v>
      </c>
      <c r="P115" s="1">
        <f>IFERROR(VLOOKUP($C115,EQUIPOS[],UNIFICADO!P$9,0),"")</f>
        <v>16.399999999999999</v>
      </c>
      <c r="Q115" s="1">
        <f>IFERROR(VLOOKUP($C115,EQUIPOS[],UNIFICADO!Q$9,0),"")</f>
        <v>7.69</v>
      </c>
      <c r="R115" s="1">
        <f>IFERROR(VLOOKUP($C115,EQUIPOS[],UNIFICADO!R$9,0),"")</f>
        <v>0.88</v>
      </c>
      <c r="S115" s="1">
        <f>IFERROR(VLOOKUP($C115,EQUIPOS[],UNIFICADO!S$9,0),"")</f>
        <v>5000</v>
      </c>
      <c r="T115" s="1">
        <f>IFERROR(VLOOKUP($C115,EQUIPOS[],UNIFICADO!T$9,0),"")</f>
        <v>5</v>
      </c>
      <c r="U115" s="1">
        <f>VLOOKUP(UNIFICADA[[#This Row],[Equipo]],EQUIPOS[],19,0)</f>
        <v>105</v>
      </c>
      <c r="V115" s="1" t="str">
        <f t="shared" si="533"/>
        <v>ND</v>
      </c>
      <c r="W115" s="1" t="str">
        <f t="shared" si="534"/>
        <v>ND</v>
      </c>
      <c r="X115" s="1" t="str">
        <f t="shared" si="689"/>
        <v>ND</v>
      </c>
      <c r="Y115" s="1" t="str">
        <f t="shared" si="689"/>
        <v>ND</v>
      </c>
      <c r="Z115" s="1" t="str">
        <f t="shared" si="690"/>
        <v>ND</v>
      </c>
      <c r="AA115" s="1" t="str">
        <f t="shared" si="690"/>
        <v>ND</v>
      </c>
      <c r="AB115" s="1" t="str">
        <f t="shared" si="690"/>
        <v>ND</v>
      </c>
      <c r="AC115" s="1" t="str">
        <f t="shared" si="690"/>
        <v>ND</v>
      </c>
      <c r="AD115" s="1" t="str">
        <f t="shared" si="690"/>
        <v>ND</v>
      </c>
      <c r="AE115" s="1" t="str">
        <f t="shared" si="690"/>
        <v>ND</v>
      </c>
      <c r="AF115" s="1" t="str">
        <f t="shared" si="690"/>
        <v>ND</v>
      </c>
      <c r="AG115" s="1" t="str">
        <f t="shared" si="690"/>
        <v>ND</v>
      </c>
      <c r="AH115" s="1" t="str">
        <f t="shared" si="690"/>
        <v>ND</v>
      </c>
      <c r="AI115" s="1" t="str">
        <f t="shared" si="535"/>
        <v>ND</v>
      </c>
      <c r="AJ115" s="1" t="str">
        <f t="shared" si="536"/>
        <v>ND</v>
      </c>
      <c r="AK115" s="1" t="str">
        <f t="shared" si="537"/>
        <v>ND</v>
      </c>
      <c r="AL115" s="1" t="str">
        <f t="shared" si="538"/>
        <v>ND</v>
      </c>
      <c r="AM115" s="1" t="str">
        <f t="shared" si="539"/>
        <v>ND</v>
      </c>
      <c r="AN115" s="1" t="str">
        <f t="shared" si="540"/>
        <v>ND</v>
      </c>
      <c r="AO115" s="1" t="str">
        <f t="shared" si="541"/>
        <v>ND</v>
      </c>
      <c r="AP115" s="1" t="str">
        <f t="shared" si="542"/>
        <v>ND</v>
      </c>
      <c r="AQ115" s="1" t="str">
        <f t="shared" si="543"/>
        <v>ND</v>
      </c>
      <c r="AR115" s="1" t="str">
        <f t="shared" si="544"/>
        <v>ND</v>
      </c>
      <c r="AS115" s="1" t="str">
        <f t="shared" si="545"/>
        <v>ND</v>
      </c>
      <c r="AT115" s="1" t="str">
        <f t="shared" si="546"/>
        <v>ND</v>
      </c>
      <c r="AU115" s="1" t="str">
        <f t="shared" si="547"/>
        <v>ND</v>
      </c>
      <c r="AV115" s="1" t="str">
        <f t="shared" si="548"/>
        <v>ND</v>
      </c>
      <c r="AW115" s="1" t="str">
        <f t="shared" si="549"/>
        <v>ND</v>
      </c>
      <c r="AX115" s="1" t="str">
        <f t="shared" si="550"/>
        <v>ND</v>
      </c>
      <c r="AY115" s="1" t="str">
        <f t="shared" si="551"/>
        <v>ND</v>
      </c>
      <c r="AZ115" s="1" t="str">
        <f t="shared" si="552"/>
        <v>ND</v>
      </c>
      <c r="BA115" s="1" t="str">
        <f t="shared" si="553"/>
        <v>ND</v>
      </c>
      <c r="BB115" s="1" t="str">
        <f t="shared" si="554"/>
        <v>ND</v>
      </c>
      <c r="BC115" s="1" t="str">
        <f t="shared" si="555"/>
        <v>ND</v>
      </c>
      <c r="BD115" s="1" t="str">
        <f t="shared" si="556"/>
        <v>ND</v>
      </c>
      <c r="BE115" s="1" t="str">
        <f t="shared" si="557"/>
        <v>ND</v>
      </c>
      <c r="BF115" s="1" t="str">
        <f t="shared" si="558"/>
        <v>ND</v>
      </c>
      <c r="BG115" s="1" t="str">
        <f t="shared" si="559"/>
        <v>ND</v>
      </c>
      <c r="BH115" s="1" t="str">
        <f t="shared" si="560"/>
        <v>ND</v>
      </c>
      <c r="BI115" s="1" t="str">
        <f t="shared" si="561"/>
        <v>ND</v>
      </c>
      <c r="BJ115" s="1" t="str">
        <f t="shared" si="562"/>
        <v>ND</v>
      </c>
      <c r="BK115" s="1" t="str">
        <f t="shared" si="563"/>
        <v>ND</v>
      </c>
      <c r="BL115" s="1" t="str">
        <f t="shared" si="564"/>
        <v>ND</v>
      </c>
      <c r="BM115" s="1" t="str">
        <f t="shared" si="565"/>
        <v>ND</v>
      </c>
      <c r="BN115" s="1" t="str">
        <f t="shared" si="566"/>
        <v>ND</v>
      </c>
      <c r="BO115" s="1" t="str">
        <f t="shared" si="567"/>
        <v>ND</v>
      </c>
      <c r="BP115" s="1" t="str">
        <f t="shared" si="568"/>
        <v>ND</v>
      </c>
      <c r="BQ115" s="1" t="str">
        <f t="shared" si="569"/>
        <v>ND</v>
      </c>
      <c r="BR115" s="1" t="str">
        <f t="shared" si="570"/>
        <v>ND</v>
      </c>
      <c r="BS115" s="1" t="str">
        <f t="shared" si="571"/>
        <v>ND</v>
      </c>
      <c r="BT115" s="1" t="str">
        <f t="shared" si="572"/>
        <v>ND</v>
      </c>
      <c r="BU115" s="1" t="str">
        <f t="shared" si="573"/>
        <v>ND</v>
      </c>
      <c r="BV115" s="1" t="str">
        <f t="shared" si="574"/>
        <v>ND</v>
      </c>
      <c r="BW115" s="1" t="str">
        <f t="shared" si="575"/>
        <v>ND</v>
      </c>
      <c r="BX115" s="1" t="str">
        <f t="shared" si="576"/>
        <v>ND</v>
      </c>
      <c r="BY115" s="1" t="str">
        <f t="shared" si="577"/>
        <v>ND</v>
      </c>
      <c r="BZ115" s="1" t="str">
        <f t="shared" si="578"/>
        <v>ND</v>
      </c>
      <c r="CA115" s="1" t="str">
        <f t="shared" si="691"/>
        <v>ND</v>
      </c>
      <c r="CB115" s="1" t="str">
        <f t="shared" si="691"/>
        <v>ND</v>
      </c>
      <c r="CC115" s="1" t="str">
        <f t="shared" si="691"/>
        <v>ND</v>
      </c>
      <c r="CD115" s="1" t="str">
        <f t="shared" si="691"/>
        <v>ND</v>
      </c>
      <c r="CE115" s="1" t="str">
        <f t="shared" si="691"/>
        <v>ND</v>
      </c>
      <c r="CF115" s="1" t="str">
        <f t="shared" si="691"/>
        <v>ND</v>
      </c>
      <c r="CG115" s="1" t="str">
        <f t="shared" si="691"/>
        <v>ND</v>
      </c>
      <c r="CH115" s="1" t="str">
        <f t="shared" si="691"/>
        <v>ND</v>
      </c>
      <c r="CI115" s="1" t="str">
        <f t="shared" si="691"/>
        <v>ND</v>
      </c>
      <c r="CJ115" s="1" t="str">
        <f t="shared" si="691"/>
        <v>ND</v>
      </c>
      <c r="CK115" s="1" t="str">
        <f t="shared" si="691"/>
        <v>ND</v>
      </c>
      <c r="CL115" s="1" t="str">
        <f t="shared" si="692"/>
        <v>ND</v>
      </c>
      <c r="CM115" s="1" t="str">
        <f t="shared" si="692"/>
        <v>ND</v>
      </c>
      <c r="CN115" s="1" t="str">
        <f t="shared" si="692"/>
        <v>ND</v>
      </c>
      <c r="CO115" s="1" t="str">
        <f t="shared" si="692"/>
        <v>ND</v>
      </c>
      <c r="CP115" s="1" t="str">
        <f t="shared" si="692"/>
        <v>ND</v>
      </c>
      <c r="CQ115" s="1" t="str">
        <f t="shared" si="692"/>
        <v>ND</v>
      </c>
      <c r="CR115" s="1" t="str">
        <f t="shared" si="692"/>
        <v>ND</v>
      </c>
      <c r="CS115" s="1" t="str">
        <f t="shared" si="692"/>
        <v>ND</v>
      </c>
      <c r="CT115" s="1" t="str">
        <f t="shared" si="692"/>
        <v>ND</v>
      </c>
      <c r="CU115" s="1" t="str">
        <f t="shared" si="692"/>
        <v>ND</v>
      </c>
      <c r="CV115" s="1" t="str">
        <f t="shared" si="692"/>
        <v>ND</v>
      </c>
      <c r="CW115" s="1" t="str">
        <f t="shared" si="579"/>
        <v>ND</v>
      </c>
      <c r="CX115" s="1" t="str">
        <f t="shared" si="580"/>
        <v>ND</v>
      </c>
      <c r="CY115" s="1" t="str">
        <f t="shared" si="581"/>
        <v>ND</v>
      </c>
      <c r="CZ115" s="1" t="str">
        <f t="shared" si="582"/>
        <v>ND</v>
      </c>
      <c r="DA115" s="1" t="str">
        <f t="shared" si="583"/>
        <v>ND</v>
      </c>
      <c r="DB115" s="1" t="str">
        <f t="shared" si="584"/>
        <v>ND</v>
      </c>
      <c r="DC115" s="1" t="str">
        <f t="shared" si="585"/>
        <v>ND</v>
      </c>
      <c r="DD115" s="1" t="str">
        <f t="shared" si="586"/>
        <v>ND</v>
      </c>
      <c r="DE115" s="1" t="str">
        <f t="shared" si="587"/>
        <v>ND</v>
      </c>
      <c r="DF115" s="1" t="str">
        <f t="shared" si="588"/>
        <v>ND</v>
      </c>
      <c r="DG115" s="1" t="str">
        <f t="shared" si="589"/>
        <v>ND</v>
      </c>
      <c r="DH115" s="1" t="str">
        <f t="shared" si="590"/>
        <v>ND</v>
      </c>
      <c r="DI115" s="1" t="str">
        <f t="shared" si="591"/>
        <v>ND</v>
      </c>
      <c r="DJ115" s="1" t="str">
        <f t="shared" si="592"/>
        <v>ND</v>
      </c>
      <c r="DK115" s="1" t="str">
        <f t="shared" si="593"/>
        <v>ND</v>
      </c>
      <c r="DL115" s="1" t="str">
        <f t="shared" si="594"/>
        <v>ND</v>
      </c>
      <c r="DM115" s="1" t="str">
        <f t="shared" si="595"/>
        <v>ND</v>
      </c>
      <c r="DN115" s="1" t="str">
        <f t="shared" si="596"/>
        <v>ND</v>
      </c>
      <c r="DO115" s="1" t="str">
        <f t="shared" si="597"/>
        <v>ND</v>
      </c>
      <c r="DP115" s="1" t="str">
        <f t="shared" si="598"/>
        <v>ND</v>
      </c>
      <c r="DQ115" s="1" t="str">
        <f t="shared" si="599"/>
        <v>ND</v>
      </c>
      <c r="DR115" s="1" t="str">
        <f t="shared" si="600"/>
        <v>ND</v>
      </c>
      <c r="DS115" s="1" t="str">
        <f t="shared" si="601"/>
        <v>ND</v>
      </c>
      <c r="DT115" s="1" t="str">
        <f t="shared" si="602"/>
        <v>ND</v>
      </c>
      <c r="DU115" s="1" t="str">
        <f t="shared" si="603"/>
        <v>ND</v>
      </c>
      <c r="DV115" s="1" t="str">
        <f t="shared" si="604"/>
        <v>ND</v>
      </c>
      <c r="DW115" s="1" t="str">
        <f t="shared" si="605"/>
        <v>ND</v>
      </c>
      <c r="DX115" s="1" t="str">
        <f t="shared" si="606"/>
        <v>ND</v>
      </c>
      <c r="DY115" s="1" t="str">
        <f t="shared" si="607"/>
        <v>ND</v>
      </c>
      <c r="DZ115" s="1" t="str">
        <f t="shared" si="608"/>
        <v>ND</v>
      </c>
      <c r="EA115" s="1" t="str">
        <f t="shared" si="609"/>
        <v>ND</v>
      </c>
      <c r="EB115" s="1" t="str">
        <f t="shared" si="610"/>
        <v>ND</v>
      </c>
      <c r="EC115" s="1" t="str">
        <f t="shared" si="611"/>
        <v>ND</v>
      </c>
      <c r="ED115" s="1" t="str">
        <f t="shared" si="612"/>
        <v>ND</v>
      </c>
      <c r="EE115" s="1" t="str">
        <f t="shared" si="613"/>
        <v>ND</v>
      </c>
      <c r="EF115" s="1" t="str">
        <f t="shared" si="614"/>
        <v>ND</v>
      </c>
      <c r="EG115" s="1" t="str">
        <f t="shared" si="615"/>
        <v>ND</v>
      </c>
      <c r="EH115" s="1" t="str">
        <f t="shared" si="616"/>
        <v>ND</v>
      </c>
      <c r="EI115" s="1" t="str">
        <f t="shared" si="617"/>
        <v>ND</v>
      </c>
      <c r="EJ115" s="1" t="str">
        <f t="shared" si="618"/>
        <v>ND</v>
      </c>
      <c r="EK115" s="1" t="str">
        <f t="shared" si="619"/>
        <v>ND</v>
      </c>
      <c r="EL115" s="1" t="str">
        <f t="shared" si="620"/>
        <v>ND</v>
      </c>
      <c r="EM115" s="1" t="str">
        <f t="shared" si="621"/>
        <v>ND</v>
      </c>
      <c r="EN115" s="1" t="str">
        <f t="shared" si="622"/>
        <v>ND</v>
      </c>
      <c r="EO115" s="1" t="str">
        <f t="shared" si="693"/>
        <v>ND</v>
      </c>
      <c r="EP115" s="1" t="str">
        <f t="shared" si="693"/>
        <v>ND</v>
      </c>
      <c r="EQ115" s="1" t="str">
        <f t="shared" si="693"/>
        <v>ND</v>
      </c>
      <c r="ER115" s="1" t="str">
        <f t="shared" si="693"/>
        <v>ND</v>
      </c>
      <c r="ES115" s="1" t="str">
        <f t="shared" si="693"/>
        <v>ND</v>
      </c>
      <c r="ET115" s="1" t="str">
        <f t="shared" si="693"/>
        <v>ND</v>
      </c>
      <c r="EU115" s="1" t="str">
        <f t="shared" si="693"/>
        <v>ND</v>
      </c>
      <c r="EV115" s="1" t="str">
        <f t="shared" si="693"/>
        <v>ND</v>
      </c>
      <c r="EW115" s="1" t="str">
        <f t="shared" si="693"/>
        <v>ND</v>
      </c>
      <c r="EX115" s="1" t="str">
        <f t="shared" si="693"/>
        <v>ND</v>
      </c>
      <c r="EY115" s="1" t="str">
        <f t="shared" si="693"/>
        <v>ND</v>
      </c>
      <c r="EZ115" s="1" t="str">
        <f t="shared" si="694"/>
        <v>ND</v>
      </c>
      <c r="FA115" s="1" t="str">
        <f t="shared" si="694"/>
        <v>ND</v>
      </c>
      <c r="FB115" s="1" t="str">
        <f t="shared" si="694"/>
        <v>ND</v>
      </c>
      <c r="FC115" s="1" t="str">
        <f t="shared" si="694"/>
        <v>ND</v>
      </c>
      <c r="FD115" s="1" t="str">
        <f t="shared" si="694"/>
        <v>ND</v>
      </c>
      <c r="FE115" s="1" t="str">
        <f t="shared" si="694"/>
        <v>ND</v>
      </c>
      <c r="FF115" s="1" t="str">
        <f t="shared" si="694"/>
        <v>ND</v>
      </c>
      <c r="FG115" s="1" t="str">
        <f t="shared" si="694"/>
        <v>ND</v>
      </c>
      <c r="FH115" s="1" t="str">
        <f t="shared" si="694"/>
        <v>ND</v>
      </c>
      <c r="FI115" s="1" t="str">
        <f t="shared" si="694"/>
        <v>ND</v>
      </c>
      <c r="FJ115" s="1" t="str">
        <f t="shared" si="694"/>
        <v>ND</v>
      </c>
      <c r="FK115" s="1" t="str">
        <f t="shared" si="695"/>
        <v>ND</v>
      </c>
      <c r="FL115" s="1" t="str">
        <f t="shared" si="695"/>
        <v>ND</v>
      </c>
      <c r="FM115" s="1" t="str">
        <f t="shared" si="695"/>
        <v>ND</v>
      </c>
      <c r="FN115" s="1" t="str">
        <f t="shared" si="695"/>
        <v>ND</v>
      </c>
      <c r="FO115" s="1" t="str">
        <f t="shared" si="695"/>
        <v>ND</v>
      </c>
      <c r="FP115" s="1" t="str">
        <f t="shared" si="695"/>
        <v>ND</v>
      </c>
      <c r="FQ115" s="1" t="str">
        <f t="shared" si="695"/>
        <v>ND</v>
      </c>
      <c r="FR115" s="1" t="str">
        <f t="shared" si="695"/>
        <v>ND</v>
      </c>
      <c r="FS115" s="1" t="str">
        <f t="shared" si="695"/>
        <v>ND</v>
      </c>
      <c r="FT115" s="1" t="str">
        <f t="shared" si="695"/>
        <v>ND</v>
      </c>
      <c r="FU115" s="1" t="str">
        <f t="shared" si="695"/>
        <v>ND</v>
      </c>
      <c r="FV115" s="1" t="str">
        <f t="shared" si="623"/>
        <v>ND</v>
      </c>
      <c r="FW115" s="1" t="str">
        <f t="shared" si="624"/>
        <v>ND</v>
      </c>
      <c r="FX115" s="1" t="str">
        <f t="shared" si="625"/>
        <v>ND</v>
      </c>
      <c r="FY115" s="1" t="str">
        <f t="shared" si="626"/>
        <v>ND</v>
      </c>
      <c r="FZ115" s="1" t="str">
        <f t="shared" si="627"/>
        <v>ND</v>
      </c>
      <c r="GA115" s="1" t="str">
        <f t="shared" si="628"/>
        <v>ND</v>
      </c>
      <c r="GB115" s="1" t="str">
        <f t="shared" si="629"/>
        <v>ND</v>
      </c>
      <c r="GC115" s="1" t="str">
        <f t="shared" si="630"/>
        <v>ND</v>
      </c>
      <c r="GD115" s="1" t="str">
        <f t="shared" si="631"/>
        <v>ND</v>
      </c>
      <c r="GE115" s="1" t="str">
        <f t="shared" si="632"/>
        <v>ND</v>
      </c>
      <c r="GF115" s="1" t="str">
        <f t="shared" si="633"/>
        <v>ND</v>
      </c>
      <c r="GG115" s="1" t="str">
        <f t="shared" si="634"/>
        <v>ND</v>
      </c>
      <c r="GH115" s="1" t="str">
        <f t="shared" si="635"/>
        <v>ND</v>
      </c>
      <c r="GI115" s="1" t="str">
        <f t="shared" si="636"/>
        <v>ND</v>
      </c>
      <c r="GJ115" s="1" t="str">
        <f t="shared" si="637"/>
        <v>ND</v>
      </c>
      <c r="GK115" s="1" t="str">
        <f t="shared" si="638"/>
        <v>ND</v>
      </c>
      <c r="GL115" s="1" t="str">
        <f t="shared" si="639"/>
        <v>ND</v>
      </c>
      <c r="GM115" s="1" t="str">
        <f t="shared" si="640"/>
        <v>ND</v>
      </c>
      <c r="GN115" s="1" t="str">
        <f t="shared" si="641"/>
        <v>ND</v>
      </c>
      <c r="GO115" s="1" t="str">
        <f t="shared" si="642"/>
        <v>ND</v>
      </c>
      <c r="GP115" s="1" t="str">
        <f t="shared" si="643"/>
        <v>ND</v>
      </c>
      <c r="GQ115" s="1" t="str">
        <f t="shared" si="644"/>
        <v>ND</v>
      </c>
      <c r="GR115" s="1" t="str">
        <f t="shared" si="645"/>
        <v>ND</v>
      </c>
      <c r="GS115" s="1" t="str">
        <f t="shared" si="646"/>
        <v>ND</v>
      </c>
      <c r="GT115" s="1" t="str">
        <f t="shared" si="647"/>
        <v>ND</v>
      </c>
      <c r="GU115" s="1" t="str">
        <f t="shared" si="648"/>
        <v>ND</v>
      </c>
      <c r="GV115" s="1" t="str">
        <f t="shared" si="649"/>
        <v>ND</v>
      </c>
      <c r="GW115" s="1" t="str">
        <f t="shared" si="650"/>
        <v>ND</v>
      </c>
      <c r="GX115" s="1" t="str">
        <f t="shared" si="651"/>
        <v>ND</v>
      </c>
      <c r="GY115" s="1" t="str">
        <f t="shared" si="652"/>
        <v>ND</v>
      </c>
      <c r="GZ115" s="1" t="str">
        <f t="shared" si="653"/>
        <v>ND</v>
      </c>
      <c r="HA115" s="1" t="str">
        <f t="shared" si="654"/>
        <v>ND</v>
      </c>
      <c r="HB115" s="1" t="str">
        <f t="shared" si="655"/>
        <v>ND</v>
      </c>
      <c r="HC115" s="1" t="str">
        <f t="shared" si="656"/>
        <v>ND</v>
      </c>
      <c r="HD115" s="1" t="str">
        <f t="shared" si="657"/>
        <v>ND</v>
      </c>
      <c r="HE115" s="1" t="str">
        <f t="shared" si="658"/>
        <v>ND</v>
      </c>
      <c r="HF115" s="1" t="str">
        <f t="shared" si="659"/>
        <v>ND</v>
      </c>
      <c r="HG115" s="1" t="str">
        <f t="shared" si="660"/>
        <v>ND</v>
      </c>
      <c r="HH115" s="1" t="str">
        <f t="shared" si="661"/>
        <v>ND</v>
      </c>
      <c r="HI115" s="1" t="str">
        <f t="shared" si="662"/>
        <v>ND</v>
      </c>
      <c r="HJ115" s="1" t="str">
        <f t="shared" si="663"/>
        <v>ND</v>
      </c>
      <c r="HK115" s="1" t="str">
        <f t="shared" si="664"/>
        <v>ND</v>
      </c>
      <c r="HL115" s="1" t="str">
        <f t="shared" si="665"/>
        <v>ND</v>
      </c>
      <c r="HM115" s="1" t="str">
        <f t="shared" si="666"/>
        <v>ND</v>
      </c>
      <c r="HN115" s="1" t="str">
        <f t="shared" si="667"/>
        <v>ND</v>
      </c>
      <c r="HO115" s="1" t="str">
        <f t="shared" si="668"/>
        <v>ND</v>
      </c>
      <c r="HP115" s="1" t="str">
        <f t="shared" si="669"/>
        <v>ND</v>
      </c>
      <c r="HQ115" s="1" t="str">
        <f t="shared" si="670"/>
        <v>ND</v>
      </c>
      <c r="HR115" s="1" t="str">
        <f t="shared" si="671"/>
        <v>ND</v>
      </c>
      <c r="HS115" s="1" t="str">
        <f t="shared" si="672"/>
        <v>ND</v>
      </c>
      <c r="HT115" s="1" t="str">
        <f t="shared" si="673"/>
        <v>ND</v>
      </c>
      <c r="HU115" s="1" t="str">
        <f t="shared" si="674"/>
        <v>ND</v>
      </c>
      <c r="HV115" s="1" t="str">
        <f t="shared" si="675"/>
        <v>ND</v>
      </c>
      <c r="HW115" s="1" t="str">
        <f t="shared" si="676"/>
        <v>ND</v>
      </c>
      <c r="HX115" s="1" t="str">
        <f t="shared" si="677"/>
        <v>ND</v>
      </c>
      <c r="HY115" s="1" t="str">
        <f t="shared" si="678"/>
        <v>ND</v>
      </c>
      <c r="HZ115" s="1" t="str">
        <f t="shared" si="679"/>
        <v>ND</v>
      </c>
      <c r="IA115" s="1" t="str">
        <f t="shared" si="680"/>
        <v>ND</v>
      </c>
      <c r="IB115" s="1" t="str">
        <f t="shared" si="681"/>
        <v>ND</v>
      </c>
      <c r="IC115" s="1" t="str">
        <f t="shared" si="682"/>
        <v>ND</v>
      </c>
      <c r="ID115" s="1" t="str">
        <f t="shared" si="683"/>
        <v>ND</v>
      </c>
      <c r="IE115" s="1" t="str">
        <f t="shared" si="684"/>
        <v>ND</v>
      </c>
      <c r="IF115" s="1" t="str">
        <f t="shared" si="685"/>
        <v>ND</v>
      </c>
      <c r="IG115" s="1" t="str">
        <f t="shared" si="686"/>
        <v>ND</v>
      </c>
      <c r="IH115" s="1" t="str">
        <f t="shared" si="687"/>
        <v>ND</v>
      </c>
      <c r="II115" s="1" t="str">
        <f t="shared" si="688"/>
        <v>ND</v>
      </c>
    </row>
    <row r="116" spans="3:243" x14ac:dyDescent="0.25">
      <c r="C116" t="s">
        <v>64</v>
      </c>
      <c r="D116">
        <f>SUMIFS(DICCIONARIO[Cantidad],DICCIONARIO[Modelo],UNIFICADA[[#This Row],[Equipo]])</f>
        <v>0</v>
      </c>
      <c r="E116" s="1">
        <f>IFERROR(VLOOKUP($C116,EQUIPOS[],UNIFICADO!E$9,0),"")</f>
        <v>11</v>
      </c>
      <c r="F116" s="1">
        <f>IFERROR(VLOOKUP($C116,EQUIPOS[],UNIFICADO!F$9,0),"")</f>
        <v>6.67</v>
      </c>
      <c r="G116" s="1">
        <f>IFERROR(VLOOKUP($C116,EQUIPOS[],UNIFICADO!G$9,0),"")</f>
        <v>108</v>
      </c>
      <c r="H116" s="1">
        <f>IFERROR(VLOOKUP($C116,EQUIPOS[],UNIFICADO!H$9,0),"")</f>
        <v>3</v>
      </c>
      <c r="I116" s="1">
        <f>IFERROR(VLOOKUP($C116,EQUIPOS[],UNIFICADO!I$9,0),"")</f>
        <v>16</v>
      </c>
      <c r="J116" s="1" t="str">
        <f>IFERROR(VLOOKUP($C116,EQUIPOS[],UNIFICADO!J$9,0),"")</f>
        <v>256GB</v>
      </c>
      <c r="K116" s="1">
        <f>IFERROR(VLOOKUP($C116,EQUIPOS[],UNIFICADO!K$9,0),"")</f>
        <v>0</v>
      </c>
      <c r="L116" s="1">
        <f>IFERROR(VLOOKUP($C116,EQUIPOS[],UNIFICADO!L$9,0),"")</f>
        <v>8</v>
      </c>
      <c r="M116" s="1" t="str">
        <f>IFERROR(VLOOKUP($C116,EQUIPOS[],UNIFICADO!M$9,0),"")</f>
        <v>2.8/2.4/1.8</v>
      </c>
      <c r="N116" s="1">
        <f>IFERROR(VLOOKUP($C116,EQUIPOS[],UNIFICADO!N$9,0),"")</f>
        <v>8</v>
      </c>
      <c r="O116" s="1">
        <f>IFERROR(VLOOKUP($C116,EQUIPOS[],UNIFICADO!O$9,0),"")</f>
        <v>204</v>
      </c>
      <c r="P116" s="1">
        <f>IFERROR(VLOOKUP($C116,EQUIPOS[],UNIFICADO!P$9,0),"")</f>
        <v>16.100000000000001</v>
      </c>
      <c r="Q116" s="1">
        <f>IFERROR(VLOOKUP($C116,EQUIPOS[],UNIFICADO!Q$9,0),"")</f>
        <v>7.69</v>
      </c>
      <c r="R116" s="1">
        <f>IFERROR(VLOOKUP($C116,EQUIPOS[],UNIFICADO!R$9,0),"")</f>
        <v>0.88</v>
      </c>
      <c r="S116" s="1">
        <f>IFERROR(VLOOKUP($C116,EQUIPOS[],UNIFICADO!S$9,0),"")</f>
        <v>5000</v>
      </c>
      <c r="T116" s="1">
        <f>IFERROR(VLOOKUP($C116,EQUIPOS[],UNIFICADO!T$9,0),"")</f>
        <v>5</v>
      </c>
      <c r="U116" s="1">
        <f>VLOOKUP(UNIFICADA[[#This Row],[Equipo]],EQUIPOS[],19,0)</f>
        <v>106</v>
      </c>
      <c r="V116" s="1" t="str">
        <f t="shared" si="533"/>
        <v>ND</v>
      </c>
      <c r="W116" s="1" t="str">
        <f t="shared" si="534"/>
        <v>ND</v>
      </c>
      <c r="X116" s="1" t="str">
        <f t="shared" si="689"/>
        <v>ND</v>
      </c>
      <c r="Y116" s="1" t="str">
        <f t="shared" si="689"/>
        <v>ND</v>
      </c>
      <c r="Z116" s="1" t="str">
        <f t="shared" si="690"/>
        <v>ND</v>
      </c>
      <c r="AA116" s="1" t="str">
        <f t="shared" si="690"/>
        <v>ND</v>
      </c>
      <c r="AB116" s="1" t="str">
        <f t="shared" si="690"/>
        <v>ND</v>
      </c>
      <c r="AC116" s="1" t="str">
        <f t="shared" si="690"/>
        <v>ND</v>
      </c>
      <c r="AD116" s="1" t="str">
        <f t="shared" si="690"/>
        <v>ND</v>
      </c>
      <c r="AE116" s="1" t="str">
        <f t="shared" si="690"/>
        <v>ND</v>
      </c>
      <c r="AF116" s="1" t="str">
        <f t="shared" si="690"/>
        <v>ND</v>
      </c>
      <c r="AG116" s="1" t="str">
        <f t="shared" si="690"/>
        <v>ND</v>
      </c>
      <c r="AH116" s="1" t="str">
        <f t="shared" si="690"/>
        <v>ND</v>
      </c>
      <c r="AI116" s="1" t="str">
        <f t="shared" si="535"/>
        <v>ND</v>
      </c>
      <c r="AJ116" s="1" t="str">
        <f t="shared" si="536"/>
        <v>ND</v>
      </c>
      <c r="AK116" s="1" t="str">
        <f t="shared" si="537"/>
        <v>ND</v>
      </c>
      <c r="AL116" s="1" t="str">
        <f t="shared" si="538"/>
        <v>ND</v>
      </c>
      <c r="AM116" s="1" t="str">
        <f t="shared" si="539"/>
        <v>ND</v>
      </c>
      <c r="AN116" s="1" t="str">
        <f t="shared" si="540"/>
        <v>ND</v>
      </c>
      <c r="AO116" s="1" t="str">
        <f t="shared" si="541"/>
        <v>ND</v>
      </c>
      <c r="AP116" s="1" t="str">
        <f t="shared" si="542"/>
        <v>ND</v>
      </c>
      <c r="AQ116" s="1" t="str">
        <f t="shared" si="543"/>
        <v>ND</v>
      </c>
      <c r="AR116" s="1" t="str">
        <f t="shared" si="544"/>
        <v>ND</v>
      </c>
      <c r="AS116" s="1" t="str">
        <f t="shared" si="545"/>
        <v>ND</v>
      </c>
      <c r="AT116" s="1" t="str">
        <f t="shared" si="546"/>
        <v>ND</v>
      </c>
      <c r="AU116" s="1" t="str">
        <f t="shared" si="547"/>
        <v>ND</v>
      </c>
      <c r="AV116" s="1" t="str">
        <f t="shared" si="548"/>
        <v>ND</v>
      </c>
      <c r="AW116" s="1" t="str">
        <f t="shared" si="549"/>
        <v>ND</v>
      </c>
      <c r="AX116" s="1" t="str">
        <f t="shared" si="550"/>
        <v>ND</v>
      </c>
      <c r="AY116" s="1" t="str">
        <f t="shared" si="551"/>
        <v>ND</v>
      </c>
      <c r="AZ116" s="1" t="str">
        <f t="shared" si="552"/>
        <v>ND</v>
      </c>
      <c r="BA116" s="1" t="str">
        <f t="shared" si="553"/>
        <v>ND</v>
      </c>
      <c r="BB116" s="1" t="str">
        <f t="shared" si="554"/>
        <v>ND</v>
      </c>
      <c r="BC116" s="1" t="str">
        <f t="shared" si="555"/>
        <v>ND</v>
      </c>
      <c r="BD116" s="1" t="str">
        <f t="shared" si="556"/>
        <v>ND</v>
      </c>
      <c r="BE116" s="1" t="str">
        <f t="shared" si="557"/>
        <v>ND</v>
      </c>
      <c r="BF116" s="1" t="str">
        <f t="shared" si="558"/>
        <v>ND</v>
      </c>
      <c r="BG116" s="1" t="str">
        <f t="shared" si="559"/>
        <v>ND</v>
      </c>
      <c r="BH116" s="1" t="str">
        <f t="shared" si="560"/>
        <v>ND</v>
      </c>
      <c r="BI116" s="1" t="str">
        <f t="shared" si="561"/>
        <v>ND</v>
      </c>
      <c r="BJ116" s="1" t="str">
        <f t="shared" si="562"/>
        <v>ND</v>
      </c>
      <c r="BK116" s="1" t="str">
        <f t="shared" si="563"/>
        <v>ND</v>
      </c>
      <c r="BL116" s="1" t="str">
        <f t="shared" si="564"/>
        <v>ND</v>
      </c>
      <c r="BM116" s="1" t="str">
        <f t="shared" si="565"/>
        <v>ND</v>
      </c>
      <c r="BN116" s="1" t="str">
        <f t="shared" si="566"/>
        <v>ND</v>
      </c>
      <c r="BO116" s="1" t="str">
        <f t="shared" si="567"/>
        <v>ND</v>
      </c>
      <c r="BP116" s="1" t="str">
        <f t="shared" si="568"/>
        <v>ND</v>
      </c>
      <c r="BQ116" s="1" t="str">
        <f t="shared" si="569"/>
        <v>ND</v>
      </c>
      <c r="BR116" s="1" t="str">
        <f t="shared" si="570"/>
        <v>ND</v>
      </c>
      <c r="BS116" s="1" t="str">
        <f t="shared" si="571"/>
        <v>ND</v>
      </c>
      <c r="BT116" s="1" t="str">
        <f t="shared" si="572"/>
        <v>ND</v>
      </c>
      <c r="BU116" s="1" t="str">
        <f t="shared" si="573"/>
        <v>ND</v>
      </c>
      <c r="BV116" s="1" t="str">
        <f t="shared" si="574"/>
        <v>ND</v>
      </c>
      <c r="BW116" s="1" t="str">
        <f t="shared" si="575"/>
        <v>ND</v>
      </c>
      <c r="BX116" s="1" t="str">
        <f t="shared" si="576"/>
        <v>ND</v>
      </c>
      <c r="BY116" s="1" t="str">
        <f t="shared" si="577"/>
        <v>ND</v>
      </c>
      <c r="BZ116" s="1" t="str">
        <f t="shared" si="578"/>
        <v>ND</v>
      </c>
      <c r="CA116" s="1" t="str">
        <f t="shared" si="691"/>
        <v>ND</v>
      </c>
      <c r="CB116" s="1" t="str">
        <f t="shared" si="691"/>
        <v>ND</v>
      </c>
      <c r="CC116" s="1" t="str">
        <f t="shared" si="691"/>
        <v>ND</v>
      </c>
      <c r="CD116" s="1" t="str">
        <f t="shared" si="691"/>
        <v>ND</v>
      </c>
      <c r="CE116" s="1" t="str">
        <f t="shared" si="691"/>
        <v>ND</v>
      </c>
      <c r="CF116" s="1" t="str">
        <f t="shared" si="691"/>
        <v>ND</v>
      </c>
      <c r="CG116" s="1" t="str">
        <f t="shared" si="691"/>
        <v>ND</v>
      </c>
      <c r="CH116" s="1" t="str">
        <f t="shared" si="691"/>
        <v>ND</v>
      </c>
      <c r="CI116" s="1" t="str">
        <f t="shared" si="691"/>
        <v>ND</v>
      </c>
      <c r="CJ116" s="1" t="str">
        <f t="shared" si="691"/>
        <v>ND</v>
      </c>
      <c r="CK116" s="1" t="str">
        <f t="shared" si="691"/>
        <v>ND</v>
      </c>
      <c r="CL116" s="1" t="str">
        <f t="shared" si="692"/>
        <v>ND</v>
      </c>
      <c r="CM116" s="1" t="str">
        <f t="shared" si="692"/>
        <v>ND</v>
      </c>
      <c r="CN116" s="1" t="str">
        <f t="shared" si="692"/>
        <v>ND</v>
      </c>
      <c r="CO116" s="1" t="str">
        <f t="shared" si="692"/>
        <v>ND</v>
      </c>
      <c r="CP116" s="1" t="str">
        <f t="shared" si="692"/>
        <v>ND</v>
      </c>
      <c r="CQ116" s="1" t="str">
        <f t="shared" si="692"/>
        <v>ND</v>
      </c>
      <c r="CR116" s="1" t="str">
        <f t="shared" si="692"/>
        <v>ND</v>
      </c>
      <c r="CS116" s="1" t="str">
        <f t="shared" si="692"/>
        <v>ND</v>
      </c>
      <c r="CT116" s="1" t="str">
        <f t="shared" si="692"/>
        <v>ND</v>
      </c>
      <c r="CU116" s="1" t="str">
        <f t="shared" si="692"/>
        <v>ND</v>
      </c>
      <c r="CV116" s="1" t="str">
        <f t="shared" si="692"/>
        <v>ND</v>
      </c>
      <c r="CW116" s="1" t="str">
        <f t="shared" si="579"/>
        <v>ND</v>
      </c>
      <c r="CX116" s="1" t="str">
        <f t="shared" si="580"/>
        <v>ND</v>
      </c>
      <c r="CY116" s="1" t="str">
        <f t="shared" si="581"/>
        <v>ND</v>
      </c>
      <c r="CZ116" s="1" t="str">
        <f t="shared" si="582"/>
        <v>ND</v>
      </c>
      <c r="DA116" s="1" t="str">
        <f t="shared" si="583"/>
        <v>ND</v>
      </c>
      <c r="DB116" s="1" t="str">
        <f t="shared" si="584"/>
        <v>ND</v>
      </c>
      <c r="DC116" s="1" t="str">
        <f t="shared" si="585"/>
        <v>ND</v>
      </c>
      <c r="DD116" s="1" t="str">
        <f t="shared" si="586"/>
        <v>ND</v>
      </c>
      <c r="DE116" s="1" t="str">
        <f t="shared" si="587"/>
        <v>ND</v>
      </c>
      <c r="DF116" s="1" t="str">
        <f t="shared" si="588"/>
        <v>ND</v>
      </c>
      <c r="DG116" s="1" t="str">
        <f t="shared" si="589"/>
        <v>ND</v>
      </c>
      <c r="DH116" s="1" t="str">
        <f t="shared" si="590"/>
        <v>ND</v>
      </c>
      <c r="DI116" s="1" t="str">
        <f t="shared" si="591"/>
        <v>ND</v>
      </c>
      <c r="DJ116" s="1" t="str">
        <f t="shared" si="592"/>
        <v>ND</v>
      </c>
      <c r="DK116" s="1" t="str">
        <f t="shared" si="593"/>
        <v>ND</v>
      </c>
      <c r="DL116" s="1" t="str">
        <f t="shared" si="594"/>
        <v>ND</v>
      </c>
      <c r="DM116" s="1" t="str">
        <f t="shared" si="595"/>
        <v>ND</v>
      </c>
      <c r="DN116" s="1" t="str">
        <f t="shared" si="596"/>
        <v>ND</v>
      </c>
      <c r="DO116" s="1" t="str">
        <f t="shared" si="597"/>
        <v>ND</v>
      </c>
      <c r="DP116" s="1" t="str">
        <f t="shared" si="598"/>
        <v>ND</v>
      </c>
      <c r="DQ116" s="1" t="str">
        <f t="shared" si="599"/>
        <v>ND</v>
      </c>
      <c r="DR116" s="1" t="str">
        <f t="shared" si="600"/>
        <v>ND</v>
      </c>
      <c r="DS116" s="1" t="str">
        <f t="shared" si="601"/>
        <v>ND</v>
      </c>
      <c r="DT116" s="1" t="str">
        <f t="shared" si="602"/>
        <v>ND</v>
      </c>
      <c r="DU116" s="1" t="str">
        <f t="shared" si="603"/>
        <v>ND</v>
      </c>
      <c r="DV116" s="1" t="str">
        <f t="shared" si="604"/>
        <v>ND</v>
      </c>
      <c r="DW116" s="1" t="str">
        <f t="shared" si="605"/>
        <v>ND</v>
      </c>
      <c r="DX116" s="1" t="str">
        <f t="shared" si="606"/>
        <v>ND</v>
      </c>
      <c r="DY116" s="1" t="str">
        <f t="shared" si="607"/>
        <v>ND</v>
      </c>
      <c r="DZ116" s="1" t="str">
        <f t="shared" si="608"/>
        <v>ND</v>
      </c>
      <c r="EA116" s="1" t="str">
        <f t="shared" si="609"/>
        <v>ND</v>
      </c>
      <c r="EB116" s="1" t="str">
        <f t="shared" si="610"/>
        <v>ND</v>
      </c>
      <c r="EC116" s="1" t="str">
        <f t="shared" si="611"/>
        <v>ND</v>
      </c>
      <c r="ED116" s="1" t="str">
        <f t="shared" si="612"/>
        <v>ND</v>
      </c>
      <c r="EE116" s="1" t="str">
        <f t="shared" si="613"/>
        <v>ND</v>
      </c>
      <c r="EF116" s="1" t="str">
        <f t="shared" si="614"/>
        <v>ND</v>
      </c>
      <c r="EG116" s="1" t="str">
        <f t="shared" si="615"/>
        <v>ND</v>
      </c>
      <c r="EH116" s="1" t="str">
        <f t="shared" si="616"/>
        <v>ND</v>
      </c>
      <c r="EI116" s="1" t="str">
        <f t="shared" si="617"/>
        <v>ND</v>
      </c>
      <c r="EJ116" s="1" t="str">
        <f t="shared" si="618"/>
        <v>ND</v>
      </c>
      <c r="EK116" s="1" t="str">
        <f t="shared" si="619"/>
        <v>ND</v>
      </c>
      <c r="EL116" s="1" t="str">
        <f t="shared" si="620"/>
        <v>ND</v>
      </c>
      <c r="EM116" s="1" t="str">
        <f t="shared" si="621"/>
        <v>ND</v>
      </c>
      <c r="EN116" s="1" t="str">
        <f t="shared" si="622"/>
        <v>ND</v>
      </c>
      <c r="EO116" s="1" t="str">
        <f t="shared" si="693"/>
        <v>ND</v>
      </c>
      <c r="EP116" s="1" t="str">
        <f t="shared" si="693"/>
        <v>ND</v>
      </c>
      <c r="EQ116" s="1" t="str">
        <f t="shared" si="693"/>
        <v>ND</v>
      </c>
      <c r="ER116" s="1" t="str">
        <f t="shared" si="693"/>
        <v>ND</v>
      </c>
      <c r="ES116" s="1" t="str">
        <f t="shared" si="693"/>
        <v>ND</v>
      </c>
      <c r="ET116" s="1" t="str">
        <f t="shared" si="693"/>
        <v>ND</v>
      </c>
      <c r="EU116" s="1" t="str">
        <f t="shared" si="693"/>
        <v>ND</v>
      </c>
      <c r="EV116" s="1" t="str">
        <f t="shared" si="693"/>
        <v>ND</v>
      </c>
      <c r="EW116" s="1" t="str">
        <f t="shared" si="693"/>
        <v>ND</v>
      </c>
      <c r="EX116" s="1" t="str">
        <f t="shared" si="693"/>
        <v>ND</v>
      </c>
      <c r="EY116" s="1" t="str">
        <f t="shared" si="693"/>
        <v>ND</v>
      </c>
      <c r="EZ116" s="1" t="str">
        <f t="shared" si="694"/>
        <v>ND</v>
      </c>
      <c r="FA116" s="1" t="str">
        <f t="shared" si="694"/>
        <v>ND</v>
      </c>
      <c r="FB116" s="1" t="str">
        <f t="shared" si="694"/>
        <v>ND</v>
      </c>
      <c r="FC116" s="1" t="str">
        <f t="shared" si="694"/>
        <v>ND</v>
      </c>
      <c r="FD116" s="1" t="str">
        <f t="shared" si="694"/>
        <v>ND</v>
      </c>
      <c r="FE116" s="1" t="str">
        <f t="shared" si="694"/>
        <v>ND</v>
      </c>
      <c r="FF116" s="1" t="str">
        <f t="shared" si="694"/>
        <v>ND</v>
      </c>
      <c r="FG116" s="1" t="str">
        <f t="shared" si="694"/>
        <v>ND</v>
      </c>
      <c r="FH116" s="1" t="str">
        <f t="shared" si="694"/>
        <v>ND</v>
      </c>
      <c r="FI116" s="1" t="str">
        <f t="shared" si="694"/>
        <v>ND</v>
      </c>
      <c r="FJ116" s="1" t="str">
        <f t="shared" si="694"/>
        <v>ND</v>
      </c>
      <c r="FK116" s="1" t="str">
        <f t="shared" si="695"/>
        <v>ND</v>
      </c>
      <c r="FL116" s="1" t="str">
        <f t="shared" si="695"/>
        <v>ND</v>
      </c>
      <c r="FM116" s="1" t="str">
        <f t="shared" si="695"/>
        <v>ND</v>
      </c>
      <c r="FN116" s="1" t="str">
        <f t="shared" si="695"/>
        <v>ND</v>
      </c>
      <c r="FO116" s="1" t="str">
        <f t="shared" si="695"/>
        <v>ND</v>
      </c>
      <c r="FP116" s="1" t="str">
        <f t="shared" si="695"/>
        <v>ND</v>
      </c>
      <c r="FQ116" s="1" t="str">
        <f t="shared" si="695"/>
        <v>ND</v>
      </c>
      <c r="FR116" s="1" t="str">
        <f t="shared" si="695"/>
        <v>ND</v>
      </c>
      <c r="FS116" s="1" t="str">
        <f t="shared" si="695"/>
        <v>ND</v>
      </c>
      <c r="FT116" s="1" t="str">
        <f t="shared" si="695"/>
        <v>ND</v>
      </c>
      <c r="FU116" s="1" t="str">
        <f t="shared" si="695"/>
        <v>ND</v>
      </c>
      <c r="FV116" s="1" t="str">
        <f t="shared" si="623"/>
        <v>ND</v>
      </c>
      <c r="FW116" s="1" t="str">
        <f t="shared" si="624"/>
        <v>ND</v>
      </c>
      <c r="FX116" s="1" t="str">
        <f t="shared" si="625"/>
        <v>ND</v>
      </c>
      <c r="FY116" s="1" t="str">
        <f t="shared" si="626"/>
        <v>ND</v>
      </c>
      <c r="FZ116" s="1" t="str">
        <f t="shared" si="627"/>
        <v>ND</v>
      </c>
      <c r="GA116" s="1" t="str">
        <f t="shared" si="628"/>
        <v>ND</v>
      </c>
      <c r="GB116" s="1" t="str">
        <f t="shared" si="629"/>
        <v>ND</v>
      </c>
      <c r="GC116" s="1" t="str">
        <f t="shared" si="630"/>
        <v>ND</v>
      </c>
      <c r="GD116" s="1" t="str">
        <f t="shared" si="631"/>
        <v>ND</v>
      </c>
      <c r="GE116" s="1" t="str">
        <f t="shared" si="632"/>
        <v>ND</v>
      </c>
      <c r="GF116" s="1" t="str">
        <f t="shared" si="633"/>
        <v>ND</v>
      </c>
      <c r="GG116" s="1" t="str">
        <f t="shared" si="634"/>
        <v>ND</v>
      </c>
      <c r="GH116" s="1" t="str">
        <f t="shared" si="635"/>
        <v>ND</v>
      </c>
      <c r="GI116" s="1" t="str">
        <f t="shared" si="636"/>
        <v>ND</v>
      </c>
      <c r="GJ116" s="1" t="str">
        <f t="shared" si="637"/>
        <v>ND</v>
      </c>
      <c r="GK116" s="1" t="str">
        <f t="shared" si="638"/>
        <v>ND</v>
      </c>
      <c r="GL116" s="1" t="str">
        <f t="shared" si="639"/>
        <v>ND</v>
      </c>
      <c r="GM116" s="1" t="str">
        <f t="shared" si="640"/>
        <v>ND</v>
      </c>
      <c r="GN116" s="1" t="str">
        <f t="shared" si="641"/>
        <v>ND</v>
      </c>
      <c r="GO116" s="1" t="str">
        <f t="shared" si="642"/>
        <v>ND</v>
      </c>
      <c r="GP116" s="1" t="str">
        <f t="shared" si="643"/>
        <v>ND</v>
      </c>
      <c r="GQ116" s="1" t="str">
        <f t="shared" si="644"/>
        <v>ND</v>
      </c>
      <c r="GR116" s="1" t="str">
        <f t="shared" si="645"/>
        <v>ND</v>
      </c>
      <c r="GS116" s="1" t="str">
        <f t="shared" si="646"/>
        <v>ND</v>
      </c>
      <c r="GT116" s="1" t="str">
        <f t="shared" si="647"/>
        <v>ND</v>
      </c>
      <c r="GU116" s="1" t="str">
        <f t="shared" si="648"/>
        <v>ND</v>
      </c>
      <c r="GV116" s="1" t="str">
        <f t="shared" si="649"/>
        <v>ND</v>
      </c>
      <c r="GW116" s="1" t="str">
        <f t="shared" si="650"/>
        <v>ND</v>
      </c>
      <c r="GX116" s="1" t="str">
        <f t="shared" si="651"/>
        <v>ND</v>
      </c>
      <c r="GY116" s="1" t="str">
        <f t="shared" si="652"/>
        <v>ND</v>
      </c>
      <c r="GZ116" s="1" t="str">
        <f t="shared" si="653"/>
        <v>ND</v>
      </c>
      <c r="HA116" s="1" t="str">
        <f t="shared" si="654"/>
        <v>ND</v>
      </c>
      <c r="HB116" s="1" t="str">
        <f t="shared" si="655"/>
        <v>ND</v>
      </c>
      <c r="HC116" s="1" t="str">
        <f t="shared" si="656"/>
        <v>ND</v>
      </c>
      <c r="HD116" s="1" t="str">
        <f t="shared" si="657"/>
        <v>ND</v>
      </c>
      <c r="HE116" s="1" t="str">
        <f t="shared" si="658"/>
        <v>ND</v>
      </c>
      <c r="HF116" s="1" t="str">
        <f t="shared" si="659"/>
        <v>ND</v>
      </c>
      <c r="HG116" s="1" t="str">
        <f t="shared" si="660"/>
        <v>ND</v>
      </c>
      <c r="HH116" s="1" t="str">
        <f t="shared" si="661"/>
        <v>ND</v>
      </c>
      <c r="HI116" s="1" t="str">
        <f t="shared" si="662"/>
        <v>ND</v>
      </c>
      <c r="HJ116" s="1" t="str">
        <f t="shared" si="663"/>
        <v>ND</v>
      </c>
      <c r="HK116" s="1" t="str">
        <f t="shared" si="664"/>
        <v>ND</v>
      </c>
      <c r="HL116" s="1" t="str">
        <f t="shared" si="665"/>
        <v>ND</v>
      </c>
      <c r="HM116" s="1" t="str">
        <f t="shared" si="666"/>
        <v>ND</v>
      </c>
      <c r="HN116" s="1" t="str">
        <f t="shared" si="667"/>
        <v>ND</v>
      </c>
      <c r="HO116" s="1" t="str">
        <f t="shared" si="668"/>
        <v>ND</v>
      </c>
      <c r="HP116" s="1" t="str">
        <f t="shared" si="669"/>
        <v>ND</v>
      </c>
      <c r="HQ116" s="1" t="str">
        <f t="shared" si="670"/>
        <v>ND</v>
      </c>
      <c r="HR116" s="1" t="str">
        <f t="shared" si="671"/>
        <v>ND</v>
      </c>
      <c r="HS116" s="1" t="str">
        <f t="shared" si="672"/>
        <v>ND</v>
      </c>
      <c r="HT116" s="1" t="str">
        <f t="shared" si="673"/>
        <v>ND</v>
      </c>
      <c r="HU116" s="1" t="str">
        <f t="shared" si="674"/>
        <v>ND</v>
      </c>
      <c r="HV116" s="1" t="str">
        <f t="shared" si="675"/>
        <v>ND</v>
      </c>
      <c r="HW116" s="1" t="str">
        <f t="shared" si="676"/>
        <v>ND</v>
      </c>
      <c r="HX116" s="1" t="str">
        <f t="shared" si="677"/>
        <v>ND</v>
      </c>
      <c r="HY116" s="1" t="str">
        <f t="shared" si="678"/>
        <v>ND</v>
      </c>
      <c r="HZ116" s="1" t="str">
        <f t="shared" si="679"/>
        <v>ND</v>
      </c>
      <c r="IA116" s="1" t="str">
        <f t="shared" si="680"/>
        <v>ND</v>
      </c>
      <c r="IB116" s="1" t="str">
        <f t="shared" si="681"/>
        <v>ND</v>
      </c>
      <c r="IC116" s="1" t="str">
        <f t="shared" si="682"/>
        <v>ND</v>
      </c>
      <c r="ID116" s="1" t="str">
        <f t="shared" si="683"/>
        <v>ND</v>
      </c>
      <c r="IE116" s="1" t="str">
        <f t="shared" si="684"/>
        <v>ND</v>
      </c>
      <c r="IF116" s="1" t="str">
        <f t="shared" si="685"/>
        <v>ND</v>
      </c>
      <c r="IG116" s="1" t="str">
        <f t="shared" si="686"/>
        <v>ND</v>
      </c>
      <c r="IH116" s="1" t="str">
        <f t="shared" si="687"/>
        <v>ND</v>
      </c>
      <c r="II116" s="1" t="str">
        <f t="shared" si="688"/>
        <v>ND</v>
      </c>
    </row>
    <row r="117" spans="3:243" x14ac:dyDescent="0.25">
      <c r="C117" t="s">
        <v>82</v>
      </c>
      <c r="D117">
        <f>SUMIFS(DICCIONARIO[Cantidad],DICCIONARIO[Modelo],UNIFICADA[[#This Row],[Equipo]])</f>
        <v>0</v>
      </c>
      <c r="E117" s="1">
        <f>IFERROR(VLOOKUP($C117,EQUIPOS[],UNIFICADO!E$9,0),"")</f>
        <v>12</v>
      </c>
      <c r="F117" s="1">
        <f>IFERROR(VLOOKUP($C117,EQUIPOS[],UNIFICADO!F$9,0),"")</f>
        <v>6.28</v>
      </c>
      <c r="G117" s="1">
        <f>IFERROR(VLOOKUP($C117,EQUIPOS[],UNIFICADO!G$9,0),"")</f>
        <v>50</v>
      </c>
      <c r="H117" s="1">
        <f>IFERROR(VLOOKUP($C117,EQUIPOS[],UNIFICADO!H$9,0),"")</f>
        <v>3</v>
      </c>
      <c r="I117" s="1">
        <f>IFERROR(VLOOKUP($C117,EQUIPOS[],UNIFICADO!I$9,0),"")</f>
        <v>32</v>
      </c>
      <c r="J117" s="1" t="str">
        <f>IFERROR(VLOOKUP($C117,EQUIPOS[],UNIFICADO!J$9,0),"")</f>
        <v>256GB</v>
      </c>
      <c r="K117" s="1">
        <f>IFERROR(VLOOKUP($C117,EQUIPOS[],UNIFICADO!K$9,0),"")</f>
        <v>0</v>
      </c>
      <c r="L117" s="1">
        <f>IFERROR(VLOOKUP($C117,EQUIPOS[],UNIFICADO!L$9,0),"")</f>
        <v>8</v>
      </c>
      <c r="M117" s="1" t="str">
        <f>IFERROR(VLOOKUP($C117,EQUIPOS[],UNIFICADO!M$9,0),"")</f>
        <v>3.0/2.5/1.8</v>
      </c>
      <c r="N117" s="1">
        <f>IFERROR(VLOOKUP($C117,EQUIPOS[],UNIFICADO!N$9,0),"")</f>
        <v>8</v>
      </c>
      <c r="O117" s="1">
        <f>IFERROR(VLOOKUP($C117,EQUIPOS[],UNIFICADO!O$9,0),"")</f>
        <v>180</v>
      </c>
      <c r="P117" s="1">
        <f>IFERROR(VLOOKUP($C117,EQUIPOS[],UNIFICADO!P$9,0),"")</f>
        <v>15.2</v>
      </c>
      <c r="Q117" s="1">
        <f>IFERROR(VLOOKUP($C117,EQUIPOS[],UNIFICADO!Q$9,0),"")</f>
        <v>6.99</v>
      </c>
      <c r="R117" s="1">
        <f>IFERROR(VLOOKUP($C117,EQUIPOS[],UNIFICADO!R$9,0),"")</f>
        <v>0.82</v>
      </c>
      <c r="S117" s="1">
        <f>IFERROR(VLOOKUP($C117,EQUIPOS[],UNIFICADO!S$9,0),"")</f>
        <v>4500</v>
      </c>
      <c r="T117" s="1">
        <f>IFERROR(VLOOKUP($C117,EQUIPOS[],UNIFICADO!T$9,0),"")</f>
        <v>5</v>
      </c>
      <c r="U117" s="1">
        <f>VLOOKUP(UNIFICADA[[#This Row],[Equipo]],EQUIPOS[],19,0)</f>
        <v>107</v>
      </c>
      <c r="V117" s="1" t="str">
        <f t="shared" si="533"/>
        <v>ND</v>
      </c>
      <c r="W117" s="1" t="str">
        <f t="shared" si="534"/>
        <v>ND</v>
      </c>
      <c r="X117" s="1" t="str">
        <f t="shared" si="689"/>
        <v>ND</v>
      </c>
      <c r="Y117" s="1" t="str">
        <f t="shared" si="689"/>
        <v>ND</v>
      </c>
      <c r="Z117" s="1" t="str">
        <f t="shared" si="690"/>
        <v>ND</v>
      </c>
      <c r="AA117" s="1" t="str">
        <f t="shared" si="690"/>
        <v>ND</v>
      </c>
      <c r="AB117" s="1" t="str">
        <f t="shared" si="690"/>
        <v>ND</v>
      </c>
      <c r="AC117" s="1" t="str">
        <f t="shared" si="690"/>
        <v>ND</v>
      </c>
      <c r="AD117" s="1" t="str">
        <f t="shared" si="690"/>
        <v>ND</v>
      </c>
      <c r="AE117" s="1" t="str">
        <f t="shared" si="690"/>
        <v>ND</v>
      </c>
      <c r="AF117" s="1" t="str">
        <f t="shared" si="690"/>
        <v>ND</v>
      </c>
      <c r="AG117" s="1" t="str">
        <f t="shared" si="690"/>
        <v>ND</v>
      </c>
      <c r="AH117" s="1" t="str">
        <f t="shared" si="690"/>
        <v>ND</v>
      </c>
      <c r="AI117" s="1" t="str">
        <f t="shared" si="535"/>
        <v>ND</v>
      </c>
      <c r="AJ117" s="1" t="str">
        <f t="shared" si="536"/>
        <v>ND</v>
      </c>
      <c r="AK117" s="1" t="str">
        <f t="shared" si="537"/>
        <v>ND</v>
      </c>
      <c r="AL117" s="1" t="str">
        <f t="shared" si="538"/>
        <v>ND</v>
      </c>
      <c r="AM117" s="1" t="str">
        <f t="shared" si="539"/>
        <v>ND</v>
      </c>
      <c r="AN117" s="1" t="str">
        <f t="shared" si="540"/>
        <v>ND</v>
      </c>
      <c r="AO117" s="1" t="str">
        <f t="shared" si="541"/>
        <v>ND</v>
      </c>
      <c r="AP117" s="1" t="str">
        <f t="shared" si="542"/>
        <v>ND</v>
      </c>
      <c r="AQ117" s="1" t="str">
        <f t="shared" si="543"/>
        <v>ND</v>
      </c>
      <c r="AR117" s="1" t="str">
        <f t="shared" si="544"/>
        <v>ND</v>
      </c>
      <c r="AS117" s="1" t="str">
        <f t="shared" si="545"/>
        <v>ND</v>
      </c>
      <c r="AT117" s="1" t="str">
        <f t="shared" si="546"/>
        <v>ND</v>
      </c>
      <c r="AU117" s="1" t="str">
        <f t="shared" si="547"/>
        <v>ND</v>
      </c>
      <c r="AV117" s="1" t="str">
        <f t="shared" si="548"/>
        <v>ND</v>
      </c>
      <c r="AW117" s="1" t="str">
        <f t="shared" si="549"/>
        <v>ND</v>
      </c>
      <c r="AX117" s="1" t="str">
        <f t="shared" si="550"/>
        <v>ND</v>
      </c>
      <c r="AY117" s="1" t="str">
        <f t="shared" si="551"/>
        <v>ND</v>
      </c>
      <c r="AZ117" s="1" t="str">
        <f t="shared" si="552"/>
        <v>ND</v>
      </c>
      <c r="BA117" s="1" t="str">
        <f t="shared" si="553"/>
        <v>ND</v>
      </c>
      <c r="BB117" s="1" t="str">
        <f t="shared" si="554"/>
        <v>ND</v>
      </c>
      <c r="BC117" s="1" t="str">
        <f t="shared" si="555"/>
        <v>ND</v>
      </c>
      <c r="BD117" s="1" t="str">
        <f t="shared" si="556"/>
        <v>ND</v>
      </c>
      <c r="BE117" s="1" t="str">
        <f t="shared" si="557"/>
        <v>ND</v>
      </c>
      <c r="BF117" s="1" t="str">
        <f t="shared" si="558"/>
        <v>ND</v>
      </c>
      <c r="BG117" s="1" t="str">
        <f t="shared" si="559"/>
        <v>ND</v>
      </c>
      <c r="BH117" s="1" t="str">
        <f t="shared" si="560"/>
        <v>ND</v>
      </c>
      <c r="BI117" s="1" t="str">
        <f t="shared" si="561"/>
        <v>ND</v>
      </c>
      <c r="BJ117" s="1" t="str">
        <f t="shared" si="562"/>
        <v>ND</v>
      </c>
      <c r="BK117" s="1" t="str">
        <f t="shared" si="563"/>
        <v>ND</v>
      </c>
      <c r="BL117" s="1" t="str">
        <f t="shared" si="564"/>
        <v>ND</v>
      </c>
      <c r="BM117" s="1" t="str">
        <f t="shared" si="565"/>
        <v>ND</v>
      </c>
      <c r="BN117" s="1" t="str">
        <f t="shared" si="566"/>
        <v>ND</v>
      </c>
      <c r="BO117" s="1" t="str">
        <f t="shared" si="567"/>
        <v>ND</v>
      </c>
      <c r="BP117" s="1" t="str">
        <f t="shared" si="568"/>
        <v>ND</v>
      </c>
      <c r="BQ117" s="1" t="str">
        <f t="shared" si="569"/>
        <v>ND</v>
      </c>
      <c r="BR117" s="1" t="str">
        <f t="shared" si="570"/>
        <v>ND</v>
      </c>
      <c r="BS117" s="1" t="str">
        <f t="shared" si="571"/>
        <v>ND</v>
      </c>
      <c r="BT117" s="1" t="str">
        <f t="shared" si="572"/>
        <v>ND</v>
      </c>
      <c r="BU117" s="1" t="str">
        <f t="shared" si="573"/>
        <v>ND</v>
      </c>
      <c r="BV117" s="1" t="str">
        <f t="shared" si="574"/>
        <v>ND</v>
      </c>
      <c r="BW117" s="1" t="str">
        <f t="shared" si="575"/>
        <v>ND</v>
      </c>
      <c r="BX117" s="1" t="str">
        <f t="shared" si="576"/>
        <v>ND</v>
      </c>
      <c r="BY117" s="1" t="str">
        <f t="shared" si="577"/>
        <v>ND</v>
      </c>
      <c r="BZ117" s="1" t="str">
        <f t="shared" si="578"/>
        <v>ND</v>
      </c>
      <c r="CA117" s="1" t="str">
        <f t="shared" si="691"/>
        <v>ND</v>
      </c>
      <c r="CB117" s="1" t="str">
        <f t="shared" si="691"/>
        <v>ND</v>
      </c>
      <c r="CC117" s="1" t="str">
        <f t="shared" si="691"/>
        <v>ND</v>
      </c>
      <c r="CD117" s="1" t="str">
        <f t="shared" si="691"/>
        <v>ND</v>
      </c>
      <c r="CE117" s="1" t="str">
        <f t="shared" si="691"/>
        <v>ND</v>
      </c>
      <c r="CF117" s="1" t="str">
        <f t="shared" si="691"/>
        <v>ND</v>
      </c>
      <c r="CG117" s="1" t="str">
        <f t="shared" si="691"/>
        <v>ND</v>
      </c>
      <c r="CH117" s="1" t="str">
        <f t="shared" si="691"/>
        <v>ND</v>
      </c>
      <c r="CI117" s="1" t="str">
        <f t="shared" si="691"/>
        <v>ND</v>
      </c>
      <c r="CJ117" s="1" t="str">
        <f t="shared" si="691"/>
        <v>ND</v>
      </c>
      <c r="CK117" s="1" t="str">
        <f t="shared" si="691"/>
        <v>ND</v>
      </c>
      <c r="CL117" s="1" t="str">
        <f t="shared" si="692"/>
        <v>ND</v>
      </c>
      <c r="CM117" s="1" t="str">
        <f t="shared" si="692"/>
        <v>ND</v>
      </c>
      <c r="CN117" s="1" t="str">
        <f t="shared" si="692"/>
        <v>ND</v>
      </c>
      <c r="CO117" s="1" t="str">
        <f t="shared" si="692"/>
        <v>ND</v>
      </c>
      <c r="CP117" s="1" t="str">
        <f t="shared" si="692"/>
        <v>ND</v>
      </c>
      <c r="CQ117" s="1" t="str">
        <f t="shared" si="692"/>
        <v>ND</v>
      </c>
      <c r="CR117" s="1" t="str">
        <f t="shared" si="692"/>
        <v>ND</v>
      </c>
      <c r="CS117" s="1" t="str">
        <f t="shared" si="692"/>
        <v>ND</v>
      </c>
      <c r="CT117" s="1" t="str">
        <f t="shared" si="692"/>
        <v>ND</v>
      </c>
      <c r="CU117" s="1" t="str">
        <f t="shared" si="692"/>
        <v>ND</v>
      </c>
      <c r="CV117" s="1" t="str">
        <f t="shared" si="692"/>
        <v>ND</v>
      </c>
      <c r="CW117" s="1" t="str">
        <f t="shared" si="579"/>
        <v>ND</v>
      </c>
      <c r="CX117" s="1" t="str">
        <f t="shared" si="580"/>
        <v>ND</v>
      </c>
      <c r="CY117" s="1" t="str">
        <f t="shared" si="581"/>
        <v>ND</v>
      </c>
      <c r="CZ117" s="1" t="str">
        <f t="shared" si="582"/>
        <v>ND</v>
      </c>
      <c r="DA117" s="1" t="str">
        <f t="shared" si="583"/>
        <v>ND</v>
      </c>
      <c r="DB117" s="1" t="str">
        <f t="shared" si="584"/>
        <v>ND</v>
      </c>
      <c r="DC117" s="1" t="str">
        <f t="shared" si="585"/>
        <v>ND</v>
      </c>
      <c r="DD117" s="1" t="str">
        <f t="shared" si="586"/>
        <v>ND</v>
      </c>
      <c r="DE117" s="1" t="str">
        <f t="shared" si="587"/>
        <v>ND</v>
      </c>
      <c r="DF117" s="1" t="str">
        <f t="shared" si="588"/>
        <v>ND</v>
      </c>
      <c r="DG117" s="1" t="str">
        <f t="shared" si="589"/>
        <v>ND</v>
      </c>
      <c r="DH117" s="1" t="str">
        <f t="shared" si="590"/>
        <v>ND</v>
      </c>
      <c r="DI117" s="1" t="str">
        <f t="shared" si="591"/>
        <v>ND</v>
      </c>
      <c r="DJ117" s="1" t="str">
        <f t="shared" si="592"/>
        <v>ND</v>
      </c>
      <c r="DK117" s="1" t="str">
        <f t="shared" si="593"/>
        <v>ND</v>
      </c>
      <c r="DL117" s="1" t="str">
        <f t="shared" si="594"/>
        <v>ND</v>
      </c>
      <c r="DM117" s="1" t="str">
        <f t="shared" si="595"/>
        <v>ND</v>
      </c>
      <c r="DN117" s="1" t="str">
        <f t="shared" si="596"/>
        <v>ND</v>
      </c>
      <c r="DO117" s="1" t="str">
        <f t="shared" si="597"/>
        <v>ND</v>
      </c>
      <c r="DP117" s="1" t="str">
        <f t="shared" si="598"/>
        <v>ND</v>
      </c>
      <c r="DQ117" s="1" t="str">
        <f t="shared" si="599"/>
        <v>ND</v>
      </c>
      <c r="DR117" s="1" t="str">
        <f t="shared" si="600"/>
        <v>ND</v>
      </c>
      <c r="DS117" s="1" t="str">
        <f t="shared" si="601"/>
        <v>ND</v>
      </c>
      <c r="DT117" s="1" t="str">
        <f t="shared" si="602"/>
        <v>ND</v>
      </c>
      <c r="DU117" s="1" t="str">
        <f t="shared" si="603"/>
        <v>ND</v>
      </c>
      <c r="DV117" s="1" t="str">
        <f t="shared" si="604"/>
        <v>ND</v>
      </c>
      <c r="DW117" s="1" t="str">
        <f t="shared" si="605"/>
        <v>ND</v>
      </c>
      <c r="DX117" s="1" t="str">
        <f t="shared" si="606"/>
        <v>ND</v>
      </c>
      <c r="DY117" s="1" t="str">
        <f t="shared" si="607"/>
        <v>ND</v>
      </c>
      <c r="DZ117" s="1" t="str">
        <f t="shared" si="608"/>
        <v>ND</v>
      </c>
      <c r="EA117" s="1" t="str">
        <f t="shared" si="609"/>
        <v>ND</v>
      </c>
      <c r="EB117" s="1" t="str">
        <f t="shared" si="610"/>
        <v>ND</v>
      </c>
      <c r="EC117" s="1" t="str">
        <f t="shared" si="611"/>
        <v>ND</v>
      </c>
      <c r="ED117" s="1" t="str">
        <f t="shared" si="612"/>
        <v>ND</v>
      </c>
      <c r="EE117" s="1" t="str">
        <f t="shared" si="613"/>
        <v>ND</v>
      </c>
      <c r="EF117" s="1" t="str">
        <f t="shared" si="614"/>
        <v>ND</v>
      </c>
      <c r="EG117" s="1" t="str">
        <f t="shared" si="615"/>
        <v>ND</v>
      </c>
      <c r="EH117" s="1" t="str">
        <f t="shared" si="616"/>
        <v>ND</v>
      </c>
      <c r="EI117" s="1" t="str">
        <f t="shared" si="617"/>
        <v>ND</v>
      </c>
      <c r="EJ117" s="1" t="str">
        <f t="shared" si="618"/>
        <v>ND</v>
      </c>
      <c r="EK117" s="1" t="str">
        <f t="shared" si="619"/>
        <v>ND</v>
      </c>
      <c r="EL117" s="1" t="str">
        <f t="shared" si="620"/>
        <v>ND</v>
      </c>
      <c r="EM117" s="1" t="str">
        <f t="shared" si="621"/>
        <v>ND</v>
      </c>
      <c r="EN117" s="1" t="str">
        <f t="shared" si="622"/>
        <v>ND</v>
      </c>
      <c r="EO117" s="1" t="str">
        <f t="shared" si="693"/>
        <v>ND</v>
      </c>
      <c r="EP117" s="1" t="str">
        <f t="shared" si="693"/>
        <v>ND</v>
      </c>
      <c r="EQ117" s="1" t="str">
        <f t="shared" si="693"/>
        <v>ND</v>
      </c>
      <c r="ER117" s="1" t="str">
        <f t="shared" si="693"/>
        <v>ND</v>
      </c>
      <c r="ES117" s="1" t="str">
        <f t="shared" si="693"/>
        <v>ND</v>
      </c>
      <c r="ET117" s="1" t="str">
        <f t="shared" si="693"/>
        <v>ND</v>
      </c>
      <c r="EU117" s="1" t="str">
        <f t="shared" si="693"/>
        <v>ND</v>
      </c>
      <c r="EV117" s="1" t="str">
        <f t="shared" si="693"/>
        <v>ND</v>
      </c>
      <c r="EW117" s="1" t="str">
        <f t="shared" si="693"/>
        <v>ND</v>
      </c>
      <c r="EX117" s="1" t="str">
        <f t="shared" si="693"/>
        <v>ND</v>
      </c>
      <c r="EY117" s="1" t="str">
        <f t="shared" si="693"/>
        <v>ND</v>
      </c>
      <c r="EZ117" s="1" t="str">
        <f t="shared" si="694"/>
        <v>ND</v>
      </c>
      <c r="FA117" s="1" t="str">
        <f t="shared" si="694"/>
        <v>ND</v>
      </c>
      <c r="FB117" s="1" t="str">
        <f t="shared" si="694"/>
        <v>ND</v>
      </c>
      <c r="FC117" s="1" t="str">
        <f t="shared" si="694"/>
        <v>ND</v>
      </c>
      <c r="FD117" s="1" t="str">
        <f t="shared" si="694"/>
        <v>ND</v>
      </c>
      <c r="FE117" s="1" t="str">
        <f t="shared" si="694"/>
        <v>ND</v>
      </c>
      <c r="FF117" s="1" t="str">
        <f t="shared" si="694"/>
        <v>ND</v>
      </c>
      <c r="FG117" s="1" t="str">
        <f t="shared" si="694"/>
        <v>ND</v>
      </c>
      <c r="FH117" s="1" t="str">
        <f t="shared" si="694"/>
        <v>ND</v>
      </c>
      <c r="FI117" s="1" t="str">
        <f t="shared" si="694"/>
        <v>ND</v>
      </c>
      <c r="FJ117" s="1" t="str">
        <f t="shared" si="694"/>
        <v>ND</v>
      </c>
      <c r="FK117" s="1" t="str">
        <f t="shared" si="695"/>
        <v>ND</v>
      </c>
      <c r="FL117" s="1" t="str">
        <f t="shared" si="695"/>
        <v>ND</v>
      </c>
      <c r="FM117" s="1" t="str">
        <f t="shared" si="695"/>
        <v>ND</v>
      </c>
      <c r="FN117" s="1" t="str">
        <f t="shared" si="695"/>
        <v>ND</v>
      </c>
      <c r="FO117" s="1" t="str">
        <f t="shared" si="695"/>
        <v>ND</v>
      </c>
      <c r="FP117" s="1" t="str">
        <f t="shared" si="695"/>
        <v>ND</v>
      </c>
      <c r="FQ117" s="1" t="str">
        <f t="shared" si="695"/>
        <v>ND</v>
      </c>
      <c r="FR117" s="1" t="str">
        <f t="shared" si="695"/>
        <v>ND</v>
      </c>
      <c r="FS117" s="1" t="str">
        <f t="shared" si="695"/>
        <v>ND</v>
      </c>
      <c r="FT117" s="1" t="str">
        <f t="shared" si="695"/>
        <v>ND</v>
      </c>
      <c r="FU117" s="1" t="str">
        <f t="shared" si="695"/>
        <v>ND</v>
      </c>
      <c r="FV117" s="1" t="str">
        <f t="shared" si="623"/>
        <v>ND</v>
      </c>
      <c r="FW117" s="1" t="str">
        <f t="shared" si="624"/>
        <v>ND</v>
      </c>
      <c r="FX117" s="1" t="str">
        <f t="shared" si="625"/>
        <v>ND</v>
      </c>
      <c r="FY117" s="1" t="str">
        <f t="shared" si="626"/>
        <v>ND</v>
      </c>
      <c r="FZ117" s="1" t="str">
        <f t="shared" si="627"/>
        <v>ND</v>
      </c>
      <c r="GA117" s="1" t="str">
        <f t="shared" si="628"/>
        <v>ND</v>
      </c>
      <c r="GB117" s="1" t="str">
        <f t="shared" si="629"/>
        <v>ND</v>
      </c>
      <c r="GC117" s="1" t="str">
        <f t="shared" si="630"/>
        <v>ND</v>
      </c>
      <c r="GD117" s="1" t="str">
        <f t="shared" si="631"/>
        <v>ND</v>
      </c>
      <c r="GE117" s="1" t="str">
        <f t="shared" si="632"/>
        <v>ND</v>
      </c>
      <c r="GF117" s="1" t="str">
        <f t="shared" si="633"/>
        <v>ND</v>
      </c>
      <c r="GG117" s="1" t="str">
        <f t="shared" si="634"/>
        <v>ND</v>
      </c>
      <c r="GH117" s="1" t="str">
        <f t="shared" si="635"/>
        <v>ND</v>
      </c>
      <c r="GI117" s="1" t="str">
        <f t="shared" si="636"/>
        <v>ND</v>
      </c>
      <c r="GJ117" s="1" t="str">
        <f t="shared" si="637"/>
        <v>ND</v>
      </c>
      <c r="GK117" s="1" t="str">
        <f t="shared" si="638"/>
        <v>ND</v>
      </c>
      <c r="GL117" s="1" t="str">
        <f t="shared" si="639"/>
        <v>ND</v>
      </c>
      <c r="GM117" s="1" t="str">
        <f t="shared" si="640"/>
        <v>ND</v>
      </c>
      <c r="GN117" s="1" t="str">
        <f t="shared" si="641"/>
        <v>ND</v>
      </c>
      <c r="GO117" s="1" t="str">
        <f t="shared" si="642"/>
        <v>ND</v>
      </c>
      <c r="GP117" s="1" t="str">
        <f t="shared" si="643"/>
        <v>ND</v>
      </c>
      <c r="GQ117" s="1" t="str">
        <f t="shared" si="644"/>
        <v>ND</v>
      </c>
      <c r="GR117" s="1" t="str">
        <f t="shared" si="645"/>
        <v>ND</v>
      </c>
      <c r="GS117" s="1" t="str">
        <f t="shared" si="646"/>
        <v>ND</v>
      </c>
      <c r="GT117" s="1" t="str">
        <f t="shared" si="647"/>
        <v>ND</v>
      </c>
      <c r="GU117" s="1" t="str">
        <f t="shared" si="648"/>
        <v>ND</v>
      </c>
      <c r="GV117" s="1" t="str">
        <f t="shared" si="649"/>
        <v>ND</v>
      </c>
      <c r="GW117" s="1" t="str">
        <f t="shared" si="650"/>
        <v>ND</v>
      </c>
      <c r="GX117" s="1" t="str">
        <f t="shared" si="651"/>
        <v>ND</v>
      </c>
      <c r="GY117" s="1" t="str">
        <f t="shared" si="652"/>
        <v>ND</v>
      </c>
      <c r="GZ117" s="1" t="str">
        <f t="shared" si="653"/>
        <v>ND</v>
      </c>
      <c r="HA117" s="1" t="str">
        <f t="shared" si="654"/>
        <v>ND</v>
      </c>
      <c r="HB117" s="1" t="str">
        <f t="shared" si="655"/>
        <v>ND</v>
      </c>
      <c r="HC117" s="1" t="str">
        <f t="shared" si="656"/>
        <v>ND</v>
      </c>
      <c r="HD117" s="1" t="str">
        <f t="shared" si="657"/>
        <v>ND</v>
      </c>
      <c r="HE117" s="1" t="str">
        <f t="shared" si="658"/>
        <v>ND</v>
      </c>
      <c r="HF117" s="1" t="str">
        <f t="shared" si="659"/>
        <v>ND</v>
      </c>
      <c r="HG117" s="1" t="str">
        <f t="shared" si="660"/>
        <v>ND</v>
      </c>
      <c r="HH117" s="1" t="str">
        <f t="shared" si="661"/>
        <v>ND</v>
      </c>
      <c r="HI117" s="1" t="str">
        <f t="shared" si="662"/>
        <v>ND</v>
      </c>
      <c r="HJ117" s="1" t="str">
        <f t="shared" si="663"/>
        <v>ND</v>
      </c>
      <c r="HK117" s="1" t="str">
        <f t="shared" si="664"/>
        <v>ND</v>
      </c>
      <c r="HL117" s="1" t="str">
        <f t="shared" si="665"/>
        <v>ND</v>
      </c>
      <c r="HM117" s="1" t="str">
        <f t="shared" si="666"/>
        <v>ND</v>
      </c>
      <c r="HN117" s="1" t="str">
        <f t="shared" si="667"/>
        <v>ND</v>
      </c>
      <c r="HO117" s="1" t="str">
        <f t="shared" si="668"/>
        <v>ND</v>
      </c>
      <c r="HP117" s="1" t="str">
        <f t="shared" si="669"/>
        <v>ND</v>
      </c>
      <c r="HQ117" s="1" t="str">
        <f t="shared" si="670"/>
        <v>ND</v>
      </c>
      <c r="HR117" s="1" t="str">
        <f t="shared" si="671"/>
        <v>ND</v>
      </c>
      <c r="HS117" s="1" t="str">
        <f t="shared" si="672"/>
        <v>ND</v>
      </c>
      <c r="HT117" s="1" t="str">
        <f t="shared" si="673"/>
        <v>ND</v>
      </c>
      <c r="HU117" s="1" t="str">
        <f t="shared" si="674"/>
        <v>ND</v>
      </c>
      <c r="HV117" s="1" t="str">
        <f t="shared" si="675"/>
        <v>ND</v>
      </c>
      <c r="HW117" s="1" t="str">
        <f t="shared" si="676"/>
        <v>ND</v>
      </c>
      <c r="HX117" s="1" t="str">
        <f t="shared" si="677"/>
        <v>ND</v>
      </c>
      <c r="HY117" s="1" t="str">
        <f t="shared" si="678"/>
        <v>ND</v>
      </c>
      <c r="HZ117" s="1" t="str">
        <f t="shared" si="679"/>
        <v>ND</v>
      </c>
      <c r="IA117" s="1" t="str">
        <f t="shared" si="680"/>
        <v>ND</v>
      </c>
      <c r="IB117" s="1" t="str">
        <f t="shared" si="681"/>
        <v>ND</v>
      </c>
      <c r="IC117" s="1" t="str">
        <f t="shared" si="682"/>
        <v>ND</v>
      </c>
      <c r="ID117" s="1" t="str">
        <f t="shared" si="683"/>
        <v>ND</v>
      </c>
      <c r="IE117" s="1" t="str">
        <f t="shared" si="684"/>
        <v>ND</v>
      </c>
      <c r="IF117" s="1" t="str">
        <f t="shared" si="685"/>
        <v>ND</v>
      </c>
      <c r="IG117" s="1" t="str">
        <f t="shared" si="686"/>
        <v>ND</v>
      </c>
      <c r="IH117" s="1" t="str">
        <f t="shared" si="687"/>
        <v>ND</v>
      </c>
      <c r="II117" s="1" t="str">
        <f t="shared" si="688"/>
        <v>ND</v>
      </c>
    </row>
    <row r="118" spans="3:243" x14ac:dyDescent="0.25">
      <c r="C118" t="s">
        <v>132</v>
      </c>
      <c r="D118">
        <f>SUMIFS(DICCIONARIO[Cantidad],DICCIONARIO[Modelo],UNIFICADA[[#This Row],[Equipo]])</f>
        <v>0</v>
      </c>
      <c r="E118" s="1">
        <f>IFERROR(VLOOKUP($C118,EQUIPOS[],UNIFICADO!E$9,0),"")</f>
        <v>12</v>
      </c>
      <c r="F118" s="1" t="str">
        <f>IFERROR(VLOOKUP($C118,EQUIPOS[],UNIFICADO!F$9,0),"")</f>
        <v>6.55 FULLHD+ 120Hz</v>
      </c>
      <c r="G118" s="1">
        <f>IFERROR(VLOOKUP($C118,EQUIPOS[],UNIFICADO!G$9,0),"")</f>
        <v>108</v>
      </c>
      <c r="H118" s="1">
        <f>IFERROR(VLOOKUP($C118,EQUIPOS[],UNIFICADO!H$9,0),"")</f>
        <v>3</v>
      </c>
      <c r="I118" s="1">
        <f>IFERROR(VLOOKUP($C118,EQUIPOS[],UNIFICADO!I$9,0),"")</f>
        <v>32</v>
      </c>
      <c r="J118" s="1" t="str">
        <f>IFERROR(VLOOKUP($C118,EQUIPOS[],UNIFICADO!J$9,0),"")</f>
        <v>128GB</v>
      </c>
      <c r="K118" s="1">
        <f>IFERROR(VLOOKUP($C118,EQUIPOS[],UNIFICADO!K$9,0),"")</f>
        <v>0</v>
      </c>
      <c r="L118" s="1">
        <f>IFERROR(VLOOKUP($C118,EQUIPOS[],UNIFICADO!L$9,0),"")</f>
        <v>8</v>
      </c>
      <c r="M118" s="1" t="str">
        <f>IFERROR(VLOOKUP($C118,EQUIPOS[],UNIFICADO!M$9,0),"")</f>
        <v>Snapdragon 778G</v>
      </c>
      <c r="N118" s="1">
        <f>IFERROR(VLOOKUP($C118,EQUIPOS[],UNIFICADO!N$9,0),"")</f>
        <v>8</v>
      </c>
      <c r="O118" s="1">
        <f>IFERROR(VLOOKUP($C118,EQUIPOS[],UNIFICADO!O$9,0),"")</f>
        <v>173</v>
      </c>
      <c r="P118" s="1">
        <f>IFERROR(VLOOKUP($C118,EQUIPOS[],UNIFICADO!P$9,0),"")</f>
        <v>15.9</v>
      </c>
      <c r="Q118" s="1">
        <f>IFERROR(VLOOKUP($C118,EQUIPOS[],UNIFICADO!Q$9,0),"")</f>
        <v>7.33</v>
      </c>
      <c r="R118" s="1">
        <f>IFERROR(VLOOKUP($C118,EQUIPOS[],UNIFICADO!R$9,0),"")</f>
        <v>0.73</v>
      </c>
      <c r="S118" s="1" t="str">
        <f>IFERROR(VLOOKUP($C118,EQUIPOS[],UNIFICADO!S$9,0),"")</f>
        <v>4300 67W</v>
      </c>
      <c r="T118" s="1">
        <f>IFERROR(VLOOKUP($C118,EQUIPOS[],UNIFICADO!T$9,0),"")</f>
        <v>5</v>
      </c>
      <c r="U118" s="1">
        <f>VLOOKUP(UNIFICADA[[#This Row],[Equipo]],EQUIPOS[],19,0)</f>
        <v>108</v>
      </c>
      <c r="V118" s="1" t="str">
        <f t="shared" si="533"/>
        <v>ND</v>
      </c>
      <c r="W118" s="1" t="str">
        <f t="shared" si="534"/>
        <v>ND</v>
      </c>
      <c r="X118" s="1" t="str">
        <f t="shared" si="689"/>
        <v>ND</v>
      </c>
      <c r="Y118" s="1" t="str">
        <f t="shared" si="689"/>
        <v>ND</v>
      </c>
      <c r="Z118" s="1" t="str">
        <f t="shared" si="690"/>
        <v>ND</v>
      </c>
      <c r="AA118" s="1" t="str">
        <f t="shared" si="690"/>
        <v>ND</v>
      </c>
      <c r="AB118" s="1" t="str">
        <f t="shared" si="690"/>
        <v>ND</v>
      </c>
      <c r="AC118" s="1" t="str">
        <f t="shared" si="690"/>
        <v>ND</v>
      </c>
      <c r="AD118" s="1" t="str">
        <f t="shared" si="690"/>
        <v>ND</v>
      </c>
      <c r="AE118" s="1" t="str">
        <f t="shared" si="690"/>
        <v>ND</v>
      </c>
      <c r="AF118" s="1" t="str">
        <f t="shared" si="690"/>
        <v>ND</v>
      </c>
      <c r="AG118" s="1" t="str">
        <f t="shared" si="690"/>
        <v>ND</v>
      </c>
      <c r="AH118" s="1" t="str">
        <f t="shared" si="690"/>
        <v>ND</v>
      </c>
      <c r="AI118" s="1" t="str">
        <f t="shared" si="535"/>
        <v>ND</v>
      </c>
      <c r="AJ118" s="1" t="str">
        <f t="shared" si="536"/>
        <v>ND</v>
      </c>
      <c r="AK118" s="1" t="str">
        <f t="shared" si="537"/>
        <v>ND</v>
      </c>
      <c r="AL118" s="1" t="str">
        <f t="shared" si="538"/>
        <v>ND</v>
      </c>
      <c r="AM118" s="1" t="str">
        <f t="shared" si="539"/>
        <v>ND</v>
      </c>
      <c r="AN118" s="1" t="str">
        <f t="shared" si="540"/>
        <v>ND</v>
      </c>
      <c r="AO118" s="1" t="str">
        <f t="shared" si="541"/>
        <v>ND</v>
      </c>
      <c r="AP118" s="1" t="str">
        <f t="shared" si="542"/>
        <v>ND</v>
      </c>
      <c r="AQ118" s="1" t="str">
        <f t="shared" si="543"/>
        <v>ND</v>
      </c>
      <c r="AR118" s="1" t="str">
        <f t="shared" si="544"/>
        <v>ND</v>
      </c>
      <c r="AS118" s="1" t="str">
        <f t="shared" si="545"/>
        <v>ND</v>
      </c>
      <c r="AT118" s="1" t="str">
        <f t="shared" si="546"/>
        <v>ND</v>
      </c>
      <c r="AU118" s="1" t="str">
        <f t="shared" si="547"/>
        <v>ND</v>
      </c>
      <c r="AV118" s="1" t="str">
        <f t="shared" si="548"/>
        <v>ND</v>
      </c>
      <c r="AW118" s="1" t="str">
        <f t="shared" si="549"/>
        <v>ND</v>
      </c>
      <c r="AX118" s="1" t="str">
        <f t="shared" si="550"/>
        <v>ND</v>
      </c>
      <c r="AY118" s="1" t="str">
        <f t="shared" si="551"/>
        <v>ND</v>
      </c>
      <c r="AZ118" s="1" t="str">
        <f t="shared" si="552"/>
        <v>ND</v>
      </c>
      <c r="BA118" s="1" t="str">
        <f t="shared" si="553"/>
        <v>ND</v>
      </c>
      <c r="BB118" s="1" t="str">
        <f t="shared" si="554"/>
        <v>ND</v>
      </c>
      <c r="BC118" s="1" t="str">
        <f t="shared" si="555"/>
        <v>ND</v>
      </c>
      <c r="BD118" s="1" t="str">
        <f t="shared" si="556"/>
        <v>ND</v>
      </c>
      <c r="BE118" s="1" t="str">
        <f t="shared" si="557"/>
        <v>ND</v>
      </c>
      <c r="BF118" s="1" t="str">
        <f t="shared" si="558"/>
        <v>ND</v>
      </c>
      <c r="BG118" s="1" t="str">
        <f t="shared" si="559"/>
        <v>ND</v>
      </c>
      <c r="BH118" s="1" t="str">
        <f t="shared" si="560"/>
        <v>ND</v>
      </c>
      <c r="BI118" s="1" t="str">
        <f t="shared" si="561"/>
        <v>ND</v>
      </c>
      <c r="BJ118" s="1" t="str">
        <f t="shared" si="562"/>
        <v>ND</v>
      </c>
      <c r="BK118" s="1" t="str">
        <f t="shared" si="563"/>
        <v>ND</v>
      </c>
      <c r="BL118" s="1" t="str">
        <f t="shared" si="564"/>
        <v>ND</v>
      </c>
      <c r="BM118" s="1" t="str">
        <f t="shared" si="565"/>
        <v>ND</v>
      </c>
      <c r="BN118" s="1" t="str">
        <f t="shared" si="566"/>
        <v>ND</v>
      </c>
      <c r="BO118" s="1" t="str">
        <f t="shared" si="567"/>
        <v>ND</v>
      </c>
      <c r="BP118" s="1" t="str">
        <f t="shared" si="568"/>
        <v>ND</v>
      </c>
      <c r="BQ118" s="1" t="str">
        <f t="shared" si="569"/>
        <v>ND</v>
      </c>
      <c r="BR118" s="1" t="str">
        <f t="shared" si="570"/>
        <v>ND</v>
      </c>
      <c r="BS118" s="1" t="str">
        <f t="shared" si="571"/>
        <v>ND</v>
      </c>
      <c r="BT118" s="1" t="str">
        <f t="shared" si="572"/>
        <v>ND</v>
      </c>
      <c r="BU118" s="1" t="str">
        <f t="shared" si="573"/>
        <v>ND</v>
      </c>
      <c r="BV118" s="1" t="str">
        <f t="shared" si="574"/>
        <v>ND</v>
      </c>
      <c r="BW118" s="1" t="str">
        <f t="shared" si="575"/>
        <v>ND</v>
      </c>
      <c r="BX118" s="1" t="str">
        <f t="shared" si="576"/>
        <v>ND</v>
      </c>
      <c r="BY118" s="1" t="str">
        <f t="shared" si="577"/>
        <v>ND</v>
      </c>
      <c r="BZ118" s="1" t="str">
        <f t="shared" si="578"/>
        <v>ND</v>
      </c>
      <c r="CA118" s="1" t="str">
        <f t="shared" si="691"/>
        <v>ND</v>
      </c>
      <c r="CB118" s="1" t="str">
        <f t="shared" si="691"/>
        <v>ND</v>
      </c>
      <c r="CC118" s="1" t="str">
        <f t="shared" si="691"/>
        <v>ND</v>
      </c>
      <c r="CD118" s="1" t="str">
        <f t="shared" si="691"/>
        <v>ND</v>
      </c>
      <c r="CE118" s="1" t="str">
        <f t="shared" si="691"/>
        <v>ND</v>
      </c>
      <c r="CF118" s="1" t="str">
        <f t="shared" si="691"/>
        <v>ND</v>
      </c>
      <c r="CG118" s="1" t="str">
        <f t="shared" si="691"/>
        <v>ND</v>
      </c>
      <c r="CH118" s="1" t="str">
        <f t="shared" si="691"/>
        <v>ND</v>
      </c>
      <c r="CI118" s="1" t="str">
        <f t="shared" si="691"/>
        <v>ND</v>
      </c>
      <c r="CJ118" s="1" t="str">
        <f t="shared" si="691"/>
        <v>ND</v>
      </c>
      <c r="CK118" s="1" t="str">
        <f t="shared" si="691"/>
        <v>ND</v>
      </c>
      <c r="CL118" s="1" t="str">
        <f t="shared" si="692"/>
        <v>ND</v>
      </c>
      <c r="CM118" s="1" t="str">
        <f t="shared" si="692"/>
        <v>ND</v>
      </c>
      <c r="CN118" s="1" t="str">
        <f t="shared" si="692"/>
        <v>ND</v>
      </c>
      <c r="CO118" s="1" t="str">
        <f t="shared" si="692"/>
        <v>ND</v>
      </c>
      <c r="CP118" s="1" t="str">
        <f t="shared" si="692"/>
        <v>ND</v>
      </c>
      <c r="CQ118" s="1" t="str">
        <f t="shared" si="692"/>
        <v>ND</v>
      </c>
      <c r="CR118" s="1" t="str">
        <f t="shared" si="692"/>
        <v>ND</v>
      </c>
      <c r="CS118" s="1" t="str">
        <f t="shared" si="692"/>
        <v>ND</v>
      </c>
      <c r="CT118" s="1" t="str">
        <f t="shared" si="692"/>
        <v>ND</v>
      </c>
      <c r="CU118" s="1" t="str">
        <f t="shared" si="692"/>
        <v>ND</v>
      </c>
      <c r="CV118" s="1" t="str">
        <f t="shared" si="692"/>
        <v>ND</v>
      </c>
      <c r="CW118" s="1" t="str">
        <f t="shared" si="579"/>
        <v>ND</v>
      </c>
      <c r="CX118" s="1" t="str">
        <f t="shared" si="580"/>
        <v>ND</v>
      </c>
      <c r="CY118" s="1" t="str">
        <f t="shared" si="581"/>
        <v>ND</v>
      </c>
      <c r="CZ118" s="1" t="str">
        <f t="shared" si="582"/>
        <v>ND</v>
      </c>
      <c r="DA118" s="1" t="str">
        <f t="shared" si="583"/>
        <v>ND</v>
      </c>
      <c r="DB118" s="1" t="str">
        <f t="shared" si="584"/>
        <v>ND</v>
      </c>
      <c r="DC118" s="1" t="str">
        <f t="shared" si="585"/>
        <v>ND</v>
      </c>
      <c r="DD118" s="1" t="str">
        <f t="shared" si="586"/>
        <v>ND</v>
      </c>
      <c r="DE118" s="1" t="str">
        <f t="shared" si="587"/>
        <v>ND</v>
      </c>
      <c r="DF118" s="1" t="str">
        <f t="shared" si="588"/>
        <v>ND</v>
      </c>
      <c r="DG118" s="1" t="str">
        <f t="shared" si="589"/>
        <v>ND</v>
      </c>
      <c r="DH118" s="1" t="str">
        <f t="shared" si="590"/>
        <v>ND</v>
      </c>
      <c r="DI118" s="1" t="str">
        <f t="shared" si="591"/>
        <v>ND</v>
      </c>
      <c r="DJ118" s="1" t="str">
        <f t="shared" si="592"/>
        <v>ND</v>
      </c>
      <c r="DK118" s="1" t="str">
        <f t="shared" si="593"/>
        <v>ND</v>
      </c>
      <c r="DL118" s="1" t="str">
        <f t="shared" si="594"/>
        <v>ND</v>
      </c>
      <c r="DM118" s="1" t="str">
        <f t="shared" si="595"/>
        <v>ND</v>
      </c>
      <c r="DN118" s="1" t="str">
        <f t="shared" si="596"/>
        <v>ND</v>
      </c>
      <c r="DO118" s="1" t="str">
        <f t="shared" si="597"/>
        <v>ND</v>
      </c>
      <c r="DP118" s="1" t="str">
        <f t="shared" si="598"/>
        <v>ND</v>
      </c>
      <c r="DQ118" s="1" t="str">
        <f t="shared" si="599"/>
        <v>ND</v>
      </c>
      <c r="DR118" s="1" t="str">
        <f t="shared" si="600"/>
        <v>ND</v>
      </c>
      <c r="DS118" s="1" t="str">
        <f t="shared" si="601"/>
        <v>ND</v>
      </c>
      <c r="DT118" s="1" t="str">
        <f t="shared" si="602"/>
        <v>ND</v>
      </c>
      <c r="DU118" s="1" t="str">
        <f t="shared" si="603"/>
        <v>ND</v>
      </c>
      <c r="DV118" s="1" t="str">
        <f t="shared" si="604"/>
        <v>ND</v>
      </c>
      <c r="DW118" s="1" t="str">
        <f t="shared" si="605"/>
        <v>ND</v>
      </c>
      <c r="DX118" s="1" t="str">
        <f t="shared" si="606"/>
        <v>ND</v>
      </c>
      <c r="DY118" s="1" t="str">
        <f t="shared" si="607"/>
        <v>ND</v>
      </c>
      <c r="DZ118" s="1" t="str">
        <f t="shared" si="608"/>
        <v>ND</v>
      </c>
      <c r="EA118" s="1" t="str">
        <f t="shared" si="609"/>
        <v>ND</v>
      </c>
      <c r="EB118" s="1" t="str">
        <f t="shared" si="610"/>
        <v>ND</v>
      </c>
      <c r="EC118" s="1" t="str">
        <f t="shared" si="611"/>
        <v>ND</v>
      </c>
      <c r="ED118" s="1" t="str">
        <f t="shared" si="612"/>
        <v>ND</v>
      </c>
      <c r="EE118" s="1" t="str">
        <f t="shared" si="613"/>
        <v>ND</v>
      </c>
      <c r="EF118" s="1" t="str">
        <f t="shared" si="614"/>
        <v>ND</v>
      </c>
      <c r="EG118" s="1" t="str">
        <f t="shared" si="615"/>
        <v>ND</v>
      </c>
      <c r="EH118" s="1" t="str">
        <f t="shared" si="616"/>
        <v>ND</v>
      </c>
      <c r="EI118" s="1" t="str">
        <f t="shared" si="617"/>
        <v>ND</v>
      </c>
      <c r="EJ118" s="1" t="str">
        <f t="shared" si="618"/>
        <v>ND</v>
      </c>
      <c r="EK118" s="1" t="str">
        <f t="shared" si="619"/>
        <v>ND</v>
      </c>
      <c r="EL118" s="1" t="str">
        <f t="shared" si="620"/>
        <v>ND</v>
      </c>
      <c r="EM118" s="1" t="str">
        <f t="shared" si="621"/>
        <v>ND</v>
      </c>
      <c r="EN118" s="1" t="str">
        <f t="shared" si="622"/>
        <v>ND</v>
      </c>
      <c r="EO118" s="1" t="str">
        <f t="shared" si="693"/>
        <v>ND</v>
      </c>
      <c r="EP118" s="1" t="str">
        <f t="shared" si="693"/>
        <v>ND</v>
      </c>
      <c r="EQ118" s="1" t="str">
        <f t="shared" si="693"/>
        <v>ND</v>
      </c>
      <c r="ER118" s="1" t="str">
        <f t="shared" si="693"/>
        <v>ND</v>
      </c>
      <c r="ES118" s="1" t="str">
        <f t="shared" si="693"/>
        <v>ND</v>
      </c>
      <c r="ET118" s="1" t="str">
        <f t="shared" si="693"/>
        <v>ND</v>
      </c>
      <c r="EU118" s="1" t="str">
        <f t="shared" si="693"/>
        <v>ND</v>
      </c>
      <c r="EV118" s="1" t="str">
        <f t="shared" si="693"/>
        <v>ND</v>
      </c>
      <c r="EW118" s="1" t="str">
        <f t="shared" si="693"/>
        <v>ND</v>
      </c>
      <c r="EX118" s="1" t="str">
        <f t="shared" si="693"/>
        <v>ND</v>
      </c>
      <c r="EY118" s="1" t="str">
        <f t="shared" si="693"/>
        <v>ND</v>
      </c>
      <c r="EZ118" s="1" t="str">
        <f t="shared" si="694"/>
        <v>ND</v>
      </c>
      <c r="FA118" s="1" t="str">
        <f t="shared" si="694"/>
        <v>ND</v>
      </c>
      <c r="FB118" s="1" t="str">
        <f t="shared" si="694"/>
        <v>ND</v>
      </c>
      <c r="FC118" s="1" t="str">
        <f t="shared" si="694"/>
        <v>ND</v>
      </c>
      <c r="FD118" s="1" t="str">
        <f t="shared" si="694"/>
        <v>ND</v>
      </c>
      <c r="FE118" s="1" t="str">
        <f t="shared" si="694"/>
        <v>ND</v>
      </c>
      <c r="FF118" s="1" t="str">
        <f t="shared" si="694"/>
        <v>ND</v>
      </c>
      <c r="FG118" s="1" t="str">
        <f t="shared" si="694"/>
        <v>ND</v>
      </c>
      <c r="FH118" s="1" t="str">
        <f t="shared" si="694"/>
        <v>ND</v>
      </c>
      <c r="FI118" s="1" t="str">
        <f t="shared" si="694"/>
        <v>ND</v>
      </c>
      <c r="FJ118" s="1" t="str">
        <f t="shared" si="694"/>
        <v>ND</v>
      </c>
      <c r="FK118" s="1" t="str">
        <f t="shared" si="695"/>
        <v>ND</v>
      </c>
      <c r="FL118" s="1" t="str">
        <f t="shared" si="695"/>
        <v>ND</v>
      </c>
      <c r="FM118" s="1" t="str">
        <f t="shared" si="695"/>
        <v>ND</v>
      </c>
      <c r="FN118" s="1" t="str">
        <f t="shared" si="695"/>
        <v>ND</v>
      </c>
      <c r="FO118" s="1" t="str">
        <f t="shared" si="695"/>
        <v>ND</v>
      </c>
      <c r="FP118" s="1" t="str">
        <f t="shared" si="695"/>
        <v>ND</v>
      </c>
      <c r="FQ118" s="1" t="str">
        <f t="shared" si="695"/>
        <v>ND</v>
      </c>
      <c r="FR118" s="1" t="str">
        <f t="shared" si="695"/>
        <v>ND</v>
      </c>
      <c r="FS118" s="1" t="str">
        <f t="shared" si="695"/>
        <v>ND</v>
      </c>
      <c r="FT118" s="1" t="str">
        <f t="shared" si="695"/>
        <v>ND</v>
      </c>
      <c r="FU118" s="1" t="str">
        <f t="shared" si="695"/>
        <v>ND</v>
      </c>
      <c r="FV118" s="1" t="str">
        <f t="shared" si="623"/>
        <v>ND</v>
      </c>
      <c r="FW118" s="1" t="str">
        <f t="shared" si="624"/>
        <v>ND</v>
      </c>
      <c r="FX118" s="1" t="str">
        <f t="shared" si="625"/>
        <v>ND</v>
      </c>
      <c r="FY118" s="1" t="str">
        <f t="shared" si="626"/>
        <v>ND</v>
      </c>
      <c r="FZ118" s="1" t="str">
        <f t="shared" si="627"/>
        <v>ND</v>
      </c>
      <c r="GA118" s="1" t="str">
        <f t="shared" si="628"/>
        <v>ND</v>
      </c>
      <c r="GB118" s="1" t="str">
        <f t="shared" si="629"/>
        <v>ND</v>
      </c>
      <c r="GC118" s="1" t="str">
        <f t="shared" si="630"/>
        <v>ND</v>
      </c>
      <c r="GD118" s="1" t="str">
        <f t="shared" si="631"/>
        <v>ND</v>
      </c>
      <c r="GE118" s="1" t="str">
        <f t="shared" si="632"/>
        <v>ND</v>
      </c>
      <c r="GF118" s="1" t="str">
        <f t="shared" si="633"/>
        <v>ND</v>
      </c>
      <c r="GG118" s="1" t="str">
        <f t="shared" si="634"/>
        <v>ND</v>
      </c>
      <c r="GH118" s="1" t="str">
        <f t="shared" si="635"/>
        <v>ND</v>
      </c>
      <c r="GI118" s="1" t="str">
        <f t="shared" si="636"/>
        <v>ND</v>
      </c>
      <c r="GJ118" s="1" t="str">
        <f t="shared" si="637"/>
        <v>ND</v>
      </c>
      <c r="GK118" s="1" t="str">
        <f t="shared" si="638"/>
        <v>ND</v>
      </c>
      <c r="GL118" s="1" t="str">
        <f t="shared" si="639"/>
        <v>ND</v>
      </c>
      <c r="GM118" s="1" t="str">
        <f t="shared" si="640"/>
        <v>ND</v>
      </c>
      <c r="GN118" s="1" t="str">
        <f t="shared" si="641"/>
        <v>ND</v>
      </c>
      <c r="GO118" s="1" t="str">
        <f t="shared" si="642"/>
        <v>ND</v>
      </c>
      <c r="GP118" s="1" t="str">
        <f t="shared" si="643"/>
        <v>ND</v>
      </c>
      <c r="GQ118" s="1" t="str">
        <f t="shared" si="644"/>
        <v>ND</v>
      </c>
      <c r="GR118" s="1" t="str">
        <f t="shared" si="645"/>
        <v>ND</v>
      </c>
      <c r="GS118" s="1" t="str">
        <f t="shared" si="646"/>
        <v>ND</v>
      </c>
      <c r="GT118" s="1" t="str">
        <f t="shared" si="647"/>
        <v>ND</v>
      </c>
      <c r="GU118" s="1" t="str">
        <f t="shared" si="648"/>
        <v>ND</v>
      </c>
      <c r="GV118" s="1" t="str">
        <f t="shared" si="649"/>
        <v>ND</v>
      </c>
      <c r="GW118" s="1" t="str">
        <f t="shared" si="650"/>
        <v>ND</v>
      </c>
      <c r="GX118" s="1" t="str">
        <f t="shared" si="651"/>
        <v>ND</v>
      </c>
      <c r="GY118" s="1" t="str">
        <f t="shared" si="652"/>
        <v>ND</v>
      </c>
      <c r="GZ118" s="1" t="str">
        <f t="shared" si="653"/>
        <v>ND</v>
      </c>
      <c r="HA118" s="1" t="str">
        <f t="shared" si="654"/>
        <v>ND</v>
      </c>
      <c r="HB118" s="1" t="str">
        <f t="shared" si="655"/>
        <v>ND</v>
      </c>
      <c r="HC118" s="1" t="str">
        <f t="shared" si="656"/>
        <v>ND</v>
      </c>
      <c r="HD118" s="1" t="str">
        <f t="shared" si="657"/>
        <v>ND</v>
      </c>
      <c r="HE118" s="1" t="str">
        <f t="shared" si="658"/>
        <v>ND</v>
      </c>
      <c r="HF118" s="1" t="str">
        <f t="shared" si="659"/>
        <v>ND</v>
      </c>
      <c r="HG118" s="1" t="str">
        <f t="shared" si="660"/>
        <v>ND</v>
      </c>
      <c r="HH118" s="1" t="str">
        <f t="shared" si="661"/>
        <v>ND</v>
      </c>
      <c r="HI118" s="1" t="str">
        <f t="shared" si="662"/>
        <v>ND</v>
      </c>
      <c r="HJ118" s="1" t="str">
        <f t="shared" si="663"/>
        <v>ND</v>
      </c>
      <c r="HK118" s="1" t="str">
        <f t="shared" si="664"/>
        <v>ND</v>
      </c>
      <c r="HL118" s="1" t="str">
        <f t="shared" si="665"/>
        <v>ND</v>
      </c>
      <c r="HM118" s="1" t="str">
        <f t="shared" si="666"/>
        <v>ND</v>
      </c>
      <c r="HN118" s="1" t="str">
        <f t="shared" si="667"/>
        <v>ND</v>
      </c>
      <c r="HO118" s="1" t="str">
        <f t="shared" si="668"/>
        <v>ND</v>
      </c>
      <c r="HP118" s="1" t="str">
        <f t="shared" si="669"/>
        <v>ND</v>
      </c>
      <c r="HQ118" s="1" t="str">
        <f t="shared" si="670"/>
        <v>ND</v>
      </c>
      <c r="HR118" s="1" t="str">
        <f t="shared" si="671"/>
        <v>ND</v>
      </c>
      <c r="HS118" s="1" t="str">
        <f t="shared" si="672"/>
        <v>ND</v>
      </c>
      <c r="HT118" s="1" t="str">
        <f t="shared" si="673"/>
        <v>ND</v>
      </c>
      <c r="HU118" s="1" t="str">
        <f t="shared" si="674"/>
        <v>ND</v>
      </c>
      <c r="HV118" s="1" t="str">
        <f t="shared" si="675"/>
        <v>ND</v>
      </c>
      <c r="HW118" s="1" t="str">
        <f t="shared" si="676"/>
        <v>ND</v>
      </c>
      <c r="HX118" s="1" t="str">
        <f t="shared" si="677"/>
        <v>ND</v>
      </c>
      <c r="HY118" s="1" t="str">
        <f t="shared" si="678"/>
        <v>ND</v>
      </c>
      <c r="HZ118" s="1" t="str">
        <f t="shared" si="679"/>
        <v>ND</v>
      </c>
      <c r="IA118" s="1" t="str">
        <f t="shared" si="680"/>
        <v>ND</v>
      </c>
      <c r="IB118" s="1" t="str">
        <f t="shared" si="681"/>
        <v>ND</v>
      </c>
      <c r="IC118" s="1" t="str">
        <f t="shared" si="682"/>
        <v>ND</v>
      </c>
      <c r="ID118" s="1" t="str">
        <f t="shared" si="683"/>
        <v>ND</v>
      </c>
      <c r="IE118" s="1" t="str">
        <f t="shared" si="684"/>
        <v>ND</v>
      </c>
      <c r="IF118" s="1" t="str">
        <f t="shared" si="685"/>
        <v>ND</v>
      </c>
      <c r="IG118" s="1" t="str">
        <f t="shared" si="686"/>
        <v>ND</v>
      </c>
      <c r="IH118" s="1" t="str">
        <f t="shared" si="687"/>
        <v>ND</v>
      </c>
      <c r="II118" s="1" t="str">
        <f t="shared" si="688"/>
        <v>ND</v>
      </c>
    </row>
    <row r="119" spans="3:243" x14ac:dyDescent="0.25">
      <c r="C119" t="s">
        <v>133</v>
      </c>
      <c r="D119">
        <f>SUMIFS(DICCIONARIO[Cantidad],DICCIONARIO[Modelo],UNIFICADA[[#This Row],[Equipo]])</f>
        <v>0</v>
      </c>
      <c r="E119" s="1">
        <f>IFERROR(VLOOKUP($C119,EQUIPOS[],UNIFICADO!E$9,0),"")</f>
        <v>12</v>
      </c>
      <c r="F119" s="1">
        <f>IFERROR(VLOOKUP($C119,EQUIPOS[],UNIFICADO!F$9,0),"")</f>
        <v>6.67</v>
      </c>
      <c r="G119" s="1">
        <f>IFERROR(VLOOKUP($C119,EQUIPOS[],UNIFICADO!G$9,0),"")</f>
        <v>108</v>
      </c>
      <c r="H119" s="1">
        <f>IFERROR(VLOOKUP($C119,EQUIPOS[],UNIFICADO!H$9,0),"")</f>
        <v>3</v>
      </c>
      <c r="I119" s="1">
        <f>IFERROR(VLOOKUP($C119,EQUIPOS[],UNIFICADO!I$9,0),"")</f>
        <v>20</v>
      </c>
      <c r="J119" s="1" t="str">
        <f>IFERROR(VLOOKUP($C119,EQUIPOS[],UNIFICADO!J$9,0),"")</f>
        <v>256GB</v>
      </c>
      <c r="K119" s="1">
        <f>IFERROR(VLOOKUP($C119,EQUIPOS[],UNIFICADO!K$9,0),"")</f>
        <v>0</v>
      </c>
      <c r="L119" s="1">
        <f>IFERROR(VLOOKUP($C119,EQUIPOS[],UNIFICADO!L$9,0),"")</f>
        <v>8</v>
      </c>
      <c r="M119" s="1">
        <f>IFERROR(VLOOKUP($C119,EQUIPOS[],UNIFICADO!M$9,0),"")</f>
        <v>2.85</v>
      </c>
      <c r="N119" s="1">
        <f>IFERROR(VLOOKUP($C119,EQUIPOS[],UNIFICADO!N$9,0),"")</f>
        <v>8</v>
      </c>
      <c r="O119" s="1">
        <f>IFERROR(VLOOKUP($C119,EQUIPOS[],UNIFICADO!O$9,0),"")</f>
        <v>202</v>
      </c>
      <c r="P119" s="1">
        <f>IFERROR(VLOOKUP($C119,EQUIPOS[],UNIFICADO!P$9,0),"")</f>
        <v>16.100000000000001</v>
      </c>
      <c r="Q119" s="1">
        <f>IFERROR(VLOOKUP($C119,EQUIPOS[],UNIFICADO!Q$9,0),"")</f>
        <v>7.59</v>
      </c>
      <c r="R119" s="1">
        <f>IFERROR(VLOOKUP($C119,EQUIPOS[],UNIFICADO!R$9,0),"")</f>
        <v>0.86</v>
      </c>
      <c r="S119" s="1">
        <f>IFERROR(VLOOKUP($C119,EQUIPOS[],UNIFICADO!S$9,0),"")</f>
        <v>5000</v>
      </c>
      <c r="T119" s="1">
        <f>IFERROR(VLOOKUP($C119,EQUIPOS[],UNIFICADO!T$9,0),"")</f>
        <v>5</v>
      </c>
      <c r="U119" s="1">
        <f>VLOOKUP(UNIFICADA[[#This Row],[Equipo]],EQUIPOS[],19,0)</f>
        <v>109</v>
      </c>
      <c r="V119" s="1" t="str">
        <f t="shared" si="533"/>
        <v>ND</v>
      </c>
      <c r="W119" s="1" t="str">
        <f t="shared" si="534"/>
        <v>ND</v>
      </c>
      <c r="X119" s="1" t="str">
        <f t="shared" si="689"/>
        <v>ND</v>
      </c>
      <c r="Y119" s="1" t="str">
        <f t="shared" si="689"/>
        <v>ND</v>
      </c>
      <c r="Z119" s="1" t="str">
        <f t="shared" si="690"/>
        <v>ND</v>
      </c>
      <c r="AA119" s="1" t="str">
        <f t="shared" si="690"/>
        <v>ND</v>
      </c>
      <c r="AB119" s="1" t="str">
        <f t="shared" si="690"/>
        <v>ND</v>
      </c>
      <c r="AC119" s="1" t="str">
        <f t="shared" si="690"/>
        <v>ND</v>
      </c>
      <c r="AD119" s="1" t="str">
        <f t="shared" si="690"/>
        <v>ND</v>
      </c>
      <c r="AE119" s="1" t="str">
        <f t="shared" si="690"/>
        <v>ND</v>
      </c>
      <c r="AF119" s="1" t="str">
        <f t="shared" si="690"/>
        <v>ND</v>
      </c>
      <c r="AG119" s="1" t="str">
        <f t="shared" si="690"/>
        <v>ND</v>
      </c>
      <c r="AH119" s="1" t="str">
        <f t="shared" si="690"/>
        <v>ND</v>
      </c>
      <c r="AI119" s="1" t="str">
        <f t="shared" si="535"/>
        <v>ND</v>
      </c>
      <c r="AJ119" s="1" t="str">
        <f t="shared" si="536"/>
        <v>ND</v>
      </c>
      <c r="AK119" s="1" t="str">
        <f t="shared" si="537"/>
        <v>ND</v>
      </c>
      <c r="AL119" s="1" t="str">
        <f t="shared" si="538"/>
        <v>ND</v>
      </c>
      <c r="AM119" s="1" t="str">
        <f t="shared" si="539"/>
        <v>ND</v>
      </c>
      <c r="AN119" s="1" t="str">
        <f t="shared" si="540"/>
        <v>ND</v>
      </c>
      <c r="AO119" s="1" t="str">
        <f t="shared" si="541"/>
        <v>ND</v>
      </c>
      <c r="AP119" s="1" t="str">
        <f t="shared" si="542"/>
        <v>ND</v>
      </c>
      <c r="AQ119" s="1" t="str">
        <f t="shared" si="543"/>
        <v>ND</v>
      </c>
      <c r="AR119" s="1" t="str">
        <f t="shared" si="544"/>
        <v>ND</v>
      </c>
      <c r="AS119" s="1" t="str">
        <f t="shared" si="545"/>
        <v>ND</v>
      </c>
      <c r="AT119" s="1" t="str">
        <f t="shared" si="546"/>
        <v>ND</v>
      </c>
      <c r="AU119" s="1" t="str">
        <f t="shared" si="547"/>
        <v>ND</v>
      </c>
      <c r="AV119" s="1" t="str">
        <f t="shared" si="548"/>
        <v>ND</v>
      </c>
      <c r="AW119" s="1" t="str">
        <f t="shared" si="549"/>
        <v>ND</v>
      </c>
      <c r="AX119" s="1" t="str">
        <f t="shared" si="550"/>
        <v>ND</v>
      </c>
      <c r="AY119" s="1" t="str">
        <f t="shared" si="551"/>
        <v>ND</v>
      </c>
      <c r="AZ119" s="1" t="str">
        <f t="shared" si="552"/>
        <v>ND</v>
      </c>
      <c r="BA119" s="1" t="str">
        <f t="shared" si="553"/>
        <v>ND</v>
      </c>
      <c r="BB119" s="1" t="str">
        <f t="shared" si="554"/>
        <v>ND</v>
      </c>
      <c r="BC119" s="1" t="str">
        <f t="shared" si="555"/>
        <v>ND</v>
      </c>
      <c r="BD119" s="1" t="str">
        <f t="shared" si="556"/>
        <v>ND</v>
      </c>
      <c r="BE119" s="1" t="str">
        <f t="shared" si="557"/>
        <v>ND</v>
      </c>
      <c r="BF119" s="1" t="str">
        <f t="shared" si="558"/>
        <v>ND</v>
      </c>
      <c r="BG119" s="1" t="str">
        <f t="shared" si="559"/>
        <v>ND</v>
      </c>
      <c r="BH119" s="1" t="str">
        <f t="shared" si="560"/>
        <v>ND</v>
      </c>
      <c r="BI119" s="1" t="str">
        <f t="shared" si="561"/>
        <v>ND</v>
      </c>
      <c r="BJ119" s="1" t="str">
        <f t="shared" si="562"/>
        <v>ND</v>
      </c>
      <c r="BK119" s="1" t="str">
        <f t="shared" si="563"/>
        <v>ND</v>
      </c>
      <c r="BL119" s="1" t="str">
        <f t="shared" si="564"/>
        <v>ND</v>
      </c>
      <c r="BM119" s="1" t="str">
        <f t="shared" si="565"/>
        <v>ND</v>
      </c>
      <c r="BN119" s="1" t="str">
        <f t="shared" si="566"/>
        <v>ND</v>
      </c>
      <c r="BO119" s="1" t="str">
        <f t="shared" si="567"/>
        <v>ND</v>
      </c>
      <c r="BP119" s="1" t="str">
        <f t="shared" si="568"/>
        <v>ND</v>
      </c>
      <c r="BQ119" s="1" t="str">
        <f t="shared" si="569"/>
        <v>ND</v>
      </c>
      <c r="BR119" s="1" t="str">
        <f t="shared" si="570"/>
        <v>ND</v>
      </c>
      <c r="BS119" s="1" t="str">
        <f t="shared" si="571"/>
        <v>ND</v>
      </c>
      <c r="BT119" s="1" t="str">
        <f t="shared" si="572"/>
        <v>ND</v>
      </c>
      <c r="BU119" s="1" t="str">
        <f t="shared" si="573"/>
        <v>ND</v>
      </c>
      <c r="BV119" s="1" t="str">
        <f t="shared" si="574"/>
        <v>ND</v>
      </c>
      <c r="BW119" s="1" t="str">
        <f t="shared" si="575"/>
        <v>ND</v>
      </c>
      <c r="BX119" s="1" t="str">
        <f t="shared" si="576"/>
        <v>ND</v>
      </c>
      <c r="BY119" s="1" t="str">
        <f t="shared" si="577"/>
        <v>ND</v>
      </c>
      <c r="BZ119" s="1" t="str">
        <f t="shared" si="578"/>
        <v>ND</v>
      </c>
      <c r="CA119" s="1" t="str">
        <f t="shared" si="691"/>
        <v>ND</v>
      </c>
      <c r="CB119" s="1" t="str">
        <f t="shared" si="691"/>
        <v>ND</v>
      </c>
      <c r="CC119" s="1" t="str">
        <f t="shared" si="691"/>
        <v>ND</v>
      </c>
      <c r="CD119" s="1" t="str">
        <f t="shared" si="691"/>
        <v>ND</v>
      </c>
      <c r="CE119" s="1" t="str">
        <f t="shared" si="691"/>
        <v>ND</v>
      </c>
      <c r="CF119" s="1" t="str">
        <f t="shared" si="691"/>
        <v>ND</v>
      </c>
      <c r="CG119" s="1" t="str">
        <f t="shared" si="691"/>
        <v>ND</v>
      </c>
      <c r="CH119" s="1" t="str">
        <f t="shared" si="691"/>
        <v>ND</v>
      </c>
      <c r="CI119" s="1" t="str">
        <f t="shared" si="691"/>
        <v>ND</v>
      </c>
      <c r="CJ119" s="1" t="str">
        <f t="shared" si="691"/>
        <v>ND</v>
      </c>
      <c r="CK119" s="1" t="str">
        <f t="shared" si="691"/>
        <v>ND</v>
      </c>
      <c r="CL119" s="1" t="str">
        <f t="shared" si="692"/>
        <v>ND</v>
      </c>
      <c r="CM119" s="1" t="str">
        <f t="shared" si="692"/>
        <v>ND</v>
      </c>
      <c r="CN119" s="1" t="str">
        <f t="shared" si="692"/>
        <v>ND</v>
      </c>
      <c r="CO119" s="1" t="str">
        <f t="shared" si="692"/>
        <v>ND</v>
      </c>
      <c r="CP119" s="1" t="str">
        <f t="shared" si="692"/>
        <v>ND</v>
      </c>
      <c r="CQ119" s="1" t="str">
        <f t="shared" si="692"/>
        <v>ND</v>
      </c>
      <c r="CR119" s="1" t="str">
        <f t="shared" si="692"/>
        <v>ND</v>
      </c>
      <c r="CS119" s="1" t="str">
        <f t="shared" si="692"/>
        <v>ND</v>
      </c>
      <c r="CT119" s="1" t="str">
        <f t="shared" si="692"/>
        <v>ND</v>
      </c>
      <c r="CU119" s="1" t="str">
        <f t="shared" si="692"/>
        <v>ND</v>
      </c>
      <c r="CV119" s="1" t="str">
        <f t="shared" si="692"/>
        <v>ND</v>
      </c>
      <c r="CW119" s="1" t="str">
        <f t="shared" si="579"/>
        <v>ND</v>
      </c>
      <c r="CX119" s="1" t="str">
        <f t="shared" si="580"/>
        <v>ND</v>
      </c>
      <c r="CY119" s="1" t="str">
        <f t="shared" si="581"/>
        <v>ND</v>
      </c>
      <c r="CZ119" s="1" t="str">
        <f t="shared" si="582"/>
        <v>ND</v>
      </c>
      <c r="DA119" s="1" t="str">
        <f t="shared" si="583"/>
        <v>ND</v>
      </c>
      <c r="DB119" s="1" t="str">
        <f t="shared" si="584"/>
        <v>ND</v>
      </c>
      <c r="DC119" s="1" t="str">
        <f t="shared" si="585"/>
        <v>ND</v>
      </c>
      <c r="DD119" s="1" t="str">
        <f t="shared" si="586"/>
        <v>ND</v>
      </c>
      <c r="DE119" s="1" t="str">
        <f t="shared" si="587"/>
        <v>ND</v>
      </c>
      <c r="DF119" s="1" t="str">
        <f t="shared" si="588"/>
        <v>ND</v>
      </c>
      <c r="DG119" s="1" t="str">
        <f t="shared" si="589"/>
        <v>ND</v>
      </c>
      <c r="DH119" s="1" t="str">
        <f t="shared" si="590"/>
        <v>ND</v>
      </c>
      <c r="DI119" s="1" t="str">
        <f t="shared" si="591"/>
        <v>ND</v>
      </c>
      <c r="DJ119" s="1" t="str">
        <f t="shared" si="592"/>
        <v>ND</v>
      </c>
      <c r="DK119" s="1" t="str">
        <f t="shared" si="593"/>
        <v>ND</v>
      </c>
      <c r="DL119" s="1" t="str">
        <f t="shared" si="594"/>
        <v>ND</v>
      </c>
      <c r="DM119" s="1" t="str">
        <f t="shared" si="595"/>
        <v>ND</v>
      </c>
      <c r="DN119" s="1" t="str">
        <f t="shared" si="596"/>
        <v>ND</v>
      </c>
      <c r="DO119" s="1" t="str">
        <f t="shared" si="597"/>
        <v>ND</v>
      </c>
      <c r="DP119" s="1" t="str">
        <f t="shared" si="598"/>
        <v>ND</v>
      </c>
      <c r="DQ119" s="1" t="str">
        <f t="shared" si="599"/>
        <v>ND</v>
      </c>
      <c r="DR119" s="1" t="str">
        <f t="shared" si="600"/>
        <v>ND</v>
      </c>
      <c r="DS119" s="1" t="str">
        <f t="shared" si="601"/>
        <v>ND</v>
      </c>
      <c r="DT119" s="1" t="str">
        <f t="shared" si="602"/>
        <v>ND</v>
      </c>
      <c r="DU119" s="1" t="str">
        <f t="shared" si="603"/>
        <v>ND</v>
      </c>
      <c r="DV119" s="1" t="str">
        <f t="shared" si="604"/>
        <v>ND</v>
      </c>
      <c r="DW119" s="1" t="str">
        <f t="shared" si="605"/>
        <v>ND</v>
      </c>
      <c r="DX119" s="1" t="str">
        <f t="shared" si="606"/>
        <v>ND</v>
      </c>
      <c r="DY119" s="1" t="str">
        <f t="shared" si="607"/>
        <v>ND</v>
      </c>
      <c r="DZ119" s="1" t="str">
        <f t="shared" si="608"/>
        <v>ND</v>
      </c>
      <c r="EA119" s="1" t="str">
        <f t="shared" si="609"/>
        <v>ND</v>
      </c>
      <c r="EB119" s="1" t="str">
        <f t="shared" si="610"/>
        <v>ND</v>
      </c>
      <c r="EC119" s="1" t="str">
        <f t="shared" si="611"/>
        <v>ND</v>
      </c>
      <c r="ED119" s="1" t="str">
        <f t="shared" si="612"/>
        <v>ND</v>
      </c>
      <c r="EE119" s="1" t="str">
        <f t="shared" si="613"/>
        <v>ND</v>
      </c>
      <c r="EF119" s="1" t="str">
        <f t="shared" si="614"/>
        <v>ND</v>
      </c>
      <c r="EG119" s="1" t="str">
        <f t="shared" si="615"/>
        <v>ND</v>
      </c>
      <c r="EH119" s="1" t="str">
        <f t="shared" si="616"/>
        <v>ND</v>
      </c>
      <c r="EI119" s="1" t="str">
        <f t="shared" si="617"/>
        <v>ND</v>
      </c>
      <c r="EJ119" s="1" t="str">
        <f t="shared" si="618"/>
        <v>ND</v>
      </c>
      <c r="EK119" s="1" t="str">
        <f t="shared" si="619"/>
        <v>ND</v>
      </c>
      <c r="EL119" s="1" t="str">
        <f t="shared" si="620"/>
        <v>ND</v>
      </c>
      <c r="EM119" s="1" t="str">
        <f t="shared" si="621"/>
        <v>ND</v>
      </c>
      <c r="EN119" s="1" t="str">
        <f t="shared" si="622"/>
        <v>ND</v>
      </c>
      <c r="EO119" s="1" t="str">
        <f t="shared" si="693"/>
        <v>ND</v>
      </c>
      <c r="EP119" s="1" t="str">
        <f t="shared" si="693"/>
        <v>ND</v>
      </c>
      <c r="EQ119" s="1" t="str">
        <f t="shared" si="693"/>
        <v>ND</v>
      </c>
      <c r="ER119" s="1" t="str">
        <f t="shared" si="693"/>
        <v>ND</v>
      </c>
      <c r="ES119" s="1" t="str">
        <f t="shared" si="693"/>
        <v>ND</v>
      </c>
      <c r="ET119" s="1" t="str">
        <f t="shared" si="693"/>
        <v>ND</v>
      </c>
      <c r="EU119" s="1" t="str">
        <f t="shared" si="693"/>
        <v>ND</v>
      </c>
      <c r="EV119" s="1" t="str">
        <f t="shared" si="693"/>
        <v>ND</v>
      </c>
      <c r="EW119" s="1" t="str">
        <f t="shared" si="693"/>
        <v>ND</v>
      </c>
      <c r="EX119" s="1" t="str">
        <f t="shared" si="693"/>
        <v>ND</v>
      </c>
      <c r="EY119" s="1" t="str">
        <f t="shared" si="693"/>
        <v>ND</v>
      </c>
      <c r="EZ119" s="1" t="str">
        <f t="shared" si="694"/>
        <v>ND</v>
      </c>
      <c r="FA119" s="1" t="str">
        <f t="shared" si="694"/>
        <v>ND</v>
      </c>
      <c r="FB119" s="1" t="str">
        <f t="shared" si="694"/>
        <v>ND</v>
      </c>
      <c r="FC119" s="1" t="str">
        <f t="shared" si="694"/>
        <v>ND</v>
      </c>
      <c r="FD119" s="1" t="str">
        <f t="shared" si="694"/>
        <v>ND</v>
      </c>
      <c r="FE119" s="1" t="str">
        <f t="shared" si="694"/>
        <v>ND</v>
      </c>
      <c r="FF119" s="1" t="str">
        <f t="shared" si="694"/>
        <v>ND</v>
      </c>
      <c r="FG119" s="1" t="str">
        <f t="shared" si="694"/>
        <v>ND</v>
      </c>
      <c r="FH119" s="1" t="str">
        <f t="shared" si="694"/>
        <v>ND</v>
      </c>
      <c r="FI119" s="1" t="str">
        <f t="shared" si="694"/>
        <v>ND</v>
      </c>
      <c r="FJ119" s="1" t="str">
        <f t="shared" si="694"/>
        <v>ND</v>
      </c>
      <c r="FK119" s="1" t="str">
        <f t="shared" si="695"/>
        <v>ND</v>
      </c>
      <c r="FL119" s="1" t="str">
        <f t="shared" si="695"/>
        <v>ND</v>
      </c>
      <c r="FM119" s="1" t="str">
        <f t="shared" si="695"/>
        <v>ND</v>
      </c>
      <c r="FN119" s="1" t="str">
        <f t="shared" si="695"/>
        <v>ND</v>
      </c>
      <c r="FO119" s="1" t="str">
        <f t="shared" si="695"/>
        <v>ND</v>
      </c>
      <c r="FP119" s="1" t="str">
        <f t="shared" si="695"/>
        <v>ND</v>
      </c>
      <c r="FQ119" s="1" t="str">
        <f t="shared" si="695"/>
        <v>ND</v>
      </c>
      <c r="FR119" s="1" t="str">
        <f t="shared" si="695"/>
        <v>ND</v>
      </c>
      <c r="FS119" s="1" t="str">
        <f t="shared" si="695"/>
        <v>ND</v>
      </c>
      <c r="FT119" s="1" t="str">
        <f t="shared" si="695"/>
        <v>ND</v>
      </c>
      <c r="FU119" s="1" t="str">
        <f t="shared" si="695"/>
        <v>ND</v>
      </c>
      <c r="FV119" s="1" t="str">
        <f t="shared" si="623"/>
        <v>ND</v>
      </c>
      <c r="FW119" s="1" t="str">
        <f t="shared" si="624"/>
        <v>ND</v>
      </c>
      <c r="FX119" s="1" t="str">
        <f t="shared" si="625"/>
        <v>ND</v>
      </c>
      <c r="FY119" s="1" t="str">
        <f t="shared" si="626"/>
        <v>ND</v>
      </c>
      <c r="FZ119" s="1" t="str">
        <f t="shared" si="627"/>
        <v>ND</v>
      </c>
      <c r="GA119" s="1" t="str">
        <f t="shared" si="628"/>
        <v>ND</v>
      </c>
      <c r="GB119" s="1" t="str">
        <f t="shared" si="629"/>
        <v>ND</v>
      </c>
      <c r="GC119" s="1" t="str">
        <f t="shared" si="630"/>
        <v>ND</v>
      </c>
      <c r="GD119" s="1" t="str">
        <f t="shared" si="631"/>
        <v>ND</v>
      </c>
      <c r="GE119" s="1" t="str">
        <f t="shared" si="632"/>
        <v>ND</v>
      </c>
      <c r="GF119" s="1" t="str">
        <f t="shared" si="633"/>
        <v>ND</v>
      </c>
      <c r="GG119" s="1" t="str">
        <f t="shared" si="634"/>
        <v>ND</v>
      </c>
      <c r="GH119" s="1" t="str">
        <f t="shared" si="635"/>
        <v>ND</v>
      </c>
      <c r="GI119" s="1" t="str">
        <f t="shared" si="636"/>
        <v>ND</v>
      </c>
      <c r="GJ119" s="1" t="str">
        <f t="shared" si="637"/>
        <v>ND</v>
      </c>
      <c r="GK119" s="1" t="str">
        <f t="shared" si="638"/>
        <v>ND</v>
      </c>
      <c r="GL119" s="1" t="str">
        <f t="shared" si="639"/>
        <v>ND</v>
      </c>
      <c r="GM119" s="1" t="str">
        <f t="shared" si="640"/>
        <v>ND</v>
      </c>
      <c r="GN119" s="1" t="str">
        <f t="shared" si="641"/>
        <v>ND</v>
      </c>
      <c r="GO119" s="1" t="str">
        <f t="shared" si="642"/>
        <v>ND</v>
      </c>
      <c r="GP119" s="1" t="str">
        <f t="shared" si="643"/>
        <v>ND</v>
      </c>
      <c r="GQ119" s="1" t="str">
        <f t="shared" si="644"/>
        <v>ND</v>
      </c>
      <c r="GR119" s="1" t="str">
        <f t="shared" si="645"/>
        <v>ND</v>
      </c>
      <c r="GS119" s="1" t="str">
        <f t="shared" si="646"/>
        <v>ND</v>
      </c>
      <c r="GT119" s="1" t="str">
        <f t="shared" si="647"/>
        <v>ND</v>
      </c>
      <c r="GU119" s="1" t="str">
        <f t="shared" si="648"/>
        <v>ND</v>
      </c>
      <c r="GV119" s="1" t="str">
        <f t="shared" si="649"/>
        <v>ND</v>
      </c>
      <c r="GW119" s="1" t="str">
        <f t="shared" si="650"/>
        <v>ND</v>
      </c>
      <c r="GX119" s="1" t="str">
        <f t="shared" si="651"/>
        <v>ND</v>
      </c>
      <c r="GY119" s="1" t="str">
        <f t="shared" si="652"/>
        <v>ND</v>
      </c>
      <c r="GZ119" s="1" t="str">
        <f t="shared" si="653"/>
        <v>ND</v>
      </c>
      <c r="HA119" s="1" t="str">
        <f t="shared" si="654"/>
        <v>ND</v>
      </c>
      <c r="HB119" s="1" t="str">
        <f t="shared" si="655"/>
        <v>ND</v>
      </c>
      <c r="HC119" s="1" t="str">
        <f t="shared" si="656"/>
        <v>ND</v>
      </c>
      <c r="HD119" s="1" t="str">
        <f t="shared" si="657"/>
        <v>ND</v>
      </c>
      <c r="HE119" s="1" t="str">
        <f t="shared" si="658"/>
        <v>ND</v>
      </c>
      <c r="HF119" s="1" t="str">
        <f t="shared" si="659"/>
        <v>ND</v>
      </c>
      <c r="HG119" s="1" t="str">
        <f t="shared" si="660"/>
        <v>ND</v>
      </c>
      <c r="HH119" s="1" t="str">
        <f t="shared" si="661"/>
        <v>ND</v>
      </c>
      <c r="HI119" s="1" t="str">
        <f t="shared" si="662"/>
        <v>ND</v>
      </c>
      <c r="HJ119" s="1" t="str">
        <f t="shared" si="663"/>
        <v>ND</v>
      </c>
      <c r="HK119" s="1" t="str">
        <f t="shared" si="664"/>
        <v>ND</v>
      </c>
      <c r="HL119" s="1" t="str">
        <f t="shared" si="665"/>
        <v>ND</v>
      </c>
      <c r="HM119" s="1" t="str">
        <f t="shared" si="666"/>
        <v>ND</v>
      </c>
      <c r="HN119" s="1" t="str">
        <f t="shared" si="667"/>
        <v>ND</v>
      </c>
      <c r="HO119" s="1" t="str">
        <f t="shared" si="668"/>
        <v>ND</v>
      </c>
      <c r="HP119" s="1" t="str">
        <f t="shared" si="669"/>
        <v>ND</v>
      </c>
      <c r="HQ119" s="1" t="str">
        <f t="shared" si="670"/>
        <v>ND</v>
      </c>
      <c r="HR119" s="1" t="str">
        <f t="shared" si="671"/>
        <v>ND</v>
      </c>
      <c r="HS119" s="1" t="str">
        <f t="shared" si="672"/>
        <v>ND</v>
      </c>
      <c r="HT119" s="1" t="str">
        <f t="shared" si="673"/>
        <v>ND</v>
      </c>
      <c r="HU119" s="1" t="str">
        <f t="shared" si="674"/>
        <v>ND</v>
      </c>
      <c r="HV119" s="1" t="str">
        <f t="shared" si="675"/>
        <v>ND</v>
      </c>
      <c r="HW119" s="1" t="str">
        <f t="shared" si="676"/>
        <v>ND</v>
      </c>
      <c r="HX119" s="1" t="str">
        <f t="shared" si="677"/>
        <v>ND</v>
      </c>
      <c r="HY119" s="1" t="str">
        <f t="shared" si="678"/>
        <v>ND</v>
      </c>
      <c r="HZ119" s="1" t="str">
        <f t="shared" si="679"/>
        <v>ND</v>
      </c>
      <c r="IA119" s="1" t="str">
        <f t="shared" si="680"/>
        <v>ND</v>
      </c>
      <c r="IB119" s="1" t="str">
        <f t="shared" si="681"/>
        <v>ND</v>
      </c>
      <c r="IC119" s="1" t="str">
        <f t="shared" si="682"/>
        <v>ND</v>
      </c>
      <c r="ID119" s="1" t="str">
        <f t="shared" si="683"/>
        <v>ND</v>
      </c>
      <c r="IE119" s="1" t="str">
        <f t="shared" si="684"/>
        <v>ND</v>
      </c>
      <c r="IF119" s="1" t="str">
        <f t="shared" si="685"/>
        <v>ND</v>
      </c>
      <c r="IG119" s="1" t="str">
        <f t="shared" si="686"/>
        <v>ND</v>
      </c>
      <c r="IH119" s="1" t="str">
        <f t="shared" si="687"/>
        <v>ND</v>
      </c>
      <c r="II119" s="1" t="str">
        <f t="shared" si="688"/>
        <v>ND</v>
      </c>
    </row>
    <row r="120" spans="3:243" x14ac:dyDescent="0.25">
      <c r="C120" t="s">
        <v>134</v>
      </c>
      <c r="D120">
        <f>SUMIFS(DICCIONARIO[Cantidad],DICCIONARIO[Modelo],UNIFICADA[[#This Row],[Equipo]])</f>
        <v>0</v>
      </c>
      <c r="E120" s="1">
        <f>IFERROR(VLOOKUP($C120,EQUIPOS[],UNIFICADO!E$9,0),"")</f>
        <v>12</v>
      </c>
      <c r="F120" s="1">
        <f>IFERROR(VLOOKUP($C120,EQUIPOS[],UNIFICADO!F$9,0),"")</f>
        <v>6.67</v>
      </c>
      <c r="G120" s="1">
        <f>IFERROR(VLOOKUP($C120,EQUIPOS[],UNIFICADO!G$9,0),"")</f>
        <v>200</v>
      </c>
      <c r="H120" s="1">
        <f>IFERROR(VLOOKUP($C120,EQUIPOS[],UNIFICADO!H$9,0),"")</f>
        <v>3</v>
      </c>
      <c r="I120" s="1">
        <f>IFERROR(VLOOKUP($C120,EQUIPOS[],UNIFICADO!I$9,0),"")</f>
        <v>20</v>
      </c>
      <c r="J120" s="1" t="str">
        <f>IFERROR(VLOOKUP($C120,EQUIPOS[],UNIFICADO!J$9,0),"")</f>
        <v>256GB</v>
      </c>
      <c r="K120" s="1">
        <f>IFERROR(VLOOKUP($C120,EQUIPOS[],UNIFICADO!K$9,0),"")</f>
        <v>0</v>
      </c>
      <c r="L120" s="1">
        <f>IFERROR(VLOOKUP($C120,EQUIPOS[],UNIFICADO!L$9,0),"")</f>
        <v>8</v>
      </c>
      <c r="M120" s="1">
        <f>IFERROR(VLOOKUP($C120,EQUIPOS[],UNIFICADO!M$9,0),"")</f>
        <v>2.85</v>
      </c>
      <c r="N120" s="1">
        <f>IFERROR(VLOOKUP($C120,EQUIPOS[],UNIFICADO!N$9,0),"")</f>
        <v>8</v>
      </c>
      <c r="O120" s="1">
        <f>IFERROR(VLOOKUP($C120,EQUIPOS[],UNIFICADO!O$9,0),"")</f>
        <v>205</v>
      </c>
      <c r="P120" s="1">
        <f>IFERROR(VLOOKUP($C120,EQUIPOS[],UNIFICADO!P$9,0),"")</f>
        <v>16.100000000000001</v>
      </c>
      <c r="Q120" s="1">
        <f>IFERROR(VLOOKUP($C120,EQUIPOS[],UNIFICADO!Q$9,0),"")</f>
        <v>7.59</v>
      </c>
      <c r="R120" s="1">
        <f>IFERROR(VLOOKUP($C120,EQUIPOS[],UNIFICADO!R$9,0),"")</f>
        <v>0.86</v>
      </c>
      <c r="S120" s="1">
        <f>IFERROR(VLOOKUP($C120,EQUIPOS[],UNIFICADO!S$9,0),"")</f>
        <v>5000</v>
      </c>
      <c r="T120" s="1">
        <f>IFERROR(VLOOKUP($C120,EQUIPOS[],UNIFICADO!T$9,0),"")</f>
        <v>5</v>
      </c>
      <c r="U120" s="1">
        <f>VLOOKUP(UNIFICADA[[#This Row],[Equipo]],EQUIPOS[],19,0)</f>
        <v>110</v>
      </c>
      <c r="V120" s="1" t="str">
        <f t="shared" si="533"/>
        <v>ND</v>
      </c>
      <c r="W120" s="1" t="str">
        <f t="shared" si="534"/>
        <v>ND</v>
      </c>
      <c r="X120" s="1" t="str">
        <f t="shared" si="689"/>
        <v>ND</v>
      </c>
      <c r="Y120" s="1" t="str">
        <f t="shared" si="689"/>
        <v>ND</v>
      </c>
      <c r="Z120" s="1" t="str">
        <f t="shared" si="690"/>
        <v>ND</v>
      </c>
      <c r="AA120" s="1" t="str">
        <f t="shared" si="690"/>
        <v>ND</v>
      </c>
      <c r="AB120" s="1" t="str">
        <f t="shared" si="690"/>
        <v>ND</v>
      </c>
      <c r="AC120" s="1" t="str">
        <f t="shared" si="690"/>
        <v>ND</v>
      </c>
      <c r="AD120" s="1" t="str">
        <f t="shared" si="690"/>
        <v>ND</v>
      </c>
      <c r="AE120" s="1" t="str">
        <f t="shared" si="690"/>
        <v>ND</v>
      </c>
      <c r="AF120" s="1" t="str">
        <f t="shared" si="690"/>
        <v>ND</v>
      </c>
      <c r="AG120" s="1" t="str">
        <f t="shared" si="690"/>
        <v>ND</v>
      </c>
      <c r="AH120" s="1" t="str">
        <f t="shared" si="690"/>
        <v>ND</v>
      </c>
      <c r="AI120" s="1" t="str">
        <f t="shared" si="535"/>
        <v>ND</v>
      </c>
      <c r="AJ120" s="1" t="str">
        <f t="shared" si="536"/>
        <v>ND</v>
      </c>
      <c r="AK120" s="1" t="str">
        <f t="shared" si="537"/>
        <v>ND</v>
      </c>
      <c r="AL120" s="1" t="str">
        <f t="shared" si="538"/>
        <v>ND</v>
      </c>
      <c r="AM120" s="1" t="str">
        <f t="shared" si="539"/>
        <v>ND</v>
      </c>
      <c r="AN120" s="1" t="str">
        <f t="shared" si="540"/>
        <v>ND</v>
      </c>
      <c r="AO120" s="1" t="str">
        <f t="shared" si="541"/>
        <v>ND</v>
      </c>
      <c r="AP120" s="1" t="str">
        <f t="shared" si="542"/>
        <v>ND</v>
      </c>
      <c r="AQ120" s="1" t="str">
        <f t="shared" si="543"/>
        <v>ND</v>
      </c>
      <c r="AR120" s="1" t="str">
        <f t="shared" si="544"/>
        <v>ND</v>
      </c>
      <c r="AS120" s="1" t="str">
        <f t="shared" si="545"/>
        <v>ND</v>
      </c>
      <c r="AT120" s="1" t="str">
        <f t="shared" si="546"/>
        <v>ND</v>
      </c>
      <c r="AU120" s="1" t="str">
        <f t="shared" si="547"/>
        <v>ND</v>
      </c>
      <c r="AV120" s="1" t="str">
        <f t="shared" si="548"/>
        <v>ND</v>
      </c>
      <c r="AW120" s="1" t="str">
        <f t="shared" si="549"/>
        <v>ND</v>
      </c>
      <c r="AX120" s="1" t="str">
        <f t="shared" si="550"/>
        <v>ND</v>
      </c>
      <c r="AY120" s="1" t="str">
        <f t="shared" si="551"/>
        <v>ND</v>
      </c>
      <c r="AZ120" s="1" t="str">
        <f t="shared" si="552"/>
        <v>ND</v>
      </c>
      <c r="BA120" s="1" t="str">
        <f t="shared" si="553"/>
        <v>ND</v>
      </c>
      <c r="BB120" s="1" t="str">
        <f t="shared" si="554"/>
        <v>ND</v>
      </c>
      <c r="BC120" s="1" t="str">
        <f t="shared" si="555"/>
        <v>ND</v>
      </c>
      <c r="BD120" s="1" t="str">
        <f t="shared" si="556"/>
        <v>ND</v>
      </c>
      <c r="BE120" s="1" t="str">
        <f t="shared" si="557"/>
        <v>ND</v>
      </c>
      <c r="BF120" s="1" t="str">
        <f t="shared" si="558"/>
        <v>ND</v>
      </c>
      <c r="BG120" s="1" t="str">
        <f t="shared" si="559"/>
        <v>ND</v>
      </c>
      <c r="BH120" s="1" t="str">
        <f t="shared" si="560"/>
        <v>ND</v>
      </c>
      <c r="BI120" s="1" t="str">
        <f t="shared" si="561"/>
        <v>ND</v>
      </c>
      <c r="BJ120" s="1" t="str">
        <f t="shared" si="562"/>
        <v>ND</v>
      </c>
      <c r="BK120" s="1" t="str">
        <f t="shared" si="563"/>
        <v>ND</v>
      </c>
      <c r="BL120" s="1" t="str">
        <f t="shared" si="564"/>
        <v>ND</v>
      </c>
      <c r="BM120" s="1" t="str">
        <f t="shared" si="565"/>
        <v>ND</v>
      </c>
      <c r="BN120" s="1" t="str">
        <f t="shared" si="566"/>
        <v>ND</v>
      </c>
      <c r="BO120" s="1" t="str">
        <f t="shared" si="567"/>
        <v>ND</v>
      </c>
      <c r="BP120" s="1" t="str">
        <f t="shared" si="568"/>
        <v>ND</v>
      </c>
      <c r="BQ120" s="1" t="str">
        <f t="shared" si="569"/>
        <v>ND</v>
      </c>
      <c r="BR120" s="1" t="str">
        <f t="shared" si="570"/>
        <v>ND</v>
      </c>
      <c r="BS120" s="1" t="str">
        <f t="shared" si="571"/>
        <v>ND</v>
      </c>
      <c r="BT120" s="1" t="str">
        <f t="shared" si="572"/>
        <v>ND</v>
      </c>
      <c r="BU120" s="1" t="str">
        <f t="shared" si="573"/>
        <v>ND</v>
      </c>
      <c r="BV120" s="1" t="str">
        <f t="shared" si="574"/>
        <v>ND</v>
      </c>
      <c r="BW120" s="1" t="str">
        <f t="shared" si="575"/>
        <v>ND</v>
      </c>
      <c r="BX120" s="1" t="str">
        <f t="shared" si="576"/>
        <v>ND</v>
      </c>
      <c r="BY120" s="1" t="str">
        <f t="shared" si="577"/>
        <v>ND</v>
      </c>
      <c r="BZ120" s="1" t="str">
        <f t="shared" si="578"/>
        <v>ND</v>
      </c>
      <c r="CA120" s="1" t="str">
        <f t="shared" si="691"/>
        <v>ND</v>
      </c>
      <c r="CB120" s="1" t="str">
        <f t="shared" si="691"/>
        <v>ND</v>
      </c>
      <c r="CC120" s="1" t="str">
        <f t="shared" si="691"/>
        <v>ND</v>
      </c>
      <c r="CD120" s="1" t="str">
        <f t="shared" si="691"/>
        <v>ND</v>
      </c>
      <c r="CE120" s="1" t="str">
        <f t="shared" si="691"/>
        <v>ND</v>
      </c>
      <c r="CF120" s="1" t="str">
        <f t="shared" si="691"/>
        <v>ND</v>
      </c>
      <c r="CG120" s="1" t="str">
        <f t="shared" si="691"/>
        <v>ND</v>
      </c>
      <c r="CH120" s="1" t="str">
        <f t="shared" si="691"/>
        <v>ND</v>
      </c>
      <c r="CI120" s="1" t="str">
        <f t="shared" si="691"/>
        <v>ND</v>
      </c>
      <c r="CJ120" s="1" t="str">
        <f t="shared" si="691"/>
        <v>ND</v>
      </c>
      <c r="CK120" s="1" t="str">
        <f t="shared" si="691"/>
        <v>ND</v>
      </c>
      <c r="CL120" s="1" t="str">
        <f t="shared" si="692"/>
        <v>ND</v>
      </c>
      <c r="CM120" s="1" t="str">
        <f t="shared" si="692"/>
        <v>ND</v>
      </c>
      <c r="CN120" s="1" t="str">
        <f t="shared" si="692"/>
        <v>ND</v>
      </c>
      <c r="CO120" s="1" t="str">
        <f t="shared" si="692"/>
        <v>ND</v>
      </c>
      <c r="CP120" s="1" t="str">
        <f t="shared" si="692"/>
        <v>ND</v>
      </c>
      <c r="CQ120" s="1" t="str">
        <f t="shared" si="692"/>
        <v>ND</v>
      </c>
      <c r="CR120" s="1" t="str">
        <f t="shared" si="692"/>
        <v>ND</v>
      </c>
      <c r="CS120" s="1" t="str">
        <f t="shared" si="692"/>
        <v>ND</v>
      </c>
      <c r="CT120" s="1" t="str">
        <f t="shared" si="692"/>
        <v>ND</v>
      </c>
      <c r="CU120" s="1" t="str">
        <f t="shared" si="692"/>
        <v>ND</v>
      </c>
      <c r="CV120" s="1" t="str">
        <f t="shared" si="692"/>
        <v>ND</v>
      </c>
      <c r="CW120" s="1" t="str">
        <f t="shared" si="579"/>
        <v>ND</v>
      </c>
      <c r="CX120" s="1" t="str">
        <f t="shared" si="580"/>
        <v>ND</v>
      </c>
      <c r="CY120" s="1" t="str">
        <f t="shared" si="581"/>
        <v>ND</v>
      </c>
      <c r="CZ120" s="1" t="str">
        <f t="shared" si="582"/>
        <v>ND</v>
      </c>
      <c r="DA120" s="1" t="str">
        <f t="shared" si="583"/>
        <v>ND</v>
      </c>
      <c r="DB120" s="1" t="str">
        <f t="shared" si="584"/>
        <v>ND</v>
      </c>
      <c r="DC120" s="1" t="str">
        <f t="shared" si="585"/>
        <v>ND</v>
      </c>
      <c r="DD120" s="1" t="str">
        <f t="shared" si="586"/>
        <v>ND</v>
      </c>
      <c r="DE120" s="1" t="str">
        <f t="shared" si="587"/>
        <v>ND</v>
      </c>
      <c r="DF120" s="1" t="str">
        <f t="shared" si="588"/>
        <v>ND</v>
      </c>
      <c r="DG120" s="1" t="str">
        <f t="shared" si="589"/>
        <v>ND</v>
      </c>
      <c r="DH120" s="1" t="str">
        <f t="shared" si="590"/>
        <v>ND</v>
      </c>
      <c r="DI120" s="1" t="str">
        <f t="shared" si="591"/>
        <v>ND</v>
      </c>
      <c r="DJ120" s="1" t="str">
        <f t="shared" si="592"/>
        <v>ND</v>
      </c>
      <c r="DK120" s="1" t="str">
        <f t="shared" si="593"/>
        <v>ND</v>
      </c>
      <c r="DL120" s="1" t="str">
        <f t="shared" si="594"/>
        <v>ND</v>
      </c>
      <c r="DM120" s="1" t="str">
        <f t="shared" si="595"/>
        <v>ND</v>
      </c>
      <c r="DN120" s="1" t="str">
        <f t="shared" si="596"/>
        <v>ND</v>
      </c>
      <c r="DO120" s="1" t="str">
        <f t="shared" si="597"/>
        <v>ND</v>
      </c>
      <c r="DP120" s="1" t="str">
        <f t="shared" si="598"/>
        <v>ND</v>
      </c>
      <c r="DQ120" s="1" t="str">
        <f t="shared" si="599"/>
        <v>ND</v>
      </c>
      <c r="DR120" s="1" t="str">
        <f t="shared" si="600"/>
        <v>ND</v>
      </c>
      <c r="DS120" s="1" t="str">
        <f t="shared" si="601"/>
        <v>ND</v>
      </c>
      <c r="DT120" s="1" t="str">
        <f t="shared" si="602"/>
        <v>ND</v>
      </c>
      <c r="DU120" s="1" t="str">
        <f t="shared" si="603"/>
        <v>ND</v>
      </c>
      <c r="DV120" s="1" t="str">
        <f t="shared" si="604"/>
        <v>ND</v>
      </c>
      <c r="DW120" s="1" t="str">
        <f t="shared" si="605"/>
        <v>ND</v>
      </c>
      <c r="DX120" s="1" t="str">
        <f t="shared" si="606"/>
        <v>ND</v>
      </c>
      <c r="DY120" s="1" t="str">
        <f t="shared" si="607"/>
        <v>ND</v>
      </c>
      <c r="DZ120" s="1" t="str">
        <f t="shared" si="608"/>
        <v>ND</v>
      </c>
      <c r="EA120" s="1" t="str">
        <f t="shared" si="609"/>
        <v>ND</v>
      </c>
      <c r="EB120" s="1" t="str">
        <f t="shared" si="610"/>
        <v>ND</v>
      </c>
      <c r="EC120" s="1" t="str">
        <f t="shared" si="611"/>
        <v>ND</v>
      </c>
      <c r="ED120" s="1" t="str">
        <f t="shared" si="612"/>
        <v>ND</v>
      </c>
      <c r="EE120" s="1" t="str">
        <f t="shared" si="613"/>
        <v>ND</v>
      </c>
      <c r="EF120" s="1" t="str">
        <f t="shared" si="614"/>
        <v>ND</v>
      </c>
      <c r="EG120" s="1" t="str">
        <f t="shared" si="615"/>
        <v>ND</v>
      </c>
      <c r="EH120" s="1" t="str">
        <f t="shared" si="616"/>
        <v>ND</v>
      </c>
      <c r="EI120" s="1" t="str">
        <f t="shared" si="617"/>
        <v>ND</v>
      </c>
      <c r="EJ120" s="1" t="str">
        <f t="shared" si="618"/>
        <v>ND</v>
      </c>
      <c r="EK120" s="1" t="str">
        <f t="shared" si="619"/>
        <v>ND</v>
      </c>
      <c r="EL120" s="1" t="str">
        <f t="shared" si="620"/>
        <v>ND</v>
      </c>
      <c r="EM120" s="1" t="str">
        <f t="shared" si="621"/>
        <v>ND</v>
      </c>
      <c r="EN120" s="1" t="str">
        <f t="shared" si="622"/>
        <v>ND</v>
      </c>
      <c r="EO120" s="1" t="str">
        <f t="shared" si="693"/>
        <v>ND</v>
      </c>
      <c r="EP120" s="1" t="str">
        <f t="shared" si="693"/>
        <v>ND</v>
      </c>
      <c r="EQ120" s="1" t="str">
        <f t="shared" si="693"/>
        <v>ND</v>
      </c>
      <c r="ER120" s="1" t="str">
        <f t="shared" si="693"/>
        <v>ND</v>
      </c>
      <c r="ES120" s="1" t="str">
        <f t="shared" si="693"/>
        <v>ND</v>
      </c>
      <c r="ET120" s="1" t="str">
        <f t="shared" si="693"/>
        <v>ND</v>
      </c>
      <c r="EU120" s="1" t="str">
        <f t="shared" si="693"/>
        <v>ND</v>
      </c>
      <c r="EV120" s="1" t="str">
        <f t="shared" si="693"/>
        <v>ND</v>
      </c>
      <c r="EW120" s="1" t="str">
        <f t="shared" si="693"/>
        <v>ND</v>
      </c>
      <c r="EX120" s="1" t="str">
        <f t="shared" si="693"/>
        <v>ND</v>
      </c>
      <c r="EY120" s="1" t="str">
        <f t="shared" si="693"/>
        <v>ND</v>
      </c>
      <c r="EZ120" s="1" t="str">
        <f t="shared" si="694"/>
        <v>ND</v>
      </c>
      <c r="FA120" s="1" t="str">
        <f t="shared" si="694"/>
        <v>ND</v>
      </c>
      <c r="FB120" s="1" t="str">
        <f t="shared" si="694"/>
        <v>ND</v>
      </c>
      <c r="FC120" s="1" t="str">
        <f t="shared" si="694"/>
        <v>ND</v>
      </c>
      <c r="FD120" s="1" t="str">
        <f t="shared" si="694"/>
        <v>ND</v>
      </c>
      <c r="FE120" s="1" t="str">
        <f t="shared" si="694"/>
        <v>ND</v>
      </c>
      <c r="FF120" s="1" t="str">
        <f t="shared" si="694"/>
        <v>ND</v>
      </c>
      <c r="FG120" s="1" t="str">
        <f t="shared" si="694"/>
        <v>ND</v>
      </c>
      <c r="FH120" s="1" t="str">
        <f t="shared" si="694"/>
        <v>ND</v>
      </c>
      <c r="FI120" s="1" t="str">
        <f t="shared" si="694"/>
        <v>ND</v>
      </c>
      <c r="FJ120" s="1" t="str">
        <f t="shared" si="694"/>
        <v>ND</v>
      </c>
      <c r="FK120" s="1" t="str">
        <f t="shared" si="695"/>
        <v>ND</v>
      </c>
      <c r="FL120" s="1" t="str">
        <f t="shared" si="695"/>
        <v>ND</v>
      </c>
      <c r="FM120" s="1" t="str">
        <f t="shared" si="695"/>
        <v>ND</v>
      </c>
      <c r="FN120" s="1" t="str">
        <f t="shared" si="695"/>
        <v>ND</v>
      </c>
      <c r="FO120" s="1" t="str">
        <f t="shared" si="695"/>
        <v>ND</v>
      </c>
      <c r="FP120" s="1" t="str">
        <f t="shared" si="695"/>
        <v>ND</v>
      </c>
      <c r="FQ120" s="1" t="str">
        <f t="shared" si="695"/>
        <v>ND</v>
      </c>
      <c r="FR120" s="1" t="str">
        <f t="shared" si="695"/>
        <v>ND</v>
      </c>
      <c r="FS120" s="1" t="str">
        <f t="shared" si="695"/>
        <v>ND</v>
      </c>
      <c r="FT120" s="1" t="str">
        <f t="shared" si="695"/>
        <v>ND</v>
      </c>
      <c r="FU120" s="1" t="str">
        <f t="shared" si="695"/>
        <v>ND</v>
      </c>
      <c r="FV120" s="1" t="str">
        <f t="shared" si="623"/>
        <v>ND</v>
      </c>
      <c r="FW120" s="1" t="str">
        <f t="shared" si="624"/>
        <v>ND</v>
      </c>
      <c r="FX120" s="1" t="str">
        <f t="shared" si="625"/>
        <v>ND</v>
      </c>
      <c r="FY120" s="1" t="str">
        <f t="shared" si="626"/>
        <v>ND</v>
      </c>
      <c r="FZ120" s="1" t="str">
        <f t="shared" si="627"/>
        <v>ND</v>
      </c>
      <c r="GA120" s="1" t="str">
        <f t="shared" si="628"/>
        <v>ND</v>
      </c>
      <c r="GB120" s="1" t="str">
        <f t="shared" si="629"/>
        <v>ND</v>
      </c>
      <c r="GC120" s="1" t="str">
        <f t="shared" si="630"/>
        <v>ND</v>
      </c>
      <c r="GD120" s="1" t="str">
        <f t="shared" si="631"/>
        <v>ND</v>
      </c>
      <c r="GE120" s="1" t="str">
        <f t="shared" si="632"/>
        <v>ND</v>
      </c>
      <c r="GF120" s="1" t="str">
        <f t="shared" si="633"/>
        <v>ND</v>
      </c>
      <c r="GG120" s="1" t="str">
        <f t="shared" si="634"/>
        <v>ND</v>
      </c>
      <c r="GH120" s="1" t="str">
        <f t="shared" si="635"/>
        <v>ND</v>
      </c>
      <c r="GI120" s="1" t="str">
        <f t="shared" si="636"/>
        <v>ND</v>
      </c>
      <c r="GJ120" s="1" t="str">
        <f t="shared" si="637"/>
        <v>ND</v>
      </c>
      <c r="GK120" s="1" t="str">
        <f t="shared" si="638"/>
        <v>ND</v>
      </c>
      <c r="GL120" s="1" t="str">
        <f t="shared" si="639"/>
        <v>ND</v>
      </c>
      <c r="GM120" s="1" t="str">
        <f t="shared" si="640"/>
        <v>ND</v>
      </c>
      <c r="GN120" s="1" t="str">
        <f t="shared" si="641"/>
        <v>ND</v>
      </c>
      <c r="GO120" s="1" t="str">
        <f t="shared" si="642"/>
        <v>ND</v>
      </c>
      <c r="GP120" s="1" t="str">
        <f t="shared" si="643"/>
        <v>ND</v>
      </c>
      <c r="GQ120" s="1" t="str">
        <f t="shared" si="644"/>
        <v>ND</v>
      </c>
      <c r="GR120" s="1" t="str">
        <f t="shared" si="645"/>
        <v>ND</v>
      </c>
      <c r="GS120" s="1" t="str">
        <f t="shared" si="646"/>
        <v>ND</v>
      </c>
      <c r="GT120" s="1" t="str">
        <f t="shared" si="647"/>
        <v>ND</v>
      </c>
      <c r="GU120" s="1" t="str">
        <f t="shared" si="648"/>
        <v>ND</v>
      </c>
      <c r="GV120" s="1" t="str">
        <f t="shared" si="649"/>
        <v>ND</v>
      </c>
      <c r="GW120" s="1" t="str">
        <f t="shared" si="650"/>
        <v>ND</v>
      </c>
      <c r="GX120" s="1" t="str">
        <f t="shared" si="651"/>
        <v>ND</v>
      </c>
      <c r="GY120" s="1" t="str">
        <f t="shared" si="652"/>
        <v>ND</v>
      </c>
      <c r="GZ120" s="1" t="str">
        <f t="shared" si="653"/>
        <v>ND</v>
      </c>
      <c r="HA120" s="1" t="str">
        <f t="shared" si="654"/>
        <v>ND</v>
      </c>
      <c r="HB120" s="1" t="str">
        <f t="shared" si="655"/>
        <v>ND</v>
      </c>
      <c r="HC120" s="1" t="str">
        <f t="shared" si="656"/>
        <v>ND</v>
      </c>
      <c r="HD120" s="1" t="str">
        <f t="shared" si="657"/>
        <v>ND</v>
      </c>
      <c r="HE120" s="1" t="str">
        <f t="shared" si="658"/>
        <v>ND</v>
      </c>
      <c r="HF120" s="1" t="str">
        <f t="shared" si="659"/>
        <v>ND</v>
      </c>
      <c r="HG120" s="1" t="str">
        <f t="shared" si="660"/>
        <v>ND</v>
      </c>
      <c r="HH120" s="1" t="str">
        <f t="shared" si="661"/>
        <v>ND</v>
      </c>
      <c r="HI120" s="1" t="str">
        <f t="shared" si="662"/>
        <v>ND</v>
      </c>
      <c r="HJ120" s="1" t="str">
        <f t="shared" si="663"/>
        <v>ND</v>
      </c>
      <c r="HK120" s="1" t="str">
        <f t="shared" si="664"/>
        <v>ND</v>
      </c>
      <c r="HL120" s="1" t="str">
        <f t="shared" si="665"/>
        <v>ND</v>
      </c>
      <c r="HM120" s="1" t="str">
        <f t="shared" si="666"/>
        <v>ND</v>
      </c>
      <c r="HN120" s="1" t="str">
        <f t="shared" si="667"/>
        <v>ND</v>
      </c>
      <c r="HO120" s="1" t="str">
        <f t="shared" si="668"/>
        <v>ND</v>
      </c>
      <c r="HP120" s="1" t="str">
        <f t="shared" si="669"/>
        <v>ND</v>
      </c>
      <c r="HQ120" s="1" t="str">
        <f t="shared" si="670"/>
        <v>ND</v>
      </c>
      <c r="HR120" s="1" t="str">
        <f t="shared" si="671"/>
        <v>ND</v>
      </c>
      <c r="HS120" s="1" t="str">
        <f t="shared" si="672"/>
        <v>ND</v>
      </c>
      <c r="HT120" s="1" t="str">
        <f t="shared" si="673"/>
        <v>ND</v>
      </c>
      <c r="HU120" s="1" t="str">
        <f t="shared" si="674"/>
        <v>ND</v>
      </c>
      <c r="HV120" s="1" t="str">
        <f t="shared" si="675"/>
        <v>ND</v>
      </c>
      <c r="HW120" s="1" t="str">
        <f t="shared" si="676"/>
        <v>ND</v>
      </c>
      <c r="HX120" s="1" t="str">
        <f t="shared" si="677"/>
        <v>ND</v>
      </c>
      <c r="HY120" s="1" t="str">
        <f t="shared" si="678"/>
        <v>ND</v>
      </c>
      <c r="HZ120" s="1" t="str">
        <f t="shared" si="679"/>
        <v>ND</v>
      </c>
      <c r="IA120" s="1" t="str">
        <f t="shared" si="680"/>
        <v>ND</v>
      </c>
      <c r="IB120" s="1" t="str">
        <f t="shared" si="681"/>
        <v>ND</v>
      </c>
      <c r="IC120" s="1" t="str">
        <f t="shared" si="682"/>
        <v>ND</v>
      </c>
      <c r="ID120" s="1" t="str">
        <f t="shared" si="683"/>
        <v>ND</v>
      </c>
      <c r="IE120" s="1" t="str">
        <f t="shared" si="684"/>
        <v>ND</v>
      </c>
      <c r="IF120" s="1" t="str">
        <f t="shared" si="685"/>
        <v>ND</v>
      </c>
      <c r="IG120" s="1" t="str">
        <f t="shared" si="686"/>
        <v>ND</v>
      </c>
      <c r="IH120" s="1" t="str">
        <f t="shared" si="687"/>
        <v>ND</v>
      </c>
      <c r="II120" s="1" t="str">
        <f t="shared" si="688"/>
        <v>ND</v>
      </c>
    </row>
    <row r="121" spans="3:243" x14ac:dyDescent="0.25">
      <c r="C121" t="s">
        <v>98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</v>
      </c>
      <c r="G121" s="1">
        <f>IFERROR(VLOOKUP($C121,EQUIPOS[],UNIFICADO!G$9,0),"")</f>
        <v>50</v>
      </c>
      <c r="H121" s="1">
        <f>IFERROR(VLOOKUP($C121,EQUIPOS[],UNIFICADO!H$9,0),"")</f>
        <v>3</v>
      </c>
      <c r="I121" s="1">
        <f>IFERROR(VLOOKUP($C121,EQUIPOS[],UNIFICADO!I$9,0),"")</f>
        <v>13</v>
      </c>
      <c r="J121" s="1" t="str">
        <f>IFERROR(VLOOKUP($C121,EQUIPOS[],UNIFICADO!J$9,0),"")</f>
        <v>128GB</v>
      </c>
      <c r="K121" s="1">
        <f>IFERROR(VLOOKUP($C121,EQUIPOS[],UNIFICADO!K$9,0),"")</f>
        <v>256</v>
      </c>
      <c r="L121" s="1">
        <f>IFERROR(VLOOKUP($C121,EQUIPOS[],UNIFICADO!L$9,0),"")</f>
        <v>8</v>
      </c>
      <c r="M121" s="1" t="str">
        <f>IFERROR(VLOOKUP($C121,EQUIPOS[],UNIFICADO!M$9,0),"")</f>
        <v>2.4/2.0</v>
      </c>
      <c r="N121" s="1">
        <f>IFERROR(VLOOKUP($C121,EQUIPOS[],UNIFICADO!N$9,0),"")</f>
        <v>4</v>
      </c>
      <c r="O121" s="1">
        <f>IFERROR(VLOOKUP($C121,EQUIPOS[],UNIFICADO!O$9,0),"")</f>
        <v>195</v>
      </c>
      <c r="P121" s="1">
        <f>IFERROR(VLOOKUP($C121,EQUIPOS[],UNIFICADO!P$9,0),"")</f>
        <v>16.3</v>
      </c>
      <c r="Q121" s="1">
        <f>IFERROR(VLOOKUP($C121,EQUIPOS[],UNIFICADO!Q$9,0),"")</f>
        <v>7.58</v>
      </c>
      <c r="R121" s="1">
        <f>IFERROR(VLOOKUP($C121,EQUIPOS[],UNIFICADO!R$9,0),"")</f>
        <v>0.88</v>
      </c>
      <c r="S121" s="1">
        <f>IFERROR(VLOOKUP($C121,EQUIPOS[],UNIFICADO!S$9,0),"")</f>
        <v>5000</v>
      </c>
      <c r="T121" s="1">
        <f>IFERROR(VLOOKUP($C121,EQUIPOS[],UNIFICADO!T$9,0),"")</f>
        <v>5</v>
      </c>
      <c r="U121" s="1">
        <f>VLOOKUP(UNIFICADA[[#This Row],[Equipo]],EQUIPOS[],19,0)</f>
        <v>111</v>
      </c>
      <c r="V121" s="1" t="str">
        <f t="shared" si="533"/>
        <v>ND</v>
      </c>
      <c r="W121" s="1" t="str">
        <f t="shared" si="534"/>
        <v>ND</v>
      </c>
      <c r="X121" s="1" t="str">
        <f t="shared" si="689"/>
        <v>ND</v>
      </c>
      <c r="Y121" s="1" t="str">
        <f t="shared" si="689"/>
        <v>ND</v>
      </c>
      <c r="Z121" s="1" t="str">
        <f t="shared" ref="Z121:AH130" si="696">IFERROR(IF(Z$9="ND","ND",VLOOKUP($C121,AC,Z$9,0)),"ND")</f>
        <v>ND</v>
      </c>
      <c r="AA121" s="1" t="str">
        <f t="shared" si="696"/>
        <v>ND</v>
      </c>
      <c r="AB121" s="1" t="str">
        <f t="shared" si="696"/>
        <v>ND</v>
      </c>
      <c r="AC121" s="1" t="str">
        <f t="shared" si="696"/>
        <v>ND</v>
      </c>
      <c r="AD121" s="1" t="str">
        <f t="shared" si="696"/>
        <v>ND</v>
      </c>
      <c r="AE121" s="1" t="str">
        <f t="shared" si="696"/>
        <v>ND</v>
      </c>
      <c r="AF121" s="1" t="str">
        <f t="shared" si="696"/>
        <v>ND</v>
      </c>
      <c r="AG121" s="1" t="str">
        <f t="shared" si="696"/>
        <v>ND</v>
      </c>
      <c r="AH121" s="1" t="str">
        <f t="shared" si="696"/>
        <v>ND</v>
      </c>
      <c r="AI121" s="1" t="str">
        <f t="shared" si="535"/>
        <v>ND</v>
      </c>
      <c r="AJ121" s="1" t="str">
        <f t="shared" si="536"/>
        <v>ND</v>
      </c>
      <c r="AK121" s="1" t="str">
        <f t="shared" si="537"/>
        <v>ND</v>
      </c>
      <c r="AL121" s="1" t="str">
        <f t="shared" si="538"/>
        <v>ND</v>
      </c>
      <c r="AM121" s="1" t="str">
        <f t="shared" si="539"/>
        <v>ND</v>
      </c>
      <c r="AN121" s="1" t="str">
        <f t="shared" si="540"/>
        <v>ND</v>
      </c>
      <c r="AO121" s="1" t="str">
        <f t="shared" si="541"/>
        <v>ND</v>
      </c>
      <c r="AP121" s="1" t="str">
        <f t="shared" si="542"/>
        <v>ND</v>
      </c>
      <c r="AQ121" s="1" t="str">
        <f t="shared" si="543"/>
        <v>ND</v>
      </c>
      <c r="AR121" s="1" t="str">
        <f t="shared" si="544"/>
        <v>ND</v>
      </c>
      <c r="AS121" s="1" t="str">
        <f t="shared" si="545"/>
        <v>ND</v>
      </c>
      <c r="AT121" s="1" t="str">
        <f t="shared" si="546"/>
        <v>ND</v>
      </c>
      <c r="AU121" s="1" t="str">
        <f t="shared" si="547"/>
        <v>ND</v>
      </c>
      <c r="AV121" s="1" t="str">
        <f t="shared" si="548"/>
        <v>ND</v>
      </c>
      <c r="AW121" s="1" t="str">
        <f t="shared" si="549"/>
        <v>ND</v>
      </c>
      <c r="AX121" s="1" t="str">
        <f t="shared" si="550"/>
        <v>ND</v>
      </c>
      <c r="AY121" s="1" t="str">
        <f t="shared" si="551"/>
        <v>ND</v>
      </c>
      <c r="AZ121" s="1" t="str">
        <f t="shared" si="552"/>
        <v>ND</v>
      </c>
      <c r="BA121" s="1" t="str">
        <f t="shared" si="553"/>
        <v>ND</v>
      </c>
      <c r="BB121" s="1" t="str">
        <f t="shared" si="554"/>
        <v>ND</v>
      </c>
      <c r="BC121" s="1" t="str">
        <f t="shared" si="555"/>
        <v>ND</v>
      </c>
      <c r="BD121" s="1" t="str">
        <f t="shared" si="556"/>
        <v>ND</v>
      </c>
      <c r="BE121" s="1" t="str">
        <f t="shared" si="557"/>
        <v>ND</v>
      </c>
      <c r="BF121" s="1" t="str">
        <f t="shared" si="558"/>
        <v>ND</v>
      </c>
      <c r="BG121" s="1" t="str">
        <f t="shared" si="559"/>
        <v>ND</v>
      </c>
      <c r="BH121" s="1" t="str">
        <f t="shared" si="560"/>
        <v>ND</v>
      </c>
      <c r="BI121" s="1" t="str">
        <f t="shared" si="561"/>
        <v>ND</v>
      </c>
      <c r="BJ121" s="1" t="str">
        <f t="shared" si="562"/>
        <v>ND</v>
      </c>
      <c r="BK121" s="1" t="str">
        <f t="shared" si="563"/>
        <v>ND</v>
      </c>
      <c r="BL121" s="1" t="str">
        <f t="shared" si="564"/>
        <v>ND</v>
      </c>
      <c r="BM121" s="1" t="str">
        <f t="shared" si="565"/>
        <v>ND</v>
      </c>
      <c r="BN121" s="1" t="str">
        <f t="shared" si="566"/>
        <v>ND</v>
      </c>
      <c r="BO121" s="1" t="str">
        <f t="shared" si="567"/>
        <v>ND</v>
      </c>
      <c r="BP121" s="1" t="str">
        <f t="shared" si="568"/>
        <v>ND</v>
      </c>
      <c r="BQ121" s="1" t="str">
        <f t="shared" si="569"/>
        <v>ND</v>
      </c>
      <c r="BR121" s="1" t="str">
        <f t="shared" si="570"/>
        <v>ND</v>
      </c>
      <c r="BS121" s="1" t="str">
        <f t="shared" si="571"/>
        <v>ND</v>
      </c>
      <c r="BT121" s="1" t="str">
        <f t="shared" si="572"/>
        <v>ND</v>
      </c>
      <c r="BU121" s="1" t="str">
        <f t="shared" si="573"/>
        <v>ND</v>
      </c>
      <c r="BV121" s="1" t="str">
        <f t="shared" si="574"/>
        <v>ND</v>
      </c>
      <c r="BW121" s="1" t="str">
        <f t="shared" si="575"/>
        <v>ND</v>
      </c>
      <c r="BX121" s="1" t="str">
        <f t="shared" si="576"/>
        <v>ND</v>
      </c>
      <c r="BY121" s="1" t="str">
        <f t="shared" si="577"/>
        <v>ND</v>
      </c>
      <c r="BZ121" s="1" t="str">
        <f t="shared" si="578"/>
        <v>ND</v>
      </c>
      <c r="CA121" s="1" t="str">
        <f t="shared" ref="CA121:CK130" si="697">IFERROR(IF(CA$9="ND","ND",VLOOKUP($C121,FULLC,CA$9,0)),"ND")</f>
        <v>ND</v>
      </c>
      <c r="CB121" s="1" t="str">
        <f t="shared" si="697"/>
        <v>ND</v>
      </c>
      <c r="CC121" s="1" t="str">
        <f t="shared" si="697"/>
        <v>ND</v>
      </c>
      <c r="CD121" s="1" t="str">
        <f t="shared" si="697"/>
        <v>ND</v>
      </c>
      <c r="CE121" s="1" t="str">
        <f t="shared" si="697"/>
        <v>ND</v>
      </c>
      <c r="CF121" s="1" t="str">
        <f t="shared" si="697"/>
        <v>ND</v>
      </c>
      <c r="CG121" s="1" t="str">
        <f t="shared" si="697"/>
        <v>ND</v>
      </c>
      <c r="CH121" s="1" t="str">
        <f t="shared" si="697"/>
        <v>ND</v>
      </c>
      <c r="CI121" s="1" t="str">
        <f t="shared" si="697"/>
        <v>ND</v>
      </c>
      <c r="CJ121" s="1" t="str">
        <f t="shared" si="697"/>
        <v>ND</v>
      </c>
      <c r="CK121" s="1" t="str">
        <f t="shared" si="697"/>
        <v>ND</v>
      </c>
      <c r="CL121" s="1" t="str">
        <f t="shared" ref="CL121:CV130" si="698">IFERROR(IF(CL$9="ND","ND",VLOOKUP($C121,LINA,CL$9,0)),"ND")</f>
        <v>ND</v>
      </c>
      <c r="CM121" s="1" t="str">
        <f t="shared" si="698"/>
        <v>ND</v>
      </c>
      <c r="CN121" s="1" t="str">
        <f t="shared" si="698"/>
        <v>ND</v>
      </c>
      <c r="CO121" s="1" t="str">
        <f t="shared" si="698"/>
        <v>ND</v>
      </c>
      <c r="CP121" s="1" t="str">
        <f t="shared" si="698"/>
        <v>ND</v>
      </c>
      <c r="CQ121" s="1" t="str">
        <f t="shared" si="698"/>
        <v>ND</v>
      </c>
      <c r="CR121" s="1" t="str">
        <f t="shared" si="698"/>
        <v>ND</v>
      </c>
      <c r="CS121" s="1" t="str">
        <f t="shared" si="698"/>
        <v>ND</v>
      </c>
      <c r="CT121" s="1" t="str">
        <f t="shared" si="698"/>
        <v>ND</v>
      </c>
      <c r="CU121" s="1" t="str">
        <f t="shared" si="698"/>
        <v>ND</v>
      </c>
      <c r="CV121" s="1" t="str">
        <f t="shared" si="698"/>
        <v>ND</v>
      </c>
      <c r="CW121" s="1" t="str">
        <f t="shared" si="579"/>
        <v>ND</v>
      </c>
      <c r="CX121" s="1" t="str">
        <f t="shared" si="580"/>
        <v>ND</v>
      </c>
      <c r="CY121" s="1" t="str">
        <f t="shared" si="581"/>
        <v>ND</v>
      </c>
      <c r="CZ121" s="1" t="str">
        <f t="shared" si="582"/>
        <v>ND</v>
      </c>
      <c r="DA121" s="1" t="str">
        <f t="shared" si="583"/>
        <v>ND</v>
      </c>
      <c r="DB121" s="1" t="str">
        <f t="shared" si="584"/>
        <v>ND</v>
      </c>
      <c r="DC121" s="1" t="str">
        <f t="shared" si="585"/>
        <v>ND</v>
      </c>
      <c r="DD121" s="1" t="str">
        <f t="shared" si="586"/>
        <v>ND</v>
      </c>
      <c r="DE121" s="1" t="str">
        <f t="shared" si="587"/>
        <v>ND</v>
      </c>
      <c r="DF121" s="1" t="str">
        <f t="shared" si="588"/>
        <v>ND</v>
      </c>
      <c r="DG121" s="1" t="str">
        <f t="shared" si="589"/>
        <v>ND</v>
      </c>
      <c r="DH121" s="1" t="str">
        <f t="shared" si="590"/>
        <v>ND</v>
      </c>
      <c r="DI121" s="1" t="str">
        <f t="shared" si="591"/>
        <v>ND</v>
      </c>
      <c r="DJ121" s="1" t="str">
        <f t="shared" si="592"/>
        <v>ND</v>
      </c>
      <c r="DK121" s="1" t="str">
        <f t="shared" si="593"/>
        <v>ND</v>
      </c>
      <c r="DL121" s="1" t="str">
        <f t="shared" si="594"/>
        <v>ND</v>
      </c>
      <c r="DM121" s="1" t="str">
        <f t="shared" si="595"/>
        <v>ND</v>
      </c>
      <c r="DN121" s="1" t="str">
        <f t="shared" si="596"/>
        <v>ND</v>
      </c>
      <c r="DO121" s="1" t="str">
        <f t="shared" si="597"/>
        <v>ND</v>
      </c>
      <c r="DP121" s="1" t="str">
        <f t="shared" si="598"/>
        <v>ND</v>
      </c>
      <c r="DQ121" s="1" t="str">
        <f t="shared" si="599"/>
        <v>ND</v>
      </c>
      <c r="DR121" s="1" t="str">
        <f t="shared" si="600"/>
        <v>ND</v>
      </c>
      <c r="DS121" s="1" t="str">
        <f t="shared" si="601"/>
        <v>ND</v>
      </c>
      <c r="DT121" s="1" t="str">
        <f t="shared" si="602"/>
        <v>ND</v>
      </c>
      <c r="DU121" s="1" t="str">
        <f t="shared" si="603"/>
        <v>ND</v>
      </c>
      <c r="DV121" s="1" t="str">
        <f t="shared" si="604"/>
        <v>ND</v>
      </c>
      <c r="DW121" s="1" t="str">
        <f t="shared" si="605"/>
        <v>ND</v>
      </c>
      <c r="DX121" s="1" t="str">
        <f t="shared" si="606"/>
        <v>ND</v>
      </c>
      <c r="DY121" s="1" t="str">
        <f t="shared" si="607"/>
        <v>ND</v>
      </c>
      <c r="DZ121" s="1" t="str">
        <f t="shared" si="608"/>
        <v>ND</v>
      </c>
      <c r="EA121" s="1" t="str">
        <f t="shared" si="609"/>
        <v>ND</v>
      </c>
      <c r="EB121" s="1" t="str">
        <f t="shared" si="610"/>
        <v>ND</v>
      </c>
      <c r="EC121" s="1" t="str">
        <f t="shared" si="611"/>
        <v>ND</v>
      </c>
      <c r="ED121" s="1" t="str">
        <f t="shared" si="612"/>
        <v>ND</v>
      </c>
      <c r="EE121" s="1" t="str">
        <f t="shared" si="613"/>
        <v>ND</v>
      </c>
      <c r="EF121" s="1" t="str">
        <f t="shared" si="614"/>
        <v>ND</v>
      </c>
      <c r="EG121" s="1" t="str">
        <f t="shared" si="615"/>
        <v>ND</v>
      </c>
      <c r="EH121" s="1" t="str">
        <f t="shared" si="616"/>
        <v>ND</v>
      </c>
      <c r="EI121" s="1" t="str">
        <f t="shared" si="617"/>
        <v>ND</v>
      </c>
      <c r="EJ121" s="1" t="str">
        <f t="shared" si="618"/>
        <v>ND</v>
      </c>
      <c r="EK121" s="1" t="str">
        <f t="shared" si="619"/>
        <v>ND</v>
      </c>
      <c r="EL121" s="1" t="str">
        <f t="shared" si="620"/>
        <v>ND</v>
      </c>
      <c r="EM121" s="1" t="str">
        <f t="shared" si="621"/>
        <v>ND</v>
      </c>
      <c r="EN121" s="1" t="str">
        <f t="shared" si="622"/>
        <v>ND</v>
      </c>
      <c r="EO121" s="1" t="str">
        <f t="shared" ref="EO121:EY130" si="699">IFERROR(IF(EO$9="ND","ND",VLOOKUP($C121,PAR,EO$9,0)),"ND")</f>
        <v>ND</v>
      </c>
      <c r="EP121" s="1" t="str">
        <f t="shared" si="699"/>
        <v>ND</v>
      </c>
      <c r="EQ121" s="1" t="str">
        <f t="shared" si="699"/>
        <v>ND</v>
      </c>
      <c r="ER121" s="1" t="str">
        <f t="shared" si="699"/>
        <v>ND</v>
      </c>
      <c r="ES121" s="1" t="str">
        <f t="shared" si="699"/>
        <v>ND</v>
      </c>
      <c r="ET121" s="1" t="str">
        <f t="shared" si="699"/>
        <v>ND</v>
      </c>
      <c r="EU121" s="1" t="str">
        <f t="shared" si="699"/>
        <v>ND</v>
      </c>
      <c r="EV121" s="1" t="str">
        <f t="shared" si="699"/>
        <v>ND</v>
      </c>
      <c r="EW121" s="1" t="str">
        <f t="shared" si="699"/>
        <v>ND</v>
      </c>
      <c r="EX121" s="1" t="str">
        <f t="shared" si="699"/>
        <v>ND</v>
      </c>
      <c r="EY121" s="1" t="str">
        <f t="shared" si="699"/>
        <v>ND</v>
      </c>
      <c r="EZ121" s="1" t="str">
        <f t="shared" ref="EZ121:FJ130" si="700">IFERROR(IF(EZ$9="ND","ND",VLOOKUP($C121,PE,EZ$9,0)),"ND")</f>
        <v>ND</v>
      </c>
      <c r="FA121" s="1" t="str">
        <f t="shared" si="700"/>
        <v>ND</v>
      </c>
      <c r="FB121" s="1" t="str">
        <f t="shared" si="700"/>
        <v>ND</v>
      </c>
      <c r="FC121" s="1" t="str">
        <f t="shared" si="700"/>
        <v>ND</v>
      </c>
      <c r="FD121" s="1" t="str">
        <f t="shared" si="700"/>
        <v>ND</v>
      </c>
      <c r="FE121" s="1" t="str">
        <f t="shared" si="700"/>
        <v>ND</v>
      </c>
      <c r="FF121" s="1" t="str">
        <f t="shared" si="700"/>
        <v>ND</v>
      </c>
      <c r="FG121" s="1" t="str">
        <f t="shared" si="700"/>
        <v>ND</v>
      </c>
      <c r="FH121" s="1" t="str">
        <f t="shared" si="700"/>
        <v>ND</v>
      </c>
      <c r="FI121" s="1" t="str">
        <f t="shared" si="700"/>
        <v>ND</v>
      </c>
      <c r="FJ121" s="1" t="str">
        <f t="shared" si="700"/>
        <v>ND</v>
      </c>
      <c r="FK121" s="1" t="str">
        <f t="shared" ref="FK121:FU130" si="701">IFERROR(IF(FK$9="ND","ND",VLOOKUP($C121,RE,FK$9,0)),"ND")</f>
        <v>ND</v>
      </c>
      <c r="FL121" s="1" t="str">
        <f t="shared" si="701"/>
        <v>ND</v>
      </c>
      <c r="FM121" s="1" t="str">
        <f t="shared" si="701"/>
        <v>ND</v>
      </c>
      <c r="FN121" s="1" t="str">
        <f t="shared" si="701"/>
        <v>ND</v>
      </c>
      <c r="FO121" s="1" t="str">
        <f t="shared" si="701"/>
        <v>ND</v>
      </c>
      <c r="FP121" s="1" t="str">
        <f t="shared" si="701"/>
        <v>ND</v>
      </c>
      <c r="FQ121" s="1" t="str">
        <f t="shared" si="701"/>
        <v>ND</v>
      </c>
      <c r="FR121" s="1" t="str">
        <f t="shared" si="701"/>
        <v>ND</v>
      </c>
      <c r="FS121" s="1" t="str">
        <f t="shared" si="701"/>
        <v>ND</v>
      </c>
      <c r="FT121" s="1" t="str">
        <f t="shared" si="701"/>
        <v>ND</v>
      </c>
      <c r="FU121" s="1" t="str">
        <f t="shared" si="701"/>
        <v>ND</v>
      </c>
      <c r="FV121" s="1" t="str">
        <f t="shared" si="623"/>
        <v>ND</v>
      </c>
      <c r="FW121" s="1" t="str">
        <f t="shared" si="624"/>
        <v>ND</v>
      </c>
      <c r="FX121" s="1" t="str">
        <f t="shared" si="625"/>
        <v>ND</v>
      </c>
      <c r="FY121" s="1" t="str">
        <f t="shared" si="626"/>
        <v>ND</v>
      </c>
      <c r="FZ121" s="1" t="str">
        <f t="shared" si="627"/>
        <v>ND</v>
      </c>
      <c r="GA121" s="1" t="str">
        <f t="shared" si="628"/>
        <v>ND</v>
      </c>
      <c r="GB121" s="1" t="str">
        <f t="shared" si="629"/>
        <v>ND</v>
      </c>
      <c r="GC121" s="1" t="str">
        <f t="shared" si="630"/>
        <v>ND</v>
      </c>
      <c r="GD121" s="1" t="str">
        <f t="shared" si="631"/>
        <v>ND</v>
      </c>
      <c r="GE121" s="1" t="str">
        <f t="shared" si="632"/>
        <v>ND</v>
      </c>
      <c r="GF121" s="1" t="str">
        <f t="shared" si="633"/>
        <v>ND</v>
      </c>
      <c r="GG121" s="1" t="str">
        <f t="shared" si="634"/>
        <v>ND</v>
      </c>
      <c r="GH121" s="1" t="str">
        <f t="shared" si="635"/>
        <v>ND</v>
      </c>
      <c r="GI121" s="1" t="str">
        <f t="shared" si="636"/>
        <v>ND</v>
      </c>
      <c r="GJ121" s="1" t="str">
        <f t="shared" si="637"/>
        <v>ND</v>
      </c>
      <c r="GK121" s="1" t="str">
        <f t="shared" si="638"/>
        <v>ND</v>
      </c>
      <c r="GL121" s="1" t="str">
        <f t="shared" si="639"/>
        <v>ND</v>
      </c>
      <c r="GM121" s="1" t="str">
        <f t="shared" si="640"/>
        <v>ND</v>
      </c>
      <c r="GN121" s="1" t="str">
        <f t="shared" si="641"/>
        <v>ND</v>
      </c>
      <c r="GO121" s="1" t="str">
        <f t="shared" si="642"/>
        <v>ND</v>
      </c>
      <c r="GP121" s="1" t="str">
        <f t="shared" si="643"/>
        <v>ND</v>
      </c>
      <c r="GQ121" s="1" t="str">
        <f t="shared" si="644"/>
        <v>ND</v>
      </c>
      <c r="GR121" s="1" t="str">
        <f t="shared" si="645"/>
        <v>ND</v>
      </c>
      <c r="GS121" s="1" t="str">
        <f t="shared" si="646"/>
        <v>ND</v>
      </c>
      <c r="GT121" s="1" t="str">
        <f t="shared" si="647"/>
        <v>ND</v>
      </c>
      <c r="GU121" s="1" t="str">
        <f t="shared" si="648"/>
        <v>ND</v>
      </c>
      <c r="GV121" s="1" t="str">
        <f t="shared" si="649"/>
        <v>ND</v>
      </c>
      <c r="GW121" s="1" t="str">
        <f t="shared" si="650"/>
        <v>ND</v>
      </c>
      <c r="GX121" s="1" t="str">
        <f t="shared" si="651"/>
        <v>ND</v>
      </c>
      <c r="GY121" s="1" t="str">
        <f t="shared" si="652"/>
        <v>ND</v>
      </c>
      <c r="GZ121" s="1" t="str">
        <f t="shared" si="653"/>
        <v>ND</v>
      </c>
      <c r="HA121" s="1" t="str">
        <f t="shared" si="654"/>
        <v>ND</v>
      </c>
      <c r="HB121" s="1" t="str">
        <f t="shared" si="655"/>
        <v>ND</v>
      </c>
      <c r="HC121" s="1" t="str">
        <f t="shared" si="656"/>
        <v>ND</v>
      </c>
      <c r="HD121" s="1" t="str">
        <f t="shared" si="657"/>
        <v>ND</v>
      </c>
      <c r="HE121" s="1" t="str">
        <f t="shared" si="658"/>
        <v>ND</v>
      </c>
      <c r="HF121" s="1" t="str">
        <f t="shared" si="659"/>
        <v>ND</v>
      </c>
      <c r="HG121" s="1" t="str">
        <f t="shared" si="660"/>
        <v>ND</v>
      </c>
      <c r="HH121" s="1" t="str">
        <f t="shared" si="661"/>
        <v>ND</v>
      </c>
      <c r="HI121" s="1" t="str">
        <f t="shared" si="662"/>
        <v>ND</v>
      </c>
      <c r="HJ121" s="1" t="str">
        <f t="shared" si="663"/>
        <v>ND</v>
      </c>
      <c r="HK121" s="1" t="str">
        <f t="shared" si="664"/>
        <v>ND</v>
      </c>
      <c r="HL121" s="1" t="str">
        <f t="shared" si="665"/>
        <v>ND</v>
      </c>
      <c r="HM121" s="1" t="str">
        <f t="shared" si="666"/>
        <v>ND</v>
      </c>
      <c r="HN121" s="1" t="str">
        <f t="shared" si="667"/>
        <v>ND</v>
      </c>
      <c r="HO121" s="1" t="str">
        <f t="shared" si="668"/>
        <v>ND</v>
      </c>
      <c r="HP121" s="1" t="str">
        <f t="shared" si="669"/>
        <v>ND</v>
      </c>
      <c r="HQ121" s="1" t="str">
        <f t="shared" si="670"/>
        <v>ND</v>
      </c>
      <c r="HR121" s="1" t="str">
        <f t="shared" si="671"/>
        <v>ND</v>
      </c>
      <c r="HS121" s="1" t="str">
        <f t="shared" si="672"/>
        <v>ND</v>
      </c>
      <c r="HT121" s="1" t="str">
        <f t="shared" si="673"/>
        <v>ND</v>
      </c>
      <c r="HU121" s="1" t="str">
        <f t="shared" si="674"/>
        <v>ND</v>
      </c>
      <c r="HV121" s="1" t="str">
        <f t="shared" si="675"/>
        <v>ND</v>
      </c>
      <c r="HW121" s="1" t="str">
        <f t="shared" si="676"/>
        <v>ND</v>
      </c>
      <c r="HX121" s="1" t="str">
        <f t="shared" si="677"/>
        <v>ND</v>
      </c>
      <c r="HY121" s="1" t="str">
        <f t="shared" si="678"/>
        <v>ND</v>
      </c>
      <c r="HZ121" s="1" t="str">
        <f t="shared" si="679"/>
        <v>ND</v>
      </c>
      <c r="IA121" s="1" t="str">
        <f t="shared" si="680"/>
        <v>ND</v>
      </c>
      <c r="IB121" s="1" t="str">
        <f t="shared" si="681"/>
        <v>ND</v>
      </c>
      <c r="IC121" s="1" t="str">
        <f t="shared" si="682"/>
        <v>ND</v>
      </c>
      <c r="ID121" s="1" t="str">
        <f t="shared" si="683"/>
        <v>ND</v>
      </c>
      <c r="IE121" s="1" t="str">
        <f t="shared" si="684"/>
        <v>ND</v>
      </c>
      <c r="IF121" s="1" t="str">
        <f t="shared" si="685"/>
        <v>ND</v>
      </c>
      <c r="IG121" s="1" t="str">
        <f t="shared" si="686"/>
        <v>ND</v>
      </c>
      <c r="IH121" s="1" t="str">
        <f t="shared" si="687"/>
        <v>ND</v>
      </c>
      <c r="II121" s="1" t="str">
        <f t="shared" si="688"/>
        <v>ND</v>
      </c>
    </row>
    <row r="122" spans="3:243" x14ac:dyDescent="0.25">
      <c r="C122" t="s">
        <v>99</v>
      </c>
      <c r="D122">
        <f>SUMIFS(DICCIONARIO[Cantidad],DICCIONARIO[Modelo],UNIFICADA[[#This Row],[Equipo]])</f>
        <v>0</v>
      </c>
      <c r="E122" s="1">
        <f>IFERROR(VLOOKUP($C122,EQUIPOS[],UNIFICADO!E$9,0),"")</f>
        <v>12</v>
      </c>
      <c r="F122" s="1">
        <f>IFERROR(VLOOKUP($C122,EQUIPOS[],UNIFICADO!F$9,0),"")</f>
        <v>6.5</v>
      </c>
      <c r="G122" s="1">
        <f>IFERROR(VLOOKUP($C122,EQUIPOS[],UNIFICADO!G$9,0),"")</f>
        <v>50</v>
      </c>
      <c r="H122" s="1">
        <f>IFERROR(VLOOKUP($C122,EQUIPOS[],UNIFICADO!H$9,0),"")</f>
        <v>4</v>
      </c>
      <c r="I122" s="1">
        <f>IFERROR(VLOOKUP($C122,EQUIPOS[],UNIFICADO!I$9,0),"")</f>
        <v>8</v>
      </c>
      <c r="J122" s="1" t="str">
        <f>IFERROR(VLOOKUP($C122,EQUIPOS[],UNIFICADO!J$9,0),"")</f>
        <v>128GB</v>
      </c>
      <c r="K122" s="1">
        <f>IFERROR(VLOOKUP($C122,EQUIPOS[],UNIFICADO!K$9,0),"")</f>
        <v>256</v>
      </c>
      <c r="L122" s="1">
        <f>IFERROR(VLOOKUP($C122,EQUIPOS[],UNIFICADO!L$9,0),"")</f>
        <v>8</v>
      </c>
      <c r="M122" s="1" t="str">
        <f>IFERROR(VLOOKUP($C122,EQUIPOS[],UNIFICADO!M$9,0),"")</f>
        <v>1.8/2.0</v>
      </c>
      <c r="N122" s="1">
        <f>IFERROR(VLOOKUP($C122,EQUIPOS[],UNIFICADO!N$9,0),"")</f>
        <v>4</v>
      </c>
      <c r="O122" s="1">
        <f>IFERROR(VLOOKUP($C122,EQUIPOS[],UNIFICADO!O$9,0),"")</f>
        <v>181</v>
      </c>
      <c r="P122" s="1">
        <f>IFERROR(VLOOKUP($C122,EQUIPOS[],UNIFICADO!P$9,0),"")</f>
        <v>16.2</v>
      </c>
      <c r="Q122" s="1">
        <f>IFERROR(VLOOKUP($C122,EQUIPOS[],UNIFICADO!Q$9,0),"")</f>
        <v>7.55</v>
      </c>
      <c r="R122" s="1">
        <f>IFERROR(VLOOKUP($C122,EQUIPOS[],UNIFICADO!R$9,0),"")</f>
        <v>0.89</v>
      </c>
      <c r="S122" s="1">
        <f>IFERROR(VLOOKUP($C122,EQUIPOS[],UNIFICADO!S$9,0),"")</f>
        <v>5000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533"/>
        <v>ND</v>
      </c>
      <c r="W122" s="1" t="str">
        <f t="shared" si="534"/>
        <v>ND</v>
      </c>
      <c r="X122" s="1" t="str">
        <f t="shared" si="689"/>
        <v>ND</v>
      </c>
      <c r="Y122" s="1" t="str">
        <f t="shared" si="689"/>
        <v>ND</v>
      </c>
      <c r="Z122" s="1" t="str">
        <f t="shared" si="696"/>
        <v>ND</v>
      </c>
      <c r="AA122" s="1" t="str">
        <f t="shared" si="696"/>
        <v>ND</v>
      </c>
      <c r="AB122" s="1" t="str">
        <f t="shared" si="696"/>
        <v>ND</v>
      </c>
      <c r="AC122" s="1" t="str">
        <f t="shared" si="696"/>
        <v>ND</v>
      </c>
      <c r="AD122" s="1" t="str">
        <f t="shared" si="696"/>
        <v>ND</v>
      </c>
      <c r="AE122" s="1" t="str">
        <f t="shared" si="696"/>
        <v>ND</v>
      </c>
      <c r="AF122" s="1" t="str">
        <f t="shared" si="696"/>
        <v>ND</v>
      </c>
      <c r="AG122" s="1" t="str">
        <f t="shared" si="696"/>
        <v>ND</v>
      </c>
      <c r="AH122" s="1" t="str">
        <f t="shared" si="696"/>
        <v>ND</v>
      </c>
      <c r="AI122" s="1" t="str">
        <f t="shared" si="535"/>
        <v>ND</v>
      </c>
      <c r="AJ122" s="1" t="str">
        <f t="shared" si="536"/>
        <v>ND</v>
      </c>
      <c r="AK122" s="1" t="str">
        <f t="shared" si="537"/>
        <v>ND</v>
      </c>
      <c r="AL122" s="1" t="str">
        <f t="shared" si="538"/>
        <v>ND</v>
      </c>
      <c r="AM122" s="1" t="str">
        <f t="shared" si="539"/>
        <v>ND</v>
      </c>
      <c r="AN122" s="1" t="str">
        <f t="shared" si="540"/>
        <v>ND</v>
      </c>
      <c r="AO122" s="1" t="str">
        <f t="shared" si="541"/>
        <v>ND</v>
      </c>
      <c r="AP122" s="1" t="str">
        <f t="shared" si="542"/>
        <v>ND</v>
      </c>
      <c r="AQ122" s="1" t="str">
        <f t="shared" si="543"/>
        <v>ND</v>
      </c>
      <c r="AR122" s="1" t="str">
        <f t="shared" si="544"/>
        <v>ND</v>
      </c>
      <c r="AS122" s="1" t="str">
        <f t="shared" si="545"/>
        <v>ND</v>
      </c>
      <c r="AT122" s="1" t="str">
        <f t="shared" si="546"/>
        <v>ND</v>
      </c>
      <c r="AU122" s="1" t="str">
        <f t="shared" si="547"/>
        <v>ND</v>
      </c>
      <c r="AV122" s="1" t="str">
        <f t="shared" si="548"/>
        <v>ND</v>
      </c>
      <c r="AW122" s="1" t="str">
        <f t="shared" si="549"/>
        <v>ND</v>
      </c>
      <c r="AX122" s="1" t="str">
        <f t="shared" si="550"/>
        <v>ND</v>
      </c>
      <c r="AY122" s="1" t="str">
        <f t="shared" si="551"/>
        <v>ND</v>
      </c>
      <c r="AZ122" s="1" t="str">
        <f t="shared" si="552"/>
        <v>ND</v>
      </c>
      <c r="BA122" s="1" t="str">
        <f t="shared" si="553"/>
        <v>ND</v>
      </c>
      <c r="BB122" s="1" t="str">
        <f t="shared" si="554"/>
        <v>ND</v>
      </c>
      <c r="BC122" s="1" t="str">
        <f t="shared" si="555"/>
        <v>ND</v>
      </c>
      <c r="BD122" s="1" t="str">
        <f t="shared" si="556"/>
        <v>ND</v>
      </c>
      <c r="BE122" s="1" t="str">
        <f t="shared" si="557"/>
        <v>ND</v>
      </c>
      <c r="BF122" s="1" t="str">
        <f t="shared" si="558"/>
        <v>ND</v>
      </c>
      <c r="BG122" s="1" t="str">
        <f t="shared" si="559"/>
        <v>ND</v>
      </c>
      <c r="BH122" s="1" t="str">
        <f t="shared" si="560"/>
        <v>ND</v>
      </c>
      <c r="BI122" s="1" t="str">
        <f t="shared" si="561"/>
        <v>ND</v>
      </c>
      <c r="BJ122" s="1" t="str">
        <f t="shared" si="562"/>
        <v>ND</v>
      </c>
      <c r="BK122" s="1" t="str">
        <f t="shared" si="563"/>
        <v>ND</v>
      </c>
      <c r="BL122" s="1" t="str">
        <f t="shared" si="564"/>
        <v>ND</v>
      </c>
      <c r="BM122" s="1" t="str">
        <f t="shared" si="565"/>
        <v>ND</v>
      </c>
      <c r="BN122" s="1" t="str">
        <f t="shared" si="566"/>
        <v>ND</v>
      </c>
      <c r="BO122" s="1" t="str">
        <f t="shared" si="567"/>
        <v>ND</v>
      </c>
      <c r="BP122" s="1" t="str">
        <f t="shared" si="568"/>
        <v>ND</v>
      </c>
      <c r="BQ122" s="1" t="str">
        <f t="shared" si="569"/>
        <v>ND</v>
      </c>
      <c r="BR122" s="1" t="str">
        <f t="shared" si="570"/>
        <v>ND</v>
      </c>
      <c r="BS122" s="1" t="str">
        <f t="shared" si="571"/>
        <v>ND</v>
      </c>
      <c r="BT122" s="1" t="str">
        <f t="shared" si="572"/>
        <v>ND</v>
      </c>
      <c r="BU122" s="1" t="str">
        <f t="shared" si="573"/>
        <v>ND</v>
      </c>
      <c r="BV122" s="1" t="str">
        <f t="shared" si="574"/>
        <v>ND</v>
      </c>
      <c r="BW122" s="1" t="str">
        <f t="shared" si="575"/>
        <v>ND</v>
      </c>
      <c r="BX122" s="1" t="str">
        <f t="shared" si="576"/>
        <v>ND</v>
      </c>
      <c r="BY122" s="1" t="str">
        <f t="shared" si="577"/>
        <v>ND</v>
      </c>
      <c r="BZ122" s="1" t="str">
        <f t="shared" si="578"/>
        <v>ND</v>
      </c>
      <c r="CA122" s="1" t="str">
        <f t="shared" si="697"/>
        <v>ND</v>
      </c>
      <c r="CB122" s="1" t="str">
        <f t="shared" si="697"/>
        <v>ND</v>
      </c>
      <c r="CC122" s="1" t="str">
        <f t="shared" si="697"/>
        <v>ND</v>
      </c>
      <c r="CD122" s="1" t="str">
        <f t="shared" si="697"/>
        <v>ND</v>
      </c>
      <c r="CE122" s="1" t="str">
        <f t="shared" si="697"/>
        <v>ND</v>
      </c>
      <c r="CF122" s="1" t="str">
        <f t="shared" si="697"/>
        <v>ND</v>
      </c>
      <c r="CG122" s="1" t="str">
        <f t="shared" si="697"/>
        <v>ND</v>
      </c>
      <c r="CH122" s="1" t="str">
        <f t="shared" si="697"/>
        <v>ND</v>
      </c>
      <c r="CI122" s="1" t="str">
        <f t="shared" si="697"/>
        <v>ND</v>
      </c>
      <c r="CJ122" s="1" t="str">
        <f t="shared" si="697"/>
        <v>ND</v>
      </c>
      <c r="CK122" s="1" t="str">
        <f t="shared" si="697"/>
        <v>ND</v>
      </c>
      <c r="CL122" s="1" t="str">
        <f t="shared" si="698"/>
        <v>ND</v>
      </c>
      <c r="CM122" s="1" t="str">
        <f t="shared" si="698"/>
        <v>ND</v>
      </c>
      <c r="CN122" s="1" t="str">
        <f t="shared" si="698"/>
        <v>ND</v>
      </c>
      <c r="CO122" s="1" t="str">
        <f t="shared" si="698"/>
        <v>ND</v>
      </c>
      <c r="CP122" s="1" t="str">
        <f t="shared" si="698"/>
        <v>ND</v>
      </c>
      <c r="CQ122" s="1" t="str">
        <f t="shared" si="698"/>
        <v>ND</v>
      </c>
      <c r="CR122" s="1" t="str">
        <f t="shared" si="698"/>
        <v>ND</v>
      </c>
      <c r="CS122" s="1" t="str">
        <f t="shared" si="698"/>
        <v>ND</v>
      </c>
      <c r="CT122" s="1" t="str">
        <f t="shared" si="698"/>
        <v>ND</v>
      </c>
      <c r="CU122" s="1" t="str">
        <f t="shared" si="698"/>
        <v>ND</v>
      </c>
      <c r="CV122" s="1" t="str">
        <f t="shared" si="698"/>
        <v>ND</v>
      </c>
      <c r="CW122" s="1" t="str">
        <f t="shared" si="579"/>
        <v>ND</v>
      </c>
      <c r="CX122" s="1" t="str">
        <f t="shared" si="580"/>
        <v>ND</v>
      </c>
      <c r="CY122" s="1" t="str">
        <f t="shared" si="581"/>
        <v>ND</v>
      </c>
      <c r="CZ122" s="1" t="str">
        <f t="shared" si="582"/>
        <v>ND</v>
      </c>
      <c r="DA122" s="1" t="str">
        <f t="shared" si="583"/>
        <v>ND</v>
      </c>
      <c r="DB122" s="1" t="str">
        <f t="shared" si="584"/>
        <v>ND</v>
      </c>
      <c r="DC122" s="1" t="str">
        <f t="shared" si="585"/>
        <v>ND</v>
      </c>
      <c r="DD122" s="1" t="str">
        <f t="shared" si="586"/>
        <v>ND</v>
      </c>
      <c r="DE122" s="1" t="str">
        <f t="shared" si="587"/>
        <v>ND</v>
      </c>
      <c r="DF122" s="1" t="str">
        <f t="shared" si="588"/>
        <v>ND</v>
      </c>
      <c r="DG122" s="1" t="str">
        <f t="shared" si="589"/>
        <v>ND</v>
      </c>
      <c r="DH122" s="1" t="str">
        <f t="shared" si="590"/>
        <v>ND</v>
      </c>
      <c r="DI122" s="1" t="str">
        <f t="shared" si="591"/>
        <v>ND</v>
      </c>
      <c r="DJ122" s="1" t="str">
        <f t="shared" si="592"/>
        <v>ND</v>
      </c>
      <c r="DK122" s="1" t="str">
        <f t="shared" si="593"/>
        <v>ND</v>
      </c>
      <c r="DL122" s="1" t="str">
        <f t="shared" si="594"/>
        <v>ND</v>
      </c>
      <c r="DM122" s="1" t="str">
        <f t="shared" si="595"/>
        <v>ND</v>
      </c>
      <c r="DN122" s="1" t="str">
        <f t="shared" si="596"/>
        <v>ND</v>
      </c>
      <c r="DO122" s="1" t="str">
        <f t="shared" si="597"/>
        <v>ND</v>
      </c>
      <c r="DP122" s="1" t="str">
        <f t="shared" si="598"/>
        <v>ND</v>
      </c>
      <c r="DQ122" s="1" t="str">
        <f t="shared" si="599"/>
        <v>ND</v>
      </c>
      <c r="DR122" s="1" t="str">
        <f t="shared" si="600"/>
        <v>ND</v>
      </c>
      <c r="DS122" s="1" t="str">
        <f t="shared" si="601"/>
        <v>ND</v>
      </c>
      <c r="DT122" s="1" t="str">
        <f t="shared" si="602"/>
        <v>ND</v>
      </c>
      <c r="DU122" s="1" t="str">
        <f t="shared" si="603"/>
        <v>ND</v>
      </c>
      <c r="DV122" s="1" t="str">
        <f t="shared" si="604"/>
        <v>ND</v>
      </c>
      <c r="DW122" s="1" t="str">
        <f t="shared" si="605"/>
        <v>ND</v>
      </c>
      <c r="DX122" s="1" t="str">
        <f t="shared" si="606"/>
        <v>ND</v>
      </c>
      <c r="DY122" s="1" t="str">
        <f t="shared" si="607"/>
        <v>ND</v>
      </c>
      <c r="DZ122" s="1" t="str">
        <f t="shared" si="608"/>
        <v>ND</v>
      </c>
      <c r="EA122" s="1" t="str">
        <f t="shared" si="609"/>
        <v>ND</v>
      </c>
      <c r="EB122" s="1" t="str">
        <f t="shared" si="610"/>
        <v>ND</v>
      </c>
      <c r="EC122" s="1" t="str">
        <f t="shared" si="611"/>
        <v>ND</v>
      </c>
      <c r="ED122" s="1" t="str">
        <f t="shared" si="612"/>
        <v>ND</v>
      </c>
      <c r="EE122" s="1" t="str">
        <f t="shared" si="613"/>
        <v>ND</v>
      </c>
      <c r="EF122" s="1" t="str">
        <f t="shared" si="614"/>
        <v>ND</v>
      </c>
      <c r="EG122" s="1" t="str">
        <f t="shared" si="615"/>
        <v>ND</v>
      </c>
      <c r="EH122" s="1" t="str">
        <f t="shared" si="616"/>
        <v>ND</v>
      </c>
      <c r="EI122" s="1" t="str">
        <f t="shared" si="617"/>
        <v>ND</v>
      </c>
      <c r="EJ122" s="1" t="str">
        <f t="shared" si="618"/>
        <v>ND</v>
      </c>
      <c r="EK122" s="1" t="str">
        <f t="shared" si="619"/>
        <v>ND</v>
      </c>
      <c r="EL122" s="1" t="str">
        <f t="shared" si="620"/>
        <v>ND</v>
      </c>
      <c r="EM122" s="1" t="str">
        <f t="shared" si="621"/>
        <v>ND</v>
      </c>
      <c r="EN122" s="1" t="str">
        <f t="shared" si="622"/>
        <v>ND</v>
      </c>
      <c r="EO122" s="1" t="str">
        <f t="shared" si="699"/>
        <v>ND</v>
      </c>
      <c r="EP122" s="1" t="str">
        <f t="shared" si="699"/>
        <v>ND</v>
      </c>
      <c r="EQ122" s="1" t="str">
        <f t="shared" si="699"/>
        <v>ND</v>
      </c>
      <c r="ER122" s="1" t="str">
        <f t="shared" si="699"/>
        <v>ND</v>
      </c>
      <c r="ES122" s="1" t="str">
        <f t="shared" si="699"/>
        <v>ND</v>
      </c>
      <c r="ET122" s="1" t="str">
        <f t="shared" si="699"/>
        <v>ND</v>
      </c>
      <c r="EU122" s="1" t="str">
        <f t="shared" si="699"/>
        <v>ND</v>
      </c>
      <c r="EV122" s="1" t="str">
        <f t="shared" si="699"/>
        <v>ND</v>
      </c>
      <c r="EW122" s="1" t="str">
        <f t="shared" si="699"/>
        <v>ND</v>
      </c>
      <c r="EX122" s="1" t="str">
        <f t="shared" si="699"/>
        <v>ND</v>
      </c>
      <c r="EY122" s="1" t="str">
        <f t="shared" si="699"/>
        <v>ND</v>
      </c>
      <c r="EZ122" s="1" t="str">
        <f t="shared" si="700"/>
        <v>ND</v>
      </c>
      <c r="FA122" s="1" t="str">
        <f t="shared" si="700"/>
        <v>ND</v>
      </c>
      <c r="FB122" s="1" t="str">
        <f t="shared" si="700"/>
        <v>ND</v>
      </c>
      <c r="FC122" s="1" t="str">
        <f t="shared" si="700"/>
        <v>ND</v>
      </c>
      <c r="FD122" s="1" t="str">
        <f t="shared" si="700"/>
        <v>ND</v>
      </c>
      <c r="FE122" s="1" t="str">
        <f t="shared" si="700"/>
        <v>ND</v>
      </c>
      <c r="FF122" s="1" t="str">
        <f t="shared" si="700"/>
        <v>ND</v>
      </c>
      <c r="FG122" s="1" t="str">
        <f t="shared" si="700"/>
        <v>ND</v>
      </c>
      <c r="FH122" s="1" t="str">
        <f t="shared" si="700"/>
        <v>ND</v>
      </c>
      <c r="FI122" s="1" t="str">
        <f t="shared" si="700"/>
        <v>ND</v>
      </c>
      <c r="FJ122" s="1" t="str">
        <f t="shared" si="700"/>
        <v>ND</v>
      </c>
      <c r="FK122" s="1" t="str">
        <f t="shared" si="701"/>
        <v>ND</v>
      </c>
      <c r="FL122" s="1" t="str">
        <f t="shared" si="701"/>
        <v>ND</v>
      </c>
      <c r="FM122" s="1" t="str">
        <f t="shared" si="701"/>
        <v>ND</v>
      </c>
      <c r="FN122" s="1" t="str">
        <f t="shared" si="701"/>
        <v>ND</v>
      </c>
      <c r="FO122" s="1" t="str">
        <f t="shared" si="701"/>
        <v>ND</v>
      </c>
      <c r="FP122" s="1" t="str">
        <f t="shared" si="701"/>
        <v>ND</v>
      </c>
      <c r="FQ122" s="1" t="str">
        <f t="shared" si="701"/>
        <v>ND</v>
      </c>
      <c r="FR122" s="1" t="str">
        <f t="shared" si="701"/>
        <v>ND</v>
      </c>
      <c r="FS122" s="1" t="str">
        <f t="shared" si="701"/>
        <v>ND</v>
      </c>
      <c r="FT122" s="1" t="str">
        <f t="shared" si="701"/>
        <v>ND</v>
      </c>
      <c r="FU122" s="1" t="str">
        <f t="shared" si="701"/>
        <v>ND</v>
      </c>
      <c r="FV122" s="1" t="str">
        <f t="shared" si="623"/>
        <v>ND</v>
      </c>
      <c r="FW122" s="1" t="str">
        <f t="shared" si="624"/>
        <v>ND</v>
      </c>
      <c r="FX122" s="1" t="str">
        <f t="shared" si="625"/>
        <v>ND</v>
      </c>
      <c r="FY122" s="1" t="str">
        <f t="shared" si="626"/>
        <v>ND</v>
      </c>
      <c r="FZ122" s="1" t="str">
        <f t="shared" si="627"/>
        <v>ND</v>
      </c>
      <c r="GA122" s="1" t="str">
        <f t="shared" si="628"/>
        <v>ND</v>
      </c>
      <c r="GB122" s="1" t="str">
        <f t="shared" si="629"/>
        <v>ND</v>
      </c>
      <c r="GC122" s="1" t="str">
        <f t="shared" si="630"/>
        <v>ND</v>
      </c>
      <c r="GD122" s="1" t="str">
        <f t="shared" si="631"/>
        <v>ND</v>
      </c>
      <c r="GE122" s="1" t="str">
        <f t="shared" si="632"/>
        <v>ND</v>
      </c>
      <c r="GF122" s="1" t="str">
        <f t="shared" si="633"/>
        <v>ND</v>
      </c>
      <c r="GG122" s="1" t="str">
        <f t="shared" si="634"/>
        <v>ND</v>
      </c>
      <c r="GH122" s="1" t="str">
        <f t="shared" si="635"/>
        <v>ND</v>
      </c>
      <c r="GI122" s="1" t="str">
        <f t="shared" si="636"/>
        <v>ND</v>
      </c>
      <c r="GJ122" s="1" t="str">
        <f t="shared" si="637"/>
        <v>ND</v>
      </c>
      <c r="GK122" s="1" t="str">
        <f t="shared" si="638"/>
        <v>ND</v>
      </c>
      <c r="GL122" s="1" t="str">
        <f t="shared" si="639"/>
        <v>ND</v>
      </c>
      <c r="GM122" s="1" t="str">
        <f t="shared" si="640"/>
        <v>ND</v>
      </c>
      <c r="GN122" s="1" t="str">
        <f t="shared" si="641"/>
        <v>ND</v>
      </c>
      <c r="GO122" s="1" t="str">
        <f t="shared" si="642"/>
        <v>ND</v>
      </c>
      <c r="GP122" s="1" t="str">
        <f t="shared" si="643"/>
        <v>ND</v>
      </c>
      <c r="GQ122" s="1" t="str">
        <f t="shared" si="644"/>
        <v>ND</v>
      </c>
      <c r="GR122" s="1" t="str">
        <f t="shared" si="645"/>
        <v>ND</v>
      </c>
      <c r="GS122" s="1" t="str">
        <f t="shared" si="646"/>
        <v>ND</v>
      </c>
      <c r="GT122" s="1" t="str">
        <f t="shared" si="647"/>
        <v>ND</v>
      </c>
      <c r="GU122" s="1" t="str">
        <f t="shared" si="648"/>
        <v>ND</v>
      </c>
      <c r="GV122" s="1" t="str">
        <f t="shared" si="649"/>
        <v>ND</v>
      </c>
      <c r="GW122" s="1" t="str">
        <f t="shared" si="650"/>
        <v>ND</v>
      </c>
      <c r="GX122" s="1" t="str">
        <f t="shared" si="651"/>
        <v>ND</v>
      </c>
      <c r="GY122" s="1" t="str">
        <f t="shared" si="652"/>
        <v>ND</v>
      </c>
      <c r="GZ122" s="1" t="str">
        <f t="shared" si="653"/>
        <v>ND</v>
      </c>
      <c r="HA122" s="1" t="str">
        <f t="shared" si="654"/>
        <v>ND</v>
      </c>
      <c r="HB122" s="1" t="str">
        <f t="shared" si="655"/>
        <v>ND</v>
      </c>
      <c r="HC122" s="1" t="str">
        <f t="shared" si="656"/>
        <v>ND</v>
      </c>
      <c r="HD122" s="1" t="str">
        <f t="shared" si="657"/>
        <v>ND</v>
      </c>
      <c r="HE122" s="1" t="str">
        <f t="shared" si="658"/>
        <v>ND</v>
      </c>
      <c r="HF122" s="1" t="str">
        <f t="shared" si="659"/>
        <v>ND</v>
      </c>
      <c r="HG122" s="1" t="str">
        <f t="shared" si="660"/>
        <v>ND</v>
      </c>
      <c r="HH122" s="1" t="str">
        <f t="shared" si="661"/>
        <v>ND</v>
      </c>
      <c r="HI122" s="1" t="str">
        <f t="shared" si="662"/>
        <v>ND</v>
      </c>
      <c r="HJ122" s="1" t="str">
        <f t="shared" si="663"/>
        <v>ND</v>
      </c>
      <c r="HK122" s="1" t="str">
        <f t="shared" si="664"/>
        <v>ND</v>
      </c>
      <c r="HL122" s="1" t="str">
        <f t="shared" si="665"/>
        <v>ND</v>
      </c>
      <c r="HM122" s="1" t="str">
        <f t="shared" si="666"/>
        <v>ND</v>
      </c>
      <c r="HN122" s="1" t="str">
        <f t="shared" si="667"/>
        <v>ND</v>
      </c>
      <c r="HO122" s="1" t="str">
        <f t="shared" si="668"/>
        <v>ND</v>
      </c>
      <c r="HP122" s="1" t="str">
        <f t="shared" si="669"/>
        <v>ND</v>
      </c>
      <c r="HQ122" s="1" t="str">
        <f t="shared" si="670"/>
        <v>ND</v>
      </c>
      <c r="HR122" s="1" t="str">
        <f t="shared" si="671"/>
        <v>ND</v>
      </c>
      <c r="HS122" s="1" t="str">
        <f t="shared" si="672"/>
        <v>ND</v>
      </c>
      <c r="HT122" s="1" t="str">
        <f t="shared" si="673"/>
        <v>ND</v>
      </c>
      <c r="HU122" s="1" t="str">
        <f t="shared" si="674"/>
        <v>ND</v>
      </c>
      <c r="HV122" s="1" t="str">
        <f t="shared" si="675"/>
        <v>ND</v>
      </c>
      <c r="HW122" s="1" t="str">
        <f t="shared" si="676"/>
        <v>ND</v>
      </c>
      <c r="HX122" s="1" t="str">
        <f t="shared" si="677"/>
        <v>ND</v>
      </c>
      <c r="HY122" s="1" t="str">
        <f t="shared" si="678"/>
        <v>ND</v>
      </c>
      <c r="HZ122" s="1" t="str">
        <f t="shared" si="679"/>
        <v>ND</v>
      </c>
      <c r="IA122" s="1" t="str">
        <f t="shared" si="680"/>
        <v>ND</v>
      </c>
      <c r="IB122" s="1" t="str">
        <f t="shared" si="681"/>
        <v>ND</v>
      </c>
      <c r="IC122" s="1" t="str">
        <f t="shared" si="682"/>
        <v>ND</v>
      </c>
      <c r="ID122" s="1" t="str">
        <f t="shared" si="683"/>
        <v>ND</v>
      </c>
      <c r="IE122" s="1" t="str">
        <f t="shared" si="684"/>
        <v>ND</v>
      </c>
      <c r="IF122" s="1" t="str">
        <f t="shared" si="685"/>
        <v>ND</v>
      </c>
      <c r="IG122" s="1" t="str">
        <f t="shared" si="686"/>
        <v>ND</v>
      </c>
      <c r="IH122" s="1" t="str">
        <f t="shared" si="687"/>
        <v>ND</v>
      </c>
      <c r="II122" s="1" t="str">
        <f t="shared" si="688"/>
        <v>ND</v>
      </c>
    </row>
    <row r="123" spans="3:243" x14ac:dyDescent="0.25">
      <c r="C123" t="s">
        <v>511</v>
      </c>
      <c r="D123">
        <f>SUMIFS(DICCIONARIO[Cantidad],DICCIONARIO[Modelo],UNIFICADA[[#This Row],[Equipo]])</f>
        <v>0</v>
      </c>
      <c r="E123" s="1">
        <f>IFERROR(VLOOKUP($C123,EQUIPOS[],UNIFICADO!E$9,0),"")</f>
        <v>12</v>
      </c>
      <c r="F123" s="1">
        <f>IFERROR(VLOOKUP($C123,EQUIPOS[],UNIFICADO!F$9,0),"")</f>
        <v>6.5</v>
      </c>
      <c r="G123" s="1">
        <f>IFERROR(VLOOKUP($C123,EQUIPOS[],UNIFICADO!G$9,0),"")</f>
        <v>50</v>
      </c>
      <c r="H123" s="1">
        <f>IFERROR(VLOOKUP($C123,EQUIPOS[],UNIFICADO!H$9,0),"")</f>
        <v>4</v>
      </c>
      <c r="I123" s="1">
        <f>IFERROR(VLOOKUP($C123,EQUIPOS[],UNIFICADO!I$9,0),"")</f>
        <v>8</v>
      </c>
      <c r="J123" s="1" t="str">
        <f>IFERROR(VLOOKUP($C123,EQUIPOS[],UNIFICADO!J$9,0),"")</f>
        <v>64GB</v>
      </c>
      <c r="K123" s="1">
        <f>IFERROR(VLOOKUP($C123,EQUIPOS[],UNIFICADO!K$9,0),"")</f>
        <v>256</v>
      </c>
      <c r="L123" s="1">
        <f>IFERROR(VLOOKUP($C123,EQUIPOS[],UNIFICADO!L$9,0),"")</f>
        <v>8</v>
      </c>
      <c r="M123" s="1" t="str">
        <f>IFERROR(VLOOKUP($C123,EQUIPOS[],UNIFICADO!M$9,0),"")</f>
        <v>1.8/2.0</v>
      </c>
      <c r="N123" s="1">
        <f>IFERROR(VLOOKUP($C123,EQUIPOS[],UNIFICADO!N$9,0),"")</f>
        <v>4</v>
      </c>
      <c r="O123" s="1">
        <f>IFERROR(VLOOKUP($C123,EQUIPOS[],UNIFICADO!O$9,0),"")</f>
        <v>181</v>
      </c>
      <c r="P123" s="1">
        <f>IFERROR(VLOOKUP($C123,EQUIPOS[],UNIFICADO!P$9,0),"")</f>
        <v>16.2</v>
      </c>
      <c r="Q123" s="1">
        <f>IFERROR(VLOOKUP($C123,EQUIPOS[],UNIFICADO!Q$9,0),"")</f>
        <v>7.55</v>
      </c>
      <c r="R123" s="1">
        <f>IFERROR(VLOOKUP($C123,EQUIPOS[],UNIFICADO!R$9,0),"")</f>
        <v>0.89</v>
      </c>
      <c r="S123" s="1">
        <f>IFERROR(VLOOKUP($C123,EQUIPOS[],UNIFICADO!S$9,0),"")</f>
        <v>5000</v>
      </c>
      <c r="T123" s="1">
        <f>IFERROR(VLOOKUP($C123,EQUIPOS[],UNIFICADO!T$9,0),"")</f>
        <v>4.5</v>
      </c>
      <c r="U123" s="1">
        <f>VLOOKUP(UNIFICADA[[#This Row],[Equipo]],EQUIPOS[],19,0)</f>
        <v>113</v>
      </c>
      <c r="V123" s="1" t="str">
        <f t="shared" si="533"/>
        <v>ND</v>
      </c>
      <c r="W123" s="1" t="str">
        <f t="shared" si="534"/>
        <v>ND</v>
      </c>
      <c r="X123" s="1" t="str">
        <f t="shared" si="689"/>
        <v>ND</v>
      </c>
      <c r="Y123" s="1" t="str">
        <f t="shared" si="689"/>
        <v>ND</v>
      </c>
      <c r="Z123" s="1" t="str">
        <f t="shared" si="696"/>
        <v>ND</v>
      </c>
      <c r="AA123" s="1" t="str">
        <f t="shared" si="696"/>
        <v>ND</v>
      </c>
      <c r="AB123" s="1" t="str">
        <f t="shared" si="696"/>
        <v>ND</v>
      </c>
      <c r="AC123" s="1" t="str">
        <f t="shared" si="696"/>
        <v>ND</v>
      </c>
      <c r="AD123" s="1" t="str">
        <f t="shared" si="696"/>
        <v>ND</v>
      </c>
      <c r="AE123" s="1" t="str">
        <f t="shared" si="696"/>
        <v>ND</v>
      </c>
      <c r="AF123" s="1" t="str">
        <f t="shared" si="696"/>
        <v>ND</v>
      </c>
      <c r="AG123" s="1" t="str">
        <f t="shared" si="696"/>
        <v>ND</v>
      </c>
      <c r="AH123" s="1" t="str">
        <f t="shared" si="696"/>
        <v>ND</v>
      </c>
      <c r="AI123" s="1" t="str">
        <f t="shared" si="535"/>
        <v>ND</v>
      </c>
      <c r="AJ123" s="1" t="str">
        <f t="shared" si="536"/>
        <v>ND</v>
      </c>
      <c r="AK123" s="1" t="str">
        <f t="shared" si="537"/>
        <v>ND</v>
      </c>
      <c r="AL123" s="1" t="str">
        <f t="shared" si="538"/>
        <v>ND</v>
      </c>
      <c r="AM123" s="1" t="str">
        <f t="shared" si="539"/>
        <v>ND</v>
      </c>
      <c r="AN123" s="1" t="str">
        <f t="shared" si="540"/>
        <v>ND</v>
      </c>
      <c r="AO123" s="1" t="str">
        <f t="shared" si="541"/>
        <v>ND</v>
      </c>
      <c r="AP123" s="1" t="str">
        <f t="shared" si="542"/>
        <v>ND</v>
      </c>
      <c r="AQ123" s="1" t="str">
        <f t="shared" si="543"/>
        <v>ND</v>
      </c>
      <c r="AR123" s="1" t="str">
        <f t="shared" si="544"/>
        <v>ND</v>
      </c>
      <c r="AS123" s="1" t="str">
        <f t="shared" si="545"/>
        <v>ND</v>
      </c>
      <c r="AT123" s="1" t="str">
        <f t="shared" si="546"/>
        <v>ND</v>
      </c>
      <c r="AU123" s="1" t="str">
        <f t="shared" si="547"/>
        <v>ND</v>
      </c>
      <c r="AV123" s="1" t="str">
        <f t="shared" si="548"/>
        <v>ND</v>
      </c>
      <c r="AW123" s="1" t="str">
        <f t="shared" si="549"/>
        <v>ND</v>
      </c>
      <c r="AX123" s="1" t="str">
        <f t="shared" si="550"/>
        <v>ND</v>
      </c>
      <c r="AY123" s="1" t="str">
        <f t="shared" si="551"/>
        <v>ND</v>
      </c>
      <c r="AZ123" s="1" t="str">
        <f t="shared" si="552"/>
        <v>ND</v>
      </c>
      <c r="BA123" s="1" t="str">
        <f t="shared" si="553"/>
        <v>ND</v>
      </c>
      <c r="BB123" s="1" t="str">
        <f t="shared" si="554"/>
        <v>ND</v>
      </c>
      <c r="BC123" s="1" t="str">
        <f t="shared" si="555"/>
        <v>ND</v>
      </c>
      <c r="BD123" s="1" t="str">
        <f t="shared" si="556"/>
        <v>ND</v>
      </c>
      <c r="BE123" s="1" t="str">
        <f t="shared" si="557"/>
        <v>ND</v>
      </c>
      <c r="BF123" s="1" t="str">
        <f t="shared" si="558"/>
        <v>ND</v>
      </c>
      <c r="BG123" s="1" t="str">
        <f t="shared" si="559"/>
        <v>ND</v>
      </c>
      <c r="BH123" s="1" t="str">
        <f t="shared" si="560"/>
        <v>ND</v>
      </c>
      <c r="BI123" s="1" t="str">
        <f t="shared" si="561"/>
        <v>ND</v>
      </c>
      <c r="BJ123" s="1" t="str">
        <f t="shared" si="562"/>
        <v>ND</v>
      </c>
      <c r="BK123" s="1" t="str">
        <f t="shared" si="563"/>
        <v>ND</v>
      </c>
      <c r="BL123" s="1" t="str">
        <f t="shared" si="564"/>
        <v>ND</v>
      </c>
      <c r="BM123" s="1" t="str">
        <f t="shared" si="565"/>
        <v>ND</v>
      </c>
      <c r="BN123" s="1" t="str">
        <f t="shared" si="566"/>
        <v>ND</v>
      </c>
      <c r="BO123" s="1" t="str">
        <f t="shared" si="567"/>
        <v>ND</v>
      </c>
      <c r="BP123" s="1" t="str">
        <f t="shared" si="568"/>
        <v>ND</v>
      </c>
      <c r="BQ123" s="1" t="str">
        <f t="shared" si="569"/>
        <v>ND</v>
      </c>
      <c r="BR123" s="1" t="str">
        <f t="shared" si="570"/>
        <v>ND</v>
      </c>
      <c r="BS123" s="1" t="str">
        <f t="shared" si="571"/>
        <v>ND</v>
      </c>
      <c r="BT123" s="1" t="str">
        <f t="shared" si="572"/>
        <v>ND</v>
      </c>
      <c r="BU123" s="1" t="str">
        <f t="shared" si="573"/>
        <v>ND</v>
      </c>
      <c r="BV123" s="1" t="str">
        <f t="shared" si="574"/>
        <v>ND</v>
      </c>
      <c r="BW123" s="1" t="str">
        <f t="shared" si="575"/>
        <v>ND</v>
      </c>
      <c r="BX123" s="1" t="str">
        <f t="shared" si="576"/>
        <v>ND</v>
      </c>
      <c r="BY123" s="1" t="str">
        <f t="shared" si="577"/>
        <v>ND</v>
      </c>
      <c r="BZ123" s="1" t="str">
        <f t="shared" si="578"/>
        <v>ND</v>
      </c>
      <c r="CA123" s="1" t="str">
        <f t="shared" si="697"/>
        <v>ND</v>
      </c>
      <c r="CB123" s="1" t="str">
        <f t="shared" si="697"/>
        <v>ND</v>
      </c>
      <c r="CC123" s="1" t="str">
        <f t="shared" si="697"/>
        <v>ND</v>
      </c>
      <c r="CD123" s="1" t="str">
        <f t="shared" si="697"/>
        <v>ND</v>
      </c>
      <c r="CE123" s="1" t="str">
        <f t="shared" si="697"/>
        <v>ND</v>
      </c>
      <c r="CF123" s="1" t="str">
        <f t="shared" si="697"/>
        <v>ND</v>
      </c>
      <c r="CG123" s="1" t="str">
        <f t="shared" si="697"/>
        <v>ND</v>
      </c>
      <c r="CH123" s="1" t="str">
        <f t="shared" si="697"/>
        <v>ND</v>
      </c>
      <c r="CI123" s="1" t="str">
        <f t="shared" si="697"/>
        <v>ND</v>
      </c>
      <c r="CJ123" s="1" t="str">
        <f t="shared" si="697"/>
        <v>ND</v>
      </c>
      <c r="CK123" s="1" t="str">
        <f t="shared" si="697"/>
        <v>ND</v>
      </c>
      <c r="CL123" s="1" t="str">
        <f t="shared" si="698"/>
        <v>ND</v>
      </c>
      <c r="CM123" s="1" t="str">
        <f t="shared" si="698"/>
        <v>ND</v>
      </c>
      <c r="CN123" s="1" t="str">
        <f t="shared" si="698"/>
        <v>ND</v>
      </c>
      <c r="CO123" s="1" t="str">
        <f t="shared" si="698"/>
        <v>ND</v>
      </c>
      <c r="CP123" s="1" t="str">
        <f t="shared" si="698"/>
        <v>ND</v>
      </c>
      <c r="CQ123" s="1" t="str">
        <f t="shared" si="698"/>
        <v>ND</v>
      </c>
      <c r="CR123" s="1" t="str">
        <f t="shared" si="698"/>
        <v>ND</v>
      </c>
      <c r="CS123" s="1" t="str">
        <f t="shared" si="698"/>
        <v>ND</v>
      </c>
      <c r="CT123" s="1" t="str">
        <f t="shared" si="698"/>
        <v>ND</v>
      </c>
      <c r="CU123" s="1" t="str">
        <f t="shared" si="698"/>
        <v>ND</v>
      </c>
      <c r="CV123" s="1" t="str">
        <f t="shared" si="698"/>
        <v>ND</v>
      </c>
      <c r="CW123" s="1" t="str">
        <f t="shared" si="579"/>
        <v>ND</v>
      </c>
      <c r="CX123" s="1" t="str">
        <f t="shared" si="580"/>
        <v>ND</v>
      </c>
      <c r="CY123" s="1" t="str">
        <f t="shared" si="581"/>
        <v>ND</v>
      </c>
      <c r="CZ123" s="1" t="str">
        <f t="shared" si="582"/>
        <v>ND</v>
      </c>
      <c r="DA123" s="1" t="str">
        <f t="shared" si="583"/>
        <v>ND</v>
      </c>
      <c r="DB123" s="1" t="str">
        <f t="shared" si="584"/>
        <v>ND</v>
      </c>
      <c r="DC123" s="1" t="str">
        <f t="shared" si="585"/>
        <v>ND</v>
      </c>
      <c r="DD123" s="1" t="str">
        <f t="shared" si="586"/>
        <v>ND</v>
      </c>
      <c r="DE123" s="1" t="str">
        <f t="shared" si="587"/>
        <v>ND</v>
      </c>
      <c r="DF123" s="1" t="str">
        <f t="shared" si="588"/>
        <v>ND</v>
      </c>
      <c r="DG123" s="1" t="str">
        <f t="shared" si="589"/>
        <v>ND</v>
      </c>
      <c r="DH123" s="1" t="str">
        <f t="shared" si="590"/>
        <v>ND</v>
      </c>
      <c r="DI123" s="1" t="str">
        <f t="shared" si="591"/>
        <v>ND</v>
      </c>
      <c r="DJ123" s="1" t="str">
        <f t="shared" si="592"/>
        <v>ND</v>
      </c>
      <c r="DK123" s="1" t="str">
        <f t="shared" si="593"/>
        <v>ND</v>
      </c>
      <c r="DL123" s="1" t="str">
        <f t="shared" si="594"/>
        <v>ND</v>
      </c>
      <c r="DM123" s="1" t="str">
        <f t="shared" si="595"/>
        <v>ND</v>
      </c>
      <c r="DN123" s="1" t="str">
        <f t="shared" si="596"/>
        <v>ND</v>
      </c>
      <c r="DO123" s="1" t="str">
        <f t="shared" si="597"/>
        <v>ND</v>
      </c>
      <c r="DP123" s="1" t="str">
        <f t="shared" si="598"/>
        <v>ND</v>
      </c>
      <c r="DQ123" s="1" t="str">
        <f t="shared" si="599"/>
        <v>ND</v>
      </c>
      <c r="DR123" s="1" t="str">
        <f t="shared" si="600"/>
        <v>ND</v>
      </c>
      <c r="DS123" s="1" t="str">
        <f t="shared" si="601"/>
        <v>ND</v>
      </c>
      <c r="DT123" s="1" t="str">
        <f t="shared" si="602"/>
        <v>ND</v>
      </c>
      <c r="DU123" s="1" t="str">
        <f t="shared" si="603"/>
        <v>ND</v>
      </c>
      <c r="DV123" s="1" t="str">
        <f t="shared" si="604"/>
        <v>ND</v>
      </c>
      <c r="DW123" s="1" t="str">
        <f t="shared" si="605"/>
        <v>ND</v>
      </c>
      <c r="DX123" s="1" t="str">
        <f t="shared" si="606"/>
        <v>ND</v>
      </c>
      <c r="DY123" s="1" t="str">
        <f t="shared" si="607"/>
        <v>ND</v>
      </c>
      <c r="DZ123" s="1" t="str">
        <f t="shared" si="608"/>
        <v>ND</v>
      </c>
      <c r="EA123" s="1" t="str">
        <f t="shared" si="609"/>
        <v>ND</v>
      </c>
      <c r="EB123" s="1" t="str">
        <f t="shared" si="610"/>
        <v>ND</v>
      </c>
      <c r="EC123" s="1" t="str">
        <f t="shared" si="611"/>
        <v>ND</v>
      </c>
      <c r="ED123" s="1" t="str">
        <f t="shared" si="612"/>
        <v>ND</v>
      </c>
      <c r="EE123" s="1" t="str">
        <f t="shared" si="613"/>
        <v>ND</v>
      </c>
      <c r="EF123" s="1" t="str">
        <f t="shared" si="614"/>
        <v>ND</v>
      </c>
      <c r="EG123" s="1" t="str">
        <f t="shared" si="615"/>
        <v>ND</v>
      </c>
      <c r="EH123" s="1" t="str">
        <f t="shared" si="616"/>
        <v>ND</v>
      </c>
      <c r="EI123" s="1" t="str">
        <f t="shared" si="617"/>
        <v>ND</v>
      </c>
      <c r="EJ123" s="1" t="str">
        <f t="shared" si="618"/>
        <v>ND</v>
      </c>
      <c r="EK123" s="1" t="str">
        <f t="shared" si="619"/>
        <v>ND</v>
      </c>
      <c r="EL123" s="1" t="str">
        <f t="shared" si="620"/>
        <v>ND</v>
      </c>
      <c r="EM123" s="1" t="str">
        <f t="shared" si="621"/>
        <v>ND</v>
      </c>
      <c r="EN123" s="1" t="str">
        <f t="shared" si="622"/>
        <v>ND</v>
      </c>
      <c r="EO123" s="1" t="str">
        <f t="shared" si="699"/>
        <v>ND</v>
      </c>
      <c r="EP123" s="1" t="str">
        <f t="shared" si="699"/>
        <v>ND</v>
      </c>
      <c r="EQ123" s="1" t="str">
        <f t="shared" si="699"/>
        <v>ND</v>
      </c>
      <c r="ER123" s="1" t="str">
        <f t="shared" si="699"/>
        <v>ND</v>
      </c>
      <c r="ES123" s="1" t="str">
        <f t="shared" si="699"/>
        <v>ND</v>
      </c>
      <c r="ET123" s="1" t="str">
        <f t="shared" si="699"/>
        <v>ND</v>
      </c>
      <c r="EU123" s="1" t="str">
        <f t="shared" si="699"/>
        <v>ND</v>
      </c>
      <c r="EV123" s="1" t="str">
        <f t="shared" si="699"/>
        <v>ND</v>
      </c>
      <c r="EW123" s="1" t="str">
        <f t="shared" si="699"/>
        <v>ND</v>
      </c>
      <c r="EX123" s="1" t="str">
        <f t="shared" si="699"/>
        <v>ND</v>
      </c>
      <c r="EY123" s="1" t="str">
        <f t="shared" si="699"/>
        <v>ND</v>
      </c>
      <c r="EZ123" s="1" t="str">
        <f t="shared" si="700"/>
        <v>ND</v>
      </c>
      <c r="FA123" s="1" t="str">
        <f t="shared" si="700"/>
        <v>ND</v>
      </c>
      <c r="FB123" s="1" t="str">
        <f t="shared" si="700"/>
        <v>ND</v>
      </c>
      <c r="FC123" s="1" t="str">
        <f t="shared" si="700"/>
        <v>ND</v>
      </c>
      <c r="FD123" s="1" t="str">
        <f t="shared" si="700"/>
        <v>ND</v>
      </c>
      <c r="FE123" s="1" t="str">
        <f t="shared" si="700"/>
        <v>ND</v>
      </c>
      <c r="FF123" s="1" t="str">
        <f t="shared" si="700"/>
        <v>ND</v>
      </c>
      <c r="FG123" s="1" t="str">
        <f t="shared" si="700"/>
        <v>ND</v>
      </c>
      <c r="FH123" s="1" t="str">
        <f t="shared" si="700"/>
        <v>ND</v>
      </c>
      <c r="FI123" s="1" t="str">
        <f t="shared" si="700"/>
        <v>ND</v>
      </c>
      <c r="FJ123" s="1" t="str">
        <f t="shared" si="700"/>
        <v>ND</v>
      </c>
      <c r="FK123" s="1" t="str">
        <f t="shared" si="701"/>
        <v>ND</v>
      </c>
      <c r="FL123" s="1" t="str">
        <f t="shared" si="701"/>
        <v>ND</v>
      </c>
      <c r="FM123" s="1" t="str">
        <f t="shared" si="701"/>
        <v>ND</v>
      </c>
      <c r="FN123" s="1" t="str">
        <f t="shared" si="701"/>
        <v>ND</v>
      </c>
      <c r="FO123" s="1" t="str">
        <f t="shared" si="701"/>
        <v>ND</v>
      </c>
      <c r="FP123" s="1" t="str">
        <f t="shared" si="701"/>
        <v>ND</v>
      </c>
      <c r="FQ123" s="1" t="str">
        <f t="shared" si="701"/>
        <v>ND</v>
      </c>
      <c r="FR123" s="1" t="str">
        <f t="shared" si="701"/>
        <v>ND</v>
      </c>
      <c r="FS123" s="1" t="str">
        <f t="shared" si="701"/>
        <v>ND</v>
      </c>
      <c r="FT123" s="1" t="str">
        <f t="shared" si="701"/>
        <v>ND</v>
      </c>
      <c r="FU123" s="1" t="str">
        <f t="shared" si="701"/>
        <v>ND</v>
      </c>
      <c r="FV123" s="1" t="str">
        <f t="shared" si="623"/>
        <v>ND</v>
      </c>
      <c r="FW123" s="1" t="str">
        <f t="shared" si="624"/>
        <v>ND</v>
      </c>
      <c r="FX123" s="1" t="str">
        <f t="shared" si="625"/>
        <v>ND</v>
      </c>
      <c r="FY123" s="1" t="str">
        <f t="shared" si="626"/>
        <v>ND</v>
      </c>
      <c r="FZ123" s="1" t="str">
        <f t="shared" si="627"/>
        <v>ND</v>
      </c>
      <c r="GA123" s="1" t="str">
        <f t="shared" si="628"/>
        <v>ND</v>
      </c>
      <c r="GB123" s="1" t="str">
        <f t="shared" si="629"/>
        <v>ND</v>
      </c>
      <c r="GC123" s="1" t="str">
        <f t="shared" si="630"/>
        <v>ND</v>
      </c>
      <c r="GD123" s="1" t="str">
        <f t="shared" si="631"/>
        <v>ND</v>
      </c>
      <c r="GE123" s="1" t="str">
        <f t="shared" si="632"/>
        <v>ND</v>
      </c>
      <c r="GF123" s="1" t="str">
        <f t="shared" si="633"/>
        <v>ND</v>
      </c>
      <c r="GG123" s="1" t="str">
        <f t="shared" si="634"/>
        <v>ND</v>
      </c>
      <c r="GH123" s="1" t="str">
        <f t="shared" si="635"/>
        <v>ND</v>
      </c>
      <c r="GI123" s="1" t="str">
        <f t="shared" si="636"/>
        <v>ND</v>
      </c>
      <c r="GJ123" s="1" t="str">
        <f t="shared" si="637"/>
        <v>ND</v>
      </c>
      <c r="GK123" s="1" t="str">
        <f t="shared" si="638"/>
        <v>ND</v>
      </c>
      <c r="GL123" s="1" t="str">
        <f t="shared" si="639"/>
        <v>ND</v>
      </c>
      <c r="GM123" s="1" t="str">
        <f t="shared" si="640"/>
        <v>ND</v>
      </c>
      <c r="GN123" s="1" t="str">
        <f t="shared" si="641"/>
        <v>ND</v>
      </c>
      <c r="GO123" s="1" t="str">
        <f t="shared" si="642"/>
        <v>ND</v>
      </c>
      <c r="GP123" s="1" t="str">
        <f t="shared" si="643"/>
        <v>ND</v>
      </c>
      <c r="GQ123" s="1" t="str">
        <f t="shared" si="644"/>
        <v>ND</v>
      </c>
      <c r="GR123" s="1" t="str">
        <f t="shared" si="645"/>
        <v>ND</v>
      </c>
      <c r="GS123" s="1" t="str">
        <f t="shared" si="646"/>
        <v>ND</v>
      </c>
      <c r="GT123" s="1" t="str">
        <f t="shared" si="647"/>
        <v>ND</v>
      </c>
      <c r="GU123" s="1" t="str">
        <f t="shared" si="648"/>
        <v>ND</v>
      </c>
      <c r="GV123" s="1" t="str">
        <f t="shared" si="649"/>
        <v>ND</v>
      </c>
      <c r="GW123" s="1" t="str">
        <f t="shared" si="650"/>
        <v>ND</v>
      </c>
      <c r="GX123" s="1" t="str">
        <f t="shared" si="651"/>
        <v>ND</v>
      </c>
      <c r="GY123" s="1" t="str">
        <f t="shared" si="652"/>
        <v>ND</v>
      </c>
      <c r="GZ123" s="1" t="str">
        <f t="shared" si="653"/>
        <v>ND</v>
      </c>
      <c r="HA123" s="1" t="str">
        <f t="shared" si="654"/>
        <v>ND</v>
      </c>
      <c r="HB123" s="1" t="str">
        <f t="shared" si="655"/>
        <v>ND</v>
      </c>
      <c r="HC123" s="1" t="str">
        <f t="shared" si="656"/>
        <v>ND</v>
      </c>
      <c r="HD123" s="1" t="str">
        <f t="shared" si="657"/>
        <v>ND</v>
      </c>
      <c r="HE123" s="1" t="str">
        <f t="shared" si="658"/>
        <v>ND</v>
      </c>
      <c r="HF123" s="1" t="str">
        <f t="shared" si="659"/>
        <v>ND</v>
      </c>
      <c r="HG123" s="1" t="str">
        <f t="shared" si="660"/>
        <v>ND</v>
      </c>
      <c r="HH123" s="1" t="str">
        <f t="shared" si="661"/>
        <v>ND</v>
      </c>
      <c r="HI123" s="1" t="str">
        <f t="shared" si="662"/>
        <v>ND</v>
      </c>
      <c r="HJ123" s="1" t="str">
        <f t="shared" si="663"/>
        <v>ND</v>
      </c>
      <c r="HK123" s="1" t="str">
        <f t="shared" si="664"/>
        <v>ND</v>
      </c>
      <c r="HL123" s="1" t="str">
        <f t="shared" si="665"/>
        <v>ND</v>
      </c>
      <c r="HM123" s="1" t="str">
        <f t="shared" si="666"/>
        <v>ND</v>
      </c>
      <c r="HN123" s="1" t="str">
        <f t="shared" si="667"/>
        <v>ND</v>
      </c>
      <c r="HO123" s="1" t="str">
        <f t="shared" si="668"/>
        <v>ND</v>
      </c>
      <c r="HP123" s="1" t="str">
        <f t="shared" si="669"/>
        <v>ND</v>
      </c>
      <c r="HQ123" s="1" t="str">
        <f t="shared" si="670"/>
        <v>ND</v>
      </c>
      <c r="HR123" s="1" t="str">
        <f t="shared" si="671"/>
        <v>ND</v>
      </c>
      <c r="HS123" s="1" t="str">
        <f t="shared" si="672"/>
        <v>ND</v>
      </c>
      <c r="HT123" s="1" t="str">
        <f t="shared" si="673"/>
        <v>ND</v>
      </c>
      <c r="HU123" s="1" t="str">
        <f t="shared" si="674"/>
        <v>ND</v>
      </c>
      <c r="HV123" s="1" t="str">
        <f t="shared" si="675"/>
        <v>ND</v>
      </c>
      <c r="HW123" s="1" t="str">
        <f t="shared" si="676"/>
        <v>ND</v>
      </c>
      <c r="HX123" s="1" t="str">
        <f t="shared" si="677"/>
        <v>ND</v>
      </c>
      <c r="HY123" s="1" t="str">
        <f t="shared" si="678"/>
        <v>ND</v>
      </c>
      <c r="HZ123" s="1" t="str">
        <f t="shared" si="679"/>
        <v>ND</v>
      </c>
      <c r="IA123" s="1" t="str">
        <f t="shared" si="680"/>
        <v>ND</v>
      </c>
      <c r="IB123" s="1" t="str">
        <f t="shared" si="681"/>
        <v>ND</v>
      </c>
      <c r="IC123" s="1" t="str">
        <f t="shared" si="682"/>
        <v>ND</v>
      </c>
      <c r="ID123" s="1" t="str">
        <f t="shared" si="683"/>
        <v>ND</v>
      </c>
      <c r="IE123" s="1" t="str">
        <f t="shared" si="684"/>
        <v>ND</v>
      </c>
      <c r="IF123" s="1" t="str">
        <f t="shared" si="685"/>
        <v>ND</v>
      </c>
      <c r="IG123" s="1" t="str">
        <f t="shared" si="686"/>
        <v>ND</v>
      </c>
      <c r="IH123" s="1" t="str">
        <f t="shared" si="687"/>
        <v>ND</v>
      </c>
      <c r="II123" s="1" t="str">
        <f t="shared" si="688"/>
        <v>ND</v>
      </c>
    </row>
    <row r="124" spans="3:243" x14ac:dyDescent="0.25">
      <c r="C124" t="s">
        <v>90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6.53</v>
      </c>
      <c r="G124" s="1">
        <f>IFERROR(VLOOKUP($C124,EQUIPOS[],UNIFICADO!G$9,0),"")</f>
        <v>13</v>
      </c>
      <c r="H124" s="1">
        <f>IFERROR(VLOOKUP($C124,EQUIPOS[],UNIFICADO!H$9,0),"")</f>
        <v>1</v>
      </c>
      <c r="I124" s="1">
        <f>IFERROR(VLOOKUP($C124,EQUIPOS[],UNIFICADO!I$9,0),"")</f>
        <v>5</v>
      </c>
      <c r="J124" s="1" t="str">
        <f>IFERROR(VLOOKUP($C124,EQUIPOS[],UNIFICADO!J$9,0),"")</f>
        <v>32GB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2.0/1.5</v>
      </c>
      <c r="N124" s="1">
        <f>IFERROR(VLOOKUP($C124,EQUIPOS[],UNIFICADO!N$9,0),"")</f>
        <v>2</v>
      </c>
      <c r="O124" s="1">
        <f>IFERROR(VLOOKUP($C124,EQUIPOS[],UNIFICADO!O$9,0),"")</f>
        <v>194</v>
      </c>
      <c r="P124" s="1">
        <f>IFERROR(VLOOKUP($C124,EQUIPOS[],UNIFICADO!P$9,0),"")</f>
        <v>16.399999999999999</v>
      </c>
      <c r="Q124" s="1">
        <f>IFERROR(VLOOKUP($C124,EQUIPOS[],UNIFICADO!Q$9,0),"")</f>
        <v>7.71</v>
      </c>
      <c r="R124" s="1">
        <f>IFERROR(VLOOKUP($C124,EQUIPOS[],UNIFICADO!R$9,0),"")</f>
        <v>0.9</v>
      </c>
      <c r="S124" s="1">
        <f>IFERROR(VLOOKUP($C124,EQUIPOS[],UNIFICADO!S$9,0),"")</f>
        <v>5000</v>
      </c>
      <c r="T124" s="1">
        <f>IFERROR(VLOOKUP($C124,EQUIPOS[],UNIFICADO!T$9,0),"")</f>
        <v>4</v>
      </c>
      <c r="U124" s="1">
        <f>VLOOKUP(UNIFICADA[[#This Row],[Equipo]],EQUIPOS[],19,0)</f>
        <v>114</v>
      </c>
      <c r="V124" s="1" t="str">
        <f t="shared" si="533"/>
        <v>ND</v>
      </c>
      <c r="W124" s="1" t="str">
        <f t="shared" si="534"/>
        <v>ND</v>
      </c>
      <c r="X124" s="1" t="str">
        <f t="shared" si="689"/>
        <v>ND</v>
      </c>
      <c r="Y124" s="1" t="str">
        <f t="shared" si="689"/>
        <v>ND</v>
      </c>
      <c r="Z124" s="1" t="str">
        <f t="shared" si="696"/>
        <v>ND</v>
      </c>
      <c r="AA124" s="1" t="str">
        <f t="shared" si="696"/>
        <v>ND</v>
      </c>
      <c r="AB124" s="1" t="str">
        <f t="shared" si="696"/>
        <v>ND</v>
      </c>
      <c r="AC124" s="1" t="str">
        <f t="shared" si="696"/>
        <v>ND</v>
      </c>
      <c r="AD124" s="1" t="str">
        <f t="shared" si="696"/>
        <v>ND</v>
      </c>
      <c r="AE124" s="1" t="str">
        <f t="shared" si="696"/>
        <v>ND</v>
      </c>
      <c r="AF124" s="1" t="str">
        <f t="shared" si="696"/>
        <v>ND</v>
      </c>
      <c r="AG124" s="1" t="str">
        <f t="shared" si="696"/>
        <v>ND</v>
      </c>
      <c r="AH124" s="1" t="str">
        <f t="shared" si="696"/>
        <v>ND</v>
      </c>
      <c r="AI124" s="1" t="str">
        <f t="shared" si="535"/>
        <v>ND</v>
      </c>
      <c r="AJ124" s="1" t="str">
        <f t="shared" si="536"/>
        <v>ND</v>
      </c>
      <c r="AK124" s="1" t="str">
        <f t="shared" si="537"/>
        <v>ND</v>
      </c>
      <c r="AL124" s="1" t="str">
        <f t="shared" si="538"/>
        <v>ND</v>
      </c>
      <c r="AM124" s="1" t="str">
        <f t="shared" si="539"/>
        <v>ND</v>
      </c>
      <c r="AN124" s="1" t="str">
        <f t="shared" si="540"/>
        <v>ND</v>
      </c>
      <c r="AO124" s="1" t="str">
        <f t="shared" si="541"/>
        <v>ND</v>
      </c>
      <c r="AP124" s="1" t="str">
        <f t="shared" si="542"/>
        <v>ND</v>
      </c>
      <c r="AQ124" s="1" t="str">
        <f t="shared" si="543"/>
        <v>ND</v>
      </c>
      <c r="AR124" s="1" t="str">
        <f t="shared" si="544"/>
        <v>ND</v>
      </c>
      <c r="AS124" s="1" t="str">
        <f t="shared" si="545"/>
        <v>ND</v>
      </c>
      <c r="AT124" s="1" t="str">
        <f t="shared" si="546"/>
        <v>ND</v>
      </c>
      <c r="AU124" s="1" t="str">
        <f t="shared" si="547"/>
        <v>ND</v>
      </c>
      <c r="AV124" s="1" t="str">
        <f t="shared" si="548"/>
        <v>ND</v>
      </c>
      <c r="AW124" s="1" t="str">
        <f t="shared" si="549"/>
        <v>ND</v>
      </c>
      <c r="AX124" s="1" t="str">
        <f t="shared" si="550"/>
        <v>ND</v>
      </c>
      <c r="AY124" s="1" t="str">
        <f t="shared" si="551"/>
        <v>ND</v>
      </c>
      <c r="AZ124" s="1" t="str">
        <f t="shared" si="552"/>
        <v>ND</v>
      </c>
      <c r="BA124" s="1" t="str">
        <f t="shared" si="553"/>
        <v>ND</v>
      </c>
      <c r="BB124" s="1" t="str">
        <f t="shared" si="554"/>
        <v>ND</v>
      </c>
      <c r="BC124" s="1" t="str">
        <f t="shared" si="555"/>
        <v>ND</v>
      </c>
      <c r="BD124" s="1" t="str">
        <f t="shared" si="556"/>
        <v>ND</v>
      </c>
      <c r="BE124" s="1" t="str">
        <f t="shared" si="557"/>
        <v>ND</v>
      </c>
      <c r="BF124" s="1" t="str">
        <f t="shared" si="558"/>
        <v>ND</v>
      </c>
      <c r="BG124" s="1" t="str">
        <f t="shared" si="559"/>
        <v>ND</v>
      </c>
      <c r="BH124" s="1" t="str">
        <f t="shared" si="560"/>
        <v>ND</v>
      </c>
      <c r="BI124" s="1" t="str">
        <f t="shared" si="561"/>
        <v>ND</v>
      </c>
      <c r="BJ124" s="1" t="str">
        <f t="shared" si="562"/>
        <v>ND</v>
      </c>
      <c r="BK124" s="1" t="str">
        <f t="shared" si="563"/>
        <v>ND</v>
      </c>
      <c r="BL124" s="1" t="str">
        <f t="shared" si="564"/>
        <v>ND</v>
      </c>
      <c r="BM124" s="1" t="str">
        <f t="shared" si="565"/>
        <v>ND</v>
      </c>
      <c r="BN124" s="1" t="str">
        <f t="shared" si="566"/>
        <v>ND</v>
      </c>
      <c r="BO124" s="1" t="str">
        <f t="shared" si="567"/>
        <v>ND</v>
      </c>
      <c r="BP124" s="1" t="str">
        <f t="shared" si="568"/>
        <v>ND</v>
      </c>
      <c r="BQ124" s="1" t="str">
        <f t="shared" si="569"/>
        <v>ND</v>
      </c>
      <c r="BR124" s="1" t="str">
        <f t="shared" si="570"/>
        <v>ND</v>
      </c>
      <c r="BS124" s="1" t="str">
        <f t="shared" si="571"/>
        <v>ND</v>
      </c>
      <c r="BT124" s="1" t="str">
        <f t="shared" si="572"/>
        <v>ND</v>
      </c>
      <c r="BU124" s="1" t="str">
        <f t="shared" si="573"/>
        <v>ND</v>
      </c>
      <c r="BV124" s="1" t="str">
        <f t="shared" si="574"/>
        <v>ND</v>
      </c>
      <c r="BW124" s="1" t="str">
        <f t="shared" si="575"/>
        <v>ND</v>
      </c>
      <c r="BX124" s="1" t="str">
        <f t="shared" si="576"/>
        <v>ND</v>
      </c>
      <c r="BY124" s="1" t="str">
        <f t="shared" si="577"/>
        <v>ND</v>
      </c>
      <c r="BZ124" s="1" t="str">
        <f t="shared" si="578"/>
        <v>ND</v>
      </c>
      <c r="CA124" s="1" t="str">
        <f t="shared" si="697"/>
        <v>ND</v>
      </c>
      <c r="CB124" s="1" t="str">
        <f t="shared" si="697"/>
        <v>ND</v>
      </c>
      <c r="CC124" s="1" t="str">
        <f t="shared" si="697"/>
        <v>ND</v>
      </c>
      <c r="CD124" s="1" t="str">
        <f t="shared" si="697"/>
        <v>ND</v>
      </c>
      <c r="CE124" s="1" t="str">
        <f t="shared" si="697"/>
        <v>ND</v>
      </c>
      <c r="CF124" s="1" t="str">
        <f t="shared" si="697"/>
        <v>ND</v>
      </c>
      <c r="CG124" s="1" t="str">
        <f t="shared" si="697"/>
        <v>ND</v>
      </c>
      <c r="CH124" s="1" t="str">
        <f t="shared" si="697"/>
        <v>ND</v>
      </c>
      <c r="CI124" s="1" t="str">
        <f t="shared" si="697"/>
        <v>ND</v>
      </c>
      <c r="CJ124" s="1" t="str">
        <f t="shared" si="697"/>
        <v>ND</v>
      </c>
      <c r="CK124" s="1" t="str">
        <f t="shared" si="697"/>
        <v>ND</v>
      </c>
      <c r="CL124" s="1" t="str">
        <f t="shared" si="698"/>
        <v>ND</v>
      </c>
      <c r="CM124" s="1" t="str">
        <f t="shared" si="698"/>
        <v>ND</v>
      </c>
      <c r="CN124" s="1" t="str">
        <f t="shared" si="698"/>
        <v>ND</v>
      </c>
      <c r="CO124" s="1" t="str">
        <f t="shared" si="698"/>
        <v>ND</v>
      </c>
      <c r="CP124" s="1" t="str">
        <f t="shared" si="698"/>
        <v>ND</v>
      </c>
      <c r="CQ124" s="1" t="str">
        <f t="shared" si="698"/>
        <v>ND</v>
      </c>
      <c r="CR124" s="1" t="str">
        <f t="shared" si="698"/>
        <v>ND</v>
      </c>
      <c r="CS124" s="1" t="str">
        <f t="shared" si="698"/>
        <v>ND</v>
      </c>
      <c r="CT124" s="1" t="str">
        <f t="shared" si="698"/>
        <v>ND</v>
      </c>
      <c r="CU124" s="1" t="str">
        <f t="shared" si="698"/>
        <v>ND</v>
      </c>
      <c r="CV124" s="1" t="str">
        <f t="shared" si="698"/>
        <v>ND</v>
      </c>
      <c r="CW124" s="1" t="str">
        <f t="shared" si="579"/>
        <v>ND</v>
      </c>
      <c r="CX124" s="1" t="str">
        <f t="shared" si="580"/>
        <v>ND</v>
      </c>
      <c r="CY124" s="1" t="str">
        <f t="shared" si="581"/>
        <v>ND</v>
      </c>
      <c r="CZ124" s="1" t="str">
        <f t="shared" si="582"/>
        <v>ND</v>
      </c>
      <c r="DA124" s="1" t="str">
        <f t="shared" si="583"/>
        <v>ND</v>
      </c>
      <c r="DB124" s="1" t="str">
        <f t="shared" si="584"/>
        <v>ND</v>
      </c>
      <c r="DC124" s="1" t="str">
        <f t="shared" si="585"/>
        <v>ND</v>
      </c>
      <c r="DD124" s="1" t="str">
        <f t="shared" si="586"/>
        <v>ND</v>
      </c>
      <c r="DE124" s="1" t="str">
        <f t="shared" si="587"/>
        <v>ND</v>
      </c>
      <c r="DF124" s="1" t="str">
        <f t="shared" si="588"/>
        <v>ND</v>
      </c>
      <c r="DG124" s="1" t="str">
        <f t="shared" si="589"/>
        <v>ND</v>
      </c>
      <c r="DH124" s="1" t="str">
        <f t="shared" si="590"/>
        <v>ND</v>
      </c>
      <c r="DI124" s="1" t="str">
        <f t="shared" si="591"/>
        <v>ND</v>
      </c>
      <c r="DJ124" s="1" t="str">
        <f t="shared" si="592"/>
        <v>ND</v>
      </c>
      <c r="DK124" s="1" t="str">
        <f t="shared" si="593"/>
        <v>ND</v>
      </c>
      <c r="DL124" s="1" t="str">
        <f t="shared" si="594"/>
        <v>ND</v>
      </c>
      <c r="DM124" s="1" t="str">
        <f t="shared" si="595"/>
        <v>ND</v>
      </c>
      <c r="DN124" s="1" t="str">
        <f t="shared" si="596"/>
        <v>ND</v>
      </c>
      <c r="DO124" s="1" t="str">
        <f t="shared" si="597"/>
        <v>ND</v>
      </c>
      <c r="DP124" s="1" t="str">
        <f t="shared" si="598"/>
        <v>ND</v>
      </c>
      <c r="DQ124" s="1" t="str">
        <f t="shared" si="599"/>
        <v>ND</v>
      </c>
      <c r="DR124" s="1" t="str">
        <f t="shared" si="600"/>
        <v>ND</v>
      </c>
      <c r="DS124" s="1" t="str">
        <f t="shared" si="601"/>
        <v>ND</v>
      </c>
      <c r="DT124" s="1" t="str">
        <f t="shared" si="602"/>
        <v>ND</v>
      </c>
      <c r="DU124" s="1" t="str">
        <f t="shared" si="603"/>
        <v>ND</v>
      </c>
      <c r="DV124" s="1" t="str">
        <f t="shared" si="604"/>
        <v>ND</v>
      </c>
      <c r="DW124" s="1" t="str">
        <f t="shared" si="605"/>
        <v>ND</v>
      </c>
      <c r="DX124" s="1" t="str">
        <f t="shared" si="606"/>
        <v>ND</v>
      </c>
      <c r="DY124" s="1" t="str">
        <f t="shared" si="607"/>
        <v>ND</v>
      </c>
      <c r="DZ124" s="1" t="str">
        <f t="shared" si="608"/>
        <v>ND</v>
      </c>
      <c r="EA124" s="1" t="str">
        <f t="shared" si="609"/>
        <v>ND</v>
      </c>
      <c r="EB124" s="1" t="str">
        <f t="shared" si="610"/>
        <v>ND</v>
      </c>
      <c r="EC124" s="1" t="str">
        <f t="shared" si="611"/>
        <v>ND</v>
      </c>
      <c r="ED124" s="1" t="str">
        <f t="shared" si="612"/>
        <v>ND</v>
      </c>
      <c r="EE124" s="1" t="str">
        <f t="shared" si="613"/>
        <v>ND</v>
      </c>
      <c r="EF124" s="1" t="str">
        <f t="shared" si="614"/>
        <v>ND</v>
      </c>
      <c r="EG124" s="1" t="str">
        <f t="shared" si="615"/>
        <v>ND</v>
      </c>
      <c r="EH124" s="1" t="str">
        <f t="shared" si="616"/>
        <v>ND</v>
      </c>
      <c r="EI124" s="1" t="str">
        <f t="shared" si="617"/>
        <v>ND</v>
      </c>
      <c r="EJ124" s="1" t="str">
        <f t="shared" si="618"/>
        <v>ND</v>
      </c>
      <c r="EK124" s="1" t="str">
        <f t="shared" si="619"/>
        <v>ND</v>
      </c>
      <c r="EL124" s="1" t="str">
        <f t="shared" si="620"/>
        <v>ND</v>
      </c>
      <c r="EM124" s="1" t="str">
        <f t="shared" si="621"/>
        <v>ND</v>
      </c>
      <c r="EN124" s="1" t="str">
        <f t="shared" si="622"/>
        <v>ND</v>
      </c>
      <c r="EO124" s="1" t="str">
        <f t="shared" si="699"/>
        <v>ND</v>
      </c>
      <c r="EP124" s="1" t="str">
        <f t="shared" si="699"/>
        <v>ND</v>
      </c>
      <c r="EQ124" s="1" t="str">
        <f t="shared" si="699"/>
        <v>ND</v>
      </c>
      <c r="ER124" s="1" t="str">
        <f t="shared" si="699"/>
        <v>ND</v>
      </c>
      <c r="ES124" s="1" t="str">
        <f t="shared" si="699"/>
        <v>ND</v>
      </c>
      <c r="ET124" s="1" t="str">
        <f t="shared" si="699"/>
        <v>ND</v>
      </c>
      <c r="EU124" s="1" t="str">
        <f t="shared" si="699"/>
        <v>ND</v>
      </c>
      <c r="EV124" s="1" t="str">
        <f t="shared" si="699"/>
        <v>ND</v>
      </c>
      <c r="EW124" s="1" t="str">
        <f t="shared" si="699"/>
        <v>ND</v>
      </c>
      <c r="EX124" s="1" t="str">
        <f t="shared" si="699"/>
        <v>ND</v>
      </c>
      <c r="EY124" s="1" t="str">
        <f t="shared" si="699"/>
        <v>ND</v>
      </c>
      <c r="EZ124" s="1" t="str">
        <f t="shared" si="700"/>
        <v>ND</v>
      </c>
      <c r="FA124" s="1" t="str">
        <f t="shared" si="700"/>
        <v>ND</v>
      </c>
      <c r="FB124" s="1" t="str">
        <f t="shared" si="700"/>
        <v>ND</v>
      </c>
      <c r="FC124" s="1" t="str">
        <f t="shared" si="700"/>
        <v>ND</v>
      </c>
      <c r="FD124" s="1" t="str">
        <f t="shared" si="700"/>
        <v>ND</v>
      </c>
      <c r="FE124" s="1" t="str">
        <f t="shared" si="700"/>
        <v>ND</v>
      </c>
      <c r="FF124" s="1" t="str">
        <f t="shared" si="700"/>
        <v>ND</v>
      </c>
      <c r="FG124" s="1" t="str">
        <f t="shared" si="700"/>
        <v>ND</v>
      </c>
      <c r="FH124" s="1" t="str">
        <f t="shared" si="700"/>
        <v>ND</v>
      </c>
      <c r="FI124" s="1" t="str">
        <f t="shared" si="700"/>
        <v>ND</v>
      </c>
      <c r="FJ124" s="1" t="str">
        <f t="shared" si="700"/>
        <v>ND</v>
      </c>
      <c r="FK124" s="1" t="str">
        <f t="shared" si="701"/>
        <v>ND</v>
      </c>
      <c r="FL124" s="1" t="str">
        <f t="shared" si="701"/>
        <v>ND</v>
      </c>
      <c r="FM124" s="1" t="str">
        <f t="shared" si="701"/>
        <v>ND</v>
      </c>
      <c r="FN124" s="1" t="str">
        <f t="shared" si="701"/>
        <v>ND</v>
      </c>
      <c r="FO124" s="1" t="str">
        <f t="shared" si="701"/>
        <v>ND</v>
      </c>
      <c r="FP124" s="1" t="str">
        <f t="shared" si="701"/>
        <v>ND</v>
      </c>
      <c r="FQ124" s="1" t="str">
        <f t="shared" si="701"/>
        <v>ND</v>
      </c>
      <c r="FR124" s="1" t="str">
        <f t="shared" si="701"/>
        <v>ND</v>
      </c>
      <c r="FS124" s="1" t="str">
        <f t="shared" si="701"/>
        <v>ND</v>
      </c>
      <c r="FT124" s="1" t="str">
        <f t="shared" si="701"/>
        <v>ND</v>
      </c>
      <c r="FU124" s="1" t="str">
        <f t="shared" si="701"/>
        <v>ND</v>
      </c>
      <c r="FV124" s="1" t="str">
        <f t="shared" si="623"/>
        <v>ND</v>
      </c>
      <c r="FW124" s="1" t="str">
        <f t="shared" si="624"/>
        <v>ND</v>
      </c>
      <c r="FX124" s="1" t="str">
        <f t="shared" si="625"/>
        <v>ND</v>
      </c>
      <c r="FY124" s="1" t="str">
        <f t="shared" si="626"/>
        <v>ND</v>
      </c>
      <c r="FZ124" s="1" t="str">
        <f t="shared" si="627"/>
        <v>ND</v>
      </c>
      <c r="GA124" s="1" t="str">
        <f t="shared" si="628"/>
        <v>ND</v>
      </c>
      <c r="GB124" s="1" t="str">
        <f t="shared" si="629"/>
        <v>ND</v>
      </c>
      <c r="GC124" s="1" t="str">
        <f t="shared" si="630"/>
        <v>ND</v>
      </c>
      <c r="GD124" s="1" t="str">
        <f t="shared" si="631"/>
        <v>ND</v>
      </c>
      <c r="GE124" s="1" t="str">
        <f t="shared" si="632"/>
        <v>ND</v>
      </c>
      <c r="GF124" s="1" t="str">
        <f t="shared" si="633"/>
        <v>ND</v>
      </c>
      <c r="GG124" s="1" t="str">
        <f t="shared" si="634"/>
        <v>ND</v>
      </c>
      <c r="GH124" s="1" t="str">
        <f t="shared" si="635"/>
        <v>ND</v>
      </c>
      <c r="GI124" s="1" t="str">
        <f t="shared" si="636"/>
        <v>ND</v>
      </c>
      <c r="GJ124" s="1" t="str">
        <f t="shared" si="637"/>
        <v>ND</v>
      </c>
      <c r="GK124" s="1" t="str">
        <f t="shared" si="638"/>
        <v>ND</v>
      </c>
      <c r="GL124" s="1" t="str">
        <f t="shared" si="639"/>
        <v>ND</v>
      </c>
      <c r="GM124" s="1" t="str">
        <f t="shared" si="640"/>
        <v>ND</v>
      </c>
      <c r="GN124" s="1" t="str">
        <f t="shared" si="641"/>
        <v>ND</v>
      </c>
      <c r="GO124" s="1" t="str">
        <f t="shared" si="642"/>
        <v>ND</v>
      </c>
      <c r="GP124" s="1" t="str">
        <f t="shared" si="643"/>
        <v>ND</v>
      </c>
      <c r="GQ124" s="1" t="str">
        <f t="shared" si="644"/>
        <v>ND</v>
      </c>
      <c r="GR124" s="1" t="str">
        <f t="shared" si="645"/>
        <v>ND</v>
      </c>
      <c r="GS124" s="1" t="str">
        <f t="shared" si="646"/>
        <v>ND</v>
      </c>
      <c r="GT124" s="1" t="str">
        <f t="shared" si="647"/>
        <v>ND</v>
      </c>
      <c r="GU124" s="1" t="str">
        <f t="shared" si="648"/>
        <v>ND</v>
      </c>
      <c r="GV124" s="1" t="str">
        <f t="shared" si="649"/>
        <v>ND</v>
      </c>
      <c r="GW124" s="1" t="str">
        <f t="shared" si="650"/>
        <v>ND</v>
      </c>
      <c r="GX124" s="1" t="str">
        <f t="shared" si="651"/>
        <v>ND</v>
      </c>
      <c r="GY124" s="1" t="str">
        <f t="shared" si="652"/>
        <v>ND</v>
      </c>
      <c r="GZ124" s="1" t="str">
        <f t="shared" si="653"/>
        <v>ND</v>
      </c>
      <c r="HA124" s="1" t="str">
        <f t="shared" si="654"/>
        <v>ND</v>
      </c>
      <c r="HB124" s="1" t="str">
        <f t="shared" si="655"/>
        <v>ND</v>
      </c>
      <c r="HC124" s="1" t="str">
        <f t="shared" si="656"/>
        <v>ND</v>
      </c>
      <c r="HD124" s="1" t="str">
        <f t="shared" si="657"/>
        <v>ND</v>
      </c>
      <c r="HE124" s="1" t="str">
        <f t="shared" si="658"/>
        <v>ND</v>
      </c>
      <c r="HF124" s="1" t="str">
        <f t="shared" si="659"/>
        <v>ND</v>
      </c>
      <c r="HG124" s="1" t="str">
        <f t="shared" si="660"/>
        <v>ND</v>
      </c>
      <c r="HH124" s="1" t="str">
        <f t="shared" si="661"/>
        <v>ND</v>
      </c>
      <c r="HI124" s="1" t="str">
        <f t="shared" si="662"/>
        <v>ND</v>
      </c>
      <c r="HJ124" s="1" t="str">
        <f t="shared" si="663"/>
        <v>ND</v>
      </c>
      <c r="HK124" s="1" t="str">
        <f t="shared" si="664"/>
        <v>ND</v>
      </c>
      <c r="HL124" s="1" t="str">
        <f t="shared" si="665"/>
        <v>ND</v>
      </c>
      <c r="HM124" s="1" t="str">
        <f t="shared" si="666"/>
        <v>ND</v>
      </c>
      <c r="HN124" s="1" t="str">
        <f t="shared" si="667"/>
        <v>ND</v>
      </c>
      <c r="HO124" s="1" t="str">
        <f t="shared" si="668"/>
        <v>ND</v>
      </c>
      <c r="HP124" s="1" t="str">
        <f t="shared" si="669"/>
        <v>ND</v>
      </c>
      <c r="HQ124" s="1" t="str">
        <f t="shared" si="670"/>
        <v>ND</v>
      </c>
      <c r="HR124" s="1" t="str">
        <f t="shared" si="671"/>
        <v>ND</v>
      </c>
      <c r="HS124" s="1" t="str">
        <f t="shared" si="672"/>
        <v>ND</v>
      </c>
      <c r="HT124" s="1" t="str">
        <f t="shared" si="673"/>
        <v>ND</v>
      </c>
      <c r="HU124" s="1" t="str">
        <f t="shared" si="674"/>
        <v>ND</v>
      </c>
      <c r="HV124" s="1" t="str">
        <f t="shared" si="675"/>
        <v>ND</v>
      </c>
      <c r="HW124" s="1" t="str">
        <f t="shared" si="676"/>
        <v>ND</v>
      </c>
      <c r="HX124" s="1" t="str">
        <f t="shared" si="677"/>
        <v>ND</v>
      </c>
      <c r="HY124" s="1" t="str">
        <f t="shared" si="678"/>
        <v>ND</v>
      </c>
      <c r="HZ124" s="1" t="str">
        <f t="shared" si="679"/>
        <v>ND</v>
      </c>
      <c r="IA124" s="1" t="str">
        <f t="shared" si="680"/>
        <v>ND</v>
      </c>
      <c r="IB124" s="1" t="str">
        <f t="shared" si="681"/>
        <v>ND</v>
      </c>
      <c r="IC124" s="1" t="str">
        <f t="shared" si="682"/>
        <v>ND</v>
      </c>
      <c r="ID124" s="1" t="str">
        <f t="shared" si="683"/>
        <v>ND</v>
      </c>
      <c r="IE124" s="1" t="str">
        <f t="shared" si="684"/>
        <v>ND</v>
      </c>
      <c r="IF124" s="1" t="str">
        <f t="shared" si="685"/>
        <v>ND</v>
      </c>
      <c r="IG124" s="1" t="str">
        <f t="shared" si="686"/>
        <v>ND</v>
      </c>
      <c r="IH124" s="1" t="str">
        <f t="shared" si="687"/>
        <v>ND</v>
      </c>
      <c r="II124" s="1" t="str">
        <f t="shared" si="688"/>
        <v>ND</v>
      </c>
    </row>
    <row r="125" spans="3:243" x14ac:dyDescent="0.25">
      <c r="C125" t="s">
        <v>89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6.71</v>
      </c>
      <c r="G125" s="1">
        <f>IFERROR(VLOOKUP($C125,EQUIPOS[],UNIFICADO!G$9,0),"")</f>
        <v>50</v>
      </c>
      <c r="H125" s="1">
        <f>IFERROR(VLOOKUP($C125,EQUIPOS[],UNIFICADO!H$9,0),"")</f>
        <v>2</v>
      </c>
      <c r="I125" s="1">
        <f>IFERROR(VLOOKUP($C125,EQUIPOS[],UNIFICADO!I$9,0),"")</f>
        <v>5</v>
      </c>
      <c r="J125" s="1" t="str">
        <f>IFERROR(VLOOKUP($C125,EQUIPOS[],UNIFICADO!J$9,0),"")</f>
        <v>64GB</v>
      </c>
      <c r="K125" s="1">
        <f>IFERROR(VLOOKUP($C125,EQUIPOS[],UNIFICADO!K$9,0),"")</f>
        <v>1024</v>
      </c>
      <c r="L125" s="1">
        <f>IFERROR(VLOOKUP($C125,EQUIPOS[],UNIFICADO!L$9,0),"")</f>
        <v>8</v>
      </c>
      <c r="M125" s="1" t="str">
        <f>IFERROR(VLOOKUP($C125,EQUIPOS[],UNIFICADO!M$9,0),"")</f>
        <v>2.0/1.8</v>
      </c>
      <c r="N125" s="1">
        <f>IFERROR(VLOOKUP($C125,EQUIPOS[],UNIFICADO!N$9,0),"")</f>
        <v>4</v>
      </c>
      <c r="O125" s="1">
        <f>IFERROR(VLOOKUP($C125,EQUIPOS[],UNIFICADO!O$9,0),"")</f>
        <v>190</v>
      </c>
      <c r="P125" s="1">
        <f>IFERROR(VLOOKUP($C125,EQUIPOS[],UNIFICADO!P$9,0),"")</f>
        <v>16.899999999999999</v>
      </c>
      <c r="Q125" s="1">
        <f>IFERROR(VLOOKUP($C125,EQUIPOS[],UNIFICADO!Q$9,0),"")</f>
        <v>7.66</v>
      </c>
      <c r="R125" s="1">
        <f>IFERROR(VLOOKUP($C125,EQUIPOS[],UNIFICADO!R$9,0),"")</f>
        <v>0.83</v>
      </c>
      <c r="S125" s="1">
        <f>IFERROR(VLOOKUP($C125,EQUIPOS[],UNIFICADO!S$9,0),"")</f>
        <v>5000</v>
      </c>
      <c r="T125" s="1">
        <f>IFERROR(VLOOKUP($C125,EQUIPOS[],UNIFICADO!T$9,0),"")</f>
        <v>4</v>
      </c>
      <c r="U125" s="1">
        <f>VLOOKUP(UNIFICADA[[#This Row],[Equipo]],EQUIPOS[],19,0)</f>
        <v>115</v>
      </c>
      <c r="V125" s="1" t="str">
        <f t="shared" si="533"/>
        <v>ND</v>
      </c>
      <c r="W125" s="1" t="str">
        <f t="shared" si="534"/>
        <v>ND</v>
      </c>
      <c r="X125" s="1" t="str">
        <f t="shared" si="689"/>
        <v>ND</v>
      </c>
      <c r="Y125" s="1" t="str">
        <f t="shared" si="689"/>
        <v>ND</v>
      </c>
      <c r="Z125" s="1" t="str">
        <f t="shared" si="696"/>
        <v>ND</v>
      </c>
      <c r="AA125" s="1" t="str">
        <f t="shared" si="696"/>
        <v>ND</v>
      </c>
      <c r="AB125" s="1" t="str">
        <f t="shared" si="696"/>
        <v>ND</v>
      </c>
      <c r="AC125" s="1" t="str">
        <f t="shared" si="696"/>
        <v>ND</v>
      </c>
      <c r="AD125" s="1" t="str">
        <f t="shared" si="696"/>
        <v>ND</v>
      </c>
      <c r="AE125" s="1" t="str">
        <f t="shared" si="696"/>
        <v>ND</v>
      </c>
      <c r="AF125" s="1" t="str">
        <f t="shared" si="696"/>
        <v>ND</v>
      </c>
      <c r="AG125" s="1" t="str">
        <f t="shared" si="696"/>
        <v>ND</v>
      </c>
      <c r="AH125" s="1" t="str">
        <f t="shared" si="696"/>
        <v>ND</v>
      </c>
      <c r="AI125" s="1" t="str">
        <f t="shared" si="535"/>
        <v>ND</v>
      </c>
      <c r="AJ125" s="1" t="str">
        <f t="shared" si="536"/>
        <v>ND</v>
      </c>
      <c r="AK125" s="1" t="str">
        <f t="shared" si="537"/>
        <v>ND</v>
      </c>
      <c r="AL125" s="1" t="str">
        <f t="shared" si="538"/>
        <v>ND</v>
      </c>
      <c r="AM125" s="1" t="str">
        <f t="shared" si="539"/>
        <v>ND</v>
      </c>
      <c r="AN125" s="1" t="str">
        <f t="shared" si="540"/>
        <v>ND</v>
      </c>
      <c r="AO125" s="1" t="str">
        <f t="shared" si="541"/>
        <v>ND</v>
      </c>
      <c r="AP125" s="1" t="str">
        <f t="shared" si="542"/>
        <v>ND</v>
      </c>
      <c r="AQ125" s="1" t="str">
        <f t="shared" si="543"/>
        <v>ND</v>
      </c>
      <c r="AR125" s="1" t="str">
        <f t="shared" si="544"/>
        <v>ND</v>
      </c>
      <c r="AS125" s="1" t="str">
        <f t="shared" si="545"/>
        <v>ND</v>
      </c>
      <c r="AT125" s="1" t="str">
        <f t="shared" si="546"/>
        <v>ND</v>
      </c>
      <c r="AU125" s="1" t="str">
        <f t="shared" si="547"/>
        <v>ND</v>
      </c>
      <c r="AV125" s="1" t="str">
        <f t="shared" si="548"/>
        <v>ND</v>
      </c>
      <c r="AW125" s="1" t="str">
        <f t="shared" si="549"/>
        <v>ND</v>
      </c>
      <c r="AX125" s="1" t="str">
        <f t="shared" si="550"/>
        <v>ND</v>
      </c>
      <c r="AY125" s="1" t="str">
        <f t="shared" si="551"/>
        <v>ND</v>
      </c>
      <c r="AZ125" s="1" t="str">
        <f t="shared" si="552"/>
        <v>ND</v>
      </c>
      <c r="BA125" s="1" t="str">
        <f t="shared" si="553"/>
        <v>ND</v>
      </c>
      <c r="BB125" s="1" t="str">
        <f t="shared" si="554"/>
        <v>ND</v>
      </c>
      <c r="BC125" s="1" t="str">
        <f t="shared" si="555"/>
        <v>ND</v>
      </c>
      <c r="BD125" s="1" t="str">
        <f t="shared" si="556"/>
        <v>ND</v>
      </c>
      <c r="BE125" s="1" t="str">
        <f t="shared" si="557"/>
        <v>ND</v>
      </c>
      <c r="BF125" s="1" t="str">
        <f t="shared" si="558"/>
        <v>ND</v>
      </c>
      <c r="BG125" s="1" t="str">
        <f t="shared" si="559"/>
        <v>ND</v>
      </c>
      <c r="BH125" s="1" t="str">
        <f t="shared" si="560"/>
        <v>ND</v>
      </c>
      <c r="BI125" s="1" t="str">
        <f t="shared" si="561"/>
        <v>ND</v>
      </c>
      <c r="BJ125" s="1" t="str">
        <f t="shared" si="562"/>
        <v>ND</v>
      </c>
      <c r="BK125" s="1" t="str">
        <f t="shared" si="563"/>
        <v>ND</v>
      </c>
      <c r="BL125" s="1" t="str">
        <f t="shared" si="564"/>
        <v>ND</v>
      </c>
      <c r="BM125" s="1" t="str">
        <f t="shared" si="565"/>
        <v>ND</v>
      </c>
      <c r="BN125" s="1" t="str">
        <f t="shared" si="566"/>
        <v>ND</v>
      </c>
      <c r="BO125" s="1" t="str">
        <f t="shared" si="567"/>
        <v>ND</v>
      </c>
      <c r="BP125" s="1" t="str">
        <f t="shared" si="568"/>
        <v>ND</v>
      </c>
      <c r="BQ125" s="1" t="str">
        <f t="shared" si="569"/>
        <v>ND</v>
      </c>
      <c r="BR125" s="1" t="str">
        <f t="shared" si="570"/>
        <v>ND</v>
      </c>
      <c r="BS125" s="1" t="str">
        <f t="shared" si="571"/>
        <v>ND</v>
      </c>
      <c r="BT125" s="1" t="str">
        <f t="shared" si="572"/>
        <v>ND</v>
      </c>
      <c r="BU125" s="1" t="str">
        <f t="shared" si="573"/>
        <v>ND</v>
      </c>
      <c r="BV125" s="1" t="str">
        <f t="shared" si="574"/>
        <v>ND</v>
      </c>
      <c r="BW125" s="1" t="str">
        <f t="shared" si="575"/>
        <v>ND</v>
      </c>
      <c r="BX125" s="1" t="str">
        <f t="shared" si="576"/>
        <v>ND</v>
      </c>
      <c r="BY125" s="1" t="str">
        <f t="shared" si="577"/>
        <v>ND</v>
      </c>
      <c r="BZ125" s="1" t="str">
        <f t="shared" si="578"/>
        <v>ND</v>
      </c>
      <c r="CA125" s="1" t="str">
        <f t="shared" si="697"/>
        <v>ND</v>
      </c>
      <c r="CB125" s="1" t="str">
        <f t="shared" si="697"/>
        <v>ND</v>
      </c>
      <c r="CC125" s="1" t="str">
        <f t="shared" si="697"/>
        <v>ND</v>
      </c>
      <c r="CD125" s="1" t="str">
        <f t="shared" si="697"/>
        <v>ND</v>
      </c>
      <c r="CE125" s="1" t="str">
        <f t="shared" si="697"/>
        <v>ND</v>
      </c>
      <c r="CF125" s="1" t="str">
        <f t="shared" si="697"/>
        <v>ND</v>
      </c>
      <c r="CG125" s="1" t="str">
        <f t="shared" si="697"/>
        <v>ND</v>
      </c>
      <c r="CH125" s="1" t="str">
        <f t="shared" si="697"/>
        <v>ND</v>
      </c>
      <c r="CI125" s="1" t="str">
        <f t="shared" si="697"/>
        <v>ND</v>
      </c>
      <c r="CJ125" s="1" t="str">
        <f t="shared" si="697"/>
        <v>ND</v>
      </c>
      <c r="CK125" s="1" t="str">
        <f t="shared" si="697"/>
        <v>ND</v>
      </c>
      <c r="CL125" s="1" t="str">
        <f t="shared" si="698"/>
        <v>ND</v>
      </c>
      <c r="CM125" s="1" t="str">
        <f t="shared" si="698"/>
        <v>ND</v>
      </c>
      <c r="CN125" s="1" t="str">
        <f t="shared" si="698"/>
        <v>ND</v>
      </c>
      <c r="CO125" s="1" t="str">
        <f t="shared" si="698"/>
        <v>ND</v>
      </c>
      <c r="CP125" s="1" t="str">
        <f t="shared" si="698"/>
        <v>ND</v>
      </c>
      <c r="CQ125" s="1" t="str">
        <f t="shared" si="698"/>
        <v>ND</v>
      </c>
      <c r="CR125" s="1" t="str">
        <f t="shared" si="698"/>
        <v>ND</v>
      </c>
      <c r="CS125" s="1" t="str">
        <f t="shared" si="698"/>
        <v>ND</v>
      </c>
      <c r="CT125" s="1" t="str">
        <f t="shared" si="698"/>
        <v>ND</v>
      </c>
      <c r="CU125" s="1" t="str">
        <f t="shared" si="698"/>
        <v>ND</v>
      </c>
      <c r="CV125" s="1" t="str">
        <f t="shared" si="698"/>
        <v>ND</v>
      </c>
      <c r="CW125" s="1" t="str">
        <f t="shared" si="579"/>
        <v>ND</v>
      </c>
      <c r="CX125" s="1" t="str">
        <f t="shared" si="580"/>
        <v>ND</v>
      </c>
      <c r="CY125" s="1" t="str">
        <f t="shared" si="581"/>
        <v>ND</v>
      </c>
      <c r="CZ125" s="1" t="str">
        <f t="shared" si="582"/>
        <v>ND</v>
      </c>
      <c r="DA125" s="1" t="str">
        <f t="shared" si="583"/>
        <v>ND</v>
      </c>
      <c r="DB125" s="1" t="str">
        <f t="shared" si="584"/>
        <v>ND</v>
      </c>
      <c r="DC125" s="1" t="str">
        <f t="shared" si="585"/>
        <v>ND</v>
      </c>
      <c r="DD125" s="1" t="str">
        <f t="shared" si="586"/>
        <v>ND</v>
      </c>
      <c r="DE125" s="1" t="str">
        <f t="shared" si="587"/>
        <v>ND</v>
      </c>
      <c r="DF125" s="1" t="str">
        <f t="shared" si="588"/>
        <v>ND</v>
      </c>
      <c r="DG125" s="1" t="str">
        <f t="shared" si="589"/>
        <v>ND</v>
      </c>
      <c r="DH125" s="1" t="str">
        <f t="shared" si="590"/>
        <v>ND</v>
      </c>
      <c r="DI125" s="1" t="str">
        <f t="shared" si="591"/>
        <v>ND</v>
      </c>
      <c r="DJ125" s="1" t="str">
        <f t="shared" si="592"/>
        <v>ND</v>
      </c>
      <c r="DK125" s="1" t="str">
        <f t="shared" si="593"/>
        <v>ND</v>
      </c>
      <c r="DL125" s="1" t="str">
        <f t="shared" si="594"/>
        <v>ND</v>
      </c>
      <c r="DM125" s="1" t="str">
        <f t="shared" si="595"/>
        <v>ND</v>
      </c>
      <c r="DN125" s="1" t="str">
        <f t="shared" si="596"/>
        <v>ND</v>
      </c>
      <c r="DO125" s="1" t="str">
        <f t="shared" si="597"/>
        <v>ND</v>
      </c>
      <c r="DP125" s="1" t="str">
        <f t="shared" si="598"/>
        <v>ND</v>
      </c>
      <c r="DQ125" s="1" t="str">
        <f t="shared" si="599"/>
        <v>ND</v>
      </c>
      <c r="DR125" s="1" t="str">
        <f t="shared" si="600"/>
        <v>ND</v>
      </c>
      <c r="DS125" s="1" t="str">
        <f t="shared" si="601"/>
        <v>ND</v>
      </c>
      <c r="DT125" s="1" t="str">
        <f t="shared" si="602"/>
        <v>ND</v>
      </c>
      <c r="DU125" s="1" t="str">
        <f t="shared" si="603"/>
        <v>ND</v>
      </c>
      <c r="DV125" s="1" t="str">
        <f t="shared" si="604"/>
        <v>ND</v>
      </c>
      <c r="DW125" s="1" t="str">
        <f t="shared" si="605"/>
        <v>ND</v>
      </c>
      <c r="DX125" s="1" t="str">
        <f t="shared" si="606"/>
        <v>ND</v>
      </c>
      <c r="DY125" s="1" t="str">
        <f t="shared" si="607"/>
        <v>ND</v>
      </c>
      <c r="DZ125" s="1" t="str">
        <f t="shared" si="608"/>
        <v>ND</v>
      </c>
      <c r="EA125" s="1" t="str">
        <f t="shared" si="609"/>
        <v>ND</v>
      </c>
      <c r="EB125" s="1" t="str">
        <f t="shared" si="610"/>
        <v>ND</v>
      </c>
      <c r="EC125" s="1" t="str">
        <f t="shared" si="611"/>
        <v>ND</v>
      </c>
      <c r="ED125" s="1" t="str">
        <f t="shared" si="612"/>
        <v>ND</v>
      </c>
      <c r="EE125" s="1" t="str">
        <f t="shared" si="613"/>
        <v>ND</v>
      </c>
      <c r="EF125" s="1" t="str">
        <f t="shared" si="614"/>
        <v>ND</v>
      </c>
      <c r="EG125" s="1" t="str">
        <f t="shared" si="615"/>
        <v>ND</v>
      </c>
      <c r="EH125" s="1" t="str">
        <f t="shared" si="616"/>
        <v>ND</v>
      </c>
      <c r="EI125" s="1" t="str">
        <f t="shared" si="617"/>
        <v>ND</v>
      </c>
      <c r="EJ125" s="1" t="str">
        <f t="shared" si="618"/>
        <v>ND</v>
      </c>
      <c r="EK125" s="1" t="str">
        <f t="shared" si="619"/>
        <v>ND</v>
      </c>
      <c r="EL125" s="1" t="str">
        <f t="shared" si="620"/>
        <v>ND</v>
      </c>
      <c r="EM125" s="1" t="str">
        <f t="shared" si="621"/>
        <v>ND</v>
      </c>
      <c r="EN125" s="1" t="str">
        <f t="shared" si="622"/>
        <v>ND</v>
      </c>
      <c r="EO125" s="1" t="str">
        <f t="shared" si="699"/>
        <v>ND</v>
      </c>
      <c r="EP125" s="1" t="str">
        <f t="shared" si="699"/>
        <v>ND</v>
      </c>
      <c r="EQ125" s="1" t="str">
        <f t="shared" si="699"/>
        <v>ND</v>
      </c>
      <c r="ER125" s="1" t="str">
        <f t="shared" si="699"/>
        <v>ND</v>
      </c>
      <c r="ES125" s="1" t="str">
        <f t="shared" si="699"/>
        <v>ND</v>
      </c>
      <c r="ET125" s="1" t="str">
        <f t="shared" si="699"/>
        <v>ND</v>
      </c>
      <c r="EU125" s="1" t="str">
        <f t="shared" si="699"/>
        <v>ND</v>
      </c>
      <c r="EV125" s="1" t="str">
        <f t="shared" si="699"/>
        <v>ND</v>
      </c>
      <c r="EW125" s="1" t="str">
        <f t="shared" si="699"/>
        <v>ND</v>
      </c>
      <c r="EX125" s="1" t="str">
        <f t="shared" si="699"/>
        <v>ND</v>
      </c>
      <c r="EY125" s="1" t="str">
        <f t="shared" si="699"/>
        <v>ND</v>
      </c>
      <c r="EZ125" s="1" t="str">
        <f t="shared" si="700"/>
        <v>ND</v>
      </c>
      <c r="FA125" s="1" t="str">
        <f t="shared" si="700"/>
        <v>ND</v>
      </c>
      <c r="FB125" s="1" t="str">
        <f t="shared" si="700"/>
        <v>ND</v>
      </c>
      <c r="FC125" s="1" t="str">
        <f t="shared" si="700"/>
        <v>ND</v>
      </c>
      <c r="FD125" s="1" t="str">
        <f t="shared" si="700"/>
        <v>ND</v>
      </c>
      <c r="FE125" s="1" t="str">
        <f t="shared" si="700"/>
        <v>ND</v>
      </c>
      <c r="FF125" s="1" t="str">
        <f t="shared" si="700"/>
        <v>ND</v>
      </c>
      <c r="FG125" s="1" t="str">
        <f t="shared" si="700"/>
        <v>ND</v>
      </c>
      <c r="FH125" s="1" t="str">
        <f t="shared" si="700"/>
        <v>ND</v>
      </c>
      <c r="FI125" s="1" t="str">
        <f t="shared" si="700"/>
        <v>ND</v>
      </c>
      <c r="FJ125" s="1" t="str">
        <f t="shared" si="700"/>
        <v>ND</v>
      </c>
      <c r="FK125" s="1" t="str">
        <f t="shared" si="701"/>
        <v>ND</v>
      </c>
      <c r="FL125" s="1" t="str">
        <f t="shared" si="701"/>
        <v>ND</v>
      </c>
      <c r="FM125" s="1" t="str">
        <f t="shared" si="701"/>
        <v>ND</v>
      </c>
      <c r="FN125" s="1" t="str">
        <f t="shared" si="701"/>
        <v>ND</v>
      </c>
      <c r="FO125" s="1" t="str">
        <f t="shared" si="701"/>
        <v>ND</v>
      </c>
      <c r="FP125" s="1" t="str">
        <f t="shared" si="701"/>
        <v>ND</v>
      </c>
      <c r="FQ125" s="1" t="str">
        <f t="shared" si="701"/>
        <v>ND</v>
      </c>
      <c r="FR125" s="1" t="str">
        <f t="shared" si="701"/>
        <v>ND</v>
      </c>
      <c r="FS125" s="1" t="str">
        <f t="shared" si="701"/>
        <v>ND</v>
      </c>
      <c r="FT125" s="1" t="str">
        <f t="shared" si="701"/>
        <v>ND</v>
      </c>
      <c r="FU125" s="1" t="str">
        <f t="shared" si="701"/>
        <v>ND</v>
      </c>
      <c r="FV125" s="1" t="str">
        <f t="shared" si="623"/>
        <v>ND</v>
      </c>
      <c r="FW125" s="1" t="str">
        <f t="shared" si="624"/>
        <v>ND</v>
      </c>
      <c r="FX125" s="1" t="str">
        <f t="shared" si="625"/>
        <v>ND</v>
      </c>
      <c r="FY125" s="1" t="str">
        <f t="shared" si="626"/>
        <v>ND</v>
      </c>
      <c r="FZ125" s="1" t="str">
        <f t="shared" si="627"/>
        <v>ND</v>
      </c>
      <c r="GA125" s="1" t="str">
        <f t="shared" si="628"/>
        <v>ND</v>
      </c>
      <c r="GB125" s="1" t="str">
        <f t="shared" si="629"/>
        <v>ND</v>
      </c>
      <c r="GC125" s="1" t="str">
        <f t="shared" si="630"/>
        <v>ND</v>
      </c>
      <c r="GD125" s="1" t="str">
        <f t="shared" si="631"/>
        <v>ND</v>
      </c>
      <c r="GE125" s="1" t="str">
        <f t="shared" si="632"/>
        <v>ND</v>
      </c>
      <c r="GF125" s="1" t="str">
        <f t="shared" si="633"/>
        <v>ND</v>
      </c>
      <c r="GG125" s="1" t="str">
        <f t="shared" si="634"/>
        <v>ND</v>
      </c>
      <c r="GH125" s="1" t="str">
        <f t="shared" si="635"/>
        <v>ND</v>
      </c>
      <c r="GI125" s="1" t="str">
        <f t="shared" si="636"/>
        <v>ND</v>
      </c>
      <c r="GJ125" s="1" t="str">
        <f t="shared" si="637"/>
        <v>ND</v>
      </c>
      <c r="GK125" s="1" t="str">
        <f t="shared" si="638"/>
        <v>ND</v>
      </c>
      <c r="GL125" s="1" t="str">
        <f t="shared" si="639"/>
        <v>ND</v>
      </c>
      <c r="GM125" s="1" t="str">
        <f t="shared" si="640"/>
        <v>ND</v>
      </c>
      <c r="GN125" s="1" t="str">
        <f t="shared" si="641"/>
        <v>ND</v>
      </c>
      <c r="GO125" s="1" t="str">
        <f t="shared" si="642"/>
        <v>ND</v>
      </c>
      <c r="GP125" s="1" t="str">
        <f t="shared" si="643"/>
        <v>ND</v>
      </c>
      <c r="GQ125" s="1" t="str">
        <f t="shared" si="644"/>
        <v>ND</v>
      </c>
      <c r="GR125" s="1" t="str">
        <f t="shared" si="645"/>
        <v>ND</v>
      </c>
      <c r="GS125" s="1" t="str">
        <f t="shared" si="646"/>
        <v>ND</v>
      </c>
      <c r="GT125" s="1" t="str">
        <f t="shared" si="647"/>
        <v>ND</v>
      </c>
      <c r="GU125" s="1" t="str">
        <f t="shared" si="648"/>
        <v>ND</v>
      </c>
      <c r="GV125" s="1" t="str">
        <f t="shared" si="649"/>
        <v>ND</v>
      </c>
      <c r="GW125" s="1" t="str">
        <f t="shared" si="650"/>
        <v>ND</v>
      </c>
      <c r="GX125" s="1" t="str">
        <f t="shared" si="651"/>
        <v>ND</v>
      </c>
      <c r="GY125" s="1" t="str">
        <f t="shared" si="652"/>
        <v>ND</v>
      </c>
      <c r="GZ125" s="1" t="str">
        <f t="shared" si="653"/>
        <v>ND</v>
      </c>
      <c r="HA125" s="1" t="str">
        <f t="shared" si="654"/>
        <v>ND</v>
      </c>
      <c r="HB125" s="1" t="str">
        <f t="shared" si="655"/>
        <v>ND</v>
      </c>
      <c r="HC125" s="1" t="str">
        <f t="shared" si="656"/>
        <v>ND</v>
      </c>
      <c r="HD125" s="1" t="str">
        <f t="shared" si="657"/>
        <v>ND</v>
      </c>
      <c r="HE125" s="1" t="str">
        <f t="shared" si="658"/>
        <v>ND</v>
      </c>
      <c r="HF125" s="1" t="str">
        <f t="shared" si="659"/>
        <v>ND</v>
      </c>
      <c r="HG125" s="1" t="str">
        <f t="shared" si="660"/>
        <v>ND</v>
      </c>
      <c r="HH125" s="1" t="str">
        <f t="shared" si="661"/>
        <v>ND</v>
      </c>
      <c r="HI125" s="1" t="str">
        <f t="shared" si="662"/>
        <v>ND</v>
      </c>
      <c r="HJ125" s="1" t="str">
        <f t="shared" si="663"/>
        <v>ND</v>
      </c>
      <c r="HK125" s="1" t="str">
        <f t="shared" si="664"/>
        <v>ND</v>
      </c>
      <c r="HL125" s="1" t="str">
        <f t="shared" si="665"/>
        <v>ND</v>
      </c>
      <c r="HM125" s="1" t="str">
        <f t="shared" si="666"/>
        <v>ND</v>
      </c>
      <c r="HN125" s="1" t="str">
        <f t="shared" si="667"/>
        <v>ND</v>
      </c>
      <c r="HO125" s="1" t="str">
        <f t="shared" si="668"/>
        <v>ND</v>
      </c>
      <c r="HP125" s="1" t="str">
        <f t="shared" si="669"/>
        <v>ND</v>
      </c>
      <c r="HQ125" s="1" t="str">
        <f t="shared" si="670"/>
        <v>ND</v>
      </c>
      <c r="HR125" s="1" t="str">
        <f t="shared" si="671"/>
        <v>ND</v>
      </c>
      <c r="HS125" s="1" t="str">
        <f t="shared" si="672"/>
        <v>ND</v>
      </c>
      <c r="HT125" s="1" t="str">
        <f t="shared" si="673"/>
        <v>ND</v>
      </c>
      <c r="HU125" s="1" t="str">
        <f t="shared" si="674"/>
        <v>ND</v>
      </c>
      <c r="HV125" s="1" t="str">
        <f t="shared" si="675"/>
        <v>ND</v>
      </c>
      <c r="HW125" s="1" t="str">
        <f t="shared" si="676"/>
        <v>ND</v>
      </c>
      <c r="HX125" s="1" t="str">
        <f t="shared" si="677"/>
        <v>ND</v>
      </c>
      <c r="HY125" s="1" t="str">
        <f t="shared" si="678"/>
        <v>ND</v>
      </c>
      <c r="HZ125" s="1" t="str">
        <f t="shared" si="679"/>
        <v>ND</v>
      </c>
      <c r="IA125" s="1" t="str">
        <f t="shared" si="680"/>
        <v>ND</v>
      </c>
      <c r="IB125" s="1" t="str">
        <f t="shared" si="681"/>
        <v>ND</v>
      </c>
      <c r="IC125" s="1" t="str">
        <f t="shared" si="682"/>
        <v>ND</v>
      </c>
      <c r="ID125" s="1" t="str">
        <f t="shared" si="683"/>
        <v>ND</v>
      </c>
      <c r="IE125" s="1" t="str">
        <f t="shared" si="684"/>
        <v>ND</v>
      </c>
      <c r="IF125" s="1" t="str">
        <f t="shared" si="685"/>
        <v>ND</v>
      </c>
      <c r="IG125" s="1" t="str">
        <f t="shared" si="686"/>
        <v>ND</v>
      </c>
      <c r="IH125" s="1" t="str">
        <f t="shared" si="687"/>
        <v>ND</v>
      </c>
      <c r="II125" s="1" t="str">
        <f t="shared" si="688"/>
        <v>ND</v>
      </c>
    </row>
    <row r="126" spans="3:243" x14ac:dyDescent="0.25">
      <c r="C126" t="s">
        <v>1052</v>
      </c>
      <c r="D126">
        <f>SUMIFS(DICCIONARIO[Cantidad],DICCIONARIO[Modelo],UNIFICADA[[#This Row],[Equipo]])</f>
        <v>0</v>
      </c>
      <c r="E126" s="1">
        <f>IFERROR(VLOOKUP($C126,EQUIPOS[],UNIFICADO!E$9,0),"")</f>
        <v>12</v>
      </c>
      <c r="F126" s="1" t="str">
        <f>IFERROR(VLOOKUP($C126,EQUIPOS[],UNIFICADO!F$9,0),"")</f>
        <v>6.71 LCD HD+</v>
      </c>
      <c r="G126" s="1">
        <f>IFERROR(VLOOKUP($C126,EQUIPOS[],UNIFICADO!G$9,0),"")</f>
        <v>50</v>
      </c>
      <c r="H126" s="1">
        <f>IFERROR(VLOOKUP($C126,EQUIPOS[],UNIFICADO!H$9,0),"")</f>
        <v>2</v>
      </c>
      <c r="I126" s="1">
        <f>IFERROR(VLOOKUP($C126,EQUIPOS[],UNIFICADO!I$9,0),"")</f>
        <v>5</v>
      </c>
      <c r="J126" s="1" t="str">
        <f>IFERROR(VLOOKUP($C126,EQUIPOS[],UNIFICADO!J$9,0),"")</f>
        <v>64GB</v>
      </c>
      <c r="K126" s="1">
        <f>IFERROR(VLOOKUP($C126,EQUIPOS[],UNIFICADO!K$9,0),"")</f>
        <v>1024</v>
      </c>
      <c r="L126" s="1">
        <f>IFERROR(VLOOKUP($C126,EQUIPOS[],UNIFICADO!L$9,0),"")</f>
        <v>8</v>
      </c>
      <c r="M126" s="1" t="str">
        <f>IFERROR(VLOOKUP($C126,EQUIPOS[],UNIFICADO!M$9,0),"")</f>
        <v>Mdtk Helio G85</v>
      </c>
      <c r="N126" s="1">
        <f>IFERROR(VLOOKUP($C126,EQUIPOS[],UNIFICADO!N$9,0),"")</f>
        <v>4</v>
      </c>
      <c r="O126" s="1">
        <f>IFERROR(VLOOKUP($C126,EQUIPOS[],UNIFICADO!O$9,0),"")</f>
        <v>192</v>
      </c>
      <c r="P126" s="1">
        <f>IFERROR(VLOOKUP($C126,EQUIPOS[],UNIFICADO!P$9,0),"")</f>
        <v>16.88</v>
      </c>
      <c r="Q126" s="1">
        <f>IFERROR(VLOOKUP($C126,EQUIPOS[],UNIFICADO!Q$9,0),"")</f>
        <v>7.64</v>
      </c>
      <c r="R126" s="1">
        <f>IFERROR(VLOOKUP($C126,EQUIPOS[],UNIFICADO!R$9,0),"")</f>
        <v>0.88</v>
      </c>
      <c r="S126" s="1" t="str">
        <f>IFERROR(VLOOKUP($C126,EQUIPOS[],UNIFICADO!S$9,0),"")</f>
        <v>5000 10W</v>
      </c>
      <c r="T126" s="1">
        <f>IFERROR(VLOOKUP($C126,EQUIPOS[],UNIFICADO!T$9,0),"")</f>
        <v>4</v>
      </c>
      <c r="U126" s="1">
        <f>VLOOKUP(UNIFICADA[[#This Row],[Equipo]],EQUIPOS[],19,0)</f>
        <v>116</v>
      </c>
      <c r="V126" s="1" t="str">
        <f t="shared" si="533"/>
        <v>ND</v>
      </c>
      <c r="W126" s="1" t="str">
        <f t="shared" si="534"/>
        <v>ND</v>
      </c>
      <c r="X126" s="1" t="str">
        <f t="shared" si="689"/>
        <v>ND</v>
      </c>
      <c r="Y126" s="1" t="str">
        <f t="shared" si="689"/>
        <v>ND</v>
      </c>
      <c r="Z126" s="1" t="str">
        <f t="shared" si="696"/>
        <v>ND</v>
      </c>
      <c r="AA126" s="1" t="str">
        <f t="shared" si="696"/>
        <v>ND</v>
      </c>
      <c r="AB126" s="1" t="str">
        <f t="shared" si="696"/>
        <v>ND</v>
      </c>
      <c r="AC126" s="1" t="str">
        <f t="shared" si="696"/>
        <v>ND</v>
      </c>
      <c r="AD126" s="1" t="str">
        <f t="shared" si="696"/>
        <v>ND</v>
      </c>
      <c r="AE126" s="1" t="str">
        <f t="shared" si="696"/>
        <v>ND</v>
      </c>
      <c r="AF126" s="1" t="str">
        <f t="shared" si="696"/>
        <v>ND</v>
      </c>
      <c r="AG126" s="1" t="str">
        <f t="shared" si="696"/>
        <v>ND</v>
      </c>
      <c r="AH126" s="1" t="str">
        <f t="shared" si="696"/>
        <v>ND</v>
      </c>
      <c r="AI126" s="1" t="str">
        <f t="shared" si="535"/>
        <v>ND</v>
      </c>
      <c r="AJ126" s="1" t="str">
        <f t="shared" si="536"/>
        <v>ND</v>
      </c>
      <c r="AK126" s="1" t="str">
        <f t="shared" si="537"/>
        <v>ND</v>
      </c>
      <c r="AL126" s="1" t="str">
        <f t="shared" si="538"/>
        <v>ND</v>
      </c>
      <c r="AM126" s="1" t="str">
        <f t="shared" si="539"/>
        <v>ND</v>
      </c>
      <c r="AN126" s="1" t="str">
        <f t="shared" si="540"/>
        <v>ND</v>
      </c>
      <c r="AO126" s="1" t="str">
        <f t="shared" si="541"/>
        <v>ND</v>
      </c>
      <c r="AP126" s="1" t="str">
        <f t="shared" si="542"/>
        <v>ND</v>
      </c>
      <c r="AQ126" s="1" t="str">
        <f t="shared" si="543"/>
        <v>ND</v>
      </c>
      <c r="AR126" s="1" t="str">
        <f t="shared" si="544"/>
        <v>ND</v>
      </c>
      <c r="AS126" s="1" t="str">
        <f t="shared" si="545"/>
        <v>ND</v>
      </c>
      <c r="AT126" s="1" t="str">
        <f t="shared" si="546"/>
        <v>ND</v>
      </c>
      <c r="AU126" s="1" t="str">
        <f t="shared" si="547"/>
        <v>ND</v>
      </c>
      <c r="AV126" s="1" t="str">
        <f t="shared" si="548"/>
        <v>ND</v>
      </c>
      <c r="AW126" s="1" t="str">
        <f t="shared" si="549"/>
        <v>ND</v>
      </c>
      <c r="AX126" s="1" t="str">
        <f t="shared" si="550"/>
        <v>ND</v>
      </c>
      <c r="AY126" s="1" t="str">
        <f t="shared" si="551"/>
        <v>ND</v>
      </c>
      <c r="AZ126" s="1" t="str">
        <f t="shared" si="552"/>
        <v>ND</v>
      </c>
      <c r="BA126" s="1" t="str">
        <f t="shared" si="553"/>
        <v>ND</v>
      </c>
      <c r="BB126" s="1" t="str">
        <f t="shared" si="554"/>
        <v>ND</v>
      </c>
      <c r="BC126" s="1" t="str">
        <f t="shared" si="555"/>
        <v>ND</v>
      </c>
      <c r="BD126" s="1" t="str">
        <f t="shared" si="556"/>
        <v>ND</v>
      </c>
      <c r="BE126" s="1" t="str">
        <f t="shared" si="557"/>
        <v>ND</v>
      </c>
      <c r="BF126" s="1" t="str">
        <f t="shared" si="558"/>
        <v>ND</v>
      </c>
      <c r="BG126" s="1" t="str">
        <f t="shared" si="559"/>
        <v>ND</v>
      </c>
      <c r="BH126" s="1" t="str">
        <f t="shared" si="560"/>
        <v>ND</v>
      </c>
      <c r="BI126" s="1" t="str">
        <f t="shared" si="561"/>
        <v>ND</v>
      </c>
      <c r="BJ126" s="1" t="str">
        <f t="shared" si="562"/>
        <v>ND</v>
      </c>
      <c r="BK126" s="1" t="str">
        <f t="shared" si="563"/>
        <v>ND</v>
      </c>
      <c r="BL126" s="1" t="str">
        <f t="shared" si="564"/>
        <v>ND</v>
      </c>
      <c r="BM126" s="1" t="str">
        <f t="shared" si="565"/>
        <v>ND</v>
      </c>
      <c r="BN126" s="1" t="str">
        <f t="shared" si="566"/>
        <v>ND</v>
      </c>
      <c r="BO126" s="1" t="str">
        <f t="shared" si="567"/>
        <v>ND</v>
      </c>
      <c r="BP126" s="1" t="str">
        <f t="shared" si="568"/>
        <v>ND</v>
      </c>
      <c r="BQ126" s="1" t="str">
        <f t="shared" si="569"/>
        <v>ND</v>
      </c>
      <c r="BR126" s="1" t="str">
        <f t="shared" si="570"/>
        <v>ND</v>
      </c>
      <c r="BS126" s="1" t="str">
        <f t="shared" si="571"/>
        <v>ND</v>
      </c>
      <c r="BT126" s="1" t="str">
        <f t="shared" si="572"/>
        <v>ND</v>
      </c>
      <c r="BU126" s="1" t="str">
        <f t="shared" si="573"/>
        <v>ND</v>
      </c>
      <c r="BV126" s="1" t="str">
        <f t="shared" si="574"/>
        <v>ND</v>
      </c>
      <c r="BW126" s="1" t="str">
        <f t="shared" si="575"/>
        <v>ND</v>
      </c>
      <c r="BX126" s="1" t="str">
        <f t="shared" si="576"/>
        <v>ND</v>
      </c>
      <c r="BY126" s="1" t="str">
        <f t="shared" si="577"/>
        <v>ND</v>
      </c>
      <c r="BZ126" s="1" t="str">
        <f t="shared" si="578"/>
        <v>ND</v>
      </c>
      <c r="CA126" s="1" t="str">
        <f t="shared" si="697"/>
        <v>ND</v>
      </c>
      <c r="CB126" s="1" t="str">
        <f t="shared" si="697"/>
        <v>ND</v>
      </c>
      <c r="CC126" s="1" t="str">
        <f t="shared" si="697"/>
        <v>ND</v>
      </c>
      <c r="CD126" s="1" t="str">
        <f t="shared" si="697"/>
        <v>ND</v>
      </c>
      <c r="CE126" s="1" t="str">
        <f t="shared" si="697"/>
        <v>ND</v>
      </c>
      <c r="CF126" s="1" t="str">
        <f t="shared" si="697"/>
        <v>ND</v>
      </c>
      <c r="CG126" s="1" t="str">
        <f t="shared" si="697"/>
        <v>ND</v>
      </c>
      <c r="CH126" s="1" t="str">
        <f t="shared" si="697"/>
        <v>ND</v>
      </c>
      <c r="CI126" s="1" t="str">
        <f t="shared" si="697"/>
        <v>ND</v>
      </c>
      <c r="CJ126" s="1" t="str">
        <f t="shared" si="697"/>
        <v>ND</v>
      </c>
      <c r="CK126" s="1" t="str">
        <f t="shared" si="697"/>
        <v>ND</v>
      </c>
      <c r="CL126" s="1" t="str">
        <f t="shared" si="698"/>
        <v>ND</v>
      </c>
      <c r="CM126" s="1" t="str">
        <f t="shared" si="698"/>
        <v>ND</v>
      </c>
      <c r="CN126" s="1" t="str">
        <f t="shared" si="698"/>
        <v>ND</v>
      </c>
      <c r="CO126" s="1" t="str">
        <f t="shared" si="698"/>
        <v>ND</v>
      </c>
      <c r="CP126" s="1" t="str">
        <f t="shared" si="698"/>
        <v>ND</v>
      </c>
      <c r="CQ126" s="1" t="str">
        <f t="shared" si="698"/>
        <v>ND</v>
      </c>
      <c r="CR126" s="1" t="str">
        <f t="shared" si="698"/>
        <v>ND</v>
      </c>
      <c r="CS126" s="1" t="str">
        <f t="shared" si="698"/>
        <v>ND</v>
      </c>
      <c r="CT126" s="1" t="str">
        <f t="shared" si="698"/>
        <v>ND</v>
      </c>
      <c r="CU126" s="1" t="str">
        <f t="shared" si="698"/>
        <v>ND</v>
      </c>
      <c r="CV126" s="1" t="str">
        <f t="shared" si="698"/>
        <v>ND</v>
      </c>
      <c r="CW126" s="1" t="str">
        <f t="shared" si="579"/>
        <v>ND</v>
      </c>
      <c r="CX126" s="1" t="str">
        <f t="shared" si="580"/>
        <v>ND</v>
      </c>
      <c r="CY126" s="1" t="str">
        <f t="shared" si="581"/>
        <v>ND</v>
      </c>
      <c r="CZ126" s="1" t="str">
        <f t="shared" si="582"/>
        <v>ND</v>
      </c>
      <c r="DA126" s="1" t="str">
        <f t="shared" si="583"/>
        <v>ND</v>
      </c>
      <c r="DB126" s="1" t="str">
        <f t="shared" si="584"/>
        <v>ND</v>
      </c>
      <c r="DC126" s="1" t="str">
        <f t="shared" si="585"/>
        <v>ND</v>
      </c>
      <c r="DD126" s="1" t="str">
        <f t="shared" si="586"/>
        <v>ND</v>
      </c>
      <c r="DE126" s="1" t="str">
        <f t="shared" si="587"/>
        <v>ND</v>
      </c>
      <c r="DF126" s="1" t="str">
        <f t="shared" si="588"/>
        <v>ND</v>
      </c>
      <c r="DG126" s="1" t="str">
        <f t="shared" si="589"/>
        <v>ND</v>
      </c>
      <c r="DH126" s="1" t="str">
        <f t="shared" si="590"/>
        <v>ND</v>
      </c>
      <c r="DI126" s="1" t="str">
        <f t="shared" si="591"/>
        <v>ND</v>
      </c>
      <c r="DJ126" s="1" t="str">
        <f t="shared" si="592"/>
        <v>ND</v>
      </c>
      <c r="DK126" s="1" t="str">
        <f t="shared" si="593"/>
        <v>ND</v>
      </c>
      <c r="DL126" s="1" t="str">
        <f t="shared" si="594"/>
        <v>ND</v>
      </c>
      <c r="DM126" s="1" t="str">
        <f t="shared" si="595"/>
        <v>ND</v>
      </c>
      <c r="DN126" s="1" t="str">
        <f t="shared" si="596"/>
        <v>ND</v>
      </c>
      <c r="DO126" s="1" t="str">
        <f t="shared" si="597"/>
        <v>ND</v>
      </c>
      <c r="DP126" s="1" t="str">
        <f t="shared" si="598"/>
        <v>ND</v>
      </c>
      <c r="DQ126" s="1" t="str">
        <f t="shared" si="599"/>
        <v>ND</v>
      </c>
      <c r="DR126" s="1" t="str">
        <f t="shared" si="600"/>
        <v>ND</v>
      </c>
      <c r="DS126" s="1" t="str">
        <f t="shared" si="601"/>
        <v>ND</v>
      </c>
      <c r="DT126" s="1" t="str">
        <f t="shared" si="602"/>
        <v>ND</v>
      </c>
      <c r="DU126" s="1" t="str">
        <f t="shared" si="603"/>
        <v>ND</v>
      </c>
      <c r="DV126" s="1" t="str">
        <f t="shared" si="604"/>
        <v>ND</v>
      </c>
      <c r="DW126" s="1" t="str">
        <f t="shared" si="605"/>
        <v>ND</v>
      </c>
      <c r="DX126" s="1" t="str">
        <f t="shared" si="606"/>
        <v>ND</v>
      </c>
      <c r="DY126" s="1" t="str">
        <f t="shared" si="607"/>
        <v>ND</v>
      </c>
      <c r="DZ126" s="1" t="str">
        <f t="shared" si="608"/>
        <v>ND</v>
      </c>
      <c r="EA126" s="1" t="str">
        <f t="shared" si="609"/>
        <v>ND</v>
      </c>
      <c r="EB126" s="1" t="str">
        <f t="shared" si="610"/>
        <v>ND</v>
      </c>
      <c r="EC126" s="1" t="str">
        <f t="shared" si="611"/>
        <v>ND</v>
      </c>
      <c r="ED126" s="1" t="str">
        <f t="shared" si="612"/>
        <v>ND</v>
      </c>
      <c r="EE126" s="1" t="str">
        <f t="shared" si="613"/>
        <v>ND</v>
      </c>
      <c r="EF126" s="1" t="str">
        <f t="shared" si="614"/>
        <v>ND</v>
      </c>
      <c r="EG126" s="1" t="str">
        <f t="shared" si="615"/>
        <v>ND</v>
      </c>
      <c r="EH126" s="1" t="str">
        <f t="shared" si="616"/>
        <v>ND</v>
      </c>
      <c r="EI126" s="1" t="str">
        <f t="shared" si="617"/>
        <v>ND</v>
      </c>
      <c r="EJ126" s="1" t="str">
        <f t="shared" si="618"/>
        <v>ND</v>
      </c>
      <c r="EK126" s="1" t="str">
        <f t="shared" si="619"/>
        <v>ND</v>
      </c>
      <c r="EL126" s="1" t="str">
        <f t="shared" si="620"/>
        <v>ND</v>
      </c>
      <c r="EM126" s="1" t="str">
        <f t="shared" si="621"/>
        <v>ND</v>
      </c>
      <c r="EN126" s="1" t="str">
        <f t="shared" si="622"/>
        <v>ND</v>
      </c>
      <c r="EO126" s="1" t="str">
        <f t="shared" si="699"/>
        <v>ND</v>
      </c>
      <c r="EP126" s="1" t="str">
        <f t="shared" si="699"/>
        <v>ND</v>
      </c>
      <c r="EQ126" s="1" t="str">
        <f t="shared" si="699"/>
        <v>ND</v>
      </c>
      <c r="ER126" s="1" t="str">
        <f t="shared" si="699"/>
        <v>ND</v>
      </c>
      <c r="ES126" s="1" t="str">
        <f t="shared" si="699"/>
        <v>ND</v>
      </c>
      <c r="ET126" s="1" t="str">
        <f t="shared" si="699"/>
        <v>ND</v>
      </c>
      <c r="EU126" s="1" t="str">
        <f t="shared" si="699"/>
        <v>ND</v>
      </c>
      <c r="EV126" s="1" t="str">
        <f t="shared" si="699"/>
        <v>ND</v>
      </c>
      <c r="EW126" s="1" t="str">
        <f t="shared" si="699"/>
        <v>ND</v>
      </c>
      <c r="EX126" s="1" t="str">
        <f t="shared" si="699"/>
        <v>ND</v>
      </c>
      <c r="EY126" s="1" t="str">
        <f t="shared" si="699"/>
        <v>ND</v>
      </c>
      <c r="EZ126" s="1" t="str">
        <f t="shared" si="700"/>
        <v>ND</v>
      </c>
      <c r="FA126" s="1" t="str">
        <f t="shared" si="700"/>
        <v>ND</v>
      </c>
      <c r="FB126" s="1" t="str">
        <f t="shared" si="700"/>
        <v>ND</v>
      </c>
      <c r="FC126" s="1" t="str">
        <f t="shared" si="700"/>
        <v>ND</v>
      </c>
      <c r="FD126" s="1" t="str">
        <f t="shared" si="700"/>
        <v>ND</v>
      </c>
      <c r="FE126" s="1" t="str">
        <f t="shared" si="700"/>
        <v>ND</v>
      </c>
      <c r="FF126" s="1" t="str">
        <f t="shared" si="700"/>
        <v>ND</v>
      </c>
      <c r="FG126" s="1" t="str">
        <f t="shared" si="700"/>
        <v>ND</v>
      </c>
      <c r="FH126" s="1" t="str">
        <f t="shared" si="700"/>
        <v>ND</v>
      </c>
      <c r="FI126" s="1" t="str">
        <f t="shared" si="700"/>
        <v>ND</v>
      </c>
      <c r="FJ126" s="1" t="str">
        <f t="shared" si="700"/>
        <v>ND</v>
      </c>
      <c r="FK126" s="1" t="str">
        <f t="shared" si="701"/>
        <v>ND</v>
      </c>
      <c r="FL126" s="1" t="str">
        <f t="shared" si="701"/>
        <v>ND</v>
      </c>
      <c r="FM126" s="1" t="str">
        <f t="shared" si="701"/>
        <v>ND</v>
      </c>
      <c r="FN126" s="1" t="str">
        <f t="shared" si="701"/>
        <v>ND</v>
      </c>
      <c r="FO126" s="1" t="str">
        <f t="shared" si="701"/>
        <v>ND</v>
      </c>
      <c r="FP126" s="1" t="str">
        <f t="shared" si="701"/>
        <v>ND</v>
      </c>
      <c r="FQ126" s="1" t="str">
        <f t="shared" si="701"/>
        <v>ND</v>
      </c>
      <c r="FR126" s="1" t="str">
        <f t="shared" si="701"/>
        <v>ND</v>
      </c>
      <c r="FS126" s="1" t="str">
        <f t="shared" si="701"/>
        <v>ND</v>
      </c>
      <c r="FT126" s="1" t="str">
        <f t="shared" si="701"/>
        <v>ND</v>
      </c>
      <c r="FU126" s="1" t="str">
        <f t="shared" si="701"/>
        <v>ND</v>
      </c>
      <c r="FV126" s="1" t="str">
        <f t="shared" si="623"/>
        <v>ND</v>
      </c>
      <c r="FW126" s="1" t="str">
        <f t="shared" si="624"/>
        <v>ND</v>
      </c>
      <c r="FX126" s="1" t="str">
        <f t="shared" si="625"/>
        <v>ND</v>
      </c>
      <c r="FY126" s="1" t="str">
        <f t="shared" si="626"/>
        <v>ND</v>
      </c>
      <c r="FZ126" s="1" t="str">
        <f t="shared" si="627"/>
        <v>ND</v>
      </c>
      <c r="GA126" s="1" t="str">
        <f t="shared" si="628"/>
        <v>ND</v>
      </c>
      <c r="GB126" s="1" t="str">
        <f t="shared" si="629"/>
        <v>ND</v>
      </c>
      <c r="GC126" s="1" t="str">
        <f t="shared" si="630"/>
        <v>ND</v>
      </c>
      <c r="GD126" s="1" t="str">
        <f t="shared" si="631"/>
        <v>ND</v>
      </c>
      <c r="GE126" s="1" t="str">
        <f t="shared" si="632"/>
        <v>ND</v>
      </c>
      <c r="GF126" s="1" t="str">
        <f t="shared" si="633"/>
        <v>ND</v>
      </c>
      <c r="GG126" s="1" t="str">
        <f t="shared" si="634"/>
        <v>ND</v>
      </c>
      <c r="GH126" s="1" t="str">
        <f t="shared" si="635"/>
        <v>ND</v>
      </c>
      <c r="GI126" s="1" t="str">
        <f t="shared" si="636"/>
        <v>ND</v>
      </c>
      <c r="GJ126" s="1" t="str">
        <f t="shared" si="637"/>
        <v>ND</v>
      </c>
      <c r="GK126" s="1" t="str">
        <f t="shared" si="638"/>
        <v>ND</v>
      </c>
      <c r="GL126" s="1" t="str">
        <f t="shared" si="639"/>
        <v>ND</v>
      </c>
      <c r="GM126" s="1" t="str">
        <f t="shared" si="640"/>
        <v>ND</v>
      </c>
      <c r="GN126" s="1" t="str">
        <f t="shared" si="641"/>
        <v>ND</v>
      </c>
      <c r="GO126" s="1" t="str">
        <f t="shared" si="642"/>
        <v>ND</v>
      </c>
      <c r="GP126" s="1" t="str">
        <f t="shared" si="643"/>
        <v>ND</v>
      </c>
      <c r="GQ126" s="1" t="str">
        <f t="shared" si="644"/>
        <v>ND</v>
      </c>
      <c r="GR126" s="1" t="str">
        <f t="shared" si="645"/>
        <v>ND</v>
      </c>
      <c r="GS126" s="1" t="str">
        <f t="shared" si="646"/>
        <v>ND</v>
      </c>
      <c r="GT126" s="1" t="str">
        <f t="shared" si="647"/>
        <v>ND</v>
      </c>
      <c r="GU126" s="1" t="str">
        <f t="shared" si="648"/>
        <v>ND</v>
      </c>
      <c r="GV126" s="1" t="str">
        <f t="shared" si="649"/>
        <v>ND</v>
      </c>
      <c r="GW126" s="1" t="str">
        <f t="shared" si="650"/>
        <v>ND</v>
      </c>
      <c r="GX126" s="1" t="str">
        <f t="shared" si="651"/>
        <v>ND</v>
      </c>
      <c r="GY126" s="1" t="str">
        <f t="shared" si="652"/>
        <v>ND</v>
      </c>
      <c r="GZ126" s="1" t="str">
        <f t="shared" si="653"/>
        <v>ND</v>
      </c>
      <c r="HA126" s="1" t="str">
        <f t="shared" si="654"/>
        <v>ND</v>
      </c>
      <c r="HB126" s="1" t="str">
        <f t="shared" si="655"/>
        <v>ND</v>
      </c>
      <c r="HC126" s="1" t="str">
        <f t="shared" si="656"/>
        <v>ND</v>
      </c>
      <c r="HD126" s="1" t="str">
        <f t="shared" si="657"/>
        <v>ND</v>
      </c>
      <c r="HE126" s="1" t="str">
        <f t="shared" si="658"/>
        <v>ND</v>
      </c>
      <c r="HF126" s="1" t="str">
        <f t="shared" si="659"/>
        <v>ND</v>
      </c>
      <c r="HG126" s="1" t="str">
        <f t="shared" si="660"/>
        <v>ND</v>
      </c>
      <c r="HH126" s="1" t="str">
        <f t="shared" si="661"/>
        <v>ND</v>
      </c>
      <c r="HI126" s="1" t="str">
        <f t="shared" si="662"/>
        <v>ND</v>
      </c>
      <c r="HJ126" s="1" t="str">
        <f t="shared" si="663"/>
        <v>ND</v>
      </c>
      <c r="HK126" s="1" t="str">
        <f t="shared" si="664"/>
        <v>ND</v>
      </c>
      <c r="HL126" s="1" t="str">
        <f t="shared" si="665"/>
        <v>ND</v>
      </c>
      <c r="HM126" s="1" t="str">
        <f t="shared" si="666"/>
        <v>ND</v>
      </c>
      <c r="HN126" s="1" t="str">
        <f t="shared" si="667"/>
        <v>ND</v>
      </c>
      <c r="HO126" s="1" t="str">
        <f t="shared" si="668"/>
        <v>ND</v>
      </c>
      <c r="HP126" s="1" t="str">
        <f t="shared" si="669"/>
        <v>ND</v>
      </c>
      <c r="HQ126" s="1" t="str">
        <f t="shared" si="670"/>
        <v>ND</v>
      </c>
      <c r="HR126" s="1" t="str">
        <f t="shared" si="671"/>
        <v>ND</v>
      </c>
      <c r="HS126" s="1" t="str">
        <f t="shared" si="672"/>
        <v>ND</v>
      </c>
      <c r="HT126" s="1" t="str">
        <f t="shared" si="673"/>
        <v>ND</v>
      </c>
      <c r="HU126" s="1" t="str">
        <f t="shared" si="674"/>
        <v>ND</v>
      </c>
      <c r="HV126" s="1" t="str">
        <f t="shared" si="675"/>
        <v>ND</v>
      </c>
      <c r="HW126" s="1" t="str">
        <f t="shared" si="676"/>
        <v>ND</v>
      </c>
      <c r="HX126" s="1" t="str">
        <f t="shared" si="677"/>
        <v>ND</v>
      </c>
      <c r="HY126" s="1" t="str">
        <f t="shared" si="678"/>
        <v>ND</v>
      </c>
      <c r="HZ126" s="1" t="str">
        <f t="shared" si="679"/>
        <v>ND</v>
      </c>
      <c r="IA126" s="1" t="str">
        <f t="shared" si="680"/>
        <v>ND</v>
      </c>
      <c r="IB126" s="1" t="str">
        <f t="shared" si="681"/>
        <v>ND</v>
      </c>
      <c r="IC126" s="1" t="str">
        <f t="shared" si="682"/>
        <v>ND</v>
      </c>
      <c r="ID126" s="1" t="str">
        <f t="shared" si="683"/>
        <v>ND</v>
      </c>
      <c r="IE126" s="1" t="str">
        <f t="shared" si="684"/>
        <v>ND</v>
      </c>
      <c r="IF126" s="1" t="str">
        <f t="shared" si="685"/>
        <v>ND</v>
      </c>
      <c r="IG126" s="1" t="str">
        <f t="shared" si="686"/>
        <v>ND</v>
      </c>
      <c r="IH126" s="1" t="str">
        <f t="shared" si="687"/>
        <v>ND</v>
      </c>
      <c r="II126" s="1" t="str">
        <f t="shared" si="688"/>
        <v>ND</v>
      </c>
    </row>
    <row r="127" spans="3:243" x14ac:dyDescent="0.25">
      <c r="C127" t="s">
        <v>68</v>
      </c>
      <c r="D127">
        <f>SUMIFS(DICCIONARIO[Cantidad],DICCIONARIO[Modelo],UNIFICADA[[#This Row],[Equipo]])</f>
        <v>0</v>
      </c>
      <c r="E127" s="1">
        <f>IFERROR(VLOOKUP($C127,EQUIPOS[],UNIFICADO!E$9,0),"")</f>
        <v>10</v>
      </c>
      <c r="F127" s="1">
        <f>IFERROR(VLOOKUP($C127,EQUIPOS[],UNIFICADO!F$9,0),"")</f>
        <v>6.53</v>
      </c>
      <c r="G127" s="1">
        <f>IFERROR(VLOOKUP($C127,EQUIPOS[],UNIFICADO!G$9,0),"")</f>
        <v>13</v>
      </c>
      <c r="H127" s="1">
        <f>IFERROR(VLOOKUP($C127,EQUIPOS[],UNIFICADO!H$9,0),"")</f>
        <v>1</v>
      </c>
      <c r="I127" s="1">
        <f>IFERROR(VLOOKUP($C127,EQUIPOS[],UNIFICADO!I$9,0),"")</f>
        <v>5</v>
      </c>
      <c r="J127" s="1" t="str">
        <f>IFERROR(VLOOKUP($C127,EQUIPOS[],UNIFICADO!J$9,0),"")</f>
        <v>32GB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2.0/1.5</v>
      </c>
      <c r="N127" s="1">
        <f>IFERROR(VLOOKUP($C127,EQUIPOS[],UNIFICADO!N$9,0),"")</f>
        <v>2</v>
      </c>
      <c r="O127" s="1">
        <f>IFERROR(VLOOKUP($C127,EQUIPOS[],UNIFICADO!O$9,0),"")</f>
        <v>196</v>
      </c>
      <c r="P127" s="1">
        <f>IFERROR(VLOOKUP($C127,EQUIPOS[],UNIFICADO!P$9,0),"")</f>
        <v>16.399999999999999</v>
      </c>
      <c r="Q127" s="1">
        <f>IFERROR(VLOOKUP($C127,EQUIPOS[],UNIFICADO!Q$9,0),"")</f>
        <v>7.71</v>
      </c>
      <c r="R127" s="1">
        <f>IFERROR(VLOOKUP($C127,EQUIPOS[],UNIFICADO!R$9,0),"")</f>
        <v>0.9</v>
      </c>
      <c r="S127" s="1">
        <f>IFERROR(VLOOKUP($C127,EQUIPOS[],UNIFICADO!S$9,0),"")</f>
        <v>5000</v>
      </c>
      <c r="T127" s="1">
        <f>IFERROR(VLOOKUP($C127,EQUIPOS[],UNIFICADO!T$9,0),"")</f>
        <v>4</v>
      </c>
      <c r="U127" s="1">
        <f>VLOOKUP(UNIFICADA[[#This Row],[Equipo]],EQUIPOS[],19,0)</f>
        <v>117</v>
      </c>
      <c r="V127" s="1" t="str">
        <f t="shared" si="533"/>
        <v>ND</v>
      </c>
      <c r="W127" s="1" t="str">
        <f t="shared" si="534"/>
        <v>ND</v>
      </c>
      <c r="X127" s="1" t="str">
        <f t="shared" si="689"/>
        <v>ND</v>
      </c>
      <c r="Y127" s="1" t="str">
        <f t="shared" si="689"/>
        <v>ND</v>
      </c>
      <c r="Z127" s="1" t="str">
        <f t="shared" si="696"/>
        <v>ND</v>
      </c>
      <c r="AA127" s="1" t="str">
        <f t="shared" si="696"/>
        <v>ND</v>
      </c>
      <c r="AB127" s="1" t="str">
        <f t="shared" si="696"/>
        <v>ND</v>
      </c>
      <c r="AC127" s="1" t="str">
        <f t="shared" si="696"/>
        <v>ND</v>
      </c>
      <c r="AD127" s="1" t="str">
        <f t="shared" si="696"/>
        <v>ND</v>
      </c>
      <c r="AE127" s="1" t="str">
        <f t="shared" si="696"/>
        <v>ND</v>
      </c>
      <c r="AF127" s="1" t="str">
        <f t="shared" si="696"/>
        <v>ND</v>
      </c>
      <c r="AG127" s="1" t="str">
        <f t="shared" si="696"/>
        <v>ND</v>
      </c>
      <c r="AH127" s="1" t="str">
        <f t="shared" si="696"/>
        <v>ND</v>
      </c>
      <c r="AI127" s="1" t="str">
        <f t="shared" si="535"/>
        <v>ND</v>
      </c>
      <c r="AJ127" s="1" t="str">
        <f t="shared" si="536"/>
        <v>ND</v>
      </c>
      <c r="AK127" s="1" t="str">
        <f t="shared" si="537"/>
        <v>ND</v>
      </c>
      <c r="AL127" s="1" t="str">
        <f t="shared" si="538"/>
        <v>ND</v>
      </c>
      <c r="AM127" s="1" t="str">
        <f t="shared" si="539"/>
        <v>ND</v>
      </c>
      <c r="AN127" s="1" t="str">
        <f t="shared" si="540"/>
        <v>ND</v>
      </c>
      <c r="AO127" s="1" t="str">
        <f t="shared" si="541"/>
        <v>ND</v>
      </c>
      <c r="AP127" s="1" t="str">
        <f t="shared" si="542"/>
        <v>ND</v>
      </c>
      <c r="AQ127" s="1" t="str">
        <f t="shared" si="543"/>
        <v>ND</v>
      </c>
      <c r="AR127" s="1" t="str">
        <f t="shared" si="544"/>
        <v>ND</v>
      </c>
      <c r="AS127" s="1" t="str">
        <f t="shared" si="545"/>
        <v>ND</v>
      </c>
      <c r="AT127" s="1" t="str">
        <f t="shared" si="546"/>
        <v>ND</v>
      </c>
      <c r="AU127" s="1" t="str">
        <f t="shared" si="547"/>
        <v>ND</v>
      </c>
      <c r="AV127" s="1" t="str">
        <f t="shared" si="548"/>
        <v>ND</v>
      </c>
      <c r="AW127" s="1" t="str">
        <f t="shared" si="549"/>
        <v>ND</v>
      </c>
      <c r="AX127" s="1" t="str">
        <f t="shared" si="550"/>
        <v>ND</v>
      </c>
      <c r="AY127" s="1" t="str">
        <f t="shared" si="551"/>
        <v>ND</v>
      </c>
      <c r="AZ127" s="1" t="str">
        <f t="shared" si="552"/>
        <v>ND</v>
      </c>
      <c r="BA127" s="1" t="str">
        <f t="shared" si="553"/>
        <v>ND</v>
      </c>
      <c r="BB127" s="1" t="str">
        <f t="shared" si="554"/>
        <v>ND</v>
      </c>
      <c r="BC127" s="1" t="str">
        <f t="shared" si="555"/>
        <v>ND</v>
      </c>
      <c r="BD127" s="1" t="str">
        <f t="shared" si="556"/>
        <v>ND</v>
      </c>
      <c r="BE127" s="1" t="str">
        <f t="shared" si="557"/>
        <v>ND</v>
      </c>
      <c r="BF127" s="1" t="str">
        <f t="shared" si="558"/>
        <v>ND</v>
      </c>
      <c r="BG127" s="1" t="str">
        <f t="shared" si="559"/>
        <v>ND</v>
      </c>
      <c r="BH127" s="1" t="str">
        <f t="shared" si="560"/>
        <v>ND</v>
      </c>
      <c r="BI127" s="1" t="str">
        <f t="shared" si="561"/>
        <v>ND</v>
      </c>
      <c r="BJ127" s="1" t="str">
        <f t="shared" si="562"/>
        <v>ND</v>
      </c>
      <c r="BK127" s="1" t="str">
        <f t="shared" si="563"/>
        <v>ND</v>
      </c>
      <c r="BL127" s="1" t="str">
        <f t="shared" si="564"/>
        <v>ND</v>
      </c>
      <c r="BM127" s="1" t="str">
        <f t="shared" si="565"/>
        <v>ND</v>
      </c>
      <c r="BN127" s="1" t="str">
        <f t="shared" si="566"/>
        <v>ND</v>
      </c>
      <c r="BO127" s="1" t="str">
        <f t="shared" si="567"/>
        <v>ND</v>
      </c>
      <c r="BP127" s="1" t="str">
        <f t="shared" si="568"/>
        <v>ND</v>
      </c>
      <c r="BQ127" s="1" t="str">
        <f t="shared" si="569"/>
        <v>ND</v>
      </c>
      <c r="BR127" s="1" t="str">
        <f t="shared" si="570"/>
        <v>ND</v>
      </c>
      <c r="BS127" s="1" t="str">
        <f t="shared" si="571"/>
        <v>ND</v>
      </c>
      <c r="BT127" s="1" t="str">
        <f t="shared" si="572"/>
        <v>ND</v>
      </c>
      <c r="BU127" s="1" t="str">
        <f t="shared" si="573"/>
        <v>ND</v>
      </c>
      <c r="BV127" s="1" t="str">
        <f t="shared" si="574"/>
        <v>ND</v>
      </c>
      <c r="BW127" s="1" t="str">
        <f t="shared" si="575"/>
        <v>ND</v>
      </c>
      <c r="BX127" s="1" t="str">
        <f t="shared" si="576"/>
        <v>ND</v>
      </c>
      <c r="BY127" s="1" t="str">
        <f t="shared" si="577"/>
        <v>ND</v>
      </c>
      <c r="BZ127" s="1" t="str">
        <f t="shared" si="578"/>
        <v>ND</v>
      </c>
      <c r="CA127" s="1" t="str">
        <f t="shared" si="697"/>
        <v>ND</v>
      </c>
      <c r="CB127" s="1" t="str">
        <f t="shared" si="697"/>
        <v>ND</v>
      </c>
      <c r="CC127" s="1" t="str">
        <f t="shared" si="697"/>
        <v>ND</v>
      </c>
      <c r="CD127" s="1" t="str">
        <f t="shared" si="697"/>
        <v>ND</v>
      </c>
      <c r="CE127" s="1" t="str">
        <f t="shared" si="697"/>
        <v>ND</v>
      </c>
      <c r="CF127" s="1" t="str">
        <f t="shared" si="697"/>
        <v>ND</v>
      </c>
      <c r="CG127" s="1" t="str">
        <f t="shared" si="697"/>
        <v>ND</v>
      </c>
      <c r="CH127" s="1" t="str">
        <f t="shared" si="697"/>
        <v>ND</v>
      </c>
      <c r="CI127" s="1" t="str">
        <f t="shared" si="697"/>
        <v>ND</v>
      </c>
      <c r="CJ127" s="1" t="str">
        <f t="shared" si="697"/>
        <v>ND</v>
      </c>
      <c r="CK127" s="1" t="str">
        <f t="shared" si="697"/>
        <v>ND</v>
      </c>
      <c r="CL127" s="1" t="str">
        <f t="shared" si="698"/>
        <v>ND</v>
      </c>
      <c r="CM127" s="1" t="str">
        <f t="shared" si="698"/>
        <v>ND</v>
      </c>
      <c r="CN127" s="1" t="str">
        <f t="shared" si="698"/>
        <v>ND</v>
      </c>
      <c r="CO127" s="1" t="str">
        <f t="shared" si="698"/>
        <v>ND</v>
      </c>
      <c r="CP127" s="1" t="str">
        <f t="shared" si="698"/>
        <v>ND</v>
      </c>
      <c r="CQ127" s="1" t="str">
        <f t="shared" si="698"/>
        <v>ND</v>
      </c>
      <c r="CR127" s="1" t="str">
        <f t="shared" si="698"/>
        <v>ND</v>
      </c>
      <c r="CS127" s="1" t="str">
        <f t="shared" si="698"/>
        <v>ND</v>
      </c>
      <c r="CT127" s="1" t="str">
        <f t="shared" si="698"/>
        <v>ND</v>
      </c>
      <c r="CU127" s="1" t="str">
        <f t="shared" si="698"/>
        <v>ND</v>
      </c>
      <c r="CV127" s="1" t="str">
        <f t="shared" si="698"/>
        <v>ND</v>
      </c>
      <c r="CW127" s="1" t="str">
        <f t="shared" si="579"/>
        <v>ND</v>
      </c>
      <c r="CX127" s="1" t="str">
        <f t="shared" si="580"/>
        <v>ND</v>
      </c>
      <c r="CY127" s="1" t="str">
        <f t="shared" si="581"/>
        <v>ND</v>
      </c>
      <c r="CZ127" s="1" t="str">
        <f t="shared" si="582"/>
        <v>ND</v>
      </c>
      <c r="DA127" s="1" t="str">
        <f t="shared" si="583"/>
        <v>ND</v>
      </c>
      <c r="DB127" s="1" t="str">
        <f t="shared" si="584"/>
        <v>ND</v>
      </c>
      <c r="DC127" s="1" t="str">
        <f t="shared" si="585"/>
        <v>ND</v>
      </c>
      <c r="DD127" s="1" t="str">
        <f t="shared" si="586"/>
        <v>ND</v>
      </c>
      <c r="DE127" s="1" t="str">
        <f t="shared" si="587"/>
        <v>ND</v>
      </c>
      <c r="DF127" s="1" t="str">
        <f t="shared" si="588"/>
        <v>ND</v>
      </c>
      <c r="DG127" s="1" t="str">
        <f t="shared" si="589"/>
        <v>ND</v>
      </c>
      <c r="DH127" s="1" t="str">
        <f t="shared" si="590"/>
        <v>ND</v>
      </c>
      <c r="DI127" s="1" t="str">
        <f t="shared" si="591"/>
        <v>ND</v>
      </c>
      <c r="DJ127" s="1" t="str">
        <f t="shared" si="592"/>
        <v>ND</v>
      </c>
      <c r="DK127" s="1" t="str">
        <f t="shared" si="593"/>
        <v>ND</v>
      </c>
      <c r="DL127" s="1" t="str">
        <f t="shared" si="594"/>
        <v>ND</v>
      </c>
      <c r="DM127" s="1" t="str">
        <f t="shared" si="595"/>
        <v>ND</v>
      </c>
      <c r="DN127" s="1" t="str">
        <f t="shared" si="596"/>
        <v>ND</v>
      </c>
      <c r="DO127" s="1" t="str">
        <f t="shared" si="597"/>
        <v>ND</v>
      </c>
      <c r="DP127" s="1" t="str">
        <f t="shared" si="598"/>
        <v>ND</v>
      </c>
      <c r="DQ127" s="1" t="str">
        <f t="shared" si="599"/>
        <v>ND</v>
      </c>
      <c r="DR127" s="1" t="str">
        <f t="shared" si="600"/>
        <v>ND</v>
      </c>
      <c r="DS127" s="1" t="str">
        <f t="shared" si="601"/>
        <v>ND</v>
      </c>
      <c r="DT127" s="1" t="str">
        <f t="shared" si="602"/>
        <v>ND</v>
      </c>
      <c r="DU127" s="1" t="str">
        <f t="shared" si="603"/>
        <v>ND</v>
      </c>
      <c r="DV127" s="1" t="str">
        <f t="shared" si="604"/>
        <v>ND</v>
      </c>
      <c r="DW127" s="1" t="str">
        <f t="shared" si="605"/>
        <v>ND</v>
      </c>
      <c r="DX127" s="1" t="str">
        <f t="shared" si="606"/>
        <v>ND</v>
      </c>
      <c r="DY127" s="1" t="str">
        <f t="shared" si="607"/>
        <v>ND</v>
      </c>
      <c r="DZ127" s="1" t="str">
        <f t="shared" si="608"/>
        <v>ND</v>
      </c>
      <c r="EA127" s="1" t="str">
        <f t="shared" si="609"/>
        <v>ND</v>
      </c>
      <c r="EB127" s="1" t="str">
        <f t="shared" si="610"/>
        <v>ND</v>
      </c>
      <c r="EC127" s="1" t="str">
        <f t="shared" si="611"/>
        <v>ND</v>
      </c>
      <c r="ED127" s="1" t="str">
        <f t="shared" si="612"/>
        <v>ND</v>
      </c>
      <c r="EE127" s="1" t="str">
        <f t="shared" si="613"/>
        <v>ND</v>
      </c>
      <c r="EF127" s="1" t="str">
        <f t="shared" si="614"/>
        <v>ND</v>
      </c>
      <c r="EG127" s="1" t="str">
        <f t="shared" si="615"/>
        <v>ND</v>
      </c>
      <c r="EH127" s="1" t="str">
        <f t="shared" si="616"/>
        <v>ND</v>
      </c>
      <c r="EI127" s="1" t="str">
        <f t="shared" si="617"/>
        <v>ND</v>
      </c>
      <c r="EJ127" s="1" t="str">
        <f t="shared" si="618"/>
        <v>ND</v>
      </c>
      <c r="EK127" s="1" t="str">
        <f t="shared" si="619"/>
        <v>ND</v>
      </c>
      <c r="EL127" s="1" t="str">
        <f t="shared" si="620"/>
        <v>ND</v>
      </c>
      <c r="EM127" s="1" t="str">
        <f t="shared" si="621"/>
        <v>ND</v>
      </c>
      <c r="EN127" s="1" t="str">
        <f t="shared" si="622"/>
        <v>ND</v>
      </c>
      <c r="EO127" s="1" t="str">
        <f t="shared" si="699"/>
        <v>ND</v>
      </c>
      <c r="EP127" s="1" t="str">
        <f t="shared" si="699"/>
        <v>ND</v>
      </c>
      <c r="EQ127" s="1" t="str">
        <f t="shared" si="699"/>
        <v>ND</v>
      </c>
      <c r="ER127" s="1" t="str">
        <f t="shared" si="699"/>
        <v>ND</v>
      </c>
      <c r="ES127" s="1" t="str">
        <f t="shared" si="699"/>
        <v>ND</v>
      </c>
      <c r="ET127" s="1" t="str">
        <f t="shared" si="699"/>
        <v>ND</v>
      </c>
      <c r="EU127" s="1" t="str">
        <f t="shared" si="699"/>
        <v>ND</v>
      </c>
      <c r="EV127" s="1" t="str">
        <f t="shared" si="699"/>
        <v>ND</v>
      </c>
      <c r="EW127" s="1" t="str">
        <f t="shared" si="699"/>
        <v>ND</v>
      </c>
      <c r="EX127" s="1" t="str">
        <f t="shared" si="699"/>
        <v>ND</v>
      </c>
      <c r="EY127" s="1" t="str">
        <f t="shared" si="699"/>
        <v>ND</v>
      </c>
      <c r="EZ127" s="1" t="str">
        <f t="shared" si="700"/>
        <v>ND</v>
      </c>
      <c r="FA127" s="1" t="str">
        <f t="shared" si="700"/>
        <v>ND</v>
      </c>
      <c r="FB127" s="1" t="str">
        <f t="shared" si="700"/>
        <v>ND</v>
      </c>
      <c r="FC127" s="1" t="str">
        <f t="shared" si="700"/>
        <v>ND</v>
      </c>
      <c r="FD127" s="1" t="str">
        <f t="shared" si="700"/>
        <v>ND</v>
      </c>
      <c r="FE127" s="1" t="str">
        <f t="shared" si="700"/>
        <v>ND</v>
      </c>
      <c r="FF127" s="1" t="str">
        <f t="shared" si="700"/>
        <v>ND</v>
      </c>
      <c r="FG127" s="1" t="str">
        <f t="shared" si="700"/>
        <v>ND</v>
      </c>
      <c r="FH127" s="1" t="str">
        <f t="shared" si="700"/>
        <v>ND</v>
      </c>
      <c r="FI127" s="1" t="str">
        <f t="shared" si="700"/>
        <v>ND</v>
      </c>
      <c r="FJ127" s="1" t="str">
        <f t="shared" si="700"/>
        <v>ND</v>
      </c>
      <c r="FK127" s="1" t="str">
        <f t="shared" si="701"/>
        <v>ND</v>
      </c>
      <c r="FL127" s="1" t="str">
        <f t="shared" si="701"/>
        <v>ND</v>
      </c>
      <c r="FM127" s="1" t="str">
        <f t="shared" si="701"/>
        <v>ND</v>
      </c>
      <c r="FN127" s="1" t="str">
        <f t="shared" si="701"/>
        <v>ND</v>
      </c>
      <c r="FO127" s="1" t="str">
        <f t="shared" si="701"/>
        <v>ND</v>
      </c>
      <c r="FP127" s="1" t="str">
        <f t="shared" si="701"/>
        <v>ND</v>
      </c>
      <c r="FQ127" s="1" t="str">
        <f t="shared" si="701"/>
        <v>ND</v>
      </c>
      <c r="FR127" s="1" t="str">
        <f t="shared" si="701"/>
        <v>ND</v>
      </c>
      <c r="FS127" s="1" t="str">
        <f t="shared" si="701"/>
        <v>ND</v>
      </c>
      <c r="FT127" s="1" t="str">
        <f t="shared" si="701"/>
        <v>ND</v>
      </c>
      <c r="FU127" s="1" t="str">
        <f t="shared" si="701"/>
        <v>ND</v>
      </c>
      <c r="FV127" s="1" t="str">
        <f t="shared" si="623"/>
        <v>ND</v>
      </c>
      <c r="FW127" s="1" t="str">
        <f t="shared" si="624"/>
        <v>ND</v>
      </c>
      <c r="FX127" s="1" t="str">
        <f t="shared" si="625"/>
        <v>ND</v>
      </c>
      <c r="FY127" s="1" t="str">
        <f t="shared" si="626"/>
        <v>ND</v>
      </c>
      <c r="FZ127" s="1" t="str">
        <f t="shared" si="627"/>
        <v>ND</v>
      </c>
      <c r="GA127" s="1" t="str">
        <f t="shared" si="628"/>
        <v>ND</v>
      </c>
      <c r="GB127" s="1" t="str">
        <f t="shared" si="629"/>
        <v>ND</v>
      </c>
      <c r="GC127" s="1" t="str">
        <f t="shared" si="630"/>
        <v>ND</v>
      </c>
      <c r="GD127" s="1" t="str">
        <f t="shared" si="631"/>
        <v>ND</v>
      </c>
      <c r="GE127" s="1" t="str">
        <f t="shared" si="632"/>
        <v>ND</v>
      </c>
      <c r="GF127" s="1" t="str">
        <f t="shared" si="633"/>
        <v>ND</v>
      </c>
      <c r="GG127" s="1" t="str">
        <f t="shared" si="634"/>
        <v>ND</v>
      </c>
      <c r="GH127" s="1" t="str">
        <f t="shared" si="635"/>
        <v>ND</v>
      </c>
      <c r="GI127" s="1" t="str">
        <f t="shared" si="636"/>
        <v>ND</v>
      </c>
      <c r="GJ127" s="1" t="str">
        <f t="shared" si="637"/>
        <v>ND</v>
      </c>
      <c r="GK127" s="1" t="str">
        <f t="shared" si="638"/>
        <v>ND</v>
      </c>
      <c r="GL127" s="1" t="str">
        <f t="shared" si="639"/>
        <v>ND</v>
      </c>
      <c r="GM127" s="1" t="str">
        <f t="shared" si="640"/>
        <v>ND</v>
      </c>
      <c r="GN127" s="1" t="str">
        <f t="shared" si="641"/>
        <v>ND</v>
      </c>
      <c r="GO127" s="1" t="str">
        <f t="shared" si="642"/>
        <v>ND</v>
      </c>
      <c r="GP127" s="1" t="str">
        <f t="shared" si="643"/>
        <v>ND</v>
      </c>
      <c r="GQ127" s="1" t="str">
        <f t="shared" si="644"/>
        <v>ND</v>
      </c>
      <c r="GR127" s="1" t="str">
        <f t="shared" si="645"/>
        <v>ND</v>
      </c>
      <c r="GS127" s="1" t="str">
        <f t="shared" si="646"/>
        <v>ND</v>
      </c>
      <c r="GT127" s="1" t="str">
        <f t="shared" si="647"/>
        <v>ND</v>
      </c>
      <c r="GU127" s="1" t="str">
        <f t="shared" si="648"/>
        <v>ND</v>
      </c>
      <c r="GV127" s="1" t="str">
        <f t="shared" si="649"/>
        <v>ND</v>
      </c>
      <c r="GW127" s="1" t="str">
        <f t="shared" si="650"/>
        <v>ND</v>
      </c>
      <c r="GX127" s="1" t="str">
        <f t="shared" si="651"/>
        <v>ND</v>
      </c>
      <c r="GY127" s="1" t="str">
        <f t="shared" si="652"/>
        <v>ND</v>
      </c>
      <c r="GZ127" s="1" t="str">
        <f t="shared" si="653"/>
        <v>ND</v>
      </c>
      <c r="HA127" s="1" t="str">
        <f t="shared" si="654"/>
        <v>ND</v>
      </c>
      <c r="HB127" s="1" t="str">
        <f t="shared" si="655"/>
        <v>ND</v>
      </c>
      <c r="HC127" s="1" t="str">
        <f t="shared" si="656"/>
        <v>ND</v>
      </c>
      <c r="HD127" s="1" t="str">
        <f t="shared" si="657"/>
        <v>ND</v>
      </c>
      <c r="HE127" s="1" t="str">
        <f t="shared" si="658"/>
        <v>ND</v>
      </c>
      <c r="HF127" s="1" t="str">
        <f t="shared" si="659"/>
        <v>ND</v>
      </c>
      <c r="HG127" s="1" t="str">
        <f t="shared" si="660"/>
        <v>ND</v>
      </c>
      <c r="HH127" s="1" t="str">
        <f t="shared" si="661"/>
        <v>ND</v>
      </c>
      <c r="HI127" s="1" t="str">
        <f t="shared" si="662"/>
        <v>ND</v>
      </c>
      <c r="HJ127" s="1" t="str">
        <f t="shared" si="663"/>
        <v>ND</v>
      </c>
      <c r="HK127" s="1" t="str">
        <f t="shared" si="664"/>
        <v>ND</v>
      </c>
      <c r="HL127" s="1" t="str">
        <f t="shared" si="665"/>
        <v>ND</v>
      </c>
      <c r="HM127" s="1" t="str">
        <f t="shared" si="666"/>
        <v>ND</v>
      </c>
      <c r="HN127" s="1" t="str">
        <f t="shared" si="667"/>
        <v>ND</v>
      </c>
      <c r="HO127" s="1" t="str">
        <f t="shared" si="668"/>
        <v>ND</v>
      </c>
      <c r="HP127" s="1" t="str">
        <f t="shared" si="669"/>
        <v>ND</v>
      </c>
      <c r="HQ127" s="1" t="str">
        <f t="shared" si="670"/>
        <v>ND</v>
      </c>
      <c r="HR127" s="1" t="str">
        <f t="shared" si="671"/>
        <v>ND</v>
      </c>
      <c r="HS127" s="1" t="str">
        <f t="shared" si="672"/>
        <v>ND</v>
      </c>
      <c r="HT127" s="1" t="str">
        <f t="shared" si="673"/>
        <v>ND</v>
      </c>
      <c r="HU127" s="1" t="str">
        <f t="shared" si="674"/>
        <v>ND</v>
      </c>
      <c r="HV127" s="1" t="str">
        <f t="shared" si="675"/>
        <v>ND</v>
      </c>
      <c r="HW127" s="1" t="str">
        <f t="shared" si="676"/>
        <v>ND</v>
      </c>
      <c r="HX127" s="1" t="str">
        <f t="shared" si="677"/>
        <v>ND</v>
      </c>
      <c r="HY127" s="1" t="str">
        <f t="shared" si="678"/>
        <v>ND</v>
      </c>
      <c r="HZ127" s="1" t="str">
        <f t="shared" si="679"/>
        <v>ND</v>
      </c>
      <c r="IA127" s="1" t="str">
        <f t="shared" si="680"/>
        <v>ND</v>
      </c>
      <c r="IB127" s="1" t="str">
        <f t="shared" si="681"/>
        <v>ND</v>
      </c>
      <c r="IC127" s="1" t="str">
        <f t="shared" si="682"/>
        <v>ND</v>
      </c>
      <c r="ID127" s="1" t="str">
        <f t="shared" si="683"/>
        <v>ND</v>
      </c>
      <c r="IE127" s="1" t="str">
        <f t="shared" si="684"/>
        <v>ND</v>
      </c>
      <c r="IF127" s="1" t="str">
        <f t="shared" si="685"/>
        <v>ND</v>
      </c>
      <c r="IG127" s="1" t="str">
        <f t="shared" si="686"/>
        <v>ND</v>
      </c>
      <c r="IH127" s="1" t="str">
        <f t="shared" si="687"/>
        <v>ND</v>
      </c>
      <c r="II127" s="1" t="str">
        <f t="shared" si="688"/>
        <v>ND</v>
      </c>
    </row>
    <row r="128" spans="3:243" x14ac:dyDescent="0.25">
      <c r="C128" t="s">
        <v>67</v>
      </c>
      <c r="D128">
        <f>SUMIFS(DICCIONARIO[Cantidad],DICCIONARIO[Modelo],UNIFICADA[[#This Row],[Equipo]])</f>
        <v>0</v>
      </c>
      <c r="E128" s="1">
        <f>IFERROR(VLOOKUP($C128,EQUIPOS[],UNIFICADO!E$9,0),"")</f>
        <v>10</v>
      </c>
      <c r="F128" s="1">
        <f>IFERROR(VLOOKUP($C128,EQUIPOS[],UNIFICADO!F$9,0),"")</f>
        <v>6.53</v>
      </c>
      <c r="G128" s="1">
        <f>IFERROR(VLOOKUP($C128,EQUIPOS[],UNIFICADO!G$9,0),"")</f>
        <v>13</v>
      </c>
      <c r="H128" s="1">
        <f>IFERROR(VLOOKUP($C128,EQUIPOS[],UNIFICADO!H$9,0),"")</f>
        <v>3</v>
      </c>
      <c r="I128" s="1">
        <f>IFERROR(VLOOKUP($C128,EQUIPOS[],UNIFICADO!I$9,0),"")</f>
        <v>5</v>
      </c>
      <c r="J128" s="1" t="str">
        <f>IFERROR(VLOOKUP($C128,EQUIPOS[],UNIFICADO!J$9,0),"")</f>
        <v>64GB</v>
      </c>
      <c r="K128" s="1">
        <f>IFERROR(VLOOKUP($C128,EQUIPOS[],UNIFICADO!K$9,0),"")</f>
        <v>512</v>
      </c>
      <c r="L128" s="1">
        <f>IFERROR(VLOOKUP($C128,EQUIPOS[],UNIFICADO!L$9,0),"")</f>
        <v>8</v>
      </c>
      <c r="M128" s="1" t="str">
        <f>IFERROR(VLOOKUP($C128,EQUIPOS[],UNIFICADO!M$9,0),"")</f>
        <v>2.3/1.8</v>
      </c>
      <c r="N128" s="1">
        <f>IFERROR(VLOOKUP($C128,EQUIPOS[],UNIFICADO!N$9,0),"")</f>
        <v>2</v>
      </c>
      <c r="O128" s="1">
        <f>IFERROR(VLOOKUP($C128,EQUIPOS[],UNIFICADO!O$9,0),"")</f>
        <v>196</v>
      </c>
      <c r="P128" s="1">
        <f>IFERROR(VLOOKUP($C128,EQUIPOS[],UNIFICADO!P$9,0),"")</f>
        <v>16.399999999999999</v>
      </c>
      <c r="Q128" s="1">
        <f>IFERROR(VLOOKUP($C128,EQUIPOS[],UNIFICADO!Q$9,0),"")</f>
        <v>7.07</v>
      </c>
      <c r="R128" s="1">
        <f>IFERROR(VLOOKUP($C128,EQUIPOS[],UNIFICADO!R$9,0),"")</f>
        <v>0.9</v>
      </c>
      <c r="S128" s="1">
        <f>IFERROR(VLOOKUP($C128,EQUIPOS[],UNIFICADO!S$9,0),"")</f>
        <v>5000</v>
      </c>
      <c r="T128" s="1">
        <f>IFERROR(VLOOKUP($C128,EQUIPOS[],UNIFICADO!T$9,0),"")</f>
        <v>4</v>
      </c>
      <c r="U128" s="1">
        <f>VLOOKUP(UNIFICADA[[#This Row],[Equipo]],EQUIPOS[],19,0)</f>
        <v>118</v>
      </c>
      <c r="V128" s="1" t="str">
        <f t="shared" si="533"/>
        <v>ND</v>
      </c>
      <c r="W128" s="1" t="str">
        <f t="shared" si="534"/>
        <v>ND</v>
      </c>
      <c r="X128" s="1" t="str">
        <f t="shared" si="689"/>
        <v>ND</v>
      </c>
      <c r="Y128" s="1" t="str">
        <f t="shared" si="689"/>
        <v>ND</v>
      </c>
      <c r="Z128" s="1" t="str">
        <f t="shared" si="696"/>
        <v>ND</v>
      </c>
      <c r="AA128" s="1" t="str">
        <f t="shared" si="696"/>
        <v>ND</v>
      </c>
      <c r="AB128" s="1" t="str">
        <f t="shared" si="696"/>
        <v>ND</v>
      </c>
      <c r="AC128" s="1" t="str">
        <f t="shared" si="696"/>
        <v>ND</v>
      </c>
      <c r="AD128" s="1" t="str">
        <f t="shared" si="696"/>
        <v>ND</v>
      </c>
      <c r="AE128" s="1" t="str">
        <f t="shared" si="696"/>
        <v>ND</v>
      </c>
      <c r="AF128" s="1" t="str">
        <f t="shared" si="696"/>
        <v>ND</v>
      </c>
      <c r="AG128" s="1" t="str">
        <f t="shared" si="696"/>
        <v>ND</v>
      </c>
      <c r="AH128" s="1" t="str">
        <f t="shared" si="696"/>
        <v>ND</v>
      </c>
      <c r="AI128" s="1" t="str">
        <f t="shared" si="535"/>
        <v>ND</v>
      </c>
      <c r="AJ128" s="1" t="str">
        <f t="shared" si="536"/>
        <v>ND</v>
      </c>
      <c r="AK128" s="1" t="str">
        <f t="shared" si="537"/>
        <v>ND</v>
      </c>
      <c r="AL128" s="1" t="str">
        <f t="shared" si="538"/>
        <v>ND</v>
      </c>
      <c r="AM128" s="1" t="str">
        <f t="shared" si="539"/>
        <v>ND</v>
      </c>
      <c r="AN128" s="1" t="str">
        <f t="shared" si="540"/>
        <v>ND</v>
      </c>
      <c r="AO128" s="1" t="str">
        <f t="shared" si="541"/>
        <v>ND</v>
      </c>
      <c r="AP128" s="1" t="str">
        <f t="shared" si="542"/>
        <v>ND</v>
      </c>
      <c r="AQ128" s="1" t="str">
        <f t="shared" si="543"/>
        <v>ND</v>
      </c>
      <c r="AR128" s="1" t="str">
        <f t="shared" si="544"/>
        <v>ND</v>
      </c>
      <c r="AS128" s="1" t="str">
        <f t="shared" si="545"/>
        <v>ND</v>
      </c>
      <c r="AT128" s="1" t="str">
        <f t="shared" si="546"/>
        <v>ND</v>
      </c>
      <c r="AU128" s="1" t="str">
        <f t="shared" si="547"/>
        <v>ND</v>
      </c>
      <c r="AV128" s="1" t="str">
        <f t="shared" si="548"/>
        <v>ND</v>
      </c>
      <c r="AW128" s="1" t="str">
        <f t="shared" si="549"/>
        <v>ND</v>
      </c>
      <c r="AX128" s="1" t="str">
        <f t="shared" si="550"/>
        <v>ND</v>
      </c>
      <c r="AY128" s="1" t="str">
        <f t="shared" si="551"/>
        <v>ND</v>
      </c>
      <c r="AZ128" s="1" t="str">
        <f t="shared" si="552"/>
        <v>ND</v>
      </c>
      <c r="BA128" s="1" t="str">
        <f t="shared" si="553"/>
        <v>ND</v>
      </c>
      <c r="BB128" s="1" t="str">
        <f t="shared" si="554"/>
        <v>ND</v>
      </c>
      <c r="BC128" s="1" t="str">
        <f t="shared" si="555"/>
        <v>ND</v>
      </c>
      <c r="BD128" s="1" t="str">
        <f t="shared" si="556"/>
        <v>ND</v>
      </c>
      <c r="BE128" s="1" t="str">
        <f t="shared" si="557"/>
        <v>ND</v>
      </c>
      <c r="BF128" s="1" t="str">
        <f t="shared" si="558"/>
        <v>ND</v>
      </c>
      <c r="BG128" s="1" t="str">
        <f t="shared" si="559"/>
        <v>ND</v>
      </c>
      <c r="BH128" s="1" t="str">
        <f t="shared" si="560"/>
        <v>ND</v>
      </c>
      <c r="BI128" s="1" t="str">
        <f t="shared" si="561"/>
        <v>ND</v>
      </c>
      <c r="BJ128" s="1" t="str">
        <f t="shared" si="562"/>
        <v>ND</v>
      </c>
      <c r="BK128" s="1" t="str">
        <f t="shared" si="563"/>
        <v>ND</v>
      </c>
      <c r="BL128" s="1" t="str">
        <f t="shared" si="564"/>
        <v>ND</v>
      </c>
      <c r="BM128" s="1" t="str">
        <f t="shared" si="565"/>
        <v>ND</v>
      </c>
      <c r="BN128" s="1" t="str">
        <f t="shared" si="566"/>
        <v>ND</v>
      </c>
      <c r="BO128" s="1" t="str">
        <f t="shared" si="567"/>
        <v>ND</v>
      </c>
      <c r="BP128" s="1" t="str">
        <f t="shared" si="568"/>
        <v>ND</v>
      </c>
      <c r="BQ128" s="1" t="str">
        <f t="shared" si="569"/>
        <v>ND</v>
      </c>
      <c r="BR128" s="1" t="str">
        <f t="shared" si="570"/>
        <v>ND</v>
      </c>
      <c r="BS128" s="1" t="str">
        <f t="shared" si="571"/>
        <v>ND</v>
      </c>
      <c r="BT128" s="1" t="str">
        <f t="shared" si="572"/>
        <v>ND</v>
      </c>
      <c r="BU128" s="1" t="str">
        <f t="shared" si="573"/>
        <v>ND</v>
      </c>
      <c r="BV128" s="1" t="str">
        <f t="shared" si="574"/>
        <v>ND</v>
      </c>
      <c r="BW128" s="1" t="str">
        <f t="shared" si="575"/>
        <v>ND</v>
      </c>
      <c r="BX128" s="1" t="str">
        <f t="shared" si="576"/>
        <v>ND</v>
      </c>
      <c r="BY128" s="1" t="str">
        <f t="shared" si="577"/>
        <v>ND</v>
      </c>
      <c r="BZ128" s="1" t="str">
        <f t="shared" si="578"/>
        <v>ND</v>
      </c>
      <c r="CA128" s="1" t="str">
        <f t="shared" si="697"/>
        <v>ND</v>
      </c>
      <c r="CB128" s="1" t="str">
        <f t="shared" si="697"/>
        <v>ND</v>
      </c>
      <c r="CC128" s="1" t="str">
        <f t="shared" si="697"/>
        <v>ND</v>
      </c>
      <c r="CD128" s="1" t="str">
        <f t="shared" si="697"/>
        <v>ND</v>
      </c>
      <c r="CE128" s="1" t="str">
        <f t="shared" si="697"/>
        <v>ND</v>
      </c>
      <c r="CF128" s="1" t="str">
        <f t="shared" si="697"/>
        <v>ND</v>
      </c>
      <c r="CG128" s="1" t="str">
        <f t="shared" si="697"/>
        <v>ND</v>
      </c>
      <c r="CH128" s="1" t="str">
        <f t="shared" si="697"/>
        <v>ND</v>
      </c>
      <c r="CI128" s="1" t="str">
        <f t="shared" si="697"/>
        <v>ND</v>
      </c>
      <c r="CJ128" s="1" t="str">
        <f t="shared" si="697"/>
        <v>ND</v>
      </c>
      <c r="CK128" s="1" t="str">
        <f t="shared" si="697"/>
        <v>ND</v>
      </c>
      <c r="CL128" s="1" t="str">
        <f t="shared" si="698"/>
        <v>ND</v>
      </c>
      <c r="CM128" s="1" t="str">
        <f t="shared" si="698"/>
        <v>ND</v>
      </c>
      <c r="CN128" s="1" t="str">
        <f t="shared" si="698"/>
        <v>ND</v>
      </c>
      <c r="CO128" s="1" t="str">
        <f t="shared" si="698"/>
        <v>ND</v>
      </c>
      <c r="CP128" s="1" t="str">
        <f t="shared" si="698"/>
        <v>ND</v>
      </c>
      <c r="CQ128" s="1" t="str">
        <f t="shared" si="698"/>
        <v>ND</v>
      </c>
      <c r="CR128" s="1" t="str">
        <f t="shared" si="698"/>
        <v>ND</v>
      </c>
      <c r="CS128" s="1" t="str">
        <f t="shared" si="698"/>
        <v>ND</v>
      </c>
      <c r="CT128" s="1" t="str">
        <f t="shared" si="698"/>
        <v>ND</v>
      </c>
      <c r="CU128" s="1" t="str">
        <f t="shared" si="698"/>
        <v>ND</v>
      </c>
      <c r="CV128" s="1" t="str">
        <f t="shared" si="698"/>
        <v>ND</v>
      </c>
      <c r="CW128" s="1" t="str">
        <f t="shared" si="579"/>
        <v>ND</v>
      </c>
      <c r="CX128" s="1" t="str">
        <f t="shared" si="580"/>
        <v>ND</v>
      </c>
      <c r="CY128" s="1" t="str">
        <f t="shared" si="581"/>
        <v>ND</v>
      </c>
      <c r="CZ128" s="1" t="str">
        <f t="shared" si="582"/>
        <v>ND</v>
      </c>
      <c r="DA128" s="1" t="str">
        <f t="shared" si="583"/>
        <v>ND</v>
      </c>
      <c r="DB128" s="1" t="str">
        <f t="shared" si="584"/>
        <v>ND</v>
      </c>
      <c r="DC128" s="1" t="str">
        <f t="shared" si="585"/>
        <v>ND</v>
      </c>
      <c r="DD128" s="1" t="str">
        <f t="shared" si="586"/>
        <v>ND</v>
      </c>
      <c r="DE128" s="1" t="str">
        <f t="shared" si="587"/>
        <v>ND</v>
      </c>
      <c r="DF128" s="1" t="str">
        <f t="shared" si="588"/>
        <v>ND</v>
      </c>
      <c r="DG128" s="1" t="str">
        <f t="shared" si="589"/>
        <v>ND</v>
      </c>
      <c r="DH128" s="1" t="str">
        <f t="shared" si="590"/>
        <v>ND</v>
      </c>
      <c r="DI128" s="1" t="str">
        <f t="shared" si="591"/>
        <v>ND</v>
      </c>
      <c r="DJ128" s="1" t="str">
        <f t="shared" si="592"/>
        <v>ND</v>
      </c>
      <c r="DK128" s="1" t="str">
        <f t="shared" si="593"/>
        <v>ND</v>
      </c>
      <c r="DL128" s="1" t="str">
        <f t="shared" si="594"/>
        <v>ND</v>
      </c>
      <c r="DM128" s="1" t="str">
        <f t="shared" si="595"/>
        <v>ND</v>
      </c>
      <c r="DN128" s="1" t="str">
        <f t="shared" si="596"/>
        <v>ND</v>
      </c>
      <c r="DO128" s="1" t="str">
        <f t="shared" si="597"/>
        <v>ND</v>
      </c>
      <c r="DP128" s="1" t="str">
        <f t="shared" si="598"/>
        <v>ND</v>
      </c>
      <c r="DQ128" s="1" t="str">
        <f t="shared" si="599"/>
        <v>ND</v>
      </c>
      <c r="DR128" s="1" t="str">
        <f t="shared" si="600"/>
        <v>ND</v>
      </c>
      <c r="DS128" s="1" t="str">
        <f t="shared" si="601"/>
        <v>ND</v>
      </c>
      <c r="DT128" s="1" t="str">
        <f t="shared" si="602"/>
        <v>ND</v>
      </c>
      <c r="DU128" s="1" t="str">
        <f t="shared" si="603"/>
        <v>ND</v>
      </c>
      <c r="DV128" s="1" t="str">
        <f t="shared" si="604"/>
        <v>ND</v>
      </c>
      <c r="DW128" s="1" t="str">
        <f t="shared" si="605"/>
        <v>ND</v>
      </c>
      <c r="DX128" s="1" t="str">
        <f t="shared" si="606"/>
        <v>ND</v>
      </c>
      <c r="DY128" s="1" t="str">
        <f t="shared" si="607"/>
        <v>ND</v>
      </c>
      <c r="DZ128" s="1" t="str">
        <f t="shared" si="608"/>
        <v>ND</v>
      </c>
      <c r="EA128" s="1" t="str">
        <f t="shared" si="609"/>
        <v>ND</v>
      </c>
      <c r="EB128" s="1" t="str">
        <f t="shared" si="610"/>
        <v>ND</v>
      </c>
      <c r="EC128" s="1" t="str">
        <f t="shared" si="611"/>
        <v>ND</v>
      </c>
      <c r="ED128" s="1" t="str">
        <f t="shared" si="612"/>
        <v>ND</v>
      </c>
      <c r="EE128" s="1" t="str">
        <f t="shared" si="613"/>
        <v>ND</v>
      </c>
      <c r="EF128" s="1" t="str">
        <f t="shared" si="614"/>
        <v>ND</v>
      </c>
      <c r="EG128" s="1" t="str">
        <f t="shared" si="615"/>
        <v>ND</v>
      </c>
      <c r="EH128" s="1" t="str">
        <f t="shared" si="616"/>
        <v>ND</v>
      </c>
      <c r="EI128" s="1" t="str">
        <f t="shared" si="617"/>
        <v>ND</v>
      </c>
      <c r="EJ128" s="1" t="str">
        <f t="shared" si="618"/>
        <v>ND</v>
      </c>
      <c r="EK128" s="1" t="str">
        <f t="shared" si="619"/>
        <v>ND</v>
      </c>
      <c r="EL128" s="1" t="str">
        <f t="shared" si="620"/>
        <v>ND</v>
      </c>
      <c r="EM128" s="1" t="str">
        <f t="shared" si="621"/>
        <v>ND</v>
      </c>
      <c r="EN128" s="1" t="str">
        <f t="shared" si="622"/>
        <v>ND</v>
      </c>
      <c r="EO128" s="1" t="str">
        <f t="shared" si="699"/>
        <v>ND</v>
      </c>
      <c r="EP128" s="1" t="str">
        <f t="shared" si="699"/>
        <v>ND</v>
      </c>
      <c r="EQ128" s="1" t="str">
        <f t="shared" si="699"/>
        <v>ND</v>
      </c>
      <c r="ER128" s="1" t="str">
        <f t="shared" si="699"/>
        <v>ND</v>
      </c>
      <c r="ES128" s="1" t="str">
        <f t="shared" si="699"/>
        <v>ND</v>
      </c>
      <c r="ET128" s="1" t="str">
        <f t="shared" si="699"/>
        <v>ND</v>
      </c>
      <c r="EU128" s="1" t="str">
        <f t="shared" si="699"/>
        <v>ND</v>
      </c>
      <c r="EV128" s="1" t="str">
        <f t="shared" si="699"/>
        <v>ND</v>
      </c>
      <c r="EW128" s="1" t="str">
        <f t="shared" si="699"/>
        <v>ND</v>
      </c>
      <c r="EX128" s="1" t="str">
        <f t="shared" si="699"/>
        <v>ND</v>
      </c>
      <c r="EY128" s="1" t="str">
        <f t="shared" si="699"/>
        <v>ND</v>
      </c>
      <c r="EZ128" s="1" t="str">
        <f t="shared" si="700"/>
        <v>ND</v>
      </c>
      <c r="FA128" s="1" t="str">
        <f t="shared" si="700"/>
        <v>ND</v>
      </c>
      <c r="FB128" s="1" t="str">
        <f t="shared" si="700"/>
        <v>ND</v>
      </c>
      <c r="FC128" s="1" t="str">
        <f t="shared" si="700"/>
        <v>ND</v>
      </c>
      <c r="FD128" s="1" t="str">
        <f t="shared" si="700"/>
        <v>ND</v>
      </c>
      <c r="FE128" s="1" t="str">
        <f t="shared" si="700"/>
        <v>ND</v>
      </c>
      <c r="FF128" s="1" t="str">
        <f t="shared" si="700"/>
        <v>ND</v>
      </c>
      <c r="FG128" s="1" t="str">
        <f t="shared" si="700"/>
        <v>ND</v>
      </c>
      <c r="FH128" s="1" t="str">
        <f t="shared" si="700"/>
        <v>ND</v>
      </c>
      <c r="FI128" s="1" t="str">
        <f t="shared" si="700"/>
        <v>ND</v>
      </c>
      <c r="FJ128" s="1" t="str">
        <f t="shared" si="700"/>
        <v>ND</v>
      </c>
      <c r="FK128" s="1" t="str">
        <f t="shared" si="701"/>
        <v>ND</v>
      </c>
      <c r="FL128" s="1" t="str">
        <f t="shared" si="701"/>
        <v>ND</v>
      </c>
      <c r="FM128" s="1" t="str">
        <f t="shared" si="701"/>
        <v>ND</v>
      </c>
      <c r="FN128" s="1" t="str">
        <f t="shared" si="701"/>
        <v>ND</v>
      </c>
      <c r="FO128" s="1" t="str">
        <f t="shared" si="701"/>
        <v>ND</v>
      </c>
      <c r="FP128" s="1" t="str">
        <f t="shared" si="701"/>
        <v>ND</v>
      </c>
      <c r="FQ128" s="1" t="str">
        <f t="shared" si="701"/>
        <v>ND</v>
      </c>
      <c r="FR128" s="1" t="str">
        <f t="shared" si="701"/>
        <v>ND</v>
      </c>
      <c r="FS128" s="1" t="str">
        <f t="shared" si="701"/>
        <v>ND</v>
      </c>
      <c r="FT128" s="1" t="str">
        <f t="shared" si="701"/>
        <v>ND</v>
      </c>
      <c r="FU128" s="1" t="str">
        <f t="shared" si="701"/>
        <v>ND</v>
      </c>
      <c r="FV128" s="1" t="str">
        <f t="shared" si="623"/>
        <v>ND</v>
      </c>
      <c r="FW128" s="1" t="str">
        <f t="shared" si="624"/>
        <v>ND</v>
      </c>
      <c r="FX128" s="1" t="str">
        <f t="shared" si="625"/>
        <v>ND</v>
      </c>
      <c r="FY128" s="1" t="str">
        <f t="shared" si="626"/>
        <v>ND</v>
      </c>
      <c r="FZ128" s="1" t="str">
        <f t="shared" si="627"/>
        <v>ND</v>
      </c>
      <c r="GA128" s="1" t="str">
        <f t="shared" si="628"/>
        <v>ND</v>
      </c>
      <c r="GB128" s="1" t="str">
        <f t="shared" si="629"/>
        <v>ND</v>
      </c>
      <c r="GC128" s="1" t="str">
        <f t="shared" si="630"/>
        <v>ND</v>
      </c>
      <c r="GD128" s="1" t="str">
        <f t="shared" si="631"/>
        <v>ND</v>
      </c>
      <c r="GE128" s="1" t="str">
        <f t="shared" si="632"/>
        <v>ND</v>
      </c>
      <c r="GF128" s="1" t="str">
        <f t="shared" si="633"/>
        <v>ND</v>
      </c>
      <c r="GG128" s="1" t="str">
        <f t="shared" si="634"/>
        <v>ND</v>
      </c>
      <c r="GH128" s="1" t="str">
        <f t="shared" si="635"/>
        <v>ND</v>
      </c>
      <c r="GI128" s="1" t="str">
        <f t="shared" si="636"/>
        <v>ND</v>
      </c>
      <c r="GJ128" s="1" t="str">
        <f t="shared" si="637"/>
        <v>ND</v>
      </c>
      <c r="GK128" s="1" t="str">
        <f t="shared" si="638"/>
        <v>ND</v>
      </c>
      <c r="GL128" s="1" t="str">
        <f t="shared" si="639"/>
        <v>ND</v>
      </c>
      <c r="GM128" s="1" t="str">
        <f t="shared" si="640"/>
        <v>ND</v>
      </c>
      <c r="GN128" s="1" t="str">
        <f t="shared" si="641"/>
        <v>ND</v>
      </c>
      <c r="GO128" s="1" t="str">
        <f t="shared" si="642"/>
        <v>ND</v>
      </c>
      <c r="GP128" s="1" t="str">
        <f t="shared" si="643"/>
        <v>ND</v>
      </c>
      <c r="GQ128" s="1" t="str">
        <f t="shared" si="644"/>
        <v>ND</v>
      </c>
      <c r="GR128" s="1" t="str">
        <f t="shared" si="645"/>
        <v>ND</v>
      </c>
      <c r="GS128" s="1" t="str">
        <f t="shared" si="646"/>
        <v>ND</v>
      </c>
      <c r="GT128" s="1" t="str">
        <f t="shared" si="647"/>
        <v>ND</v>
      </c>
      <c r="GU128" s="1" t="str">
        <f t="shared" si="648"/>
        <v>ND</v>
      </c>
      <c r="GV128" s="1" t="str">
        <f t="shared" si="649"/>
        <v>ND</v>
      </c>
      <c r="GW128" s="1" t="str">
        <f t="shared" si="650"/>
        <v>ND</v>
      </c>
      <c r="GX128" s="1" t="str">
        <f t="shared" si="651"/>
        <v>ND</v>
      </c>
      <c r="GY128" s="1" t="str">
        <f t="shared" si="652"/>
        <v>ND</v>
      </c>
      <c r="GZ128" s="1" t="str">
        <f t="shared" si="653"/>
        <v>ND</v>
      </c>
      <c r="HA128" s="1" t="str">
        <f t="shared" si="654"/>
        <v>ND</v>
      </c>
      <c r="HB128" s="1" t="str">
        <f t="shared" si="655"/>
        <v>ND</v>
      </c>
      <c r="HC128" s="1" t="str">
        <f t="shared" si="656"/>
        <v>ND</v>
      </c>
      <c r="HD128" s="1" t="str">
        <f t="shared" si="657"/>
        <v>ND</v>
      </c>
      <c r="HE128" s="1" t="str">
        <f t="shared" si="658"/>
        <v>ND</v>
      </c>
      <c r="HF128" s="1" t="str">
        <f t="shared" si="659"/>
        <v>ND</v>
      </c>
      <c r="HG128" s="1" t="str">
        <f t="shared" si="660"/>
        <v>ND</v>
      </c>
      <c r="HH128" s="1" t="str">
        <f t="shared" si="661"/>
        <v>ND</v>
      </c>
      <c r="HI128" s="1" t="str">
        <f t="shared" si="662"/>
        <v>ND</v>
      </c>
      <c r="HJ128" s="1" t="str">
        <f t="shared" si="663"/>
        <v>ND</v>
      </c>
      <c r="HK128" s="1" t="str">
        <f t="shared" si="664"/>
        <v>ND</v>
      </c>
      <c r="HL128" s="1" t="str">
        <f t="shared" si="665"/>
        <v>ND</v>
      </c>
      <c r="HM128" s="1" t="str">
        <f t="shared" si="666"/>
        <v>ND</v>
      </c>
      <c r="HN128" s="1" t="str">
        <f t="shared" si="667"/>
        <v>ND</v>
      </c>
      <c r="HO128" s="1" t="str">
        <f t="shared" si="668"/>
        <v>ND</v>
      </c>
      <c r="HP128" s="1" t="str">
        <f t="shared" si="669"/>
        <v>ND</v>
      </c>
      <c r="HQ128" s="1" t="str">
        <f t="shared" si="670"/>
        <v>ND</v>
      </c>
      <c r="HR128" s="1" t="str">
        <f t="shared" si="671"/>
        <v>ND</v>
      </c>
      <c r="HS128" s="1" t="str">
        <f t="shared" si="672"/>
        <v>ND</v>
      </c>
      <c r="HT128" s="1" t="str">
        <f t="shared" si="673"/>
        <v>ND</v>
      </c>
      <c r="HU128" s="1" t="str">
        <f t="shared" si="674"/>
        <v>ND</v>
      </c>
      <c r="HV128" s="1" t="str">
        <f t="shared" si="675"/>
        <v>ND</v>
      </c>
      <c r="HW128" s="1" t="str">
        <f t="shared" si="676"/>
        <v>ND</v>
      </c>
      <c r="HX128" s="1" t="str">
        <f t="shared" si="677"/>
        <v>ND</v>
      </c>
      <c r="HY128" s="1" t="str">
        <f t="shared" si="678"/>
        <v>ND</v>
      </c>
      <c r="HZ128" s="1" t="str">
        <f t="shared" si="679"/>
        <v>ND</v>
      </c>
      <c r="IA128" s="1" t="str">
        <f t="shared" si="680"/>
        <v>ND</v>
      </c>
      <c r="IB128" s="1" t="str">
        <f t="shared" si="681"/>
        <v>ND</v>
      </c>
      <c r="IC128" s="1" t="str">
        <f t="shared" si="682"/>
        <v>ND</v>
      </c>
      <c r="ID128" s="1" t="str">
        <f t="shared" si="683"/>
        <v>ND</v>
      </c>
      <c r="IE128" s="1" t="str">
        <f t="shared" si="684"/>
        <v>ND</v>
      </c>
      <c r="IF128" s="1" t="str">
        <f t="shared" si="685"/>
        <v>ND</v>
      </c>
      <c r="IG128" s="1" t="str">
        <f t="shared" si="686"/>
        <v>ND</v>
      </c>
      <c r="IH128" s="1" t="str">
        <f t="shared" si="687"/>
        <v>ND</v>
      </c>
      <c r="II128" s="1" t="str">
        <f t="shared" si="688"/>
        <v>ND</v>
      </c>
    </row>
    <row r="129" spans="3:243" x14ac:dyDescent="0.25">
      <c r="C129" t="s">
        <v>135</v>
      </c>
      <c r="D129">
        <f>SUMIFS(DICCIONARIO[Cantidad],DICCIONARIO[Modelo],UNIFICADA[[#This Row],[Equipo]])</f>
        <v>0</v>
      </c>
      <c r="E129" s="1">
        <f>IFERROR(VLOOKUP($C129,EQUIPOS[],UNIFICADO!E$9,0),"")</f>
        <v>12</v>
      </c>
      <c r="F129" s="1">
        <f>IFERROR(VLOOKUP($C129,EQUIPOS[],UNIFICADO!F$9,0),"")</f>
        <v>6.52</v>
      </c>
      <c r="G129" s="1">
        <f>IFERROR(VLOOKUP($C129,EQUIPOS[],UNIFICADO!G$9,0),"")</f>
        <v>8</v>
      </c>
      <c r="H129" s="1">
        <f>IFERROR(VLOOKUP($C129,EQUIPOS[],UNIFICADO!H$9,0),"")</f>
        <v>2</v>
      </c>
      <c r="I129" s="1">
        <f>IFERROR(VLOOKUP($C129,EQUIPOS[],UNIFICADO!I$9,0),"")</f>
        <v>5</v>
      </c>
      <c r="J129" s="1" t="str">
        <f>IFERROR(VLOOKUP($C129,EQUIPOS[],UNIFICADO!J$9,0),"")</f>
        <v>32GB</v>
      </c>
      <c r="K129" s="1">
        <f>IFERROR(VLOOKUP($C129,EQUIPOS[],UNIFICADO!K$9,0),"")</f>
        <v>1024</v>
      </c>
      <c r="L129" s="1">
        <f>IFERROR(VLOOKUP($C129,EQUIPOS[],UNIFICADO!L$9,0),"")</f>
        <v>8</v>
      </c>
      <c r="M129" s="1">
        <f>IFERROR(VLOOKUP($C129,EQUIPOS[],UNIFICADO!M$9,0),"")</f>
        <v>2.2000000000000002</v>
      </c>
      <c r="N129" s="1">
        <f>IFERROR(VLOOKUP($C129,EQUIPOS[],UNIFICADO!N$9,0),"")</f>
        <v>2</v>
      </c>
      <c r="O129" s="1">
        <f>IFERROR(VLOOKUP($C129,EQUIPOS[],UNIFICADO!O$9,0),"")</f>
        <v>192</v>
      </c>
      <c r="P129" s="1">
        <f>IFERROR(VLOOKUP($C129,EQUIPOS[],UNIFICADO!P$9,0),"")</f>
        <v>16.5</v>
      </c>
      <c r="Q129" s="1">
        <f>IFERROR(VLOOKUP($C129,EQUIPOS[],UNIFICADO!Q$9,0),"")</f>
        <v>7.68</v>
      </c>
      <c r="R129" s="1">
        <f>IFERROR(VLOOKUP($C129,EQUIPOS[],UNIFICADO!R$9,0),"")</f>
        <v>0.91</v>
      </c>
      <c r="S129" s="1">
        <f>IFERROR(VLOOKUP($C129,EQUIPOS[],UNIFICADO!S$9,0),"")</f>
        <v>5000</v>
      </c>
      <c r="T129" s="1">
        <f>IFERROR(VLOOKUP($C129,EQUIPOS[],UNIFICADO!T$9,0),"")</f>
        <v>4</v>
      </c>
      <c r="U129" s="1">
        <f>VLOOKUP(UNIFICADA[[#This Row],[Equipo]],EQUIPOS[],19,0)</f>
        <v>119</v>
      </c>
      <c r="V129" s="1" t="str">
        <f t="shared" si="533"/>
        <v>ND</v>
      </c>
      <c r="W129" s="1" t="str">
        <f t="shared" si="534"/>
        <v>ND</v>
      </c>
      <c r="X129" s="1" t="str">
        <f t="shared" si="689"/>
        <v>ND</v>
      </c>
      <c r="Y129" s="1" t="str">
        <f t="shared" si="689"/>
        <v>ND</v>
      </c>
      <c r="Z129" s="1" t="str">
        <f t="shared" si="696"/>
        <v>ND</v>
      </c>
      <c r="AA129" s="1" t="str">
        <f t="shared" si="696"/>
        <v>ND</v>
      </c>
      <c r="AB129" s="1" t="str">
        <f t="shared" si="696"/>
        <v>ND</v>
      </c>
      <c r="AC129" s="1" t="str">
        <f t="shared" si="696"/>
        <v>ND</v>
      </c>
      <c r="AD129" s="1" t="str">
        <f t="shared" si="696"/>
        <v>ND</v>
      </c>
      <c r="AE129" s="1" t="str">
        <f t="shared" si="696"/>
        <v>ND</v>
      </c>
      <c r="AF129" s="1" t="str">
        <f t="shared" si="696"/>
        <v>ND</v>
      </c>
      <c r="AG129" s="1" t="str">
        <f t="shared" si="696"/>
        <v>ND</v>
      </c>
      <c r="AH129" s="1" t="str">
        <f t="shared" si="696"/>
        <v>ND</v>
      </c>
      <c r="AI129" s="1" t="str">
        <f t="shared" si="535"/>
        <v>ND</v>
      </c>
      <c r="AJ129" s="1" t="str">
        <f t="shared" si="536"/>
        <v>ND</v>
      </c>
      <c r="AK129" s="1" t="str">
        <f t="shared" si="537"/>
        <v>ND</v>
      </c>
      <c r="AL129" s="1" t="str">
        <f t="shared" si="538"/>
        <v>ND</v>
      </c>
      <c r="AM129" s="1" t="str">
        <f t="shared" si="539"/>
        <v>ND</v>
      </c>
      <c r="AN129" s="1" t="str">
        <f t="shared" si="540"/>
        <v>ND</v>
      </c>
      <c r="AO129" s="1" t="str">
        <f t="shared" si="541"/>
        <v>ND</v>
      </c>
      <c r="AP129" s="1" t="str">
        <f t="shared" si="542"/>
        <v>ND</v>
      </c>
      <c r="AQ129" s="1" t="str">
        <f t="shared" si="543"/>
        <v>ND</v>
      </c>
      <c r="AR129" s="1" t="str">
        <f t="shared" si="544"/>
        <v>ND</v>
      </c>
      <c r="AS129" s="1" t="str">
        <f t="shared" si="545"/>
        <v>ND</v>
      </c>
      <c r="AT129" s="1" t="str">
        <f t="shared" si="546"/>
        <v>ND</v>
      </c>
      <c r="AU129" s="1" t="str">
        <f t="shared" si="547"/>
        <v>ND</v>
      </c>
      <c r="AV129" s="1" t="str">
        <f t="shared" si="548"/>
        <v>ND</v>
      </c>
      <c r="AW129" s="1" t="str">
        <f t="shared" si="549"/>
        <v>ND</v>
      </c>
      <c r="AX129" s="1" t="str">
        <f t="shared" si="550"/>
        <v>ND</v>
      </c>
      <c r="AY129" s="1" t="str">
        <f t="shared" si="551"/>
        <v>ND</v>
      </c>
      <c r="AZ129" s="1" t="str">
        <f t="shared" si="552"/>
        <v>ND</v>
      </c>
      <c r="BA129" s="1" t="str">
        <f t="shared" si="553"/>
        <v>ND</v>
      </c>
      <c r="BB129" s="1" t="str">
        <f t="shared" si="554"/>
        <v>ND</v>
      </c>
      <c r="BC129" s="1" t="str">
        <f t="shared" si="555"/>
        <v>ND</v>
      </c>
      <c r="BD129" s="1" t="str">
        <f t="shared" si="556"/>
        <v>ND</v>
      </c>
      <c r="BE129" s="1" t="str">
        <f t="shared" si="557"/>
        <v>ND</v>
      </c>
      <c r="BF129" s="1" t="str">
        <f t="shared" si="558"/>
        <v>ND</v>
      </c>
      <c r="BG129" s="1" t="str">
        <f t="shared" si="559"/>
        <v>ND</v>
      </c>
      <c r="BH129" s="1" t="str">
        <f t="shared" si="560"/>
        <v>ND</v>
      </c>
      <c r="BI129" s="1" t="str">
        <f t="shared" si="561"/>
        <v>ND</v>
      </c>
      <c r="BJ129" s="1" t="str">
        <f t="shared" si="562"/>
        <v>ND</v>
      </c>
      <c r="BK129" s="1" t="str">
        <f t="shared" si="563"/>
        <v>ND</v>
      </c>
      <c r="BL129" s="1" t="str">
        <f t="shared" si="564"/>
        <v>ND</v>
      </c>
      <c r="BM129" s="1" t="str">
        <f t="shared" si="565"/>
        <v>ND</v>
      </c>
      <c r="BN129" s="1" t="str">
        <f t="shared" si="566"/>
        <v>ND</v>
      </c>
      <c r="BO129" s="1" t="str">
        <f t="shared" si="567"/>
        <v>ND</v>
      </c>
      <c r="BP129" s="1" t="str">
        <f t="shared" si="568"/>
        <v>ND</v>
      </c>
      <c r="BQ129" s="1" t="str">
        <f t="shared" si="569"/>
        <v>ND</v>
      </c>
      <c r="BR129" s="1" t="str">
        <f t="shared" si="570"/>
        <v>ND</v>
      </c>
      <c r="BS129" s="1" t="str">
        <f t="shared" si="571"/>
        <v>ND</v>
      </c>
      <c r="BT129" s="1" t="str">
        <f t="shared" si="572"/>
        <v>ND</v>
      </c>
      <c r="BU129" s="1" t="str">
        <f t="shared" si="573"/>
        <v>ND</v>
      </c>
      <c r="BV129" s="1" t="str">
        <f t="shared" si="574"/>
        <v>ND</v>
      </c>
      <c r="BW129" s="1" t="str">
        <f t="shared" si="575"/>
        <v>ND</v>
      </c>
      <c r="BX129" s="1" t="str">
        <f t="shared" si="576"/>
        <v>ND</v>
      </c>
      <c r="BY129" s="1" t="str">
        <f t="shared" si="577"/>
        <v>ND</v>
      </c>
      <c r="BZ129" s="1" t="str">
        <f t="shared" si="578"/>
        <v>ND</v>
      </c>
      <c r="CA129" s="1" t="str">
        <f t="shared" si="697"/>
        <v>ND</v>
      </c>
      <c r="CB129" s="1" t="str">
        <f t="shared" si="697"/>
        <v>ND</v>
      </c>
      <c r="CC129" s="1" t="str">
        <f t="shared" si="697"/>
        <v>ND</v>
      </c>
      <c r="CD129" s="1" t="str">
        <f t="shared" si="697"/>
        <v>ND</v>
      </c>
      <c r="CE129" s="1" t="str">
        <f t="shared" si="697"/>
        <v>ND</v>
      </c>
      <c r="CF129" s="1" t="str">
        <f t="shared" si="697"/>
        <v>ND</v>
      </c>
      <c r="CG129" s="1" t="str">
        <f t="shared" si="697"/>
        <v>ND</v>
      </c>
      <c r="CH129" s="1" t="str">
        <f t="shared" si="697"/>
        <v>ND</v>
      </c>
      <c r="CI129" s="1" t="str">
        <f t="shared" si="697"/>
        <v>ND</v>
      </c>
      <c r="CJ129" s="1" t="str">
        <f t="shared" si="697"/>
        <v>ND</v>
      </c>
      <c r="CK129" s="1" t="str">
        <f t="shared" si="697"/>
        <v>ND</v>
      </c>
      <c r="CL129" s="1" t="str">
        <f t="shared" si="698"/>
        <v>ND</v>
      </c>
      <c r="CM129" s="1" t="str">
        <f t="shared" si="698"/>
        <v>ND</v>
      </c>
      <c r="CN129" s="1" t="str">
        <f t="shared" si="698"/>
        <v>ND</v>
      </c>
      <c r="CO129" s="1" t="str">
        <f t="shared" si="698"/>
        <v>ND</v>
      </c>
      <c r="CP129" s="1" t="str">
        <f t="shared" si="698"/>
        <v>ND</v>
      </c>
      <c r="CQ129" s="1" t="str">
        <f t="shared" si="698"/>
        <v>ND</v>
      </c>
      <c r="CR129" s="1" t="str">
        <f t="shared" si="698"/>
        <v>ND</v>
      </c>
      <c r="CS129" s="1" t="str">
        <f t="shared" si="698"/>
        <v>ND</v>
      </c>
      <c r="CT129" s="1" t="str">
        <f t="shared" si="698"/>
        <v>ND</v>
      </c>
      <c r="CU129" s="1" t="str">
        <f t="shared" si="698"/>
        <v>ND</v>
      </c>
      <c r="CV129" s="1" t="str">
        <f t="shared" si="698"/>
        <v>ND</v>
      </c>
      <c r="CW129" s="1" t="str">
        <f t="shared" si="579"/>
        <v>ND</v>
      </c>
      <c r="CX129" s="1" t="str">
        <f t="shared" si="580"/>
        <v>ND</v>
      </c>
      <c r="CY129" s="1" t="str">
        <f t="shared" si="581"/>
        <v>ND</v>
      </c>
      <c r="CZ129" s="1" t="str">
        <f t="shared" si="582"/>
        <v>ND</v>
      </c>
      <c r="DA129" s="1" t="str">
        <f t="shared" si="583"/>
        <v>ND</v>
      </c>
      <c r="DB129" s="1" t="str">
        <f t="shared" si="584"/>
        <v>ND</v>
      </c>
      <c r="DC129" s="1" t="str">
        <f t="shared" si="585"/>
        <v>ND</v>
      </c>
      <c r="DD129" s="1" t="str">
        <f t="shared" si="586"/>
        <v>ND</v>
      </c>
      <c r="DE129" s="1" t="str">
        <f t="shared" si="587"/>
        <v>ND</v>
      </c>
      <c r="DF129" s="1" t="str">
        <f t="shared" si="588"/>
        <v>ND</v>
      </c>
      <c r="DG129" s="1" t="str">
        <f t="shared" si="589"/>
        <v>ND</v>
      </c>
      <c r="DH129" s="1" t="str">
        <f t="shared" si="590"/>
        <v>ND</v>
      </c>
      <c r="DI129" s="1" t="str">
        <f t="shared" si="591"/>
        <v>ND</v>
      </c>
      <c r="DJ129" s="1" t="str">
        <f t="shared" si="592"/>
        <v>ND</v>
      </c>
      <c r="DK129" s="1" t="str">
        <f t="shared" si="593"/>
        <v>ND</v>
      </c>
      <c r="DL129" s="1" t="str">
        <f t="shared" si="594"/>
        <v>ND</v>
      </c>
      <c r="DM129" s="1" t="str">
        <f t="shared" si="595"/>
        <v>ND</v>
      </c>
      <c r="DN129" s="1" t="str">
        <f t="shared" si="596"/>
        <v>ND</v>
      </c>
      <c r="DO129" s="1" t="str">
        <f t="shared" si="597"/>
        <v>ND</v>
      </c>
      <c r="DP129" s="1" t="str">
        <f t="shared" si="598"/>
        <v>ND</v>
      </c>
      <c r="DQ129" s="1" t="str">
        <f t="shared" si="599"/>
        <v>ND</v>
      </c>
      <c r="DR129" s="1" t="str">
        <f t="shared" si="600"/>
        <v>ND</v>
      </c>
      <c r="DS129" s="1" t="str">
        <f t="shared" si="601"/>
        <v>ND</v>
      </c>
      <c r="DT129" s="1" t="str">
        <f t="shared" si="602"/>
        <v>ND</v>
      </c>
      <c r="DU129" s="1" t="str">
        <f t="shared" si="603"/>
        <v>ND</v>
      </c>
      <c r="DV129" s="1" t="str">
        <f t="shared" si="604"/>
        <v>ND</v>
      </c>
      <c r="DW129" s="1" t="str">
        <f t="shared" si="605"/>
        <v>ND</v>
      </c>
      <c r="DX129" s="1" t="str">
        <f t="shared" si="606"/>
        <v>ND</v>
      </c>
      <c r="DY129" s="1" t="str">
        <f t="shared" si="607"/>
        <v>ND</v>
      </c>
      <c r="DZ129" s="1" t="str">
        <f t="shared" si="608"/>
        <v>ND</v>
      </c>
      <c r="EA129" s="1" t="str">
        <f t="shared" si="609"/>
        <v>ND</v>
      </c>
      <c r="EB129" s="1" t="str">
        <f t="shared" si="610"/>
        <v>ND</v>
      </c>
      <c r="EC129" s="1" t="str">
        <f t="shared" si="611"/>
        <v>ND</v>
      </c>
      <c r="ED129" s="1" t="str">
        <f t="shared" si="612"/>
        <v>ND</v>
      </c>
      <c r="EE129" s="1" t="str">
        <f t="shared" si="613"/>
        <v>ND</v>
      </c>
      <c r="EF129" s="1" t="str">
        <f t="shared" si="614"/>
        <v>ND</v>
      </c>
      <c r="EG129" s="1" t="str">
        <f t="shared" si="615"/>
        <v>ND</v>
      </c>
      <c r="EH129" s="1" t="str">
        <f t="shared" si="616"/>
        <v>ND</v>
      </c>
      <c r="EI129" s="1" t="str">
        <f t="shared" si="617"/>
        <v>ND</v>
      </c>
      <c r="EJ129" s="1" t="str">
        <f t="shared" si="618"/>
        <v>ND</v>
      </c>
      <c r="EK129" s="1" t="str">
        <f t="shared" si="619"/>
        <v>ND</v>
      </c>
      <c r="EL129" s="1" t="str">
        <f t="shared" si="620"/>
        <v>ND</v>
      </c>
      <c r="EM129" s="1" t="str">
        <f t="shared" si="621"/>
        <v>ND</v>
      </c>
      <c r="EN129" s="1" t="str">
        <f t="shared" si="622"/>
        <v>ND</v>
      </c>
      <c r="EO129" s="1" t="str">
        <f t="shared" si="699"/>
        <v>ND</v>
      </c>
      <c r="EP129" s="1" t="str">
        <f t="shared" si="699"/>
        <v>ND</v>
      </c>
      <c r="EQ129" s="1" t="str">
        <f t="shared" si="699"/>
        <v>ND</v>
      </c>
      <c r="ER129" s="1" t="str">
        <f t="shared" si="699"/>
        <v>ND</v>
      </c>
      <c r="ES129" s="1" t="str">
        <f t="shared" si="699"/>
        <v>ND</v>
      </c>
      <c r="ET129" s="1" t="str">
        <f t="shared" si="699"/>
        <v>ND</v>
      </c>
      <c r="EU129" s="1" t="str">
        <f t="shared" si="699"/>
        <v>ND</v>
      </c>
      <c r="EV129" s="1" t="str">
        <f t="shared" si="699"/>
        <v>ND</v>
      </c>
      <c r="EW129" s="1" t="str">
        <f t="shared" si="699"/>
        <v>ND</v>
      </c>
      <c r="EX129" s="1" t="str">
        <f t="shared" si="699"/>
        <v>ND</v>
      </c>
      <c r="EY129" s="1" t="str">
        <f t="shared" si="699"/>
        <v>ND</v>
      </c>
      <c r="EZ129" s="1" t="str">
        <f t="shared" si="700"/>
        <v>ND</v>
      </c>
      <c r="FA129" s="1" t="str">
        <f t="shared" si="700"/>
        <v>ND</v>
      </c>
      <c r="FB129" s="1" t="str">
        <f t="shared" si="700"/>
        <v>ND</v>
      </c>
      <c r="FC129" s="1" t="str">
        <f t="shared" si="700"/>
        <v>ND</v>
      </c>
      <c r="FD129" s="1" t="str">
        <f t="shared" si="700"/>
        <v>ND</v>
      </c>
      <c r="FE129" s="1" t="str">
        <f t="shared" si="700"/>
        <v>ND</v>
      </c>
      <c r="FF129" s="1" t="str">
        <f t="shared" si="700"/>
        <v>ND</v>
      </c>
      <c r="FG129" s="1" t="str">
        <f t="shared" si="700"/>
        <v>ND</v>
      </c>
      <c r="FH129" s="1" t="str">
        <f t="shared" si="700"/>
        <v>ND</v>
      </c>
      <c r="FI129" s="1" t="str">
        <f t="shared" si="700"/>
        <v>ND</v>
      </c>
      <c r="FJ129" s="1" t="str">
        <f t="shared" si="700"/>
        <v>ND</v>
      </c>
      <c r="FK129" s="1" t="str">
        <f t="shared" si="701"/>
        <v>ND</v>
      </c>
      <c r="FL129" s="1" t="str">
        <f t="shared" si="701"/>
        <v>ND</v>
      </c>
      <c r="FM129" s="1" t="str">
        <f t="shared" si="701"/>
        <v>ND</v>
      </c>
      <c r="FN129" s="1" t="str">
        <f t="shared" si="701"/>
        <v>ND</v>
      </c>
      <c r="FO129" s="1" t="str">
        <f t="shared" si="701"/>
        <v>ND</v>
      </c>
      <c r="FP129" s="1" t="str">
        <f t="shared" si="701"/>
        <v>ND</v>
      </c>
      <c r="FQ129" s="1" t="str">
        <f t="shared" si="701"/>
        <v>ND</v>
      </c>
      <c r="FR129" s="1" t="str">
        <f t="shared" si="701"/>
        <v>ND</v>
      </c>
      <c r="FS129" s="1" t="str">
        <f t="shared" si="701"/>
        <v>ND</v>
      </c>
      <c r="FT129" s="1" t="str">
        <f t="shared" si="701"/>
        <v>ND</v>
      </c>
      <c r="FU129" s="1" t="str">
        <f t="shared" si="701"/>
        <v>ND</v>
      </c>
      <c r="FV129" s="1" t="str">
        <f t="shared" si="623"/>
        <v>ND</v>
      </c>
      <c r="FW129" s="1" t="str">
        <f t="shared" si="624"/>
        <v>ND</v>
      </c>
      <c r="FX129" s="1" t="str">
        <f t="shared" si="625"/>
        <v>ND</v>
      </c>
      <c r="FY129" s="1" t="str">
        <f t="shared" si="626"/>
        <v>ND</v>
      </c>
      <c r="FZ129" s="1" t="str">
        <f t="shared" si="627"/>
        <v>ND</v>
      </c>
      <c r="GA129" s="1" t="str">
        <f t="shared" si="628"/>
        <v>ND</v>
      </c>
      <c r="GB129" s="1" t="str">
        <f t="shared" si="629"/>
        <v>ND</v>
      </c>
      <c r="GC129" s="1" t="str">
        <f t="shared" si="630"/>
        <v>ND</v>
      </c>
      <c r="GD129" s="1" t="str">
        <f t="shared" si="631"/>
        <v>ND</v>
      </c>
      <c r="GE129" s="1" t="str">
        <f t="shared" si="632"/>
        <v>ND</v>
      </c>
      <c r="GF129" s="1" t="str">
        <f t="shared" si="633"/>
        <v>ND</v>
      </c>
      <c r="GG129" s="1" t="str">
        <f t="shared" si="634"/>
        <v>ND</v>
      </c>
      <c r="GH129" s="1" t="str">
        <f t="shared" si="635"/>
        <v>ND</v>
      </c>
      <c r="GI129" s="1" t="str">
        <f t="shared" si="636"/>
        <v>ND</v>
      </c>
      <c r="GJ129" s="1" t="str">
        <f t="shared" si="637"/>
        <v>ND</v>
      </c>
      <c r="GK129" s="1" t="str">
        <f t="shared" si="638"/>
        <v>ND</v>
      </c>
      <c r="GL129" s="1" t="str">
        <f t="shared" si="639"/>
        <v>ND</v>
      </c>
      <c r="GM129" s="1" t="str">
        <f t="shared" si="640"/>
        <v>ND</v>
      </c>
      <c r="GN129" s="1" t="str">
        <f t="shared" si="641"/>
        <v>ND</v>
      </c>
      <c r="GO129" s="1" t="str">
        <f t="shared" si="642"/>
        <v>ND</v>
      </c>
      <c r="GP129" s="1" t="str">
        <f t="shared" si="643"/>
        <v>ND</v>
      </c>
      <c r="GQ129" s="1" t="str">
        <f t="shared" si="644"/>
        <v>ND</v>
      </c>
      <c r="GR129" s="1" t="str">
        <f t="shared" si="645"/>
        <v>ND</v>
      </c>
      <c r="GS129" s="1" t="str">
        <f t="shared" si="646"/>
        <v>ND</v>
      </c>
      <c r="GT129" s="1" t="str">
        <f t="shared" si="647"/>
        <v>ND</v>
      </c>
      <c r="GU129" s="1" t="str">
        <f t="shared" si="648"/>
        <v>ND</v>
      </c>
      <c r="GV129" s="1" t="str">
        <f t="shared" si="649"/>
        <v>ND</v>
      </c>
      <c r="GW129" s="1" t="str">
        <f t="shared" si="650"/>
        <v>ND</v>
      </c>
      <c r="GX129" s="1" t="str">
        <f t="shared" si="651"/>
        <v>ND</v>
      </c>
      <c r="GY129" s="1" t="str">
        <f t="shared" si="652"/>
        <v>ND</v>
      </c>
      <c r="GZ129" s="1" t="str">
        <f t="shared" si="653"/>
        <v>ND</v>
      </c>
      <c r="HA129" s="1" t="str">
        <f t="shared" si="654"/>
        <v>ND</v>
      </c>
      <c r="HB129" s="1" t="str">
        <f t="shared" si="655"/>
        <v>ND</v>
      </c>
      <c r="HC129" s="1" t="str">
        <f t="shared" si="656"/>
        <v>ND</v>
      </c>
      <c r="HD129" s="1" t="str">
        <f t="shared" si="657"/>
        <v>ND</v>
      </c>
      <c r="HE129" s="1" t="str">
        <f t="shared" si="658"/>
        <v>ND</v>
      </c>
      <c r="HF129" s="1" t="str">
        <f t="shared" si="659"/>
        <v>ND</v>
      </c>
      <c r="HG129" s="1" t="str">
        <f t="shared" si="660"/>
        <v>ND</v>
      </c>
      <c r="HH129" s="1" t="str">
        <f t="shared" si="661"/>
        <v>ND</v>
      </c>
      <c r="HI129" s="1" t="str">
        <f t="shared" si="662"/>
        <v>ND</v>
      </c>
      <c r="HJ129" s="1" t="str">
        <f t="shared" si="663"/>
        <v>ND</v>
      </c>
      <c r="HK129" s="1" t="str">
        <f t="shared" si="664"/>
        <v>ND</v>
      </c>
      <c r="HL129" s="1" t="str">
        <f t="shared" si="665"/>
        <v>ND</v>
      </c>
      <c r="HM129" s="1" t="str">
        <f t="shared" si="666"/>
        <v>ND</v>
      </c>
      <c r="HN129" s="1" t="str">
        <f t="shared" si="667"/>
        <v>ND</v>
      </c>
      <c r="HO129" s="1" t="str">
        <f t="shared" si="668"/>
        <v>ND</v>
      </c>
      <c r="HP129" s="1" t="str">
        <f t="shared" si="669"/>
        <v>ND</v>
      </c>
      <c r="HQ129" s="1" t="str">
        <f t="shared" si="670"/>
        <v>ND</v>
      </c>
      <c r="HR129" s="1" t="str">
        <f t="shared" si="671"/>
        <v>ND</v>
      </c>
      <c r="HS129" s="1" t="str">
        <f t="shared" si="672"/>
        <v>ND</v>
      </c>
      <c r="HT129" s="1" t="str">
        <f t="shared" si="673"/>
        <v>ND</v>
      </c>
      <c r="HU129" s="1" t="str">
        <f t="shared" si="674"/>
        <v>ND</v>
      </c>
      <c r="HV129" s="1" t="str">
        <f t="shared" si="675"/>
        <v>ND</v>
      </c>
      <c r="HW129" s="1" t="str">
        <f t="shared" si="676"/>
        <v>ND</v>
      </c>
      <c r="HX129" s="1" t="str">
        <f t="shared" si="677"/>
        <v>ND</v>
      </c>
      <c r="HY129" s="1" t="str">
        <f t="shared" si="678"/>
        <v>ND</v>
      </c>
      <c r="HZ129" s="1" t="str">
        <f t="shared" si="679"/>
        <v>ND</v>
      </c>
      <c r="IA129" s="1" t="str">
        <f t="shared" si="680"/>
        <v>ND</v>
      </c>
      <c r="IB129" s="1" t="str">
        <f t="shared" si="681"/>
        <v>ND</v>
      </c>
      <c r="IC129" s="1" t="str">
        <f t="shared" si="682"/>
        <v>ND</v>
      </c>
      <c r="ID129" s="1" t="str">
        <f t="shared" si="683"/>
        <v>ND</v>
      </c>
      <c r="IE129" s="1" t="str">
        <f t="shared" si="684"/>
        <v>ND</v>
      </c>
      <c r="IF129" s="1" t="str">
        <f t="shared" si="685"/>
        <v>ND</v>
      </c>
      <c r="IG129" s="1" t="str">
        <f t="shared" si="686"/>
        <v>ND</v>
      </c>
      <c r="IH129" s="1" t="str">
        <f t="shared" si="687"/>
        <v>ND</v>
      </c>
      <c r="II129" s="1" t="str">
        <f t="shared" si="688"/>
        <v>ND</v>
      </c>
    </row>
    <row r="130" spans="3:243" x14ac:dyDescent="0.25">
      <c r="C130" t="s">
        <v>1053</v>
      </c>
      <c r="D130">
        <f>SUMIFS(DICCIONARIO[Cantidad],DICCIONARIO[Modelo],UNIFICADA[[#This Row],[Equipo]])</f>
        <v>9</v>
      </c>
      <c r="E130" s="1">
        <f>IFERROR(VLOOKUP($C130,EQUIPOS[],UNIFICADO!E$9,0),"")</f>
        <v>12</v>
      </c>
      <c r="F130" s="1">
        <f>IFERROR(VLOOKUP($C130,EQUIPOS[],UNIFICADO!F$9,0),"")</f>
        <v>6.52</v>
      </c>
      <c r="G130" s="1">
        <f>IFERROR(VLOOKUP($C130,EQUIPOS[],UNIFICADO!G$9,0),"")</f>
        <v>8</v>
      </c>
      <c r="H130" s="1">
        <f>IFERROR(VLOOKUP($C130,EQUIPOS[],UNIFICADO!H$9,0),"")</f>
        <v>2</v>
      </c>
      <c r="I130" s="1">
        <f>IFERROR(VLOOKUP($C130,EQUIPOS[],UNIFICADO!I$9,0),"")</f>
        <v>5</v>
      </c>
      <c r="J130" s="1" t="str">
        <f>IFERROR(VLOOKUP($C130,EQUIPOS[],UNIFICADO!J$9,0),"")</f>
        <v>32GB</v>
      </c>
      <c r="K130" s="1">
        <f>IFERROR(VLOOKUP($C130,EQUIPOS[],UNIFICADO!K$9,0),"")</f>
        <v>1024</v>
      </c>
      <c r="L130" s="1">
        <f>IFERROR(VLOOKUP($C130,EQUIPOS[],UNIFICADO!L$9,0),"")</f>
        <v>8</v>
      </c>
      <c r="M130" s="1" t="str">
        <f>IFERROR(VLOOKUP($C130,EQUIPOS[],UNIFICADO!M$9,0),"")</f>
        <v>Helio G36</v>
      </c>
      <c r="N130" s="1">
        <f>IFERROR(VLOOKUP($C130,EQUIPOS[],UNIFICADO!N$9,0),"")</f>
        <v>2</v>
      </c>
      <c r="O130" s="1">
        <f>IFERROR(VLOOKUP($C130,EQUIPOS[],UNIFICADO!O$9,0),"")</f>
        <v>192</v>
      </c>
      <c r="P130" s="1">
        <f>IFERROR(VLOOKUP($C130,EQUIPOS[],UNIFICADO!P$9,0),"")</f>
        <v>16.5</v>
      </c>
      <c r="Q130" s="1">
        <f>IFERROR(VLOOKUP($C130,EQUIPOS[],UNIFICADO!Q$9,0),"")</f>
        <v>7.68</v>
      </c>
      <c r="R130" s="1">
        <f>IFERROR(VLOOKUP($C130,EQUIPOS[],UNIFICADO!R$9,0),"")</f>
        <v>0.9</v>
      </c>
      <c r="S130" s="1" t="str">
        <f>IFERROR(VLOOKUP($C130,EQUIPOS[],UNIFICADO!S$9,0),"")</f>
        <v>5000 10W</v>
      </c>
      <c r="T130" s="1">
        <f>IFERROR(VLOOKUP($C130,EQUIPOS[],UNIFICADO!T$9,0),"")</f>
        <v>4</v>
      </c>
      <c r="U130" s="1">
        <f>VLOOKUP(UNIFICADA[[#This Row],[Equipo]],EQUIPOS[],19,0)</f>
        <v>120</v>
      </c>
      <c r="V130" s="1" t="str">
        <f t="shared" si="533"/>
        <v>ND</v>
      </c>
      <c r="W130" s="1" t="str">
        <f t="shared" si="534"/>
        <v>ND</v>
      </c>
      <c r="X130" s="1" t="str">
        <f t="shared" si="689"/>
        <v>ND</v>
      </c>
      <c r="Y130" s="1" t="str">
        <f t="shared" si="689"/>
        <v>ND</v>
      </c>
      <c r="Z130" s="1" t="str">
        <f t="shared" si="696"/>
        <v>ND</v>
      </c>
      <c r="AA130" s="1" t="str">
        <f t="shared" si="696"/>
        <v>ND</v>
      </c>
      <c r="AB130" s="1" t="str">
        <f t="shared" si="696"/>
        <v>ND</v>
      </c>
      <c r="AC130" s="1" t="str">
        <f t="shared" si="696"/>
        <v>ND</v>
      </c>
      <c r="AD130" s="1" t="str">
        <f t="shared" si="696"/>
        <v>ND</v>
      </c>
      <c r="AE130" s="1" t="str">
        <f t="shared" si="696"/>
        <v>ND</v>
      </c>
      <c r="AF130" s="1" t="str">
        <f t="shared" si="696"/>
        <v>ND</v>
      </c>
      <c r="AG130" s="1" t="str">
        <f t="shared" si="696"/>
        <v>ND</v>
      </c>
      <c r="AH130" s="1" t="str">
        <f t="shared" si="696"/>
        <v>ND</v>
      </c>
      <c r="AI130" s="1" t="str">
        <f t="shared" si="535"/>
        <v>ND</v>
      </c>
      <c r="AJ130" s="1" t="str">
        <f t="shared" si="536"/>
        <v>ND</v>
      </c>
      <c r="AK130" s="1" t="str">
        <f t="shared" si="537"/>
        <v>ND</v>
      </c>
      <c r="AL130" s="1" t="str">
        <f t="shared" si="538"/>
        <v>ND</v>
      </c>
      <c r="AM130" s="1" t="str">
        <f t="shared" si="539"/>
        <v>ND</v>
      </c>
      <c r="AN130" s="1" t="str">
        <f t="shared" si="540"/>
        <v>ND</v>
      </c>
      <c r="AO130" s="1" t="str">
        <f t="shared" si="541"/>
        <v>ND</v>
      </c>
      <c r="AP130" s="1" t="str">
        <f t="shared" si="542"/>
        <v>ND</v>
      </c>
      <c r="AQ130" s="1" t="str">
        <f t="shared" si="543"/>
        <v>ND</v>
      </c>
      <c r="AR130" s="1" t="str">
        <f t="shared" si="544"/>
        <v>ND</v>
      </c>
      <c r="AS130" s="1" t="str">
        <f t="shared" si="545"/>
        <v>ND</v>
      </c>
      <c r="AT130" s="1" t="str">
        <f t="shared" si="546"/>
        <v>ND</v>
      </c>
      <c r="AU130" s="1" t="str">
        <f t="shared" si="547"/>
        <v>ND</v>
      </c>
      <c r="AV130" s="1" t="str">
        <f t="shared" si="548"/>
        <v>ND</v>
      </c>
      <c r="AW130" s="1" t="str">
        <f t="shared" si="549"/>
        <v>ND</v>
      </c>
      <c r="AX130" s="1" t="str">
        <f t="shared" si="550"/>
        <v>ND</v>
      </c>
      <c r="AY130" s="1" t="str">
        <f t="shared" si="551"/>
        <v>ND</v>
      </c>
      <c r="AZ130" s="1" t="str">
        <f t="shared" si="552"/>
        <v>ND</v>
      </c>
      <c r="BA130" s="1" t="str">
        <f t="shared" si="553"/>
        <v>ND</v>
      </c>
      <c r="BB130" s="1" t="str">
        <f t="shared" si="554"/>
        <v>ND</v>
      </c>
      <c r="BC130" s="1" t="str">
        <f t="shared" si="555"/>
        <v>ND</v>
      </c>
      <c r="BD130" s="1" t="str">
        <f t="shared" si="556"/>
        <v>ND</v>
      </c>
      <c r="BE130" s="1" t="str">
        <f t="shared" si="557"/>
        <v>ND</v>
      </c>
      <c r="BF130" s="1" t="str">
        <f t="shared" si="558"/>
        <v>ND</v>
      </c>
      <c r="BG130" s="1" t="str">
        <f t="shared" si="559"/>
        <v>ND</v>
      </c>
      <c r="BH130" s="1" t="str">
        <f t="shared" si="560"/>
        <v>ND</v>
      </c>
      <c r="BI130" s="1" t="str">
        <f t="shared" si="561"/>
        <v>ND</v>
      </c>
      <c r="BJ130" s="1" t="str">
        <f t="shared" si="562"/>
        <v>ND</v>
      </c>
      <c r="BK130" s="1" t="str">
        <f t="shared" si="563"/>
        <v>ND</v>
      </c>
      <c r="BL130" s="1" t="str">
        <f t="shared" si="564"/>
        <v>ND</v>
      </c>
      <c r="BM130" s="1" t="str">
        <f t="shared" si="565"/>
        <v>ND</v>
      </c>
      <c r="BN130" s="1" t="str">
        <f t="shared" si="566"/>
        <v>ND</v>
      </c>
      <c r="BO130" s="1" t="str">
        <f t="shared" si="567"/>
        <v>ND</v>
      </c>
      <c r="BP130" s="1" t="str">
        <f t="shared" si="568"/>
        <v>ND</v>
      </c>
      <c r="BQ130" s="1" t="str">
        <f t="shared" si="569"/>
        <v>ND</v>
      </c>
      <c r="BR130" s="1" t="str">
        <f t="shared" si="570"/>
        <v>ND</v>
      </c>
      <c r="BS130" s="1" t="str">
        <f t="shared" si="571"/>
        <v>ND</v>
      </c>
      <c r="BT130" s="1" t="str">
        <f t="shared" si="572"/>
        <v>ND</v>
      </c>
      <c r="BU130" s="1" t="str">
        <f t="shared" si="573"/>
        <v>ND</v>
      </c>
      <c r="BV130" s="1" t="str">
        <f t="shared" si="574"/>
        <v>ND</v>
      </c>
      <c r="BW130" s="1" t="str">
        <f t="shared" si="575"/>
        <v>ND</v>
      </c>
      <c r="BX130" s="1" t="str">
        <f t="shared" si="576"/>
        <v>ND</v>
      </c>
      <c r="BY130" s="1" t="str">
        <f t="shared" si="577"/>
        <v>ND</v>
      </c>
      <c r="BZ130" s="1" t="str">
        <f t="shared" si="578"/>
        <v>ND</v>
      </c>
      <c r="CA130" s="1" t="str">
        <f t="shared" si="697"/>
        <v>ND</v>
      </c>
      <c r="CB130" s="1" t="str">
        <f t="shared" si="697"/>
        <v>ND</v>
      </c>
      <c r="CC130" s="1" t="str">
        <f t="shared" si="697"/>
        <v>ND</v>
      </c>
      <c r="CD130" s="1" t="str">
        <f t="shared" si="697"/>
        <v>ND</v>
      </c>
      <c r="CE130" s="1" t="str">
        <f t="shared" si="697"/>
        <v>ND</v>
      </c>
      <c r="CF130" s="1" t="str">
        <f t="shared" si="697"/>
        <v>ND</v>
      </c>
      <c r="CG130" s="1" t="str">
        <f t="shared" si="697"/>
        <v>ND</v>
      </c>
      <c r="CH130" s="1" t="str">
        <f t="shared" si="697"/>
        <v>ND</v>
      </c>
      <c r="CI130" s="1" t="str">
        <f t="shared" si="697"/>
        <v>ND</v>
      </c>
      <c r="CJ130" s="1" t="str">
        <f t="shared" si="697"/>
        <v>ND</v>
      </c>
      <c r="CK130" s="1" t="str">
        <f t="shared" si="697"/>
        <v>ND</v>
      </c>
      <c r="CL130" s="1" t="str">
        <f t="shared" si="698"/>
        <v>ND</v>
      </c>
      <c r="CM130" s="1" t="str">
        <f t="shared" si="698"/>
        <v>ND</v>
      </c>
      <c r="CN130" s="1" t="str">
        <f t="shared" si="698"/>
        <v>ND</v>
      </c>
      <c r="CO130" s="1" t="str">
        <f t="shared" si="698"/>
        <v>ND</v>
      </c>
      <c r="CP130" s="1" t="str">
        <f t="shared" si="698"/>
        <v>ND</v>
      </c>
      <c r="CQ130" s="1" t="str">
        <f t="shared" si="698"/>
        <v>ND</v>
      </c>
      <c r="CR130" s="1" t="str">
        <f t="shared" si="698"/>
        <v>ND</v>
      </c>
      <c r="CS130" s="1" t="str">
        <f t="shared" si="698"/>
        <v>ND</v>
      </c>
      <c r="CT130" s="1" t="str">
        <f t="shared" si="698"/>
        <v>ND</v>
      </c>
      <c r="CU130" s="1" t="str">
        <f t="shared" si="698"/>
        <v>ND</v>
      </c>
      <c r="CV130" s="1" t="str">
        <f t="shared" si="698"/>
        <v>ND</v>
      </c>
      <c r="CW130" s="1" t="str">
        <f t="shared" si="579"/>
        <v>ND</v>
      </c>
      <c r="CX130" s="1" t="str">
        <f t="shared" si="580"/>
        <v>ND</v>
      </c>
      <c r="CY130" s="1" t="str">
        <f t="shared" si="581"/>
        <v>ND</v>
      </c>
      <c r="CZ130" s="1" t="str">
        <f t="shared" si="582"/>
        <v>ND</v>
      </c>
      <c r="DA130" s="1" t="str">
        <f t="shared" si="583"/>
        <v>ND</v>
      </c>
      <c r="DB130" s="1" t="str">
        <f t="shared" si="584"/>
        <v>ND</v>
      </c>
      <c r="DC130" s="1" t="str">
        <f t="shared" si="585"/>
        <v>ND</v>
      </c>
      <c r="DD130" s="1" t="str">
        <f t="shared" si="586"/>
        <v>ND</v>
      </c>
      <c r="DE130" s="1" t="str">
        <f t="shared" si="587"/>
        <v>ND</v>
      </c>
      <c r="DF130" s="1" t="str">
        <f t="shared" si="588"/>
        <v>ND</v>
      </c>
      <c r="DG130" s="1" t="str">
        <f t="shared" si="589"/>
        <v>ND</v>
      </c>
      <c r="DH130" s="1" t="str">
        <f t="shared" si="590"/>
        <v>ND</v>
      </c>
      <c r="DI130" s="1" t="str">
        <f t="shared" si="591"/>
        <v>ND</v>
      </c>
      <c r="DJ130" s="1" t="str">
        <f t="shared" si="592"/>
        <v>ND</v>
      </c>
      <c r="DK130" s="1" t="str">
        <f t="shared" si="593"/>
        <v>ND</v>
      </c>
      <c r="DL130" s="1" t="str">
        <f t="shared" si="594"/>
        <v>ND</v>
      </c>
      <c r="DM130" s="1" t="str">
        <f t="shared" si="595"/>
        <v>ND</v>
      </c>
      <c r="DN130" s="1" t="str">
        <f t="shared" si="596"/>
        <v>ND</v>
      </c>
      <c r="DO130" s="1" t="str">
        <f t="shared" si="597"/>
        <v>ND</v>
      </c>
      <c r="DP130" s="1" t="str">
        <f t="shared" si="598"/>
        <v>ND</v>
      </c>
      <c r="DQ130" s="1" t="str">
        <f t="shared" si="599"/>
        <v>ND</v>
      </c>
      <c r="DR130" s="1" t="str">
        <f t="shared" si="600"/>
        <v>ND</v>
      </c>
      <c r="DS130" s="1" t="str">
        <f t="shared" si="601"/>
        <v>ND</v>
      </c>
      <c r="DT130" s="1" t="str">
        <f t="shared" si="602"/>
        <v>ND</v>
      </c>
      <c r="DU130" s="1" t="str">
        <f t="shared" si="603"/>
        <v>ND</v>
      </c>
      <c r="DV130" s="1" t="str">
        <f t="shared" si="604"/>
        <v>ND</v>
      </c>
      <c r="DW130" s="1" t="str">
        <f t="shared" si="605"/>
        <v>ND</v>
      </c>
      <c r="DX130" s="1" t="str">
        <f t="shared" si="606"/>
        <v>ND</v>
      </c>
      <c r="DY130" s="1" t="str">
        <f t="shared" si="607"/>
        <v>ND</v>
      </c>
      <c r="DZ130" s="1" t="str">
        <f t="shared" si="608"/>
        <v>ND</v>
      </c>
      <c r="EA130" s="1" t="str">
        <f t="shared" si="609"/>
        <v>ND</v>
      </c>
      <c r="EB130" s="1" t="str">
        <f t="shared" si="610"/>
        <v>ND</v>
      </c>
      <c r="EC130" s="1" t="str">
        <f t="shared" si="611"/>
        <v>ND</v>
      </c>
      <c r="ED130" s="1" t="str">
        <f t="shared" si="612"/>
        <v>ND</v>
      </c>
      <c r="EE130" s="1" t="str">
        <f t="shared" si="613"/>
        <v>ND</v>
      </c>
      <c r="EF130" s="1" t="str">
        <f t="shared" si="614"/>
        <v>ND</v>
      </c>
      <c r="EG130" s="1" t="str">
        <f t="shared" si="615"/>
        <v>ND</v>
      </c>
      <c r="EH130" s="1" t="str">
        <f t="shared" si="616"/>
        <v>ND</v>
      </c>
      <c r="EI130" s="1" t="str">
        <f t="shared" si="617"/>
        <v>ND</v>
      </c>
      <c r="EJ130" s="1" t="str">
        <f t="shared" si="618"/>
        <v>ND</v>
      </c>
      <c r="EK130" s="1" t="str">
        <f t="shared" si="619"/>
        <v>ND</v>
      </c>
      <c r="EL130" s="1" t="str">
        <f t="shared" si="620"/>
        <v>ND</v>
      </c>
      <c r="EM130" s="1" t="str">
        <f t="shared" si="621"/>
        <v>ND</v>
      </c>
      <c r="EN130" s="1" t="str">
        <f t="shared" si="622"/>
        <v>ND</v>
      </c>
      <c r="EO130" s="1" t="str">
        <f t="shared" si="699"/>
        <v>ND</v>
      </c>
      <c r="EP130" s="1" t="str">
        <f t="shared" si="699"/>
        <v>ND</v>
      </c>
      <c r="EQ130" s="1" t="str">
        <f t="shared" si="699"/>
        <v>ND</v>
      </c>
      <c r="ER130" s="1" t="str">
        <f t="shared" si="699"/>
        <v>ND</v>
      </c>
      <c r="ES130" s="1" t="str">
        <f t="shared" si="699"/>
        <v>ND</v>
      </c>
      <c r="ET130" s="1" t="str">
        <f t="shared" si="699"/>
        <v>ND</v>
      </c>
      <c r="EU130" s="1" t="str">
        <f t="shared" si="699"/>
        <v>ND</v>
      </c>
      <c r="EV130" s="1" t="str">
        <f t="shared" si="699"/>
        <v>ND</v>
      </c>
      <c r="EW130" s="1" t="str">
        <f t="shared" si="699"/>
        <v>ND</v>
      </c>
      <c r="EX130" s="1" t="str">
        <f t="shared" si="699"/>
        <v>ND</v>
      </c>
      <c r="EY130" s="1" t="str">
        <f t="shared" si="699"/>
        <v>ND</v>
      </c>
      <c r="EZ130" s="1" t="str">
        <f t="shared" si="700"/>
        <v>ND</v>
      </c>
      <c r="FA130" s="1" t="str">
        <f t="shared" si="700"/>
        <v>ND</v>
      </c>
      <c r="FB130" s="1" t="str">
        <f t="shared" si="700"/>
        <v>ND</v>
      </c>
      <c r="FC130" s="1" t="str">
        <f t="shared" si="700"/>
        <v>ND</v>
      </c>
      <c r="FD130" s="1" t="str">
        <f t="shared" si="700"/>
        <v>ND</v>
      </c>
      <c r="FE130" s="1" t="str">
        <f t="shared" si="700"/>
        <v>ND</v>
      </c>
      <c r="FF130" s="1" t="str">
        <f t="shared" si="700"/>
        <v>ND</v>
      </c>
      <c r="FG130" s="1" t="str">
        <f t="shared" si="700"/>
        <v>ND</v>
      </c>
      <c r="FH130" s="1" t="str">
        <f t="shared" si="700"/>
        <v>ND</v>
      </c>
      <c r="FI130" s="1" t="str">
        <f t="shared" si="700"/>
        <v>ND</v>
      </c>
      <c r="FJ130" s="1" t="str">
        <f t="shared" si="700"/>
        <v>ND</v>
      </c>
      <c r="FK130" s="1" t="str">
        <f t="shared" si="701"/>
        <v>ND</v>
      </c>
      <c r="FL130" s="1" t="str">
        <f t="shared" si="701"/>
        <v>ND</v>
      </c>
      <c r="FM130" s="1" t="str">
        <f t="shared" si="701"/>
        <v>ND</v>
      </c>
      <c r="FN130" s="1" t="str">
        <f t="shared" si="701"/>
        <v>ND</v>
      </c>
      <c r="FO130" s="1" t="str">
        <f t="shared" si="701"/>
        <v>ND</v>
      </c>
      <c r="FP130" s="1" t="str">
        <f t="shared" si="701"/>
        <v>ND</v>
      </c>
      <c r="FQ130" s="1" t="str">
        <f t="shared" si="701"/>
        <v>ND</v>
      </c>
      <c r="FR130" s="1" t="str">
        <f t="shared" si="701"/>
        <v>ND</v>
      </c>
      <c r="FS130" s="1" t="str">
        <f t="shared" si="701"/>
        <v>ND</v>
      </c>
      <c r="FT130" s="1" t="str">
        <f t="shared" si="701"/>
        <v>ND</v>
      </c>
      <c r="FU130" s="1" t="str">
        <f t="shared" si="701"/>
        <v>ND</v>
      </c>
      <c r="FV130" s="1" t="str">
        <f t="shared" si="623"/>
        <v>ND</v>
      </c>
      <c r="FW130" s="1" t="str">
        <f t="shared" si="624"/>
        <v>ND</v>
      </c>
      <c r="FX130" s="1" t="str">
        <f t="shared" si="625"/>
        <v>ND</v>
      </c>
      <c r="FY130" s="1" t="str">
        <f t="shared" si="626"/>
        <v>ND</v>
      </c>
      <c r="FZ130" s="1" t="str">
        <f t="shared" si="627"/>
        <v>ND</v>
      </c>
      <c r="GA130" s="1" t="str">
        <f t="shared" si="628"/>
        <v>ND</v>
      </c>
      <c r="GB130" s="1" t="str">
        <f t="shared" si="629"/>
        <v>ND</v>
      </c>
      <c r="GC130" s="1" t="str">
        <f t="shared" si="630"/>
        <v>ND</v>
      </c>
      <c r="GD130" s="1" t="str">
        <f t="shared" si="631"/>
        <v>ND</v>
      </c>
      <c r="GE130" s="1" t="str">
        <f t="shared" si="632"/>
        <v>ND</v>
      </c>
      <c r="GF130" s="1" t="str">
        <f t="shared" si="633"/>
        <v>ND</v>
      </c>
      <c r="GG130" s="1" t="str">
        <f t="shared" si="634"/>
        <v>ND</v>
      </c>
      <c r="GH130" s="1" t="str">
        <f t="shared" si="635"/>
        <v>ND</v>
      </c>
      <c r="GI130" s="1" t="str">
        <f t="shared" si="636"/>
        <v>ND</v>
      </c>
      <c r="GJ130" s="1" t="str">
        <f t="shared" si="637"/>
        <v>ND</v>
      </c>
      <c r="GK130" s="1" t="str">
        <f t="shared" si="638"/>
        <v>ND</v>
      </c>
      <c r="GL130" s="1" t="str">
        <f t="shared" si="639"/>
        <v>ND</v>
      </c>
      <c r="GM130" s="1" t="str">
        <f t="shared" si="640"/>
        <v>ND</v>
      </c>
      <c r="GN130" s="1" t="str">
        <f t="shared" si="641"/>
        <v>ND</v>
      </c>
      <c r="GO130" s="1" t="str">
        <f t="shared" si="642"/>
        <v>ND</v>
      </c>
      <c r="GP130" s="1" t="str">
        <f t="shared" si="643"/>
        <v>ND</v>
      </c>
      <c r="GQ130" s="1" t="str">
        <f t="shared" si="644"/>
        <v>ND</v>
      </c>
      <c r="GR130" s="1" t="str">
        <f t="shared" si="645"/>
        <v>ND</v>
      </c>
      <c r="GS130" s="1" t="str">
        <f t="shared" si="646"/>
        <v>ND</v>
      </c>
      <c r="GT130" s="1" t="str">
        <f t="shared" si="647"/>
        <v>ND</v>
      </c>
      <c r="GU130" s="1" t="str">
        <f t="shared" si="648"/>
        <v>ND</v>
      </c>
      <c r="GV130" s="1" t="str">
        <f t="shared" si="649"/>
        <v>ND</v>
      </c>
      <c r="GW130" s="1" t="str">
        <f t="shared" si="650"/>
        <v>ND</v>
      </c>
      <c r="GX130" s="1" t="str">
        <f t="shared" si="651"/>
        <v>ND</v>
      </c>
      <c r="GY130" s="1" t="str">
        <f t="shared" si="652"/>
        <v>ND</v>
      </c>
      <c r="GZ130" s="1" t="str">
        <f t="shared" si="653"/>
        <v>ND</v>
      </c>
      <c r="HA130" s="1" t="str">
        <f t="shared" si="654"/>
        <v>ND</v>
      </c>
      <c r="HB130" s="1" t="str">
        <f t="shared" si="655"/>
        <v>ND</v>
      </c>
      <c r="HC130" s="1" t="str">
        <f t="shared" si="656"/>
        <v>ND</v>
      </c>
      <c r="HD130" s="1" t="str">
        <f t="shared" si="657"/>
        <v>ND</v>
      </c>
      <c r="HE130" s="1" t="str">
        <f t="shared" si="658"/>
        <v>ND</v>
      </c>
      <c r="HF130" s="1" t="str">
        <f t="shared" si="659"/>
        <v>ND</v>
      </c>
      <c r="HG130" s="1" t="str">
        <f t="shared" si="660"/>
        <v>ND</v>
      </c>
      <c r="HH130" s="1" t="str">
        <f t="shared" si="661"/>
        <v>ND</v>
      </c>
      <c r="HI130" s="1" t="str">
        <f t="shared" si="662"/>
        <v>ND</v>
      </c>
      <c r="HJ130" s="1" t="str">
        <f t="shared" si="663"/>
        <v>ND</v>
      </c>
      <c r="HK130" s="1" t="str">
        <f t="shared" si="664"/>
        <v>ND</v>
      </c>
      <c r="HL130" s="1" t="str">
        <f t="shared" si="665"/>
        <v>ND</v>
      </c>
      <c r="HM130" s="1" t="str">
        <f t="shared" si="666"/>
        <v>ND</v>
      </c>
      <c r="HN130" s="1" t="str">
        <f t="shared" si="667"/>
        <v>ND</v>
      </c>
      <c r="HO130" s="1" t="str">
        <f t="shared" si="668"/>
        <v>ND</v>
      </c>
      <c r="HP130" s="1" t="str">
        <f t="shared" si="669"/>
        <v>ND</v>
      </c>
      <c r="HQ130" s="1" t="str">
        <f t="shared" si="670"/>
        <v>ND</v>
      </c>
      <c r="HR130" s="1" t="str">
        <f t="shared" si="671"/>
        <v>ND</v>
      </c>
      <c r="HS130" s="1" t="str">
        <f t="shared" si="672"/>
        <v>ND</v>
      </c>
      <c r="HT130" s="1" t="str">
        <f t="shared" si="673"/>
        <v>ND</v>
      </c>
      <c r="HU130" s="1" t="str">
        <f t="shared" si="674"/>
        <v>ND</v>
      </c>
      <c r="HV130" s="1" t="str">
        <f t="shared" si="675"/>
        <v>ND</v>
      </c>
      <c r="HW130" s="1" t="str">
        <f t="shared" si="676"/>
        <v>ND</v>
      </c>
      <c r="HX130" s="1" t="str">
        <f t="shared" si="677"/>
        <v>ND</v>
      </c>
      <c r="HY130" s="1" t="str">
        <f t="shared" si="678"/>
        <v>ND</v>
      </c>
      <c r="HZ130" s="1" t="str">
        <f t="shared" si="679"/>
        <v>ND</v>
      </c>
      <c r="IA130" s="1" t="str">
        <f t="shared" si="680"/>
        <v>ND</v>
      </c>
      <c r="IB130" s="1" t="str">
        <f t="shared" si="681"/>
        <v>ND</v>
      </c>
      <c r="IC130" s="1" t="str">
        <f t="shared" si="682"/>
        <v>ND</v>
      </c>
      <c r="ID130" s="1" t="str">
        <f t="shared" si="683"/>
        <v>ND</v>
      </c>
      <c r="IE130" s="1" t="str">
        <f t="shared" si="684"/>
        <v>ND</v>
      </c>
      <c r="IF130" s="1" t="str">
        <f t="shared" si="685"/>
        <v>ND</v>
      </c>
      <c r="IG130" s="1" t="str">
        <f t="shared" si="686"/>
        <v>ND</v>
      </c>
      <c r="IH130" s="1" t="str">
        <f t="shared" si="687"/>
        <v>ND</v>
      </c>
      <c r="II130" s="1" t="str">
        <f t="shared" si="688"/>
        <v>ND</v>
      </c>
    </row>
    <row r="131" spans="3:243" x14ac:dyDescent="0.25">
      <c r="C131" t="s">
        <v>37</v>
      </c>
      <c r="D131">
        <f>SUMIFS(DICCIONARIO[Cantidad],DICCIONARIO[Modelo],UNIFICADA[[#This Row],[Equipo]])</f>
        <v>0</v>
      </c>
      <c r="E131" s="1">
        <f>IFERROR(VLOOKUP($C131,EQUIPOS[],UNIFICADO!E$9,0),"")</f>
        <v>11</v>
      </c>
      <c r="F131" s="1">
        <f>IFERROR(VLOOKUP($C131,EQUIPOS[],UNIFICADO!F$9,0),"")</f>
        <v>6.67</v>
      </c>
      <c r="G131" s="1">
        <f>IFERROR(VLOOKUP($C131,EQUIPOS[],UNIFICADO!G$9,0),"")</f>
        <v>108</v>
      </c>
      <c r="H131" s="1">
        <f>IFERROR(VLOOKUP($C131,EQUIPOS[],UNIFICADO!H$9,0),"")</f>
        <v>4</v>
      </c>
      <c r="I131" s="1">
        <f>IFERROR(VLOOKUP($C131,EQUIPOS[],UNIFICADO!I$9,0),"")</f>
        <v>16</v>
      </c>
      <c r="J131" s="1" t="str">
        <f>IFERROR(VLOOKUP($C131,EQUIPOS[],UNIFICADO!J$9,0),"")</f>
        <v>128GB</v>
      </c>
      <c r="K131" s="1">
        <f>IFERROR(VLOOKUP($C131,EQUIPOS[],UNIFICADO!K$9,0),"")</f>
        <v>256</v>
      </c>
      <c r="L131" s="1">
        <f>IFERROR(VLOOKUP($C131,EQUIPOS[],UNIFICADO!L$9,0),"")</f>
        <v>8</v>
      </c>
      <c r="M131" s="1" t="str">
        <f>IFERROR(VLOOKUP($C131,EQUIPOS[],UNIFICADO!M$9,0),"")</f>
        <v>2.3/1.8</v>
      </c>
      <c r="N131" s="1">
        <f>IFERROR(VLOOKUP($C131,EQUIPOS[],UNIFICADO!N$9,0),"")</f>
        <v>6</v>
      </c>
      <c r="O131" s="1">
        <f>IFERROR(VLOOKUP($C131,EQUIPOS[],UNIFICADO!O$9,0),"")</f>
        <v>193</v>
      </c>
      <c r="P131" s="1">
        <f>IFERROR(VLOOKUP($C131,EQUIPOS[],UNIFICADO!P$9,0),"")</f>
        <v>16.399999999999999</v>
      </c>
      <c r="Q131" s="1">
        <f>IFERROR(VLOOKUP($C131,EQUIPOS[],UNIFICADO!Q$9,0),"")</f>
        <v>7.65</v>
      </c>
      <c r="R131" s="1">
        <f>IFERROR(VLOOKUP($C131,EQUIPOS[],UNIFICADO!R$9,0),"")</f>
        <v>0.81</v>
      </c>
      <c r="S131" s="1">
        <f>IFERROR(VLOOKUP($C131,EQUIPOS[],UNIFICADO!S$9,0),"")</f>
        <v>5020</v>
      </c>
      <c r="T131" s="1">
        <f>IFERROR(VLOOKUP($C131,EQUIPOS[],UNIFICADO!T$9,0),"")</f>
        <v>4.5</v>
      </c>
      <c r="U131" s="1">
        <f>VLOOKUP(UNIFICADA[[#This Row],[Equipo]],EQUIPOS[],19,0)</f>
        <v>121</v>
      </c>
      <c r="V131" s="1" t="str">
        <f t="shared" si="533"/>
        <v>ND</v>
      </c>
      <c r="W131" s="1" t="str">
        <f t="shared" si="534"/>
        <v>ND</v>
      </c>
      <c r="X131" s="1" t="str">
        <f t="shared" ref="X131:Y150" si="702">IF(X$9="ND","ND",VLOOKUP($C131,AC,X$9,0))</f>
        <v>ND</v>
      </c>
      <c r="Y131" s="1" t="str">
        <f t="shared" si="702"/>
        <v>ND</v>
      </c>
      <c r="Z131" s="1" t="str">
        <f t="shared" ref="Z131:AH140" si="703">IFERROR(IF(Z$9="ND","ND",VLOOKUP($C131,AC,Z$9,0)),"ND")</f>
        <v>ND</v>
      </c>
      <c r="AA131" s="1" t="str">
        <f t="shared" si="703"/>
        <v>ND</v>
      </c>
      <c r="AB131" s="1" t="str">
        <f t="shared" si="703"/>
        <v>ND</v>
      </c>
      <c r="AC131" s="1" t="str">
        <f t="shared" si="703"/>
        <v>ND</v>
      </c>
      <c r="AD131" s="1" t="str">
        <f t="shared" si="703"/>
        <v>ND</v>
      </c>
      <c r="AE131" s="1" t="str">
        <f t="shared" si="703"/>
        <v>ND</v>
      </c>
      <c r="AF131" s="1" t="str">
        <f t="shared" si="703"/>
        <v>ND</v>
      </c>
      <c r="AG131" s="1" t="str">
        <f t="shared" si="703"/>
        <v>ND</v>
      </c>
      <c r="AH131" s="1" t="str">
        <f t="shared" si="703"/>
        <v>ND</v>
      </c>
      <c r="AI131" s="1" t="str">
        <f t="shared" si="535"/>
        <v>ND</v>
      </c>
      <c r="AJ131" s="1" t="str">
        <f t="shared" si="536"/>
        <v>ND</v>
      </c>
      <c r="AK131" s="1" t="str">
        <f t="shared" si="537"/>
        <v>ND</v>
      </c>
      <c r="AL131" s="1" t="str">
        <f t="shared" si="538"/>
        <v>ND</v>
      </c>
      <c r="AM131" s="1" t="str">
        <f t="shared" si="539"/>
        <v>ND</v>
      </c>
      <c r="AN131" s="1" t="str">
        <f t="shared" si="540"/>
        <v>ND</v>
      </c>
      <c r="AO131" s="1" t="str">
        <f t="shared" si="541"/>
        <v>ND</v>
      </c>
      <c r="AP131" s="1" t="str">
        <f t="shared" si="542"/>
        <v>ND</v>
      </c>
      <c r="AQ131" s="1" t="str">
        <f t="shared" si="543"/>
        <v>ND</v>
      </c>
      <c r="AR131" s="1" t="str">
        <f t="shared" si="544"/>
        <v>ND</v>
      </c>
      <c r="AS131" s="1" t="str">
        <f t="shared" si="545"/>
        <v>ND</v>
      </c>
      <c r="AT131" s="1" t="str">
        <f t="shared" si="546"/>
        <v>ND</v>
      </c>
      <c r="AU131" s="1" t="str">
        <f t="shared" si="547"/>
        <v>ND</v>
      </c>
      <c r="AV131" s="1" t="str">
        <f t="shared" si="548"/>
        <v>ND</v>
      </c>
      <c r="AW131" s="1" t="str">
        <f t="shared" si="549"/>
        <v>ND</v>
      </c>
      <c r="AX131" s="1" t="str">
        <f t="shared" si="550"/>
        <v>ND</v>
      </c>
      <c r="AY131" s="1" t="str">
        <f t="shared" si="551"/>
        <v>ND</v>
      </c>
      <c r="AZ131" s="1" t="str">
        <f t="shared" si="552"/>
        <v>ND</v>
      </c>
      <c r="BA131" s="1" t="str">
        <f t="shared" si="553"/>
        <v>ND</v>
      </c>
      <c r="BB131" s="1" t="str">
        <f t="shared" si="554"/>
        <v>ND</v>
      </c>
      <c r="BC131" s="1" t="str">
        <f t="shared" si="555"/>
        <v>ND</v>
      </c>
      <c r="BD131" s="1" t="str">
        <f t="shared" si="556"/>
        <v>ND</v>
      </c>
      <c r="BE131" s="1" t="str">
        <f t="shared" si="557"/>
        <v>ND</v>
      </c>
      <c r="BF131" s="1" t="str">
        <f t="shared" si="558"/>
        <v>ND</v>
      </c>
      <c r="BG131" s="1" t="str">
        <f t="shared" si="559"/>
        <v>ND</v>
      </c>
      <c r="BH131" s="1" t="str">
        <f t="shared" si="560"/>
        <v>ND</v>
      </c>
      <c r="BI131" s="1" t="str">
        <f t="shared" si="561"/>
        <v>ND</v>
      </c>
      <c r="BJ131" s="1" t="str">
        <f t="shared" si="562"/>
        <v>ND</v>
      </c>
      <c r="BK131" s="1" t="str">
        <f t="shared" si="563"/>
        <v>ND</v>
      </c>
      <c r="BL131" s="1" t="str">
        <f t="shared" si="564"/>
        <v>ND</v>
      </c>
      <c r="BM131" s="1" t="str">
        <f t="shared" si="565"/>
        <v>ND</v>
      </c>
      <c r="BN131" s="1" t="str">
        <f t="shared" si="566"/>
        <v>ND</v>
      </c>
      <c r="BO131" s="1" t="str">
        <f t="shared" si="567"/>
        <v>ND</v>
      </c>
      <c r="BP131" s="1" t="str">
        <f t="shared" si="568"/>
        <v>ND</v>
      </c>
      <c r="BQ131" s="1" t="str">
        <f t="shared" si="569"/>
        <v>ND</v>
      </c>
      <c r="BR131" s="1" t="str">
        <f t="shared" si="570"/>
        <v>ND</v>
      </c>
      <c r="BS131" s="1" t="str">
        <f t="shared" si="571"/>
        <v>ND</v>
      </c>
      <c r="BT131" s="1" t="str">
        <f t="shared" si="572"/>
        <v>ND</v>
      </c>
      <c r="BU131" s="1" t="str">
        <f t="shared" si="573"/>
        <v>ND</v>
      </c>
      <c r="BV131" s="1" t="str">
        <f t="shared" si="574"/>
        <v>ND</v>
      </c>
      <c r="BW131" s="1" t="str">
        <f t="shared" si="575"/>
        <v>ND</v>
      </c>
      <c r="BX131" s="1" t="str">
        <f t="shared" si="576"/>
        <v>ND</v>
      </c>
      <c r="BY131" s="1" t="str">
        <f t="shared" si="577"/>
        <v>ND</v>
      </c>
      <c r="BZ131" s="1" t="str">
        <f t="shared" si="578"/>
        <v>ND</v>
      </c>
      <c r="CA131" s="1" t="str">
        <f t="shared" ref="CA131:CK140" si="704">IFERROR(IF(CA$9="ND","ND",VLOOKUP($C131,FULLC,CA$9,0)),"ND")</f>
        <v>ND</v>
      </c>
      <c r="CB131" s="1" t="str">
        <f t="shared" si="704"/>
        <v>ND</v>
      </c>
      <c r="CC131" s="1" t="str">
        <f t="shared" si="704"/>
        <v>ND</v>
      </c>
      <c r="CD131" s="1" t="str">
        <f t="shared" si="704"/>
        <v>ND</v>
      </c>
      <c r="CE131" s="1" t="str">
        <f t="shared" si="704"/>
        <v>ND</v>
      </c>
      <c r="CF131" s="1" t="str">
        <f t="shared" si="704"/>
        <v>ND</v>
      </c>
      <c r="CG131" s="1" t="str">
        <f t="shared" si="704"/>
        <v>ND</v>
      </c>
      <c r="CH131" s="1" t="str">
        <f t="shared" si="704"/>
        <v>ND</v>
      </c>
      <c r="CI131" s="1" t="str">
        <f t="shared" si="704"/>
        <v>ND</v>
      </c>
      <c r="CJ131" s="1" t="str">
        <f t="shared" si="704"/>
        <v>ND</v>
      </c>
      <c r="CK131" s="1" t="str">
        <f t="shared" si="704"/>
        <v>ND</v>
      </c>
      <c r="CL131" s="1" t="str">
        <f t="shared" ref="CL131:CV140" si="705">IFERROR(IF(CL$9="ND","ND",VLOOKUP($C131,LINA,CL$9,0)),"ND")</f>
        <v>ND</v>
      </c>
      <c r="CM131" s="1" t="str">
        <f t="shared" si="705"/>
        <v>ND</v>
      </c>
      <c r="CN131" s="1" t="str">
        <f t="shared" si="705"/>
        <v>ND</v>
      </c>
      <c r="CO131" s="1" t="str">
        <f t="shared" si="705"/>
        <v>ND</v>
      </c>
      <c r="CP131" s="1" t="str">
        <f t="shared" si="705"/>
        <v>ND</v>
      </c>
      <c r="CQ131" s="1" t="str">
        <f t="shared" si="705"/>
        <v>ND</v>
      </c>
      <c r="CR131" s="1" t="str">
        <f t="shared" si="705"/>
        <v>ND</v>
      </c>
      <c r="CS131" s="1" t="str">
        <f t="shared" si="705"/>
        <v>ND</v>
      </c>
      <c r="CT131" s="1" t="str">
        <f t="shared" si="705"/>
        <v>ND</v>
      </c>
      <c r="CU131" s="1" t="str">
        <f t="shared" si="705"/>
        <v>ND</v>
      </c>
      <c r="CV131" s="1" t="str">
        <f t="shared" si="705"/>
        <v>ND</v>
      </c>
      <c r="CW131" s="1" t="str">
        <f t="shared" si="579"/>
        <v>ND</v>
      </c>
      <c r="CX131" s="1" t="str">
        <f t="shared" si="580"/>
        <v>ND</v>
      </c>
      <c r="CY131" s="1" t="str">
        <f t="shared" si="581"/>
        <v>ND</v>
      </c>
      <c r="CZ131" s="1" t="str">
        <f t="shared" si="582"/>
        <v>ND</v>
      </c>
      <c r="DA131" s="1" t="str">
        <f t="shared" si="583"/>
        <v>ND</v>
      </c>
      <c r="DB131" s="1" t="str">
        <f t="shared" si="584"/>
        <v>ND</v>
      </c>
      <c r="DC131" s="1" t="str">
        <f t="shared" si="585"/>
        <v>ND</v>
      </c>
      <c r="DD131" s="1" t="str">
        <f t="shared" si="586"/>
        <v>ND</v>
      </c>
      <c r="DE131" s="1" t="str">
        <f t="shared" si="587"/>
        <v>ND</v>
      </c>
      <c r="DF131" s="1" t="str">
        <f t="shared" si="588"/>
        <v>ND</v>
      </c>
      <c r="DG131" s="1" t="str">
        <f t="shared" si="589"/>
        <v>ND</v>
      </c>
      <c r="DH131" s="1" t="str">
        <f t="shared" si="590"/>
        <v>ND</v>
      </c>
      <c r="DI131" s="1" t="str">
        <f t="shared" si="591"/>
        <v>ND</v>
      </c>
      <c r="DJ131" s="1" t="str">
        <f t="shared" si="592"/>
        <v>ND</v>
      </c>
      <c r="DK131" s="1" t="str">
        <f t="shared" si="593"/>
        <v>ND</v>
      </c>
      <c r="DL131" s="1" t="str">
        <f t="shared" si="594"/>
        <v>ND</v>
      </c>
      <c r="DM131" s="1" t="str">
        <f t="shared" si="595"/>
        <v>ND</v>
      </c>
      <c r="DN131" s="1" t="str">
        <f t="shared" si="596"/>
        <v>ND</v>
      </c>
      <c r="DO131" s="1" t="str">
        <f t="shared" si="597"/>
        <v>ND</v>
      </c>
      <c r="DP131" s="1" t="str">
        <f t="shared" si="598"/>
        <v>ND</v>
      </c>
      <c r="DQ131" s="1" t="str">
        <f t="shared" si="599"/>
        <v>ND</v>
      </c>
      <c r="DR131" s="1" t="str">
        <f t="shared" si="600"/>
        <v>ND</v>
      </c>
      <c r="DS131" s="1" t="str">
        <f t="shared" si="601"/>
        <v>ND</v>
      </c>
      <c r="DT131" s="1" t="str">
        <f t="shared" si="602"/>
        <v>ND</v>
      </c>
      <c r="DU131" s="1" t="str">
        <f t="shared" si="603"/>
        <v>ND</v>
      </c>
      <c r="DV131" s="1" t="str">
        <f t="shared" si="604"/>
        <v>ND</v>
      </c>
      <c r="DW131" s="1" t="str">
        <f t="shared" si="605"/>
        <v>ND</v>
      </c>
      <c r="DX131" s="1" t="str">
        <f t="shared" si="606"/>
        <v>ND</v>
      </c>
      <c r="DY131" s="1" t="str">
        <f t="shared" si="607"/>
        <v>ND</v>
      </c>
      <c r="DZ131" s="1" t="str">
        <f t="shared" si="608"/>
        <v>ND</v>
      </c>
      <c r="EA131" s="1" t="str">
        <f t="shared" si="609"/>
        <v>ND</v>
      </c>
      <c r="EB131" s="1" t="str">
        <f t="shared" si="610"/>
        <v>ND</v>
      </c>
      <c r="EC131" s="1" t="str">
        <f t="shared" si="611"/>
        <v>ND</v>
      </c>
      <c r="ED131" s="1" t="str">
        <f t="shared" si="612"/>
        <v>ND</v>
      </c>
      <c r="EE131" s="1" t="str">
        <f t="shared" si="613"/>
        <v>ND</v>
      </c>
      <c r="EF131" s="1" t="str">
        <f t="shared" si="614"/>
        <v>ND</v>
      </c>
      <c r="EG131" s="1" t="str">
        <f t="shared" si="615"/>
        <v>ND</v>
      </c>
      <c r="EH131" s="1" t="str">
        <f t="shared" si="616"/>
        <v>ND</v>
      </c>
      <c r="EI131" s="1" t="str">
        <f t="shared" si="617"/>
        <v>ND</v>
      </c>
      <c r="EJ131" s="1" t="str">
        <f t="shared" si="618"/>
        <v>ND</v>
      </c>
      <c r="EK131" s="1" t="str">
        <f t="shared" si="619"/>
        <v>ND</v>
      </c>
      <c r="EL131" s="1" t="str">
        <f t="shared" si="620"/>
        <v>ND</v>
      </c>
      <c r="EM131" s="1" t="str">
        <f t="shared" si="621"/>
        <v>ND</v>
      </c>
      <c r="EN131" s="1" t="str">
        <f t="shared" si="622"/>
        <v>ND</v>
      </c>
      <c r="EO131" s="1" t="str">
        <f t="shared" ref="EO131:EY140" si="706">IFERROR(IF(EO$9="ND","ND",VLOOKUP($C131,PAR,EO$9,0)),"ND")</f>
        <v>ND</v>
      </c>
      <c r="EP131" s="1" t="str">
        <f t="shared" si="706"/>
        <v>ND</v>
      </c>
      <c r="EQ131" s="1" t="str">
        <f t="shared" si="706"/>
        <v>ND</v>
      </c>
      <c r="ER131" s="1" t="str">
        <f t="shared" si="706"/>
        <v>ND</v>
      </c>
      <c r="ES131" s="1" t="str">
        <f t="shared" si="706"/>
        <v>ND</v>
      </c>
      <c r="ET131" s="1" t="str">
        <f t="shared" si="706"/>
        <v>ND</v>
      </c>
      <c r="EU131" s="1" t="str">
        <f t="shared" si="706"/>
        <v>ND</v>
      </c>
      <c r="EV131" s="1" t="str">
        <f t="shared" si="706"/>
        <v>ND</v>
      </c>
      <c r="EW131" s="1" t="str">
        <f t="shared" si="706"/>
        <v>ND</v>
      </c>
      <c r="EX131" s="1" t="str">
        <f t="shared" si="706"/>
        <v>ND</v>
      </c>
      <c r="EY131" s="1" t="str">
        <f t="shared" si="706"/>
        <v>ND</v>
      </c>
      <c r="EZ131" s="1" t="str">
        <f t="shared" ref="EZ131:FJ140" si="707">IFERROR(IF(EZ$9="ND","ND",VLOOKUP($C131,PE,EZ$9,0)),"ND")</f>
        <v>ND</v>
      </c>
      <c r="FA131" s="1" t="str">
        <f t="shared" si="707"/>
        <v>ND</v>
      </c>
      <c r="FB131" s="1" t="str">
        <f t="shared" si="707"/>
        <v>ND</v>
      </c>
      <c r="FC131" s="1" t="str">
        <f t="shared" si="707"/>
        <v>ND</v>
      </c>
      <c r="FD131" s="1" t="str">
        <f t="shared" si="707"/>
        <v>ND</v>
      </c>
      <c r="FE131" s="1" t="str">
        <f t="shared" si="707"/>
        <v>ND</v>
      </c>
      <c r="FF131" s="1" t="str">
        <f t="shared" si="707"/>
        <v>ND</v>
      </c>
      <c r="FG131" s="1" t="str">
        <f t="shared" si="707"/>
        <v>ND</v>
      </c>
      <c r="FH131" s="1" t="str">
        <f t="shared" si="707"/>
        <v>ND</v>
      </c>
      <c r="FI131" s="1" t="str">
        <f t="shared" si="707"/>
        <v>ND</v>
      </c>
      <c r="FJ131" s="1" t="str">
        <f t="shared" si="707"/>
        <v>ND</v>
      </c>
      <c r="FK131" s="1" t="str">
        <f t="shared" ref="FK131:FU140" si="708">IFERROR(IF(FK$9="ND","ND",VLOOKUP($C131,RE,FK$9,0)),"ND")</f>
        <v>ND</v>
      </c>
      <c r="FL131" s="1" t="str">
        <f t="shared" si="708"/>
        <v>ND</v>
      </c>
      <c r="FM131" s="1" t="str">
        <f t="shared" si="708"/>
        <v>ND</v>
      </c>
      <c r="FN131" s="1" t="str">
        <f t="shared" si="708"/>
        <v>ND</v>
      </c>
      <c r="FO131" s="1" t="str">
        <f t="shared" si="708"/>
        <v>ND</v>
      </c>
      <c r="FP131" s="1" t="str">
        <f t="shared" si="708"/>
        <v>ND</v>
      </c>
      <c r="FQ131" s="1" t="str">
        <f t="shared" si="708"/>
        <v>ND</v>
      </c>
      <c r="FR131" s="1" t="str">
        <f t="shared" si="708"/>
        <v>ND</v>
      </c>
      <c r="FS131" s="1" t="str">
        <f t="shared" si="708"/>
        <v>ND</v>
      </c>
      <c r="FT131" s="1" t="str">
        <f t="shared" si="708"/>
        <v>ND</v>
      </c>
      <c r="FU131" s="1" t="str">
        <f t="shared" si="708"/>
        <v>ND</v>
      </c>
      <c r="FV131" s="1" t="str">
        <f t="shared" si="623"/>
        <v>ND</v>
      </c>
      <c r="FW131" s="1" t="str">
        <f t="shared" si="624"/>
        <v>ND</v>
      </c>
      <c r="FX131" s="1" t="str">
        <f t="shared" si="625"/>
        <v>ND</v>
      </c>
      <c r="FY131" s="1" t="str">
        <f t="shared" si="626"/>
        <v>ND</v>
      </c>
      <c r="FZ131" s="1" t="str">
        <f t="shared" si="627"/>
        <v>ND</v>
      </c>
      <c r="GA131" s="1" t="str">
        <f t="shared" si="628"/>
        <v>ND</v>
      </c>
      <c r="GB131" s="1" t="str">
        <f t="shared" si="629"/>
        <v>ND</v>
      </c>
      <c r="GC131" s="1" t="str">
        <f t="shared" si="630"/>
        <v>ND</v>
      </c>
      <c r="GD131" s="1" t="str">
        <f t="shared" si="631"/>
        <v>ND</v>
      </c>
      <c r="GE131" s="1" t="str">
        <f t="shared" si="632"/>
        <v>ND</v>
      </c>
      <c r="GF131" s="1" t="str">
        <f t="shared" si="633"/>
        <v>ND</v>
      </c>
      <c r="GG131" s="1" t="str">
        <f t="shared" si="634"/>
        <v>ND</v>
      </c>
      <c r="GH131" s="1" t="str">
        <f t="shared" si="635"/>
        <v>ND</v>
      </c>
      <c r="GI131" s="1" t="str">
        <f t="shared" si="636"/>
        <v>ND</v>
      </c>
      <c r="GJ131" s="1" t="str">
        <f t="shared" si="637"/>
        <v>ND</v>
      </c>
      <c r="GK131" s="1" t="str">
        <f t="shared" si="638"/>
        <v>ND</v>
      </c>
      <c r="GL131" s="1" t="str">
        <f t="shared" si="639"/>
        <v>ND</v>
      </c>
      <c r="GM131" s="1" t="str">
        <f t="shared" si="640"/>
        <v>ND</v>
      </c>
      <c r="GN131" s="1" t="str">
        <f t="shared" si="641"/>
        <v>ND</v>
      </c>
      <c r="GO131" s="1" t="str">
        <f t="shared" si="642"/>
        <v>ND</v>
      </c>
      <c r="GP131" s="1" t="str">
        <f t="shared" si="643"/>
        <v>ND</v>
      </c>
      <c r="GQ131" s="1" t="str">
        <f t="shared" si="644"/>
        <v>ND</v>
      </c>
      <c r="GR131" s="1" t="str">
        <f t="shared" si="645"/>
        <v>ND</v>
      </c>
      <c r="GS131" s="1" t="str">
        <f t="shared" si="646"/>
        <v>ND</v>
      </c>
      <c r="GT131" s="1" t="str">
        <f t="shared" si="647"/>
        <v>ND</v>
      </c>
      <c r="GU131" s="1" t="str">
        <f t="shared" si="648"/>
        <v>ND</v>
      </c>
      <c r="GV131" s="1" t="str">
        <f t="shared" si="649"/>
        <v>ND</v>
      </c>
      <c r="GW131" s="1" t="str">
        <f t="shared" si="650"/>
        <v>ND</v>
      </c>
      <c r="GX131" s="1" t="str">
        <f t="shared" si="651"/>
        <v>ND</v>
      </c>
      <c r="GY131" s="1" t="str">
        <f t="shared" si="652"/>
        <v>ND</v>
      </c>
      <c r="GZ131" s="1" t="str">
        <f t="shared" si="653"/>
        <v>ND</v>
      </c>
      <c r="HA131" s="1" t="str">
        <f t="shared" si="654"/>
        <v>ND</v>
      </c>
      <c r="HB131" s="1" t="str">
        <f t="shared" si="655"/>
        <v>ND</v>
      </c>
      <c r="HC131" s="1" t="str">
        <f t="shared" si="656"/>
        <v>ND</v>
      </c>
      <c r="HD131" s="1" t="str">
        <f t="shared" si="657"/>
        <v>ND</v>
      </c>
      <c r="HE131" s="1" t="str">
        <f t="shared" si="658"/>
        <v>ND</v>
      </c>
      <c r="HF131" s="1" t="str">
        <f t="shared" si="659"/>
        <v>ND</v>
      </c>
      <c r="HG131" s="1" t="str">
        <f t="shared" si="660"/>
        <v>ND</v>
      </c>
      <c r="HH131" s="1" t="str">
        <f t="shared" si="661"/>
        <v>ND</v>
      </c>
      <c r="HI131" s="1" t="str">
        <f t="shared" si="662"/>
        <v>ND</v>
      </c>
      <c r="HJ131" s="1" t="str">
        <f t="shared" si="663"/>
        <v>ND</v>
      </c>
      <c r="HK131" s="1" t="str">
        <f t="shared" si="664"/>
        <v>ND</v>
      </c>
      <c r="HL131" s="1" t="str">
        <f t="shared" si="665"/>
        <v>ND</v>
      </c>
      <c r="HM131" s="1" t="str">
        <f t="shared" si="666"/>
        <v>ND</v>
      </c>
      <c r="HN131" s="1" t="str">
        <f t="shared" si="667"/>
        <v>ND</v>
      </c>
      <c r="HO131" s="1" t="str">
        <f t="shared" si="668"/>
        <v>ND</v>
      </c>
      <c r="HP131" s="1" t="str">
        <f t="shared" si="669"/>
        <v>ND</v>
      </c>
      <c r="HQ131" s="1" t="str">
        <f t="shared" si="670"/>
        <v>ND</v>
      </c>
      <c r="HR131" s="1" t="str">
        <f t="shared" si="671"/>
        <v>ND</v>
      </c>
      <c r="HS131" s="1" t="str">
        <f t="shared" si="672"/>
        <v>ND</v>
      </c>
      <c r="HT131" s="1" t="str">
        <f t="shared" si="673"/>
        <v>ND</v>
      </c>
      <c r="HU131" s="1" t="str">
        <f t="shared" si="674"/>
        <v>ND</v>
      </c>
      <c r="HV131" s="1" t="str">
        <f t="shared" si="675"/>
        <v>ND</v>
      </c>
      <c r="HW131" s="1" t="str">
        <f t="shared" si="676"/>
        <v>ND</v>
      </c>
      <c r="HX131" s="1" t="str">
        <f t="shared" si="677"/>
        <v>ND</v>
      </c>
      <c r="HY131" s="1" t="str">
        <f t="shared" si="678"/>
        <v>ND</v>
      </c>
      <c r="HZ131" s="1" t="str">
        <f t="shared" si="679"/>
        <v>ND</v>
      </c>
      <c r="IA131" s="1" t="str">
        <f t="shared" si="680"/>
        <v>ND</v>
      </c>
      <c r="IB131" s="1" t="str">
        <f t="shared" si="681"/>
        <v>ND</v>
      </c>
      <c r="IC131" s="1" t="str">
        <f t="shared" si="682"/>
        <v>ND</v>
      </c>
      <c r="ID131" s="1" t="str">
        <f t="shared" si="683"/>
        <v>ND</v>
      </c>
      <c r="IE131" s="1" t="str">
        <f t="shared" si="684"/>
        <v>ND</v>
      </c>
      <c r="IF131" s="1" t="str">
        <f t="shared" si="685"/>
        <v>ND</v>
      </c>
      <c r="IG131" s="1" t="str">
        <f t="shared" si="686"/>
        <v>ND</v>
      </c>
      <c r="IH131" s="1" t="str">
        <f t="shared" si="687"/>
        <v>ND</v>
      </c>
      <c r="II131" s="1" t="str">
        <f t="shared" si="688"/>
        <v>ND</v>
      </c>
    </row>
    <row r="132" spans="3:243" x14ac:dyDescent="0.25">
      <c r="C132" t="s">
        <v>38</v>
      </c>
      <c r="D132">
        <f>SUMIFS(DICCIONARIO[Cantidad],DICCIONARIO[Modelo],UNIFICADA[[#This Row],[Equipo]])</f>
        <v>0</v>
      </c>
      <c r="E132" s="1">
        <f>IFERROR(VLOOKUP($C132,EQUIPOS[],UNIFICADO!E$9,0),"")</f>
        <v>11</v>
      </c>
      <c r="F132" s="1">
        <f>IFERROR(VLOOKUP($C132,EQUIPOS[],UNIFICADO!F$9,0),"")</f>
        <v>6.67</v>
      </c>
      <c r="G132" s="1">
        <f>IFERROR(VLOOKUP($C132,EQUIPOS[],UNIFICADO!G$9,0),"")</f>
        <v>108</v>
      </c>
      <c r="H132" s="1">
        <f>IFERROR(VLOOKUP($C132,EQUIPOS[],UNIFICADO!H$9,0),"")</f>
        <v>4</v>
      </c>
      <c r="I132" s="1">
        <f>IFERROR(VLOOKUP($C132,EQUIPOS[],UNIFICADO!I$9,0),"")</f>
        <v>16</v>
      </c>
      <c r="J132" s="1" t="str">
        <f>IFERROR(VLOOKUP($C132,EQUIPOS[],UNIFICADO!J$9,0),"")</f>
        <v>128GB</v>
      </c>
      <c r="K132" s="1">
        <f>IFERROR(VLOOKUP($C132,EQUIPOS[],UNIFICADO!K$9,0),"")</f>
        <v>512</v>
      </c>
      <c r="L132" s="1">
        <f>IFERROR(VLOOKUP($C132,EQUIPOS[],UNIFICADO!L$9,0),"")</f>
        <v>8</v>
      </c>
      <c r="M132" s="1" t="str">
        <f>IFERROR(VLOOKUP($C132,EQUIPOS[],UNIFICADO!M$9,0),"")</f>
        <v>2.3/1.8</v>
      </c>
      <c r="N132" s="1">
        <f>IFERROR(VLOOKUP($C132,EQUIPOS[],UNIFICADO!N$9,0),"")</f>
        <v>8</v>
      </c>
      <c r="O132" s="1">
        <f>IFERROR(VLOOKUP($C132,EQUIPOS[],UNIFICADO!O$9,0),"")</f>
        <v>193</v>
      </c>
      <c r="P132" s="1">
        <f>IFERROR(VLOOKUP($C132,EQUIPOS[],UNIFICADO!P$9,0),"")</f>
        <v>16.399999999999999</v>
      </c>
      <c r="Q132" s="1">
        <f>IFERROR(VLOOKUP($C132,EQUIPOS[],UNIFICADO!Q$9,0),"")</f>
        <v>7.65</v>
      </c>
      <c r="R132" s="1">
        <f>IFERROR(VLOOKUP($C132,EQUIPOS[],UNIFICADO!R$9,0),"")</f>
        <v>0.81</v>
      </c>
      <c r="S132" s="1">
        <f>IFERROR(VLOOKUP($C132,EQUIPOS[],UNIFICADO!S$9,0),"")</f>
        <v>5030</v>
      </c>
      <c r="T132" s="1">
        <f>IFERROR(VLOOKUP($C132,EQUIPOS[],UNIFICADO!T$9,0),"")</f>
        <v>4.5</v>
      </c>
      <c r="U132" s="1">
        <f>VLOOKUP(UNIFICADA[[#This Row],[Equipo]],EQUIPOS[],19,0)</f>
        <v>122</v>
      </c>
      <c r="V132" s="1" t="str">
        <f t="shared" si="533"/>
        <v>ND</v>
      </c>
      <c r="W132" s="1" t="str">
        <f t="shared" si="534"/>
        <v>ND</v>
      </c>
      <c r="X132" s="1" t="str">
        <f t="shared" si="702"/>
        <v>ND</v>
      </c>
      <c r="Y132" s="1" t="str">
        <f t="shared" si="702"/>
        <v>ND</v>
      </c>
      <c r="Z132" s="1" t="str">
        <f t="shared" si="703"/>
        <v>ND</v>
      </c>
      <c r="AA132" s="1" t="str">
        <f t="shared" si="703"/>
        <v>ND</v>
      </c>
      <c r="AB132" s="1" t="str">
        <f t="shared" si="703"/>
        <v>ND</v>
      </c>
      <c r="AC132" s="1" t="str">
        <f t="shared" si="703"/>
        <v>ND</v>
      </c>
      <c r="AD132" s="1" t="str">
        <f t="shared" si="703"/>
        <v>ND</v>
      </c>
      <c r="AE132" s="1" t="str">
        <f t="shared" si="703"/>
        <v>ND</v>
      </c>
      <c r="AF132" s="1" t="str">
        <f t="shared" si="703"/>
        <v>ND</v>
      </c>
      <c r="AG132" s="1" t="str">
        <f t="shared" si="703"/>
        <v>ND</v>
      </c>
      <c r="AH132" s="1" t="str">
        <f t="shared" si="703"/>
        <v>ND</v>
      </c>
      <c r="AI132" s="1" t="str">
        <f t="shared" si="535"/>
        <v>ND</v>
      </c>
      <c r="AJ132" s="1" t="str">
        <f t="shared" si="536"/>
        <v>ND</v>
      </c>
      <c r="AK132" s="1" t="str">
        <f t="shared" si="537"/>
        <v>ND</v>
      </c>
      <c r="AL132" s="1" t="str">
        <f t="shared" si="538"/>
        <v>ND</v>
      </c>
      <c r="AM132" s="1" t="str">
        <f t="shared" si="539"/>
        <v>ND</v>
      </c>
      <c r="AN132" s="1" t="str">
        <f t="shared" si="540"/>
        <v>ND</v>
      </c>
      <c r="AO132" s="1" t="str">
        <f t="shared" si="541"/>
        <v>ND</v>
      </c>
      <c r="AP132" s="1" t="str">
        <f t="shared" si="542"/>
        <v>ND</v>
      </c>
      <c r="AQ132" s="1" t="str">
        <f t="shared" si="543"/>
        <v>ND</v>
      </c>
      <c r="AR132" s="1" t="str">
        <f t="shared" si="544"/>
        <v>ND</v>
      </c>
      <c r="AS132" s="1" t="str">
        <f t="shared" si="545"/>
        <v>ND</v>
      </c>
      <c r="AT132" s="1" t="str">
        <f t="shared" si="546"/>
        <v>ND</v>
      </c>
      <c r="AU132" s="1" t="str">
        <f t="shared" si="547"/>
        <v>ND</v>
      </c>
      <c r="AV132" s="1" t="str">
        <f t="shared" si="548"/>
        <v>ND</v>
      </c>
      <c r="AW132" s="1" t="str">
        <f t="shared" si="549"/>
        <v>ND</v>
      </c>
      <c r="AX132" s="1" t="str">
        <f t="shared" si="550"/>
        <v>ND</v>
      </c>
      <c r="AY132" s="1" t="str">
        <f t="shared" si="551"/>
        <v>ND</v>
      </c>
      <c r="AZ132" s="1" t="str">
        <f t="shared" si="552"/>
        <v>ND</v>
      </c>
      <c r="BA132" s="1" t="str">
        <f t="shared" si="553"/>
        <v>ND</v>
      </c>
      <c r="BB132" s="1" t="str">
        <f t="shared" si="554"/>
        <v>ND</v>
      </c>
      <c r="BC132" s="1" t="str">
        <f t="shared" si="555"/>
        <v>ND</v>
      </c>
      <c r="BD132" s="1" t="str">
        <f t="shared" si="556"/>
        <v>ND</v>
      </c>
      <c r="BE132" s="1" t="str">
        <f t="shared" si="557"/>
        <v>ND</v>
      </c>
      <c r="BF132" s="1" t="str">
        <f t="shared" si="558"/>
        <v>ND</v>
      </c>
      <c r="BG132" s="1" t="str">
        <f t="shared" si="559"/>
        <v>ND</v>
      </c>
      <c r="BH132" s="1" t="str">
        <f t="shared" si="560"/>
        <v>ND</v>
      </c>
      <c r="BI132" s="1" t="str">
        <f t="shared" si="561"/>
        <v>ND</v>
      </c>
      <c r="BJ132" s="1" t="str">
        <f t="shared" si="562"/>
        <v>ND</v>
      </c>
      <c r="BK132" s="1" t="str">
        <f t="shared" si="563"/>
        <v>ND</v>
      </c>
      <c r="BL132" s="1" t="str">
        <f t="shared" si="564"/>
        <v>ND</v>
      </c>
      <c r="BM132" s="1" t="str">
        <f t="shared" si="565"/>
        <v>ND</v>
      </c>
      <c r="BN132" s="1" t="str">
        <f t="shared" si="566"/>
        <v>ND</v>
      </c>
      <c r="BO132" s="1" t="str">
        <f t="shared" si="567"/>
        <v>ND</v>
      </c>
      <c r="BP132" s="1" t="str">
        <f t="shared" si="568"/>
        <v>ND</v>
      </c>
      <c r="BQ132" s="1" t="str">
        <f t="shared" si="569"/>
        <v>ND</v>
      </c>
      <c r="BR132" s="1" t="str">
        <f t="shared" si="570"/>
        <v>ND</v>
      </c>
      <c r="BS132" s="1" t="str">
        <f t="shared" si="571"/>
        <v>ND</v>
      </c>
      <c r="BT132" s="1" t="str">
        <f t="shared" si="572"/>
        <v>ND</v>
      </c>
      <c r="BU132" s="1" t="str">
        <f t="shared" si="573"/>
        <v>ND</v>
      </c>
      <c r="BV132" s="1" t="str">
        <f t="shared" si="574"/>
        <v>ND</v>
      </c>
      <c r="BW132" s="1" t="str">
        <f t="shared" si="575"/>
        <v>ND</v>
      </c>
      <c r="BX132" s="1" t="str">
        <f t="shared" si="576"/>
        <v>ND</v>
      </c>
      <c r="BY132" s="1" t="str">
        <f t="shared" si="577"/>
        <v>ND</v>
      </c>
      <c r="BZ132" s="1" t="str">
        <f t="shared" si="578"/>
        <v>ND</v>
      </c>
      <c r="CA132" s="1" t="str">
        <f t="shared" si="704"/>
        <v>ND</v>
      </c>
      <c r="CB132" s="1" t="str">
        <f t="shared" si="704"/>
        <v>ND</v>
      </c>
      <c r="CC132" s="1" t="str">
        <f t="shared" si="704"/>
        <v>ND</v>
      </c>
      <c r="CD132" s="1" t="str">
        <f t="shared" si="704"/>
        <v>ND</v>
      </c>
      <c r="CE132" s="1" t="str">
        <f t="shared" si="704"/>
        <v>ND</v>
      </c>
      <c r="CF132" s="1" t="str">
        <f t="shared" si="704"/>
        <v>ND</v>
      </c>
      <c r="CG132" s="1" t="str">
        <f t="shared" si="704"/>
        <v>ND</v>
      </c>
      <c r="CH132" s="1" t="str">
        <f t="shared" si="704"/>
        <v>ND</v>
      </c>
      <c r="CI132" s="1" t="str">
        <f t="shared" si="704"/>
        <v>ND</v>
      </c>
      <c r="CJ132" s="1" t="str">
        <f t="shared" si="704"/>
        <v>ND</v>
      </c>
      <c r="CK132" s="1" t="str">
        <f t="shared" si="704"/>
        <v>ND</v>
      </c>
      <c r="CL132" s="1" t="str">
        <f t="shared" si="705"/>
        <v>ND</v>
      </c>
      <c r="CM132" s="1" t="str">
        <f t="shared" si="705"/>
        <v>ND</v>
      </c>
      <c r="CN132" s="1" t="str">
        <f t="shared" si="705"/>
        <v>ND</v>
      </c>
      <c r="CO132" s="1" t="str">
        <f t="shared" si="705"/>
        <v>ND</v>
      </c>
      <c r="CP132" s="1" t="str">
        <f t="shared" si="705"/>
        <v>ND</v>
      </c>
      <c r="CQ132" s="1" t="str">
        <f t="shared" si="705"/>
        <v>ND</v>
      </c>
      <c r="CR132" s="1" t="str">
        <f t="shared" si="705"/>
        <v>ND</v>
      </c>
      <c r="CS132" s="1" t="str">
        <f t="shared" si="705"/>
        <v>ND</v>
      </c>
      <c r="CT132" s="1" t="str">
        <f t="shared" si="705"/>
        <v>ND</v>
      </c>
      <c r="CU132" s="1" t="str">
        <f t="shared" si="705"/>
        <v>ND</v>
      </c>
      <c r="CV132" s="1" t="str">
        <f t="shared" si="705"/>
        <v>ND</v>
      </c>
      <c r="CW132" s="1" t="str">
        <f t="shared" si="579"/>
        <v>ND</v>
      </c>
      <c r="CX132" s="1" t="str">
        <f t="shared" si="580"/>
        <v>ND</v>
      </c>
      <c r="CY132" s="1" t="str">
        <f t="shared" si="581"/>
        <v>ND</v>
      </c>
      <c r="CZ132" s="1" t="str">
        <f t="shared" si="582"/>
        <v>ND</v>
      </c>
      <c r="DA132" s="1" t="str">
        <f t="shared" si="583"/>
        <v>ND</v>
      </c>
      <c r="DB132" s="1" t="str">
        <f t="shared" si="584"/>
        <v>ND</v>
      </c>
      <c r="DC132" s="1" t="str">
        <f t="shared" si="585"/>
        <v>ND</v>
      </c>
      <c r="DD132" s="1" t="str">
        <f t="shared" si="586"/>
        <v>ND</v>
      </c>
      <c r="DE132" s="1" t="str">
        <f t="shared" si="587"/>
        <v>ND</v>
      </c>
      <c r="DF132" s="1" t="str">
        <f t="shared" si="588"/>
        <v>ND</v>
      </c>
      <c r="DG132" s="1" t="str">
        <f t="shared" si="589"/>
        <v>ND</v>
      </c>
      <c r="DH132" s="1" t="str">
        <f t="shared" si="590"/>
        <v>ND</v>
      </c>
      <c r="DI132" s="1" t="str">
        <f t="shared" si="591"/>
        <v>ND</v>
      </c>
      <c r="DJ132" s="1" t="str">
        <f t="shared" si="592"/>
        <v>ND</v>
      </c>
      <c r="DK132" s="1" t="str">
        <f t="shared" si="593"/>
        <v>ND</v>
      </c>
      <c r="DL132" s="1" t="str">
        <f t="shared" si="594"/>
        <v>ND</v>
      </c>
      <c r="DM132" s="1" t="str">
        <f t="shared" si="595"/>
        <v>ND</v>
      </c>
      <c r="DN132" s="1" t="str">
        <f t="shared" si="596"/>
        <v>ND</v>
      </c>
      <c r="DO132" s="1" t="str">
        <f t="shared" si="597"/>
        <v>ND</v>
      </c>
      <c r="DP132" s="1" t="str">
        <f t="shared" si="598"/>
        <v>ND</v>
      </c>
      <c r="DQ132" s="1" t="str">
        <f t="shared" si="599"/>
        <v>ND</v>
      </c>
      <c r="DR132" s="1" t="str">
        <f t="shared" si="600"/>
        <v>ND</v>
      </c>
      <c r="DS132" s="1" t="str">
        <f t="shared" si="601"/>
        <v>ND</v>
      </c>
      <c r="DT132" s="1" t="str">
        <f t="shared" si="602"/>
        <v>ND</v>
      </c>
      <c r="DU132" s="1" t="str">
        <f t="shared" si="603"/>
        <v>ND</v>
      </c>
      <c r="DV132" s="1" t="str">
        <f t="shared" si="604"/>
        <v>ND</v>
      </c>
      <c r="DW132" s="1" t="str">
        <f t="shared" si="605"/>
        <v>ND</v>
      </c>
      <c r="DX132" s="1" t="str">
        <f t="shared" si="606"/>
        <v>ND</v>
      </c>
      <c r="DY132" s="1" t="str">
        <f t="shared" si="607"/>
        <v>ND</v>
      </c>
      <c r="DZ132" s="1" t="str">
        <f t="shared" si="608"/>
        <v>ND</v>
      </c>
      <c r="EA132" s="1" t="str">
        <f t="shared" si="609"/>
        <v>ND</v>
      </c>
      <c r="EB132" s="1" t="str">
        <f t="shared" si="610"/>
        <v>ND</v>
      </c>
      <c r="EC132" s="1" t="str">
        <f t="shared" si="611"/>
        <v>ND</v>
      </c>
      <c r="ED132" s="1" t="str">
        <f t="shared" si="612"/>
        <v>ND</v>
      </c>
      <c r="EE132" s="1" t="str">
        <f t="shared" si="613"/>
        <v>ND</v>
      </c>
      <c r="EF132" s="1" t="str">
        <f t="shared" si="614"/>
        <v>ND</v>
      </c>
      <c r="EG132" s="1" t="str">
        <f t="shared" si="615"/>
        <v>ND</v>
      </c>
      <c r="EH132" s="1" t="str">
        <f t="shared" si="616"/>
        <v>ND</v>
      </c>
      <c r="EI132" s="1" t="str">
        <f t="shared" si="617"/>
        <v>ND</v>
      </c>
      <c r="EJ132" s="1" t="str">
        <f t="shared" si="618"/>
        <v>ND</v>
      </c>
      <c r="EK132" s="1" t="str">
        <f t="shared" si="619"/>
        <v>ND</v>
      </c>
      <c r="EL132" s="1" t="str">
        <f t="shared" si="620"/>
        <v>ND</v>
      </c>
      <c r="EM132" s="1" t="str">
        <f t="shared" si="621"/>
        <v>ND</v>
      </c>
      <c r="EN132" s="1" t="str">
        <f t="shared" si="622"/>
        <v>ND</v>
      </c>
      <c r="EO132" s="1" t="str">
        <f t="shared" si="706"/>
        <v>ND</v>
      </c>
      <c r="EP132" s="1" t="str">
        <f t="shared" si="706"/>
        <v>ND</v>
      </c>
      <c r="EQ132" s="1" t="str">
        <f t="shared" si="706"/>
        <v>ND</v>
      </c>
      <c r="ER132" s="1" t="str">
        <f t="shared" si="706"/>
        <v>ND</v>
      </c>
      <c r="ES132" s="1" t="str">
        <f t="shared" si="706"/>
        <v>ND</v>
      </c>
      <c r="ET132" s="1" t="str">
        <f t="shared" si="706"/>
        <v>ND</v>
      </c>
      <c r="EU132" s="1" t="str">
        <f t="shared" si="706"/>
        <v>ND</v>
      </c>
      <c r="EV132" s="1" t="str">
        <f t="shared" si="706"/>
        <v>ND</v>
      </c>
      <c r="EW132" s="1" t="str">
        <f t="shared" si="706"/>
        <v>ND</v>
      </c>
      <c r="EX132" s="1" t="str">
        <f t="shared" si="706"/>
        <v>ND</v>
      </c>
      <c r="EY132" s="1" t="str">
        <f t="shared" si="706"/>
        <v>ND</v>
      </c>
      <c r="EZ132" s="1" t="str">
        <f t="shared" si="707"/>
        <v>ND</v>
      </c>
      <c r="FA132" s="1" t="str">
        <f t="shared" si="707"/>
        <v>ND</v>
      </c>
      <c r="FB132" s="1" t="str">
        <f t="shared" si="707"/>
        <v>ND</v>
      </c>
      <c r="FC132" s="1" t="str">
        <f t="shared" si="707"/>
        <v>ND</v>
      </c>
      <c r="FD132" s="1" t="str">
        <f t="shared" si="707"/>
        <v>ND</v>
      </c>
      <c r="FE132" s="1" t="str">
        <f t="shared" si="707"/>
        <v>ND</v>
      </c>
      <c r="FF132" s="1" t="str">
        <f t="shared" si="707"/>
        <v>ND</v>
      </c>
      <c r="FG132" s="1" t="str">
        <f t="shared" si="707"/>
        <v>ND</v>
      </c>
      <c r="FH132" s="1" t="str">
        <f t="shared" si="707"/>
        <v>ND</v>
      </c>
      <c r="FI132" s="1" t="str">
        <f t="shared" si="707"/>
        <v>ND</v>
      </c>
      <c r="FJ132" s="1" t="str">
        <f t="shared" si="707"/>
        <v>ND</v>
      </c>
      <c r="FK132" s="1" t="str">
        <f t="shared" si="708"/>
        <v>ND</v>
      </c>
      <c r="FL132" s="1" t="str">
        <f t="shared" si="708"/>
        <v>ND</v>
      </c>
      <c r="FM132" s="1" t="str">
        <f t="shared" si="708"/>
        <v>ND</v>
      </c>
      <c r="FN132" s="1" t="str">
        <f t="shared" si="708"/>
        <v>ND</v>
      </c>
      <c r="FO132" s="1" t="str">
        <f t="shared" si="708"/>
        <v>ND</v>
      </c>
      <c r="FP132" s="1" t="str">
        <f t="shared" si="708"/>
        <v>ND</v>
      </c>
      <c r="FQ132" s="1" t="str">
        <f t="shared" si="708"/>
        <v>ND</v>
      </c>
      <c r="FR132" s="1" t="str">
        <f t="shared" si="708"/>
        <v>ND</v>
      </c>
      <c r="FS132" s="1" t="str">
        <f t="shared" si="708"/>
        <v>ND</v>
      </c>
      <c r="FT132" s="1" t="str">
        <f t="shared" si="708"/>
        <v>ND</v>
      </c>
      <c r="FU132" s="1" t="str">
        <f t="shared" si="708"/>
        <v>ND</v>
      </c>
      <c r="FV132" s="1" t="str">
        <f t="shared" si="623"/>
        <v>ND</v>
      </c>
      <c r="FW132" s="1" t="str">
        <f t="shared" si="624"/>
        <v>ND</v>
      </c>
      <c r="FX132" s="1" t="str">
        <f t="shared" si="625"/>
        <v>ND</v>
      </c>
      <c r="FY132" s="1" t="str">
        <f t="shared" si="626"/>
        <v>ND</v>
      </c>
      <c r="FZ132" s="1" t="str">
        <f t="shared" si="627"/>
        <v>ND</v>
      </c>
      <c r="GA132" s="1" t="str">
        <f t="shared" si="628"/>
        <v>ND</v>
      </c>
      <c r="GB132" s="1" t="str">
        <f t="shared" si="629"/>
        <v>ND</v>
      </c>
      <c r="GC132" s="1" t="str">
        <f t="shared" si="630"/>
        <v>ND</v>
      </c>
      <c r="GD132" s="1" t="str">
        <f t="shared" si="631"/>
        <v>ND</v>
      </c>
      <c r="GE132" s="1" t="str">
        <f t="shared" si="632"/>
        <v>ND</v>
      </c>
      <c r="GF132" s="1" t="str">
        <f t="shared" si="633"/>
        <v>ND</v>
      </c>
      <c r="GG132" s="1" t="str">
        <f t="shared" si="634"/>
        <v>ND</v>
      </c>
      <c r="GH132" s="1" t="str">
        <f t="shared" si="635"/>
        <v>ND</v>
      </c>
      <c r="GI132" s="1" t="str">
        <f t="shared" si="636"/>
        <v>ND</v>
      </c>
      <c r="GJ132" s="1" t="str">
        <f t="shared" si="637"/>
        <v>ND</v>
      </c>
      <c r="GK132" s="1" t="str">
        <f t="shared" si="638"/>
        <v>ND</v>
      </c>
      <c r="GL132" s="1" t="str">
        <f t="shared" si="639"/>
        <v>ND</v>
      </c>
      <c r="GM132" s="1" t="str">
        <f t="shared" si="640"/>
        <v>ND</v>
      </c>
      <c r="GN132" s="1" t="str">
        <f t="shared" si="641"/>
        <v>ND</v>
      </c>
      <c r="GO132" s="1" t="str">
        <f t="shared" si="642"/>
        <v>ND</v>
      </c>
      <c r="GP132" s="1" t="str">
        <f t="shared" si="643"/>
        <v>ND</v>
      </c>
      <c r="GQ132" s="1" t="str">
        <f t="shared" si="644"/>
        <v>ND</v>
      </c>
      <c r="GR132" s="1" t="str">
        <f t="shared" si="645"/>
        <v>ND</v>
      </c>
      <c r="GS132" s="1" t="str">
        <f t="shared" si="646"/>
        <v>ND</v>
      </c>
      <c r="GT132" s="1" t="str">
        <f t="shared" si="647"/>
        <v>ND</v>
      </c>
      <c r="GU132" s="1" t="str">
        <f t="shared" si="648"/>
        <v>ND</v>
      </c>
      <c r="GV132" s="1" t="str">
        <f t="shared" si="649"/>
        <v>ND</v>
      </c>
      <c r="GW132" s="1" t="str">
        <f t="shared" si="650"/>
        <v>ND</v>
      </c>
      <c r="GX132" s="1" t="str">
        <f t="shared" si="651"/>
        <v>ND</v>
      </c>
      <c r="GY132" s="1" t="str">
        <f t="shared" si="652"/>
        <v>ND</v>
      </c>
      <c r="GZ132" s="1" t="str">
        <f t="shared" si="653"/>
        <v>ND</v>
      </c>
      <c r="HA132" s="1" t="str">
        <f t="shared" si="654"/>
        <v>ND</v>
      </c>
      <c r="HB132" s="1" t="str">
        <f t="shared" si="655"/>
        <v>ND</v>
      </c>
      <c r="HC132" s="1" t="str">
        <f t="shared" si="656"/>
        <v>ND</v>
      </c>
      <c r="HD132" s="1" t="str">
        <f t="shared" si="657"/>
        <v>ND</v>
      </c>
      <c r="HE132" s="1" t="str">
        <f t="shared" si="658"/>
        <v>ND</v>
      </c>
      <c r="HF132" s="1" t="str">
        <f t="shared" si="659"/>
        <v>ND</v>
      </c>
      <c r="HG132" s="1" t="str">
        <f t="shared" si="660"/>
        <v>ND</v>
      </c>
      <c r="HH132" s="1" t="str">
        <f t="shared" si="661"/>
        <v>ND</v>
      </c>
      <c r="HI132" s="1" t="str">
        <f t="shared" si="662"/>
        <v>ND</v>
      </c>
      <c r="HJ132" s="1" t="str">
        <f t="shared" si="663"/>
        <v>ND</v>
      </c>
      <c r="HK132" s="1" t="str">
        <f t="shared" si="664"/>
        <v>ND</v>
      </c>
      <c r="HL132" s="1" t="str">
        <f t="shared" si="665"/>
        <v>ND</v>
      </c>
      <c r="HM132" s="1" t="str">
        <f t="shared" si="666"/>
        <v>ND</v>
      </c>
      <c r="HN132" s="1" t="str">
        <f t="shared" si="667"/>
        <v>ND</v>
      </c>
      <c r="HO132" s="1" t="str">
        <f t="shared" si="668"/>
        <v>ND</v>
      </c>
      <c r="HP132" s="1" t="str">
        <f t="shared" si="669"/>
        <v>ND</v>
      </c>
      <c r="HQ132" s="1" t="str">
        <f t="shared" si="670"/>
        <v>ND</v>
      </c>
      <c r="HR132" s="1" t="str">
        <f t="shared" si="671"/>
        <v>ND</v>
      </c>
      <c r="HS132" s="1" t="str">
        <f t="shared" si="672"/>
        <v>ND</v>
      </c>
      <c r="HT132" s="1" t="str">
        <f t="shared" si="673"/>
        <v>ND</v>
      </c>
      <c r="HU132" s="1" t="str">
        <f t="shared" si="674"/>
        <v>ND</v>
      </c>
      <c r="HV132" s="1" t="str">
        <f t="shared" si="675"/>
        <v>ND</v>
      </c>
      <c r="HW132" s="1" t="str">
        <f t="shared" si="676"/>
        <v>ND</v>
      </c>
      <c r="HX132" s="1" t="str">
        <f t="shared" si="677"/>
        <v>ND</v>
      </c>
      <c r="HY132" s="1" t="str">
        <f t="shared" si="678"/>
        <v>ND</v>
      </c>
      <c r="HZ132" s="1" t="str">
        <f t="shared" si="679"/>
        <v>ND</v>
      </c>
      <c r="IA132" s="1" t="str">
        <f t="shared" si="680"/>
        <v>ND</v>
      </c>
      <c r="IB132" s="1" t="str">
        <f t="shared" si="681"/>
        <v>ND</v>
      </c>
      <c r="IC132" s="1" t="str">
        <f t="shared" si="682"/>
        <v>ND</v>
      </c>
      <c r="ID132" s="1" t="str">
        <f t="shared" si="683"/>
        <v>ND</v>
      </c>
      <c r="IE132" s="1" t="str">
        <f t="shared" si="684"/>
        <v>ND</v>
      </c>
      <c r="IF132" s="1" t="str">
        <f t="shared" si="685"/>
        <v>ND</v>
      </c>
      <c r="IG132" s="1" t="str">
        <f t="shared" si="686"/>
        <v>ND</v>
      </c>
      <c r="IH132" s="1" t="str">
        <f t="shared" si="687"/>
        <v>ND</v>
      </c>
      <c r="II132" s="1" t="str">
        <f t="shared" si="688"/>
        <v>ND</v>
      </c>
    </row>
    <row r="133" spans="3:243" x14ac:dyDescent="0.25">
      <c r="C133" t="s">
        <v>39</v>
      </c>
      <c r="D133">
        <f>SUMIFS(DICCIONARIO[Cantidad],DICCIONARIO[Modelo],UNIFICADA[[#This Row],[Equipo]])</f>
        <v>0</v>
      </c>
      <c r="E133" s="1">
        <f>IFERROR(VLOOKUP($C133,EQUIPOS[],UNIFICADO!E$9,0),"")</f>
        <v>11</v>
      </c>
      <c r="F133" s="1">
        <f>IFERROR(VLOOKUP($C133,EQUIPOS[],UNIFICADO!F$9,0),"")</f>
        <v>6.43</v>
      </c>
      <c r="G133" s="1">
        <f>IFERROR(VLOOKUP($C133,EQUIPOS[],UNIFICADO!G$9,0),"")</f>
        <v>64</v>
      </c>
      <c r="H133" s="1">
        <f>IFERROR(VLOOKUP($C133,EQUIPOS[],UNIFICADO!H$9,0),"")</f>
        <v>4</v>
      </c>
      <c r="I133" s="1">
        <f>IFERROR(VLOOKUP($C133,EQUIPOS[],UNIFICADO!I$9,0),"")</f>
        <v>13</v>
      </c>
      <c r="J133" s="1" t="str">
        <f>IFERROR(VLOOKUP($C133,EQUIPOS[],UNIFICADO!J$9,0),"")</f>
        <v>128GB</v>
      </c>
      <c r="K133" s="1">
        <f>IFERROR(VLOOKUP($C133,EQUIPOS[],UNIFICADO!K$9,0),"")</f>
        <v>512</v>
      </c>
      <c r="L133" s="1">
        <f>IFERROR(VLOOKUP($C133,EQUIPOS[],UNIFICADO!L$9,0),"")</f>
        <v>8</v>
      </c>
      <c r="M133" s="1" t="str">
        <f>IFERROR(VLOOKUP($C133,EQUIPOS[],UNIFICADO!M$9,0),"")</f>
        <v>2.05/2.0</v>
      </c>
      <c r="N133" s="1">
        <f>IFERROR(VLOOKUP($C133,EQUIPOS[],UNIFICADO!N$9,0),"")</f>
        <v>6</v>
      </c>
      <c r="O133" s="1">
        <f>IFERROR(VLOOKUP($C133,EQUIPOS[],UNIFICADO!O$9,0),"")</f>
        <v>178</v>
      </c>
      <c r="P133" s="1">
        <f>IFERROR(VLOOKUP($C133,EQUIPOS[],UNIFICADO!P$9,0),"")</f>
        <v>16</v>
      </c>
      <c r="Q133" s="1">
        <f>IFERROR(VLOOKUP($C133,EQUIPOS[],UNIFICADO!Q$9,0),"")</f>
        <v>7.45</v>
      </c>
      <c r="R133" s="1">
        <f>IFERROR(VLOOKUP($C133,EQUIPOS[],UNIFICADO!R$9,0),"")</f>
        <v>0.83</v>
      </c>
      <c r="S133" s="1">
        <f>IFERROR(VLOOKUP($C133,EQUIPOS[],UNIFICADO!S$9,0),"")</f>
        <v>5000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533"/>
        <v>ND</v>
      </c>
      <c r="W133" s="1" t="str">
        <f t="shared" si="534"/>
        <v>ND</v>
      </c>
      <c r="X133" s="1" t="str">
        <f t="shared" si="702"/>
        <v>ND</v>
      </c>
      <c r="Y133" s="1" t="str">
        <f t="shared" si="702"/>
        <v>ND</v>
      </c>
      <c r="Z133" s="1" t="str">
        <f t="shared" si="703"/>
        <v>ND</v>
      </c>
      <c r="AA133" s="1" t="str">
        <f t="shared" si="703"/>
        <v>ND</v>
      </c>
      <c r="AB133" s="1" t="str">
        <f t="shared" si="703"/>
        <v>ND</v>
      </c>
      <c r="AC133" s="1" t="str">
        <f t="shared" si="703"/>
        <v>ND</v>
      </c>
      <c r="AD133" s="1" t="str">
        <f t="shared" si="703"/>
        <v>ND</v>
      </c>
      <c r="AE133" s="1" t="str">
        <f t="shared" si="703"/>
        <v>ND</v>
      </c>
      <c r="AF133" s="1" t="str">
        <f t="shared" si="703"/>
        <v>ND</v>
      </c>
      <c r="AG133" s="1" t="str">
        <f t="shared" si="703"/>
        <v>ND</v>
      </c>
      <c r="AH133" s="1" t="str">
        <f t="shared" si="703"/>
        <v>ND</v>
      </c>
      <c r="AI133" s="1" t="str">
        <f t="shared" si="535"/>
        <v>ND</v>
      </c>
      <c r="AJ133" s="1" t="str">
        <f t="shared" si="536"/>
        <v>ND</v>
      </c>
      <c r="AK133" s="1" t="str">
        <f t="shared" si="537"/>
        <v>ND</v>
      </c>
      <c r="AL133" s="1" t="str">
        <f t="shared" si="538"/>
        <v>ND</v>
      </c>
      <c r="AM133" s="1" t="str">
        <f t="shared" si="539"/>
        <v>ND</v>
      </c>
      <c r="AN133" s="1" t="str">
        <f t="shared" si="540"/>
        <v>ND</v>
      </c>
      <c r="AO133" s="1" t="str">
        <f t="shared" si="541"/>
        <v>ND</v>
      </c>
      <c r="AP133" s="1" t="str">
        <f t="shared" si="542"/>
        <v>ND</v>
      </c>
      <c r="AQ133" s="1" t="str">
        <f t="shared" si="543"/>
        <v>ND</v>
      </c>
      <c r="AR133" s="1" t="str">
        <f t="shared" si="544"/>
        <v>ND</v>
      </c>
      <c r="AS133" s="1" t="str">
        <f t="shared" si="545"/>
        <v>ND</v>
      </c>
      <c r="AT133" s="1" t="str">
        <f t="shared" si="546"/>
        <v>ND</v>
      </c>
      <c r="AU133" s="1" t="str">
        <f t="shared" si="547"/>
        <v>ND</v>
      </c>
      <c r="AV133" s="1" t="str">
        <f t="shared" si="548"/>
        <v>ND</v>
      </c>
      <c r="AW133" s="1" t="str">
        <f t="shared" si="549"/>
        <v>ND</v>
      </c>
      <c r="AX133" s="1" t="str">
        <f t="shared" si="550"/>
        <v>ND</v>
      </c>
      <c r="AY133" s="1" t="str">
        <f t="shared" si="551"/>
        <v>ND</v>
      </c>
      <c r="AZ133" s="1" t="str">
        <f t="shared" si="552"/>
        <v>ND</v>
      </c>
      <c r="BA133" s="1" t="str">
        <f t="shared" si="553"/>
        <v>ND</v>
      </c>
      <c r="BB133" s="1" t="str">
        <f t="shared" si="554"/>
        <v>ND</v>
      </c>
      <c r="BC133" s="1" t="str">
        <f t="shared" si="555"/>
        <v>ND</v>
      </c>
      <c r="BD133" s="1" t="str">
        <f t="shared" si="556"/>
        <v>ND</v>
      </c>
      <c r="BE133" s="1" t="str">
        <f t="shared" si="557"/>
        <v>ND</v>
      </c>
      <c r="BF133" s="1" t="str">
        <f t="shared" si="558"/>
        <v>ND</v>
      </c>
      <c r="BG133" s="1" t="str">
        <f t="shared" si="559"/>
        <v>ND</v>
      </c>
      <c r="BH133" s="1" t="str">
        <f t="shared" si="560"/>
        <v>ND</v>
      </c>
      <c r="BI133" s="1" t="str">
        <f t="shared" si="561"/>
        <v>ND</v>
      </c>
      <c r="BJ133" s="1" t="str">
        <f t="shared" si="562"/>
        <v>ND</v>
      </c>
      <c r="BK133" s="1" t="str">
        <f t="shared" si="563"/>
        <v>ND</v>
      </c>
      <c r="BL133" s="1" t="str">
        <f t="shared" si="564"/>
        <v>ND</v>
      </c>
      <c r="BM133" s="1" t="str">
        <f t="shared" si="565"/>
        <v>ND</v>
      </c>
      <c r="BN133" s="1" t="str">
        <f t="shared" si="566"/>
        <v>ND</v>
      </c>
      <c r="BO133" s="1" t="str">
        <f t="shared" si="567"/>
        <v>ND</v>
      </c>
      <c r="BP133" s="1" t="str">
        <f t="shared" si="568"/>
        <v>ND</v>
      </c>
      <c r="BQ133" s="1" t="str">
        <f t="shared" si="569"/>
        <v>ND</v>
      </c>
      <c r="BR133" s="1" t="str">
        <f t="shared" si="570"/>
        <v>ND</v>
      </c>
      <c r="BS133" s="1" t="str">
        <f t="shared" si="571"/>
        <v>ND</v>
      </c>
      <c r="BT133" s="1" t="str">
        <f t="shared" si="572"/>
        <v>ND</v>
      </c>
      <c r="BU133" s="1" t="str">
        <f t="shared" si="573"/>
        <v>ND</v>
      </c>
      <c r="BV133" s="1" t="str">
        <f t="shared" si="574"/>
        <v>ND</v>
      </c>
      <c r="BW133" s="1" t="str">
        <f t="shared" si="575"/>
        <v>ND</v>
      </c>
      <c r="BX133" s="1" t="str">
        <f t="shared" si="576"/>
        <v>ND</v>
      </c>
      <c r="BY133" s="1" t="str">
        <f t="shared" si="577"/>
        <v>ND</v>
      </c>
      <c r="BZ133" s="1" t="str">
        <f t="shared" si="578"/>
        <v>ND</v>
      </c>
      <c r="CA133" s="1" t="str">
        <f t="shared" si="704"/>
        <v>ND</v>
      </c>
      <c r="CB133" s="1" t="str">
        <f t="shared" si="704"/>
        <v>ND</v>
      </c>
      <c r="CC133" s="1" t="str">
        <f t="shared" si="704"/>
        <v>ND</v>
      </c>
      <c r="CD133" s="1" t="str">
        <f t="shared" si="704"/>
        <v>ND</v>
      </c>
      <c r="CE133" s="1" t="str">
        <f t="shared" si="704"/>
        <v>ND</v>
      </c>
      <c r="CF133" s="1" t="str">
        <f t="shared" si="704"/>
        <v>ND</v>
      </c>
      <c r="CG133" s="1" t="str">
        <f t="shared" si="704"/>
        <v>ND</v>
      </c>
      <c r="CH133" s="1" t="str">
        <f t="shared" si="704"/>
        <v>ND</v>
      </c>
      <c r="CI133" s="1" t="str">
        <f t="shared" si="704"/>
        <v>ND</v>
      </c>
      <c r="CJ133" s="1" t="str">
        <f t="shared" si="704"/>
        <v>ND</v>
      </c>
      <c r="CK133" s="1" t="str">
        <f t="shared" si="704"/>
        <v>ND</v>
      </c>
      <c r="CL133" s="1" t="str">
        <f t="shared" si="705"/>
        <v>ND</v>
      </c>
      <c r="CM133" s="1" t="str">
        <f t="shared" si="705"/>
        <v>ND</v>
      </c>
      <c r="CN133" s="1" t="str">
        <f t="shared" si="705"/>
        <v>ND</v>
      </c>
      <c r="CO133" s="1" t="str">
        <f t="shared" si="705"/>
        <v>ND</v>
      </c>
      <c r="CP133" s="1" t="str">
        <f t="shared" si="705"/>
        <v>ND</v>
      </c>
      <c r="CQ133" s="1" t="str">
        <f t="shared" si="705"/>
        <v>ND</v>
      </c>
      <c r="CR133" s="1" t="str">
        <f t="shared" si="705"/>
        <v>ND</v>
      </c>
      <c r="CS133" s="1" t="str">
        <f t="shared" si="705"/>
        <v>ND</v>
      </c>
      <c r="CT133" s="1" t="str">
        <f t="shared" si="705"/>
        <v>ND</v>
      </c>
      <c r="CU133" s="1" t="str">
        <f t="shared" si="705"/>
        <v>ND</v>
      </c>
      <c r="CV133" s="1" t="str">
        <f t="shared" si="705"/>
        <v>ND</v>
      </c>
      <c r="CW133" s="1" t="str">
        <f t="shared" si="579"/>
        <v>ND</v>
      </c>
      <c r="CX133" s="1" t="str">
        <f t="shared" si="580"/>
        <v>ND</v>
      </c>
      <c r="CY133" s="1" t="str">
        <f t="shared" si="581"/>
        <v>ND</v>
      </c>
      <c r="CZ133" s="1" t="str">
        <f t="shared" si="582"/>
        <v>ND</v>
      </c>
      <c r="DA133" s="1" t="str">
        <f t="shared" si="583"/>
        <v>ND</v>
      </c>
      <c r="DB133" s="1" t="str">
        <f t="shared" si="584"/>
        <v>ND</v>
      </c>
      <c r="DC133" s="1" t="str">
        <f t="shared" si="585"/>
        <v>ND</v>
      </c>
      <c r="DD133" s="1" t="str">
        <f t="shared" si="586"/>
        <v>ND</v>
      </c>
      <c r="DE133" s="1" t="str">
        <f t="shared" si="587"/>
        <v>ND</v>
      </c>
      <c r="DF133" s="1" t="str">
        <f t="shared" si="588"/>
        <v>ND</v>
      </c>
      <c r="DG133" s="1" t="str">
        <f t="shared" si="589"/>
        <v>ND</v>
      </c>
      <c r="DH133" s="1" t="str">
        <f t="shared" si="590"/>
        <v>ND</v>
      </c>
      <c r="DI133" s="1" t="str">
        <f t="shared" si="591"/>
        <v>ND</v>
      </c>
      <c r="DJ133" s="1" t="str">
        <f t="shared" si="592"/>
        <v>ND</v>
      </c>
      <c r="DK133" s="1" t="str">
        <f t="shared" si="593"/>
        <v>ND</v>
      </c>
      <c r="DL133" s="1" t="str">
        <f t="shared" si="594"/>
        <v>ND</v>
      </c>
      <c r="DM133" s="1" t="str">
        <f t="shared" si="595"/>
        <v>ND</v>
      </c>
      <c r="DN133" s="1" t="str">
        <f t="shared" si="596"/>
        <v>ND</v>
      </c>
      <c r="DO133" s="1" t="str">
        <f t="shared" si="597"/>
        <v>ND</v>
      </c>
      <c r="DP133" s="1" t="str">
        <f t="shared" si="598"/>
        <v>ND</v>
      </c>
      <c r="DQ133" s="1" t="str">
        <f t="shared" si="599"/>
        <v>ND</v>
      </c>
      <c r="DR133" s="1" t="str">
        <f t="shared" si="600"/>
        <v>ND</v>
      </c>
      <c r="DS133" s="1" t="str">
        <f t="shared" si="601"/>
        <v>ND</v>
      </c>
      <c r="DT133" s="1" t="str">
        <f t="shared" si="602"/>
        <v>ND</v>
      </c>
      <c r="DU133" s="1" t="str">
        <f t="shared" si="603"/>
        <v>ND</v>
      </c>
      <c r="DV133" s="1" t="str">
        <f t="shared" si="604"/>
        <v>ND</v>
      </c>
      <c r="DW133" s="1" t="str">
        <f t="shared" si="605"/>
        <v>ND</v>
      </c>
      <c r="DX133" s="1" t="str">
        <f t="shared" si="606"/>
        <v>ND</v>
      </c>
      <c r="DY133" s="1" t="str">
        <f t="shared" si="607"/>
        <v>ND</v>
      </c>
      <c r="DZ133" s="1" t="str">
        <f t="shared" si="608"/>
        <v>ND</v>
      </c>
      <c r="EA133" s="1" t="str">
        <f t="shared" si="609"/>
        <v>ND</v>
      </c>
      <c r="EB133" s="1" t="str">
        <f t="shared" si="610"/>
        <v>ND</v>
      </c>
      <c r="EC133" s="1" t="str">
        <f t="shared" si="611"/>
        <v>ND</v>
      </c>
      <c r="ED133" s="1" t="str">
        <f t="shared" si="612"/>
        <v>ND</v>
      </c>
      <c r="EE133" s="1" t="str">
        <f t="shared" si="613"/>
        <v>ND</v>
      </c>
      <c r="EF133" s="1" t="str">
        <f t="shared" si="614"/>
        <v>ND</v>
      </c>
      <c r="EG133" s="1" t="str">
        <f t="shared" si="615"/>
        <v>ND</v>
      </c>
      <c r="EH133" s="1" t="str">
        <f t="shared" si="616"/>
        <v>ND</v>
      </c>
      <c r="EI133" s="1" t="str">
        <f t="shared" si="617"/>
        <v>ND</v>
      </c>
      <c r="EJ133" s="1" t="str">
        <f t="shared" si="618"/>
        <v>ND</v>
      </c>
      <c r="EK133" s="1" t="str">
        <f t="shared" si="619"/>
        <v>ND</v>
      </c>
      <c r="EL133" s="1" t="str">
        <f t="shared" si="620"/>
        <v>ND</v>
      </c>
      <c r="EM133" s="1" t="str">
        <f t="shared" si="621"/>
        <v>ND</v>
      </c>
      <c r="EN133" s="1" t="str">
        <f t="shared" si="622"/>
        <v>ND</v>
      </c>
      <c r="EO133" s="1" t="str">
        <f t="shared" si="706"/>
        <v>ND</v>
      </c>
      <c r="EP133" s="1" t="str">
        <f t="shared" si="706"/>
        <v>ND</v>
      </c>
      <c r="EQ133" s="1" t="str">
        <f t="shared" si="706"/>
        <v>ND</v>
      </c>
      <c r="ER133" s="1" t="str">
        <f t="shared" si="706"/>
        <v>ND</v>
      </c>
      <c r="ES133" s="1" t="str">
        <f t="shared" si="706"/>
        <v>ND</v>
      </c>
      <c r="ET133" s="1" t="str">
        <f t="shared" si="706"/>
        <v>ND</v>
      </c>
      <c r="EU133" s="1" t="str">
        <f t="shared" si="706"/>
        <v>ND</v>
      </c>
      <c r="EV133" s="1" t="str">
        <f t="shared" si="706"/>
        <v>ND</v>
      </c>
      <c r="EW133" s="1" t="str">
        <f t="shared" si="706"/>
        <v>ND</v>
      </c>
      <c r="EX133" s="1" t="str">
        <f t="shared" si="706"/>
        <v>ND</v>
      </c>
      <c r="EY133" s="1" t="str">
        <f t="shared" si="706"/>
        <v>ND</v>
      </c>
      <c r="EZ133" s="1" t="str">
        <f t="shared" si="707"/>
        <v>ND</v>
      </c>
      <c r="FA133" s="1" t="str">
        <f t="shared" si="707"/>
        <v>ND</v>
      </c>
      <c r="FB133" s="1" t="str">
        <f t="shared" si="707"/>
        <v>ND</v>
      </c>
      <c r="FC133" s="1" t="str">
        <f t="shared" si="707"/>
        <v>ND</v>
      </c>
      <c r="FD133" s="1" t="str">
        <f t="shared" si="707"/>
        <v>ND</v>
      </c>
      <c r="FE133" s="1" t="str">
        <f t="shared" si="707"/>
        <v>ND</v>
      </c>
      <c r="FF133" s="1" t="str">
        <f t="shared" si="707"/>
        <v>ND</v>
      </c>
      <c r="FG133" s="1" t="str">
        <f t="shared" si="707"/>
        <v>ND</v>
      </c>
      <c r="FH133" s="1" t="str">
        <f t="shared" si="707"/>
        <v>ND</v>
      </c>
      <c r="FI133" s="1" t="str">
        <f t="shared" si="707"/>
        <v>ND</v>
      </c>
      <c r="FJ133" s="1" t="str">
        <f t="shared" si="707"/>
        <v>ND</v>
      </c>
      <c r="FK133" s="1" t="str">
        <f t="shared" si="708"/>
        <v>ND</v>
      </c>
      <c r="FL133" s="1" t="str">
        <f t="shared" si="708"/>
        <v>ND</v>
      </c>
      <c r="FM133" s="1" t="str">
        <f t="shared" si="708"/>
        <v>ND</v>
      </c>
      <c r="FN133" s="1" t="str">
        <f t="shared" si="708"/>
        <v>ND</v>
      </c>
      <c r="FO133" s="1" t="str">
        <f t="shared" si="708"/>
        <v>ND</v>
      </c>
      <c r="FP133" s="1" t="str">
        <f t="shared" si="708"/>
        <v>ND</v>
      </c>
      <c r="FQ133" s="1" t="str">
        <f t="shared" si="708"/>
        <v>ND</v>
      </c>
      <c r="FR133" s="1" t="str">
        <f t="shared" si="708"/>
        <v>ND</v>
      </c>
      <c r="FS133" s="1" t="str">
        <f t="shared" si="708"/>
        <v>ND</v>
      </c>
      <c r="FT133" s="1" t="str">
        <f t="shared" si="708"/>
        <v>ND</v>
      </c>
      <c r="FU133" s="1" t="str">
        <f t="shared" si="708"/>
        <v>ND</v>
      </c>
      <c r="FV133" s="1" t="str">
        <f t="shared" si="623"/>
        <v>ND</v>
      </c>
      <c r="FW133" s="1" t="str">
        <f t="shared" si="624"/>
        <v>ND</v>
      </c>
      <c r="FX133" s="1" t="str">
        <f t="shared" si="625"/>
        <v>ND</v>
      </c>
      <c r="FY133" s="1" t="str">
        <f t="shared" si="626"/>
        <v>ND</v>
      </c>
      <c r="FZ133" s="1" t="str">
        <f t="shared" si="627"/>
        <v>ND</v>
      </c>
      <c r="GA133" s="1" t="str">
        <f t="shared" si="628"/>
        <v>ND</v>
      </c>
      <c r="GB133" s="1" t="str">
        <f t="shared" si="629"/>
        <v>ND</v>
      </c>
      <c r="GC133" s="1" t="str">
        <f t="shared" si="630"/>
        <v>ND</v>
      </c>
      <c r="GD133" s="1" t="str">
        <f t="shared" si="631"/>
        <v>ND</v>
      </c>
      <c r="GE133" s="1" t="str">
        <f t="shared" si="632"/>
        <v>ND</v>
      </c>
      <c r="GF133" s="1" t="str">
        <f t="shared" si="633"/>
        <v>ND</v>
      </c>
      <c r="GG133" s="1" t="str">
        <f t="shared" si="634"/>
        <v>ND</v>
      </c>
      <c r="GH133" s="1" t="str">
        <f t="shared" si="635"/>
        <v>ND</v>
      </c>
      <c r="GI133" s="1" t="str">
        <f t="shared" si="636"/>
        <v>ND</v>
      </c>
      <c r="GJ133" s="1" t="str">
        <f t="shared" si="637"/>
        <v>ND</v>
      </c>
      <c r="GK133" s="1" t="str">
        <f t="shared" si="638"/>
        <v>ND</v>
      </c>
      <c r="GL133" s="1" t="str">
        <f t="shared" si="639"/>
        <v>ND</v>
      </c>
      <c r="GM133" s="1" t="str">
        <f t="shared" si="640"/>
        <v>ND</v>
      </c>
      <c r="GN133" s="1" t="str">
        <f t="shared" si="641"/>
        <v>ND</v>
      </c>
      <c r="GO133" s="1" t="str">
        <f t="shared" si="642"/>
        <v>ND</v>
      </c>
      <c r="GP133" s="1" t="str">
        <f t="shared" si="643"/>
        <v>ND</v>
      </c>
      <c r="GQ133" s="1" t="str">
        <f t="shared" si="644"/>
        <v>ND</v>
      </c>
      <c r="GR133" s="1" t="str">
        <f t="shared" si="645"/>
        <v>ND</v>
      </c>
      <c r="GS133" s="1" t="str">
        <f t="shared" si="646"/>
        <v>ND</v>
      </c>
      <c r="GT133" s="1" t="str">
        <f t="shared" si="647"/>
        <v>ND</v>
      </c>
      <c r="GU133" s="1" t="str">
        <f t="shared" si="648"/>
        <v>ND</v>
      </c>
      <c r="GV133" s="1" t="str">
        <f t="shared" si="649"/>
        <v>ND</v>
      </c>
      <c r="GW133" s="1" t="str">
        <f t="shared" si="650"/>
        <v>ND</v>
      </c>
      <c r="GX133" s="1" t="str">
        <f t="shared" si="651"/>
        <v>ND</v>
      </c>
      <c r="GY133" s="1" t="str">
        <f t="shared" si="652"/>
        <v>ND</v>
      </c>
      <c r="GZ133" s="1" t="str">
        <f t="shared" si="653"/>
        <v>ND</v>
      </c>
      <c r="HA133" s="1" t="str">
        <f t="shared" si="654"/>
        <v>ND</v>
      </c>
      <c r="HB133" s="1" t="str">
        <f t="shared" si="655"/>
        <v>ND</v>
      </c>
      <c r="HC133" s="1" t="str">
        <f t="shared" si="656"/>
        <v>ND</v>
      </c>
      <c r="HD133" s="1" t="str">
        <f t="shared" si="657"/>
        <v>ND</v>
      </c>
      <c r="HE133" s="1" t="str">
        <f t="shared" si="658"/>
        <v>ND</v>
      </c>
      <c r="HF133" s="1" t="str">
        <f t="shared" si="659"/>
        <v>ND</v>
      </c>
      <c r="HG133" s="1" t="str">
        <f t="shared" si="660"/>
        <v>ND</v>
      </c>
      <c r="HH133" s="1" t="str">
        <f t="shared" si="661"/>
        <v>ND</v>
      </c>
      <c r="HI133" s="1" t="str">
        <f t="shared" si="662"/>
        <v>ND</v>
      </c>
      <c r="HJ133" s="1" t="str">
        <f t="shared" si="663"/>
        <v>ND</v>
      </c>
      <c r="HK133" s="1" t="str">
        <f t="shared" si="664"/>
        <v>ND</v>
      </c>
      <c r="HL133" s="1" t="str">
        <f t="shared" si="665"/>
        <v>ND</v>
      </c>
      <c r="HM133" s="1" t="str">
        <f t="shared" si="666"/>
        <v>ND</v>
      </c>
      <c r="HN133" s="1" t="str">
        <f t="shared" si="667"/>
        <v>ND</v>
      </c>
      <c r="HO133" s="1" t="str">
        <f t="shared" si="668"/>
        <v>ND</v>
      </c>
      <c r="HP133" s="1" t="str">
        <f t="shared" si="669"/>
        <v>ND</v>
      </c>
      <c r="HQ133" s="1" t="str">
        <f t="shared" si="670"/>
        <v>ND</v>
      </c>
      <c r="HR133" s="1" t="str">
        <f t="shared" si="671"/>
        <v>ND</v>
      </c>
      <c r="HS133" s="1" t="str">
        <f t="shared" si="672"/>
        <v>ND</v>
      </c>
      <c r="HT133" s="1" t="str">
        <f t="shared" si="673"/>
        <v>ND</v>
      </c>
      <c r="HU133" s="1" t="str">
        <f t="shared" si="674"/>
        <v>ND</v>
      </c>
      <c r="HV133" s="1" t="str">
        <f t="shared" si="675"/>
        <v>ND</v>
      </c>
      <c r="HW133" s="1" t="str">
        <f t="shared" si="676"/>
        <v>ND</v>
      </c>
      <c r="HX133" s="1" t="str">
        <f t="shared" si="677"/>
        <v>ND</v>
      </c>
      <c r="HY133" s="1" t="str">
        <f t="shared" si="678"/>
        <v>ND</v>
      </c>
      <c r="HZ133" s="1" t="str">
        <f t="shared" si="679"/>
        <v>ND</v>
      </c>
      <c r="IA133" s="1" t="str">
        <f t="shared" si="680"/>
        <v>ND</v>
      </c>
      <c r="IB133" s="1" t="str">
        <f t="shared" si="681"/>
        <v>ND</v>
      </c>
      <c r="IC133" s="1" t="str">
        <f t="shared" si="682"/>
        <v>ND</v>
      </c>
      <c r="ID133" s="1" t="str">
        <f t="shared" si="683"/>
        <v>ND</v>
      </c>
      <c r="IE133" s="1" t="str">
        <f t="shared" si="684"/>
        <v>ND</v>
      </c>
      <c r="IF133" s="1" t="str">
        <f t="shared" si="685"/>
        <v>ND</v>
      </c>
      <c r="IG133" s="1" t="str">
        <f t="shared" si="686"/>
        <v>ND</v>
      </c>
      <c r="IH133" s="1" t="str">
        <f t="shared" si="687"/>
        <v>ND</v>
      </c>
      <c r="II133" s="1" t="str">
        <f t="shared" si="688"/>
        <v>ND</v>
      </c>
    </row>
    <row r="134" spans="3:243" x14ac:dyDescent="0.25">
      <c r="C134" t="s">
        <v>80</v>
      </c>
      <c r="D134">
        <f>SUMIFS(DICCIONARIO[Cantidad],DICCIONARIO[Modelo],UNIFICADA[[#This Row],[Equipo]])</f>
        <v>0</v>
      </c>
      <c r="E134" s="1">
        <f>IFERROR(VLOOKUP($C134,EQUIPOS[],UNIFICADO!E$9,0),"")</f>
        <v>11</v>
      </c>
      <c r="F134" s="1">
        <f>IFERROR(VLOOKUP($C134,EQUIPOS[],UNIFICADO!F$9,0),"")</f>
        <v>6.43</v>
      </c>
      <c r="G134" s="1">
        <f>IFERROR(VLOOKUP($C134,EQUIPOS[],UNIFICADO!G$9,0),"")</f>
        <v>50</v>
      </c>
      <c r="H134" s="1">
        <f>IFERROR(VLOOKUP($C134,EQUIPOS[],UNIFICADO!H$9,0),"")</f>
        <v>4</v>
      </c>
      <c r="I134" s="1">
        <f>IFERROR(VLOOKUP($C134,EQUIPOS[],UNIFICADO!I$9,0),"")</f>
        <v>13</v>
      </c>
      <c r="J134" s="1" t="str">
        <f>IFERROR(VLOOKUP($C134,EQUIPOS[],UNIFICADO!J$9,0),"")</f>
        <v>128GB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2.4/1.8</v>
      </c>
      <c r="N134" s="1">
        <f>IFERROR(VLOOKUP($C134,EQUIPOS[],UNIFICADO!N$9,0),"")</f>
        <v>4</v>
      </c>
      <c r="O134" s="1">
        <f>IFERROR(VLOOKUP($C134,EQUIPOS[],UNIFICADO!O$9,0),"")</f>
        <v>179</v>
      </c>
      <c r="P134" s="1">
        <f>IFERROR(VLOOKUP($C134,EQUIPOS[],UNIFICADO!P$9,0),"")</f>
        <v>15.9</v>
      </c>
      <c r="Q134" s="1">
        <f>IFERROR(VLOOKUP($C134,EQUIPOS[],UNIFICADO!Q$9,0),"")</f>
        <v>7.39</v>
      </c>
      <c r="R134" s="1">
        <f>IFERROR(VLOOKUP($C134,EQUIPOS[],UNIFICADO!R$9,0),"")</f>
        <v>0.81</v>
      </c>
      <c r="S134" s="1">
        <f>IFERROR(VLOOKUP($C134,EQUIPOS[],UNIFICADO!S$9,0),"")</f>
        <v>5000</v>
      </c>
      <c r="T134" s="1">
        <f>IFERROR(VLOOKUP($C134,EQUIPOS[],UNIFICADO!T$9,0),"")</f>
        <v>4.5</v>
      </c>
      <c r="U134" s="1">
        <f>VLOOKUP(UNIFICADA[[#This Row],[Equipo]],EQUIPOS[],19,0)</f>
        <v>124</v>
      </c>
      <c r="V134" s="1" t="str">
        <f t="shared" si="533"/>
        <v>ND</v>
      </c>
      <c r="W134" s="1" t="str">
        <f t="shared" si="534"/>
        <v>ND</v>
      </c>
      <c r="X134" s="1" t="str">
        <f t="shared" si="702"/>
        <v>ND</v>
      </c>
      <c r="Y134" s="1" t="str">
        <f t="shared" si="702"/>
        <v>ND</v>
      </c>
      <c r="Z134" s="1" t="str">
        <f t="shared" si="703"/>
        <v>ND</v>
      </c>
      <c r="AA134" s="1" t="str">
        <f t="shared" si="703"/>
        <v>ND</v>
      </c>
      <c r="AB134" s="1" t="str">
        <f t="shared" si="703"/>
        <v>ND</v>
      </c>
      <c r="AC134" s="1" t="str">
        <f t="shared" si="703"/>
        <v>ND</v>
      </c>
      <c r="AD134" s="1" t="str">
        <f t="shared" si="703"/>
        <v>ND</v>
      </c>
      <c r="AE134" s="1" t="str">
        <f t="shared" si="703"/>
        <v>ND</v>
      </c>
      <c r="AF134" s="1" t="str">
        <f t="shared" si="703"/>
        <v>ND</v>
      </c>
      <c r="AG134" s="1" t="str">
        <f t="shared" si="703"/>
        <v>ND</v>
      </c>
      <c r="AH134" s="1" t="str">
        <f t="shared" si="703"/>
        <v>ND</v>
      </c>
      <c r="AI134" s="1" t="str">
        <f t="shared" si="535"/>
        <v>ND</v>
      </c>
      <c r="AJ134" s="1" t="str">
        <f t="shared" si="536"/>
        <v>ND</v>
      </c>
      <c r="AK134" s="1" t="str">
        <f t="shared" si="537"/>
        <v>ND</v>
      </c>
      <c r="AL134" s="1" t="str">
        <f t="shared" si="538"/>
        <v>ND</v>
      </c>
      <c r="AM134" s="1" t="str">
        <f t="shared" si="539"/>
        <v>ND</v>
      </c>
      <c r="AN134" s="1" t="str">
        <f t="shared" si="540"/>
        <v>ND</v>
      </c>
      <c r="AO134" s="1" t="str">
        <f t="shared" si="541"/>
        <v>ND</v>
      </c>
      <c r="AP134" s="1" t="str">
        <f t="shared" si="542"/>
        <v>ND</v>
      </c>
      <c r="AQ134" s="1" t="str">
        <f t="shared" si="543"/>
        <v>ND</v>
      </c>
      <c r="AR134" s="1" t="str">
        <f t="shared" si="544"/>
        <v>ND</v>
      </c>
      <c r="AS134" s="1" t="str">
        <f t="shared" si="545"/>
        <v>ND</v>
      </c>
      <c r="AT134" s="1" t="str">
        <f t="shared" si="546"/>
        <v>ND</v>
      </c>
      <c r="AU134" s="1" t="str">
        <f t="shared" si="547"/>
        <v>ND</v>
      </c>
      <c r="AV134" s="1" t="str">
        <f t="shared" si="548"/>
        <v>ND</v>
      </c>
      <c r="AW134" s="1" t="str">
        <f t="shared" si="549"/>
        <v>ND</v>
      </c>
      <c r="AX134" s="1" t="str">
        <f t="shared" si="550"/>
        <v>ND</v>
      </c>
      <c r="AY134" s="1" t="str">
        <f t="shared" si="551"/>
        <v>ND</v>
      </c>
      <c r="AZ134" s="1" t="str">
        <f t="shared" si="552"/>
        <v>ND</v>
      </c>
      <c r="BA134" s="1" t="str">
        <f t="shared" si="553"/>
        <v>ND</v>
      </c>
      <c r="BB134" s="1" t="str">
        <f t="shared" si="554"/>
        <v>ND</v>
      </c>
      <c r="BC134" s="1" t="str">
        <f t="shared" si="555"/>
        <v>ND</v>
      </c>
      <c r="BD134" s="1" t="str">
        <f t="shared" si="556"/>
        <v>ND</v>
      </c>
      <c r="BE134" s="1" t="str">
        <f t="shared" si="557"/>
        <v>ND</v>
      </c>
      <c r="BF134" s="1" t="str">
        <f t="shared" si="558"/>
        <v>ND</v>
      </c>
      <c r="BG134" s="1" t="str">
        <f t="shared" si="559"/>
        <v>ND</v>
      </c>
      <c r="BH134" s="1" t="str">
        <f t="shared" si="560"/>
        <v>ND</v>
      </c>
      <c r="BI134" s="1" t="str">
        <f t="shared" si="561"/>
        <v>ND</v>
      </c>
      <c r="BJ134" s="1" t="str">
        <f t="shared" si="562"/>
        <v>ND</v>
      </c>
      <c r="BK134" s="1" t="str">
        <f t="shared" si="563"/>
        <v>ND</v>
      </c>
      <c r="BL134" s="1" t="str">
        <f t="shared" si="564"/>
        <v>ND</v>
      </c>
      <c r="BM134" s="1" t="str">
        <f t="shared" si="565"/>
        <v>ND</v>
      </c>
      <c r="BN134" s="1" t="str">
        <f t="shared" si="566"/>
        <v>ND</v>
      </c>
      <c r="BO134" s="1" t="str">
        <f t="shared" si="567"/>
        <v>ND</v>
      </c>
      <c r="BP134" s="1" t="str">
        <f t="shared" si="568"/>
        <v>ND</v>
      </c>
      <c r="BQ134" s="1" t="str">
        <f t="shared" si="569"/>
        <v>ND</v>
      </c>
      <c r="BR134" s="1" t="str">
        <f t="shared" si="570"/>
        <v>ND</v>
      </c>
      <c r="BS134" s="1" t="str">
        <f t="shared" si="571"/>
        <v>ND</v>
      </c>
      <c r="BT134" s="1" t="str">
        <f t="shared" si="572"/>
        <v>ND</v>
      </c>
      <c r="BU134" s="1" t="str">
        <f t="shared" si="573"/>
        <v>ND</v>
      </c>
      <c r="BV134" s="1" t="str">
        <f t="shared" si="574"/>
        <v>ND</v>
      </c>
      <c r="BW134" s="1" t="str">
        <f t="shared" si="575"/>
        <v>ND</v>
      </c>
      <c r="BX134" s="1" t="str">
        <f t="shared" si="576"/>
        <v>ND</v>
      </c>
      <c r="BY134" s="1" t="str">
        <f t="shared" si="577"/>
        <v>ND</v>
      </c>
      <c r="BZ134" s="1" t="str">
        <f t="shared" si="578"/>
        <v>ND</v>
      </c>
      <c r="CA134" s="1" t="str">
        <f t="shared" si="704"/>
        <v>ND</v>
      </c>
      <c r="CB134" s="1" t="str">
        <f t="shared" si="704"/>
        <v>ND</v>
      </c>
      <c r="CC134" s="1" t="str">
        <f t="shared" si="704"/>
        <v>ND</v>
      </c>
      <c r="CD134" s="1" t="str">
        <f t="shared" si="704"/>
        <v>ND</v>
      </c>
      <c r="CE134" s="1" t="str">
        <f t="shared" si="704"/>
        <v>ND</v>
      </c>
      <c r="CF134" s="1" t="str">
        <f t="shared" si="704"/>
        <v>ND</v>
      </c>
      <c r="CG134" s="1" t="str">
        <f t="shared" si="704"/>
        <v>ND</v>
      </c>
      <c r="CH134" s="1" t="str">
        <f t="shared" si="704"/>
        <v>ND</v>
      </c>
      <c r="CI134" s="1" t="str">
        <f t="shared" si="704"/>
        <v>ND</v>
      </c>
      <c r="CJ134" s="1" t="str">
        <f t="shared" si="704"/>
        <v>ND</v>
      </c>
      <c r="CK134" s="1" t="str">
        <f t="shared" si="704"/>
        <v>ND</v>
      </c>
      <c r="CL134" s="1" t="str">
        <f t="shared" si="705"/>
        <v>ND</v>
      </c>
      <c r="CM134" s="1" t="str">
        <f t="shared" si="705"/>
        <v>ND</v>
      </c>
      <c r="CN134" s="1" t="str">
        <f t="shared" si="705"/>
        <v>ND</v>
      </c>
      <c r="CO134" s="1" t="str">
        <f t="shared" si="705"/>
        <v>ND</v>
      </c>
      <c r="CP134" s="1" t="str">
        <f t="shared" si="705"/>
        <v>ND</v>
      </c>
      <c r="CQ134" s="1" t="str">
        <f t="shared" si="705"/>
        <v>ND</v>
      </c>
      <c r="CR134" s="1" t="str">
        <f t="shared" si="705"/>
        <v>ND</v>
      </c>
      <c r="CS134" s="1" t="str">
        <f t="shared" si="705"/>
        <v>ND</v>
      </c>
      <c r="CT134" s="1" t="str">
        <f t="shared" si="705"/>
        <v>ND</v>
      </c>
      <c r="CU134" s="1" t="str">
        <f t="shared" si="705"/>
        <v>ND</v>
      </c>
      <c r="CV134" s="1" t="str">
        <f t="shared" si="705"/>
        <v>ND</v>
      </c>
      <c r="CW134" s="1" t="str">
        <f t="shared" si="579"/>
        <v>ND</v>
      </c>
      <c r="CX134" s="1" t="str">
        <f t="shared" si="580"/>
        <v>ND</v>
      </c>
      <c r="CY134" s="1" t="str">
        <f t="shared" si="581"/>
        <v>ND</v>
      </c>
      <c r="CZ134" s="1" t="str">
        <f t="shared" si="582"/>
        <v>ND</v>
      </c>
      <c r="DA134" s="1" t="str">
        <f t="shared" si="583"/>
        <v>ND</v>
      </c>
      <c r="DB134" s="1" t="str">
        <f t="shared" si="584"/>
        <v>ND</v>
      </c>
      <c r="DC134" s="1" t="str">
        <f t="shared" si="585"/>
        <v>ND</v>
      </c>
      <c r="DD134" s="1" t="str">
        <f t="shared" si="586"/>
        <v>ND</v>
      </c>
      <c r="DE134" s="1" t="str">
        <f t="shared" si="587"/>
        <v>ND</v>
      </c>
      <c r="DF134" s="1" t="str">
        <f t="shared" si="588"/>
        <v>ND</v>
      </c>
      <c r="DG134" s="1" t="str">
        <f t="shared" si="589"/>
        <v>ND</v>
      </c>
      <c r="DH134" s="1" t="str">
        <f t="shared" si="590"/>
        <v>ND</v>
      </c>
      <c r="DI134" s="1" t="str">
        <f t="shared" si="591"/>
        <v>ND</v>
      </c>
      <c r="DJ134" s="1" t="str">
        <f t="shared" si="592"/>
        <v>ND</v>
      </c>
      <c r="DK134" s="1" t="str">
        <f t="shared" si="593"/>
        <v>ND</v>
      </c>
      <c r="DL134" s="1" t="str">
        <f t="shared" si="594"/>
        <v>ND</v>
      </c>
      <c r="DM134" s="1" t="str">
        <f t="shared" si="595"/>
        <v>ND</v>
      </c>
      <c r="DN134" s="1" t="str">
        <f t="shared" si="596"/>
        <v>ND</v>
      </c>
      <c r="DO134" s="1" t="str">
        <f t="shared" si="597"/>
        <v>ND</v>
      </c>
      <c r="DP134" s="1" t="str">
        <f t="shared" si="598"/>
        <v>ND</v>
      </c>
      <c r="DQ134" s="1" t="str">
        <f t="shared" si="599"/>
        <v>ND</v>
      </c>
      <c r="DR134" s="1" t="str">
        <f t="shared" si="600"/>
        <v>ND</v>
      </c>
      <c r="DS134" s="1" t="str">
        <f t="shared" si="601"/>
        <v>ND</v>
      </c>
      <c r="DT134" s="1" t="str">
        <f t="shared" si="602"/>
        <v>ND</v>
      </c>
      <c r="DU134" s="1" t="str">
        <f t="shared" si="603"/>
        <v>ND</v>
      </c>
      <c r="DV134" s="1" t="str">
        <f t="shared" si="604"/>
        <v>ND</v>
      </c>
      <c r="DW134" s="1" t="str">
        <f t="shared" si="605"/>
        <v>ND</v>
      </c>
      <c r="DX134" s="1" t="str">
        <f t="shared" si="606"/>
        <v>ND</v>
      </c>
      <c r="DY134" s="1" t="str">
        <f t="shared" si="607"/>
        <v>ND</v>
      </c>
      <c r="DZ134" s="1" t="str">
        <f t="shared" si="608"/>
        <v>ND</v>
      </c>
      <c r="EA134" s="1" t="str">
        <f t="shared" si="609"/>
        <v>ND</v>
      </c>
      <c r="EB134" s="1" t="str">
        <f t="shared" si="610"/>
        <v>ND</v>
      </c>
      <c r="EC134" s="1" t="str">
        <f t="shared" si="611"/>
        <v>ND</v>
      </c>
      <c r="ED134" s="1" t="str">
        <f t="shared" si="612"/>
        <v>ND</v>
      </c>
      <c r="EE134" s="1" t="str">
        <f t="shared" si="613"/>
        <v>ND</v>
      </c>
      <c r="EF134" s="1" t="str">
        <f t="shared" si="614"/>
        <v>ND</v>
      </c>
      <c r="EG134" s="1" t="str">
        <f t="shared" si="615"/>
        <v>ND</v>
      </c>
      <c r="EH134" s="1" t="str">
        <f t="shared" si="616"/>
        <v>ND</v>
      </c>
      <c r="EI134" s="1" t="str">
        <f t="shared" si="617"/>
        <v>ND</v>
      </c>
      <c r="EJ134" s="1" t="str">
        <f t="shared" si="618"/>
        <v>ND</v>
      </c>
      <c r="EK134" s="1" t="str">
        <f t="shared" si="619"/>
        <v>ND</v>
      </c>
      <c r="EL134" s="1" t="str">
        <f t="shared" si="620"/>
        <v>ND</v>
      </c>
      <c r="EM134" s="1" t="str">
        <f t="shared" si="621"/>
        <v>ND</v>
      </c>
      <c r="EN134" s="1" t="str">
        <f t="shared" si="622"/>
        <v>ND</v>
      </c>
      <c r="EO134" s="1" t="str">
        <f t="shared" si="706"/>
        <v>ND</v>
      </c>
      <c r="EP134" s="1" t="str">
        <f t="shared" si="706"/>
        <v>ND</v>
      </c>
      <c r="EQ134" s="1" t="str">
        <f t="shared" si="706"/>
        <v>ND</v>
      </c>
      <c r="ER134" s="1" t="str">
        <f t="shared" si="706"/>
        <v>ND</v>
      </c>
      <c r="ES134" s="1" t="str">
        <f t="shared" si="706"/>
        <v>ND</v>
      </c>
      <c r="ET134" s="1" t="str">
        <f t="shared" si="706"/>
        <v>ND</v>
      </c>
      <c r="EU134" s="1" t="str">
        <f t="shared" si="706"/>
        <v>ND</v>
      </c>
      <c r="EV134" s="1" t="str">
        <f t="shared" si="706"/>
        <v>ND</v>
      </c>
      <c r="EW134" s="1" t="str">
        <f t="shared" si="706"/>
        <v>ND</v>
      </c>
      <c r="EX134" s="1" t="str">
        <f t="shared" si="706"/>
        <v>ND</v>
      </c>
      <c r="EY134" s="1" t="str">
        <f t="shared" si="706"/>
        <v>ND</v>
      </c>
      <c r="EZ134" s="1" t="str">
        <f t="shared" si="707"/>
        <v>ND</v>
      </c>
      <c r="FA134" s="1" t="str">
        <f t="shared" si="707"/>
        <v>ND</v>
      </c>
      <c r="FB134" s="1" t="str">
        <f t="shared" si="707"/>
        <v>ND</v>
      </c>
      <c r="FC134" s="1" t="str">
        <f t="shared" si="707"/>
        <v>ND</v>
      </c>
      <c r="FD134" s="1" t="str">
        <f t="shared" si="707"/>
        <v>ND</v>
      </c>
      <c r="FE134" s="1" t="str">
        <f t="shared" si="707"/>
        <v>ND</v>
      </c>
      <c r="FF134" s="1" t="str">
        <f t="shared" si="707"/>
        <v>ND</v>
      </c>
      <c r="FG134" s="1" t="str">
        <f t="shared" si="707"/>
        <v>ND</v>
      </c>
      <c r="FH134" s="1" t="str">
        <f t="shared" si="707"/>
        <v>ND</v>
      </c>
      <c r="FI134" s="1" t="str">
        <f t="shared" si="707"/>
        <v>ND</v>
      </c>
      <c r="FJ134" s="1" t="str">
        <f t="shared" si="707"/>
        <v>ND</v>
      </c>
      <c r="FK134" s="1" t="str">
        <f t="shared" si="708"/>
        <v>ND</v>
      </c>
      <c r="FL134" s="1" t="str">
        <f t="shared" si="708"/>
        <v>ND</v>
      </c>
      <c r="FM134" s="1" t="str">
        <f t="shared" si="708"/>
        <v>ND</v>
      </c>
      <c r="FN134" s="1" t="str">
        <f t="shared" si="708"/>
        <v>ND</v>
      </c>
      <c r="FO134" s="1" t="str">
        <f t="shared" si="708"/>
        <v>ND</v>
      </c>
      <c r="FP134" s="1" t="str">
        <f t="shared" si="708"/>
        <v>ND</v>
      </c>
      <c r="FQ134" s="1" t="str">
        <f t="shared" si="708"/>
        <v>ND</v>
      </c>
      <c r="FR134" s="1" t="str">
        <f t="shared" si="708"/>
        <v>ND</v>
      </c>
      <c r="FS134" s="1" t="str">
        <f t="shared" si="708"/>
        <v>ND</v>
      </c>
      <c r="FT134" s="1" t="str">
        <f t="shared" si="708"/>
        <v>ND</v>
      </c>
      <c r="FU134" s="1" t="str">
        <f t="shared" si="708"/>
        <v>ND</v>
      </c>
      <c r="FV134" s="1" t="str">
        <f t="shared" si="623"/>
        <v>ND</v>
      </c>
      <c r="FW134" s="1" t="str">
        <f t="shared" si="624"/>
        <v>ND</v>
      </c>
      <c r="FX134" s="1" t="str">
        <f t="shared" si="625"/>
        <v>ND</v>
      </c>
      <c r="FY134" s="1" t="str">
        <f t="shared" si="626"/>
        <v>ND</v>
      </c>
      <c r="FZ134" s="1" t="str">
        <f t="shared" si="627"/>
        <v>ND</v>
      </c>
      <c r="GA134" s="1" t="str">
        <f t="shared" si="628"/>
        <v>ND</v>
      </c>
      <c r="GB134" s="1" t="str">
        <f t="shared" si="629"/>
        <v>ND</v>
      </c>
      <c r="GC134" s="1" t="str">
        <f t="shared" si="630"/>
        <v>ND</v>
      </c>
      <c r="GD134" s="1" t="str">
        <f t="shared" si="631"/>
        <v>ND</v>
      </c>
      <c r="GE134" s="1" t="str">
        <f t="shared" si="632"/>
        <v>ND</v>
      </c>
      <c r="GF134" s="1" t="str">
        <f t="shared" si="633"/>
        <v>ND</v>
      </c>
      <c r="GG134" s="1" t="str">
        <f t="shared" si="634"/>
        <v>ND</v>
      </c>
      <c r="GH134" s="1" t="str">
        <f t="shared" si="635"/>
        <v>ND</v>
      </c>
      <c r="GI134" s="1" t="str">
        <f t="shared" si="636"/>
        <v>ND</v>
      </c>
      <c r="GJ134" s="1" t="str">
        <f t="shared" si="637"/>
        <v>ND</v>
      </c>
      <c r="GK134" s="1" t="str">
        <f t="shared" si="638"/>
        <v>ND</v>
      </c>
      <c r="GL134" s="1" t="str">
        <f t="shared" si="639"/>
        <v>ND</v>
      </c>
      <c r="GM134" s="1" t="str">
        <f t="shared" si="640"/>
        <v>ND</v>
      </c>
      <c r="GN134" s="1" t="str">
        <f t="shared" si="641"/>
        <v>ND</v>
      </c>
      <c r="GO134" s="1" t="str">
        <f t="shared" si="642"/>
        <v>ND</v>
      </c>
      <c r="GP134" s="1" t="str">
        <f t="shared" si="643"/>
        <v>ND</v>
      </c>
      <c r="GQ134" s="1" t="str">
        <f t="shared" si="644"/>
        <v>ND</v>
      </c>
      <c r="GR134" s="1" t="str">
        <f t="shared" si="645"/>
        <v>ND</v>
      </c>
      <c r="GS134" s="1" t="str">
        <f t="shared" si="646"/>
        <v>ND</v>
      </c>
      <c r="GT134" s="1" t="str">
        <f t="shared" si="647"/>
        <v>ND</v>
      </c>
      <c r="GU134" s="1" t="str">
        <f t="shared" si="648"/>
        <v>ND</v>
      </c>
      <c r="GV134" s="1" t="str">
        <f t="shared" si="649"/>
        <v>ND</v>
      </c>
      <c r="GW134" s="1" t="str">
        <f t="shared" si="650"/>
        <v>ND</v>
      </c>
      <c r="GX134" s="1" t="str">
        <f t="shared" si="651"/>
        <v>ND</v>
      </c>
      <c r="GY134" s="1" t="str">
        <f t="shared" si="652"/>
        <v>ND</v>
      </c>
      <c r="GZ134" s="1" t="str">
        <f t="shared" si="653"/>
        <v>ND</v>
      </c>
      <c r="HA134" s="1" t="str">
        <f t="shared" si="654"/>
        <v>ND</v>
      </c>
      <c r="HB134" s="1" t="str">
        <f t="shared" si="655"/>
        <v>ND</v>
      </c>
      <c r="HC134" s="1" t="str">
        <f t="shared" si="656"/>
        <v>ND</v>
      </c>
      <c r="HD134" s="1" t="str">
        <f t="shared" si="657"/>
        <v>ND</v>
      </c>
      <c r="HE134" s="1" t="str">
        <f t="shared" si="658"/>
        <v>ND</v>
      </c>
      <c r="HF134" s="1" t="str">
        <f t="shared" si="659"/>
        <v>ND</v>
      </c>
      <c r="HG134" s="1" t="str">
        <f t="shared" si="660"/>
        <v>ND</v>
      </c>
      <c r="HH134" s="1" t="str">
        <f t="shared" si="661"/>
        <v>ND</v>
      </c>
      <c r="HI134" s="1" t="str">
        <f t="shared" si="662"/>
        <v>ND</v>
      </c>
      <c r="HJ134" s="1" t="str">
        <f t="shared" si="663"/>
        <v>ND</v>
      </c>
      <c r="HK134" s="1" t="str">
        <f t="shared" si="664"/>
        <v>ND</v>
      </c>
      <c r="HL134" s="1" t="str">
        <f t="shared" si="665"/>
        <v>ND</v>
      </c>
      <c r="HM134" s="1" t="str">
        <f t="shared" si="666"/>
        <v>ND</v>
      </c>
      <c r="HN134" s="1" t="str">
        <f t="shared" si="667"/>
        <v>ND</v>
      </c>
      <c r="HO134" s="1" t="str">
        <f t="shared" si="668"/>
        <v>ND</v>
      </c>
      <c r="HP134" s="1" t="str">
        <f t="shared" si="669"/>
        <v>ND</v>
      </c>
      <c r="HQ134" s="1" t="str">
        <f t="shared" si="670"/>
        <v>ND</v>
      </c>
      <c r="HR134" s="1" t="str">
        <f t="shared" si="671"/>
        <v>ND</v>
      </c>
      <c r="HS134" s="1" t="str">
        <f t="shared" si="672"/>
        <v>ND</v>
      </c>
      <c r="HT134" s="1" t="str">
        <f t="shared" si="673"/>
        <v>ND</v>
      </c>
      <c r="HU134" s="1" t="str">
        <f t="shared" si="674"/>
        <v>ND</v>
      </c>
      <c r="HV134" s="1" t="str">
        <f t="shared" si="675"/>
        <v>ND</v>
      </c>
      <c r="HW134" s="1" t="str">
        <f t="shared" si="676"/>
        <v>ND</v>
      </c>
      <c r="HX134" s="1" t="str">
        <f t="shared" si="677"/>
        <v>ND</v>
      </c>
      <c r="HY134" s="1" t="str">
        <f t="shared" si="678"/>
        <v>ND</v>
      </c>
      <c r="HZ134" s="1" t="str">
        <f t="shared" si="679"/>
        <v>ND</v>
      </c>
      <c r="IA134" s="1" t="str">
        <f t="shared" si="680"/>
        <v>ND</v>
      </c>
      <c r="IB134" s="1" t="str">
        <f t="shared" si="681"/>
        <v>ND</v>
      </c>
      <c r="IC134" s="1" t="str">
        <f t="shared" si="682"/>
        <v>ND</v>
      </c>
      <c r="ID134" s="1" t="str">
        <f t="shared" si="683"/>
        <v>ND</v>
      </c>
      <c r="IE134" s="1" t="str">
        <f t="shared" si="684"/>
        <v>ND</v>
      </c>
      <c r="IF134" s="1" t="str">
        <f t="shared" si="685"/>
        <v>ND</v>
      </c>
      <c r="IG134" s="1" t="str">
        <f t="shared" si="686"/>
        <v>ND</v>
      </c>
      <c r="IH134" s="1" t="str">
        <f t="shared" si="687"/>
        <v>ND</v>
      </c>
      <c r="II134" s="1" t="str">
        <f t="shared" si="688"/>
        <v>ND</v>
      </c>
    </row>
    <row r="135" spans="3:243" x14ac:dyDescent="0.25">
      <c r="C135" t="s">
        <v>58</v>
      </c>
      <c r="D135">
        <f>SUMIFS(DICCIONARIO[Cantidad],DICCIONARIO[Modelo],UNIFICADA[[#This Row],[Equipo]])</f>
        <v>0</v>
      </c>
      <c r="E135" s="1">
        <f>IFERROR(VLOOKUP($C135,EQUIPOS[],UNIFICADO!E$9,0),"")</f>
        <v>11</v>
      </c>
      <c r="F135" s="1">
        <f>IFERROR(VLOOKUP($C135,EQUIPOS[],UNIFICADO!F$9,0),"")</f>
        <v>6.43</v>
      </c>
      <c r="G135" s="1">
        <f>IFERROR(VLOOKUP($C135,EQUIPOS[],UNIFICADO!G$9,0),"")</f>
        <v>50</v>
      </c>
      <c r="H135" s="1">
        <f>IFERROR(VLOOKUP($C135,EQUIPOS[],UNIFICADO!H$9,0),"")</f>
        <v>4</v>
      </c>
      <c r="I135" s="1">
        <f>IFERROR(VLOOKUP($C135,EQUIPOS[],UNIFICADO!I$9,0),"")</f>
        <v>13</v>
      </c>
      <c r="J135" s="1" t="str">
        <f>IFERROR(VLOOKUP($C135,EQUIPOS[],UNIFICADO!J$9,0),"")</f>
        <v>128GB</v>
      </c>
      <c r="K135" s="1">
        <f>IFERROR(VLOOKUP($C135,EQUIPOS[],UNIFICADO!K$9,0),"")</f>
        <v>256</v>
      </c>
      <c r="L135" s="1">
        <f>IFERROR(VLOOKUP($C135,EQUIPOS[],UNIFICADO!L$9,0),"")</f>
        <v>8</v>
      </c>
      <c r="M135" s="1" t="str">
        <f>IFERROR(VLOOKUP($C135,EQUIPOS[],UNIFICADO!M$9,0),"")</f>
        <v>2.4/1.9</v>
      </c>
      <c r="N135" s="1">
        <f>IFERROR(VLOOKUP($C135,EQUIPOS[],UNIFICADO!N$9,0),"")</f>
        <v>4</v>
      </c>
      <c r="O135" s="1">
        <f>IFERROR(VLOOKUP($C135,EQUIPOS[],UNIFICADO!O$9,0),"")</f>
        <v>179</v>
      </c>
      <c r="P135" s="1">
        <f>IFERROR(VLOOKUP($C135,EQUIPOS[],UNIFICADO!P$9,0),"")</f>
        <v>15.9</v>
      </c>
      <c r="Q135" s="1">
        <f>IFERROR(VLOOKUP($C135,EQUIPOS[],UNIFICADO!Q$9,0),"")</f>
        <v>7.39</v>
      </c>
      <c r="R135" s="1">
        <f>IFERROR(VLOOKUP($C135,EQUIPOS[],UNIFICADO!R$9,0),"")</f>
        <v>0.81</v>
      </c>
      <c r="S135" s="1">
        <f>IFERROR(VLOOKUP($C135,EQUIPOS[],UNIFICADO!S$9,0),"")</f>
        <v>5000</v>
      </c>
      <c r="T135" s="1">
        <f>IFERROR(VLOOKUP($C135,EQUIPOS[],UNIFICADO!T$9,0),"")</f>
        <v>4.5</v>
      </c>
      <c r="U135" s="1">
        <f>VLOOKUP(UNIFICADA[[#This Row],[Equipo]],EQUIPOS[],19,0)</f>
        <v>125</v>
      </c>
      <c r="V135" s="1" t="str">
        <f t="shared" si="533"/>
        <v>ND</v>
      </c>
      <c r="W135" s="1" t="str">
        <f t="shared" si="534"/>
        <v>ND</v>
      </c>
      <c r="X135" s="1" t="str">
        <f t="shared" si="702"/>
        <v>ND</v>
      </c>
      <c r="Y135" s="1" t="str">
        <f t="shared" si="702"/>
        <v>ND</v>
      </c>
      <c r="Z135" s="1" t="str">
        <f t="shared" si="703"/>
        <v>ND</v>
      </c>
      <c r="AA135" s="1" t="str">
        <f t="shared" si="703"/>
        <v>ND</v>
      </c>
      <c r="AB135" s="1" t="str">
        <f t="shared" si="703"/>
        <v>ND</v>
      </c>
      <c r="AC135" s="1" t="str">
        <f t="shared" si="703"/>
        <v>ND</v>
      </c>
      <c r="AD135" s="1" t="str">
        <f t="shared" si="703"/>
        <v>ND</v>
      </c>
      <c r="AE135" s="1" t="str">
        <f t="shared" si="703"/>
        <v>ND</v>
      </c>
      <c r="AF135" s="1" t="str">
        <f t="shared" si="703"/>
        <v>ND</v>
      </c>
      <c r="AG135" s="1" t="str">
        <f t="shared" si="703"/>
        <v>ND</v>
      </c>
      <c r="AH135" s="1" t="str">
        <f t="shared" si="703"/>
        <v>ND</v>
      </c>
      <c r="AI135" s="1" t="str">
        <f t="shared" si="535"/>
        <v>ND</v>
      </c>
      <c r="AJ135" s="1" t="str">
        <f t="shared" si="536"/>
        <v>ND</v>
      </c>
      <c r="AK135" s="1" t="str">
        <f t="shared" si="537"/>
        <v>ND</v>
      </c>
      <c r="AL135" s="1" t="str">
        <f t="shared" si="538"/>
        <v>ND</v>
      </c>
      <c r="AM135" s="1" t="str">
        <f t="shared" si="539"/>
        <v>ND</v>
      </c>
      <c r="AN135" s="1" t="str">
        <f t="shared" si="540"/>
        <v>ND</v>
      </c>
      <c r="AO135" s="1" t="str">
        <f t="shared" si="541"/>
        <v>ND</v>
      </c>
      <c r="AP135" s="1" t="str">
        <f t="shared" si="542"/>
        <v>ND</v>
      </c>
      <c r="AQ135" s="1" t="str">
        <f t="shared" si="543"/>
        <v>ND</v>
      </c>
      <c r="AR135" s="1" t="str">
        <f t="shared" si="544"/>
        <v>ND</v>
      </c>
      <c r="AS135" s="1" t="str">
        <f t="shared" si="545"/>
        <v>ND</v>
      </c>
      <c r="AT135" s="1" t="str">
        <f t="shared" si="546"/>
        <v>ND</v>
      </c>
      <c r="AU135" s="1" t="str">
        <f t="shared" si="547"/>
        <v>ND</v>
      </c>
      <c r="AV135" s="1" t="str">
        <f t="shared" si="548"/>
        <v>ND</v>
      </c>
      <c r="AW135" s="1" t="str">
        <f t="shared" si="549"/>
        <v>ND</v>
      </c>
      <c r="AX135" s="1" t="str">
        <f t="shared" si="550"/>
        <v>ND</v>
      </c>
      <c r="AY135" s="1" t="str">
        <f t="shared" si="551"/>
        <v>ND</v>
      </c>
      <c r="AZ135" s="1" t="str">
        <f t="shared" si="552"/>
        <v>ND</v>
      </c>
      <c r="BA135" s="1" t="str">
        <f t="shared" si="553"/>
        <v>ND</v>
      </c>
      <c r="BB135" s="1" t="str">
        <f t="shared" si="554"/>
        <v>ND</v>
      </c>
      <c r="BC135" s="1" t="str">
        <f t="shared" si="555"/>
        <v>ND</v>
      </c>
      <c r="BD135" s="1" t="str">
        <f t="shared" si="556"/>
        <v>ND</v>
      </c>
      <c r="BE135" s="1" t="str">
        <f t="shared" si="557"/>
        <v>ND</v>
      </c>
      <c r="BF135" s="1" t="str">
        <f t="shared" si="558"/>
        <v>ND</v>
      </c>
      <c r="BG135" s="1" t="str">
        <f t="shared" si="559"/>
        <v>ND</v>
      </c>
      <c r="BH135" s="1" t="str">
        <f t="shared" si="560"/>
        <v>ND</v>
      </c>
      <c r="BI135" s="1" t="str">
        <f t="shared" si="561"/>
        <v>ND</v>
      </c>
      <c r="BJ135" s="1" t="str">
        <f t="shared" si="562"/>
        <v>ND</v>
      </c>
      <c r="BK135" s="1" t="str">
        <f t="shared" si="563"/>
        <v>ND</v>
      </c>
      <c r="BL135" s="1" t="str">
        <f t="shared" si="564"/>
        <v>ND</v>
      </c>
      <c r="BM135" s="1" t="str">
        <f t="shared" si="565"/>
        <v>ND</v>
      </c>
      <c r="BN135" s="1" t="str">
        <f t="shared" si="566"/>
        <v>ND</v>
      </c>
      <c r="BO135" s="1" t="str">
        <f t="shared" si="567"/>
        <v>ND</v>
      </c>
      <c r="BP135" s="1" t="str">
        <f t="shared" si="568"/>
        <v>ND</v>
      </c>
      <c r="BQ135" s="1" t="str">
        <f t="shared" si="569"/>
        <v>ND</v>
      </c>
      <c r="BR135" s="1" t="str">
        <f t="shared" si="570"/>
        <v>ND</v>
      </c>
      <c r="BS135" s="1" t="str">
        <f t="shared" si="571"/>
        <v>ND</v>
      </c>
      <c r="BT135" s="1" t="str">
        <f t="shared" si="572"/>
        <v>ND</v>
      </c>
      <c r="BU135" s="1" t="str">
        <f t="shared" si="573"/>
        <v>ND</v>
      </c>
      <c r="BV135" s="1" t="str">
        <f t="shared" si="574"/>
        <v>ND</v>
      </c>
      <c r="BW135" s="1" t="str">
        <f t="shared" si="575"/>
        <v>ND</v>
      </c>
      <c r="BX135" s="1" t="str">
        <f t="shared" si="576"/>
        <v>ND</v>
      </c>
      <c r="BY135" s="1" t="str">
        <f t="shared" si="577"/>
        <v>ND</v>
      </c>
      <c r="BZ135" s="1" t="str">
        <f t="shared" si="578"/>
        <v>ND</v>
      </c>
      <c r="CA135" s="1" t="str">
        <f t="shared" si="704"/>
        <v>ND</v>
      </c>
      <c r="CB135" s="1" t="str">
        <f t="shared" si="704"/>
        <v>ND</v>
      </c>
      <c r="CC135" s="1" t="str">
        <f t="shared" si="704"/>
        <v>ND</v>
      </c>
      <c r="CD135" s="1" t="str">
        <f t="shared" si="704"/>
        <v>ND</v>
      </c>
      <c r="CE135" s="1" t="str">
        <f t="shared" si="704"/>
        <v>ND</v>
      </c>
      <c r="CF135" s="1" t="str">
        <f t="shared" si="704"/>
        <v>ND</v>
      </c>
      <c r="CG135" s="1" t="str">
        <f t="shared" si="704"/>
        <v>ND</v>
      </c>
      <c r="CH135" s="1" t="str">
        <f t="shared" si="704"/>
        <v>ND</v>
      </c>
      <c r="CI135" s="1" t="str">
        <f t="shared" si="704"/>
        <v>ND</v>
      </c>
      <c r="CJ135" s="1" t="str">
        <f t="shared" si="704"/>
        <v>ND</v>
      </c>
      <c r="CK135" s="1" t="str">
        <f t="shared" si="704"/>
        <v>ND</v>
      </c>
      <c r="CL135" s="1" t="str">
        <f t="shared" si="705"/>
        <v>ND</v>
      </c>
      <c r="CM135" s="1" t="str">
        <f t="shared" si="705"/>
        <v>ND</v>
      </c>
      <c r="CN135" s="1" t="str">
        <f t="shared" si="705"/>
        <v>ND</v>
      </c>
      <c r="CO135" s="1" t="str">
        <f t="shared" si="705"/>
        <v>ND</v>
      </c>
      <c r="CP135" s="1" t="str">
        <f t="shared" si="705"/>
        <v>ND</v>
      </c>
      <c r="CQ135" s="1" t="str">
        <f t="shared" si="705"/>
        <v>ND</v>
      </c>
      <c r="CR135" s="1" t="str">
        <f t="shared" si="705"/>
        <v>ND</v>
      </c>
      <c r="CS135" s="1" t="str">
        <f t="shared" si="705"/>
        <v>ND</v>
      </c>
      <c r="CT135" s="1" t="str">
        <f t="shared" si="705"/>
        <v>ND</v>
      </c>
      <c r="CU135" s="1" t="str">
        <f t="shared" si="705"/>
        <v>ND</v>
      </c>
      <c r="CV135" s="1" t="str">
        <f t="shared" si="705"/>
        <v>ND</v>
      </c>
      <c r="CW135" s="1" t="str">
        <f t="shared" si="579"/>
        <v>ND</v>
      </c>
      <c r="CX135" s="1" t="str">
        <f t="shared" si="580"/>
        <v>ND</v>
      </c>
      <c r="CY135" s="1" t="str">
        <f t="shared" si="581"/>
        <v>ND</v>
      </c>
      <c r="CZ135" s="1" t="str">
        <f t="shared" si="582"/>
        <v>ND</v>
      </c>
      <c r="DA135" s="1" t="str">
        <f t="shared" si="583"/>
        <v>ND</v>
      </c>
      <c r="DB135" s="1" t="str">
        <f t="shared" si="584"/>
        <v>ND</v>
      </c>
      <c r="DC135" s="1" t="str">
        <f t="shared" si="585"/>
        <v>ND</v>
      </c>
      <c r="DD135" s="1" t="str">
        <f t="shared" si="586"/>
        <v>ND</v>
      </c>
      <c r="DE135" s="1" t="str">
        <f t="shared" si="587"/>
        <v>ND</v>
      </c>
      <c r="DF135" s="1" t="str">
        <f t="shared" si="588"/>
        <v>ND</v>
      </c>
      <c r="DG135" s="1" t="str">
        <f t="shared" si="589"/>
        <v>ND</v>
      </c>
      <c r="DH135" s="1" t="str">
        <f t="shared" si="590"/>
        <v>ND</v>
      </c>
      <c r="DI135" s="1" t="str">
        <f t="shared" si="591"/>
        <v>ND</v>
      </c>
      <c r="DJ135" s="1" t="str">
        <f t="shared" si="592"/>
        <v>ND</v>
      </c>
      <c r="DK135" s="1" t="str">
        <f t="shared" si="593"/>
        <v>ND</v>
      </c>
      <c r="DL135" s="1" t="str">
        <f t="shared" si="594"/>
        <v>ND</v>
      </c>
      <c r="DM135" s="1" t="str">
        <f t="shared" si="595"/>
        <v>ND</v>
      </c>
      <c r="DN135" s="1" t="str">
        <f t="shared" si="596"/>
        <v>ND</v>
      </c>
      <c r="DO135" s="1" t="str">
        <f t="shared" si="597"/>
        <v>ND</v>
      </c>
      <c r="DP135" s="1" t="str">
        <f t="shared" si="598"/>
        <v>ND</v>
      </c>
      <c r="DQ135" s="1" t="str">
        <f t="shared" si="599"/>
        <v>ND</v>
      </c>
      <c r="DR135" s="1" t="str">
        <f t="shared" si="600"/>
        <v>ND</v>
      </c>
      <c r="DS135" s="1" t="str">
        <f t="shared" si="601"/>
        <v>ND</v>
      </c>
      <c r="DT135" s="1" t="str">
        <f t="shared" si="602"/>
        <v>ND</v>
      </c>
      <c r="DU135" s="1" t="str">
        <f t="shared" si="603"/>
        <v>ND</v>
      </c>
      <c r="DV135" s="1" t="str">
        <f t="shared" si="604"/>
        <v>ND</v>
      </c>
      <c r="DW135" s="1" t="str">
        <f t="shared" si="605"/>
        <v>ND</v>
      </c>
      <c r="DX135" s="1" t="str">
        <f t="shared" si="606"/>
        <v>ND</v>
      </c>
      <c r="DY135" s="1" t="str">
        <f t="shared" si="607"/>
        <v>ND</v>
      </c>
      <c r="DZ135" s="1" t="str">
        <f t="shared" si="608"/>
        <v>ND</v>
      </c>
      <c r="EA135" s="1" t="str">
        <f t="shared" si="609"/>
        <v>ND</v>
      </c>
      <c r="EB135" s="1" t="str">
        <f t="shared" si="610"/>
        <v>ND</v>
      </c>
      <c r="EC135" s="1" t="str">
        <f t="shared" si="611"/>
        <v>ND</v>
      </c>
      <c r="ED135" s="1" t="str">
        <f t="shared" si="612"/>
        <v>ND</v>
      </c>
      <c r="EE135" s="1" t="str">
        <f t="shared" si="613"/>
        <v>ND</v>
      </c>
      <c r="EF135" s="1" t="str">
        <f t="shared" si="614"/>
        <v>ND</v>
      </c>
      <c r="EG135" s="1" t="str">
        <f t="shared" si="615"/>
        <v>ND</v>
      </c>
      <c r="EH135" s="1" t="str">
        <f t="shared" si="616"/>
        <v>ND</v>
      </c>
      <c r="EI135" s="1" t="str">
        <f t="shared" si="617"/>
        <v>ND</v>
      </c>
      <c r="EJ135" s="1" t="str">
        <f t="shared" si="618"/>
        <v>ND</v>
      </c>
      <c r="EK135" s="1" t="str">
        <f t="shared" si="619"/>
        <v>ND</v>
      </c>
      <c r="EL135" s="1" t="str">
        <f t="shared" si="620"/>
        <v>ND</v>
      </c>
      <c r="EM135" s="1" t="str">
        <f t="shared" si="621"/>
        <v>ND</v>
      </c>
      <c r="EN135" s="1" t="str">
        <f t="shared" si="622"/>
        <v>ND</v>
      </c>
      <c r="EO135" s="1" t="str">
        <f t="shared" si="706"/>
        <v>ND</v>
      </c>
      <c r="EP135" s="1" t="str">
        <f t="shared" si="706"/>
        <v>ND</v>
      </c>
      <c r="EQ135" s="1" t="str">
        <f t="shared" si="706"/>
        <v>ND</v>
      </c>
      <c r="ER135" s="1" t="str">
        <f t="shared" si="706"/>
        <v>ND</v>
      </c>
      <c r="ES135" s="1" t="str">
        <f t="shared" si="706"/>
        <v>ND</v>
      </c>
      <c r="ET135" s="1" t="str">
        <f t="shared" si="706"/>
        <v>ND</v>
      </c>
      <c r="EU135" s="1" t="str">
        <f t="shared" si="706"/>
        <v>ND</v>
      </c>
      <c r="EV135" s="1" t="str">
        <f t="shared" si="706"/>
        <v>ND</v>
      </c>
      <c r="EW135" s="1" t="str">
        <f t="shared" si="706"/>
        <v>ND</v>
      </c>
      <c r="EX135" s="1" t="str">
        <f t="shared" si="706"/>
        <v>ND</v>
      </c>
      <c r="EY135" s="1" t="str">
        <f t="shared" si="706"/>
        <v>ND</v>
      </c>
      <c r="EZ135" s="1" t="str">
        <f t="shared" si="707"/>
        <v>ND</v>
      </c>
      <c r="FA135" s="1" t="str">
        <f t="shared" si="707"/>
        <v>ND</v>
      </c>
      <c r="FB135" s="1" t="str">
        <f t="shared" si="707"/>
        <v>ND</v>
      </c>
      <c r="FC135" s="1" t="str">
        <f t="shared" si="707"/>
        <v>ND</v>
      </c>
      <c r="FD135" s="1" t="str">
        <f t="shared" si="707"/>
        <v>ND</v>
      </c>
      <c r="FE135" s="1" t="str">
        <f t="shared" si="707"/>
        <v>ND</v>
      </c>
      <c r="FF135" s="1" t="str">
        <f t="shared" si="707"/>
        <v>ND</v>
      </c>
      <c r="FG135" s="1" t="str">
        <f t="shared" si="707"/>
        <v>ND</v>
      </c>
      <c r="FH135" s="1" t="str">
        <f t="shared" si="707"/>
        <v>ND</v>
      </c>
      <c r="FI135" s="1" t="str">
        <f t="shared" si="707"/>
        <v>ND</v>
      </c>
      <c r="FJ135" s="1" t="str">
        <f t="shared" si="707"/>
        <v>ND</v>
      </c>
      <c r="FK135" s="1" t="str">
        <f t="shared" si="708"/>
        <v>ND</v>
      </c>
      <c r="FL135" s="1" t="str">
        <f t="shared" si="708"/>
        <v>ND</v>
      </c>
      <c r="FM135" s="1" t="str">
        <f t="shared" si="708"/>
        <v>ND</v>
      </c>
      <c r="FN135" s="1" t="str">
        <f t="shared" si="708"/>
        <v>ND</v>
      </c>
      <c r="FO135" s="1" t="str">
        <f t="shared" si="708"/>
        <v>ND</v>
      </c>
      <c r="FP135" s="1" t="str">
        <f t="shared" si="708"/>
        <v>ND</v>
      </c>
      <c r="FQ135" s="1" t="str">
        <f t="shared" si="708"/>
        <v>ND</v>
      </c>
      <c r="FR135" s="1" t="str">
        <f t="shared" si="708"/>
        <v>ND</v>
      </c>
      <c r="FS135" s="1" t="str">
        <f t="shared" si="708"/>
        <v>ND</v>
      </c>
      <c r="FT135" s="1" t="str">
        <f t="shared" si="708"/>
        <v>ND</v>
      </c>
      <c r="FU135" s="1" t="str">
        <f t="shared" si="708"/>
        <v>ND</v>
      </c>
      <c r="FV135" s="1" t="str">
        <f t="shared" si="623"/>
        <v>ND</v>
      </c>
      <c r="FW135" s="1" t="str">
        <f t="shared" si="624"/>
        <v>ND</v>
      </c>
      <c r="FX135" s="1" t="str">
        <f t="shared" si="625"/>
        <v>ND</v>
      </c>
      <c r="FY135" s="1" t="str">
        <f t="shared" si="626"/>
        <v>ND</v>
      </c>
      <c r="FZ135" s="1" t="str">
        <f t="shared" si="627"/>
        <v>ND</v>
      </c>
      <c r="GA135" s="1" t="str">
        <f t="shared" si="628"/>
        <v>ND</v>
      </c>
      <c r="GB135" s="1" t="str">
        <f t="shared" si="629"/>
        <v>ND</v>
      </c>
      <c r="GC135" s="1" t="str">
        <f t="shared" si="630"/>
        <v>ND</v>
      </c>
      <c r="GD135" s="1" t="str">
        <f t="shared" si="631"/>
        <v>ND</v>
      </c>
      <c r="GE135" s="1" t="str">
        <f t="shared" si="632"/>
        <v>ND</v>
      </c>
      <c r="GF135" s="1" t="str">
        <f t="shared" si="633"/>
        <v>ND</v>
      </c>
      <c r="GG135" s="1" t="str">
        <f t="shared" si="634"/>
        <v>ND</v>
      </c>
      <c r="GH135" s="1" t="str">
        <f t="shared" si="635"/>
        <v>ND</v>
      </c>
      <c r="GI135" s="1" t="str">
        <f t="shared" si="636"/>
        <v>ND</v>
      </c>
      <c r="GJ135" s="1" t="str">
        <f t="shared" si="637"/>
        <v>ND</v>
      </c>
      <c r="GK135" s="1" t="str">
        <f t="shared" si="638"/>
        <v>ND</v>
      </c>
      <c r="GL135" s="1" t="str">
        <f t="shared" si="639"/>
        <v>ND</v>
      </c>
      <c r="GM135" s="1" t="str">
        <f t="shared" si="640"/>
        <v>ND</v>
      </c>
      <c r="GN135" s="1" t="str">
        <f t="shared" si="641"/>
        <v>ND</v>
      </c>
      <c r="GO135" s="1" t="str">
        <f t="shared" si="642"/>
        <v>ND</v>
      </c>
      <c r="GP135" s="1" t="str">
        <f t="shared" si="643"/>
        <v>ND</v>
      </c>
      <c r="GQ135" s="1" t="str">
        <f t="shared" si="644"/>
        <v>ND</v>
      </c>
      <c r="GR135" s="1" t="str">
        <f t="shared" si="645"/>
        <v>ND</v>
      </c>
      <c r="GS135" s="1" t="str">
        <f t="shared" si="646"/>
        <v>ND</v>
      </c>
      <c r="GT135" s="1" t="str">
        <f t="shared" si="647"/>
        <v>ND</v>
      </c>
      <c r="GU135" s="1" t="str">
        <f t="shared" si="648"/>
        <v>ND</v>
      </c>
      <c r="GV135" s="1" t="str">
        <f t="shared" si="649"/>
        <v>ND</v>
      </c>
      <c r="GW135" s="1" t="str">
        <f t="shared" si="650"/>
        <v>ND</v>
      </c>
      <c r="GX135" s="1" t="str">
        <f t="shared" si="651"/>
        <v>ND</v>
      </c>
      <c r="GY135" s="1" t="str">
        <f t="shared" si="652"/>
        <v>ND</v>
      </c>
      <c r="GZ135" s="1" t="str">
        <f t="shared" si="653"/>
        <v>ND</v>
      </c>
      <c r="HA135" s="1" t="str">
        <f t="shared" si="654"/>
        <v>ND</v>
      </c>
      <c r="HB135" s="1" t="str">
        <f t="shared" si="655"/>
        <v>ND</v>
      </c>
      <c r="HC135" s="1" t="str">
        <f t="shared" si="656"/>
        <v>ND</v>
      </c>
      <c r="HD135" s="1" t="str">
        <f t="shared" si="657"/>
        <v>ND</v>
      </c>
      <c r="HE135" s="1" t="str">
        <f t="shared" si="658"/>
        <v>ND</v>
      </c>
      <c r="HF135" s="1" t="str">
        <f t="shared" si="659"/>
        <v>ND</v>
      </c>
      <c r="HG135" s="1" t="str">
        <f t="shared" si="660"/>
        <v>ND</v>
      </c>
      <c r="HH135" s="1" t="str">
        <f t="shared" si="661"/>
        <v>ND</v>
      </c>
      <c r="HI135" s="1" t="str">
        <f t="shared" si="662"/>
        <v>ND</v>
      </c>
      <c r="HJ135" s="1" t="str">
        <f t="shared" si="663"/>
        <v>ND</v>
      </c>
      <c r="HK135" s="1" t="str">
        <f t="shared" si="664"/>
        <v>ND</v>
      </c>
      <c r="HL135" s="1" t="str">
        <f t="shared" si="665"/>
        <v>ND</v>
      </c>
      <c r="HM135" s="1" t="str">
        <f t="shared" si="666"/>
        <v>ND</v>
      </c>
      <c r="HN135" s="1" t="str">
        <f t="shared" si="667"/>
        <v>ND</v>
      </c>
      <c r="HO135" s="1" t="str">
        <f t="shared" si="668"/>
        <v>ND</v>
      </c>
      <c r="HP135" s="1" t="str">
        <f t="shared" si="669"/>
        <v>ND</v>
      </c>
      <c r="HQ135" s="1" t="str">
        <f t="shared" si="670"/>
        <v>ND</v>
      </c>
      <c r="HR135" s="1" t="str">
        <f t="shared" si="671"/>
        <v>ND</v>
      </c>
      <c r="HS135" s="1" t="str">
        <f t="shared" si="672"/>
        <v>ND</v>
      </c>
      <c r="HT135" s="1" t="str">
        <f t="shared" si="673"/>
        <v>ND</v>
      </c>
      <c r="HU135" s="1" t="str">
        <f t="shared" si="674"/>
        <v>ND</v>
      </c>
      <c r="HV135" s="1" t="str">
        <f t="shared" si="675"/>
        <v>ND</v>
      </c>
      <c r="HW135" s="1" t="str">
        <f t="shared" si="676"/>
        <v>ND</v>
      </c>
      <c r="HX135" s="1" t="str">
        <f t="shared" si="677"/>
        <v>ND</v>
      </c>
      <c r="HY135" s="1" t="str">
        <f t="shared" si="678"/>
        <v>ND</v>
      </c>
      <c r="HZ135" s="1" t="str">
        <f t="shared" si="679"/>
        <v>ND</v>
      </c>
      <c r="IA135" s="1" t="str">
        <f t="shared" si="680"/>
        <v>ND</v>
      </c>
      <c r="IB135" s="1" t="str">
        <f t="shared" si="681"/>
        <v>ND</v>
      </c>
      <c r="IC135" s="1" t="str">
        <f t="shared" si="682"/>
        <v>ND</v>
      </c>
      <c r="ID135" s="1" t="str">
        <f t="shared" si="683"/>
        <v>ND</v>
      </c>
      <c r="IE135" s="1" t="str">
        <f t="shared" si="684"/>
        <v>ND</v>
      </c>
      <c r="IF135" s="1" t="str">
        <f t="shared" si="685"/>
        <v>ND</v>
      </c>
      <c r="IG135" s="1" t="str">
        <f t="shared" si="686"/>
        <v>ND</v>
      </c>
      <c r="IH135" s="1" t="str">
        <f t="shared" si="687"/>
        <v>ND</v>
      </c>
      <c r="II135" s="1" t="str">
        <f t="shared" si="688"/>
        <v>ND</v>
      </c>
    </row>
    <row r="136" spans="3:243" x14ac:dyDescent="0.25">
      <c r="C136" t="s">
        <v>88</v>
      </c>
      <c r="D136">
        <f>SUMIFS(DICCIONARIO[Cantidad],DICCIONARIO[Modelo],UNIFICADA[[#This Row],[Equipo]])</f>
        <v>0</v>
      </c>
      <c r="E136" s="1">
        <f>IFERROR(VLOOKUP($C136,EQUIPOS[],UNIFICADO!E$9,0),"")</f>
        <v>11</v>
      </c>
      <c r="F136" s="1">
        <f>IFERROR(VLOOKUP($C136,EQUIPOS[],UNIFICADO!F$9,0),"")</f>
        <v>6.43</v>
      </c>
      <c r="G136" s="1">
        <f>IFERROR(VLOOKUP($C136,EQUIPOS[],UNIFICADO!G$9,0),"")</f>
        <v>50</v>
      </c>
      <c r="H136" s="1">
        <f>IFERROR(VLOOKUP($C136,EQUIPOS[],UNIFICADO!H$9,0),"")</f>
        <v>4</v>
      </c>
      <c r="I136" s="1">
        <f>IFERROR(VLOOKUP($C136,EQUIPOS[],UNIFICADO!I$9,0),"")</f>
        <v>13</v>
      </c>
      <c r="J136" s="1" t="str">
        <f>IFERROR(VLOOKUP($C136,EQUIPOS[],UNIFICADO!J$9,0),"")</f>
        <v>128GB</v>
      </c>
      <c r="K136" s="1">
        <f>IFERROR(VLOOKUP($C136,EQUIPOS[],UNIFICADO!K$9,0),"")</f>
        <v>256</v>
      </c>
      <c r="L136" s="1">
        <f>IFERROR(VLOOKUP($C136,EQUIPOS[],UNIFICADO!L$9,0),"")</f>
        <v>8</v>
      </c>
      <c r="M136" s="1" t="str">
        <f>IFERROR(VLOOKUP($C136,EQUIPOS[],UNIFICADO!M$9,0),"")</f>
        <v>2.4/1.8</v>
      </c>
      <c r="N136" s="1">
        <f>IFERROR(VLOOKUP($C136,EQUIPOS[],UNIFICADO!N$9,0),"")</f>
        <v>4</v>
      </c>
      <c r="O136" s="1">
        <f>IFERROR(VLOOKUP($C136,EQUIPOS[],UNIFICADO!O$9,0),"")</f>
        <v>179</v>
      </c>
      <c r="P136" s="1">
        <f>IFERROR(VLOOKUP($C136,EQUIPOS[],UNIFICADO!P$9,0),"")</f>
        <v>15.9</v>
      </c>
      <c r="Q136" s="1">
        <f>IFERROR(VLOOKUP($C136,EQUIPOS[],UNIFICADO!Q$9,0),"")</f>
        <v>7.39</v>
      </c>
      <c r="R136" s="1">
        <f>IFERROR(VLOOKUP($C136,EQUIPOS[],UNIFICADO!R$9,0),"")</f>
        <v>0.81</v>
      </c>
      <c r="S136" s="1">
        <f>IFERROR(VLOOKUP($C136,EQUIPOS[],UNIFICADO!S$9,0),"")</f>
        <v>5000</v>
      </c>
      <c r="T136" s="1">
        <f>IFERROR(VLOOKUP($C136,EQUIPOS[],UNIFICADO!T$9,0),"")</f>
        <v>5</v>
      </c>
      <c r="U136" s="1">
        <f>VLOOKUP(UNIFICADA[[#This Row],[Equipo]],EQUIPOS[],19,0)</f>
        <v>126</v>
      </c>
      <c r="V136" s="1" t="str">
        <f t="shared" si="533"/>
        <v>ND</v>
      </c>
      <c r="W136" s="1" t="str">
        <f t="shared" si="534"/>
        <v>ND</v>
      </c>
      <c r="X136" s="1" t="str">
        <f t="shared" si="702"/>
        <v>ND</v>
      </c>
      <c r="Y136" s="1" t="str">
        <f t="shared" si="702"/>
        <v>ND</v>
      </c>
      <c r="Z136" s="1" t="str">
        <f t="shared" si="703"/>
        <v>ND</v>
      </c>
      <c r="AA136" s="1" t="str">
        <f t="shared" si="703"/>
        <v>ND</v>
      </c>
      <c r="AB136" s="1" t="str">
        <f t="shared" si="703"/>
        <v>ND</v>
      </c>
      <c r="AC136" s="1" t="str">
        <f t="shared" si="703"/>
        <v>ND</v>
      </c>
      <c r="AD136" s="1" t="str">
        <f t="shared" si="703"/>
        <v>ND</v>
      </c>
      <c r="AE136" s="1" t="str">
        <f t="shared" si="703"/>
        <v>ND</v>
      </c>
      <c r="AF136" s="1" t="str">
        <f t="shared" si="703"/>
        <v>ND</v>
      </c>
      <c r="AG136" s="1" t="str">
        <f t="shared" si="703"/>
        <v>ND</v>
      </c>
      <c r="AH136" s="1" t="str">
        <f t="shared" si="703"/>
        <v>ND</v>
      </c>
      <c r="AI136" s="1" t="str">
        <f t="shared" si="535"/>
        <v>ND</v>
      </c>
      <c r="AJ136" s="1" t="str">
        <f t="shared" si="536"/>
        <v>ND</v>
      </c>
      <c r="AK136" s="1" t="str">
        <f t="shared" si="537"/>
        <v>ND</v>
      </c>
      <c r="AL136" s="1" t="str">
        <f t="shared" si="538"/>
        <v>ND</v>
      </c>
      <c r="AM136" s="1" t="str">
        <f t="shared" si="539"/>
        <v>ND</v>
      </c>
      <c r="AN136" s="1" t="str">
        <f t="shared" si="540"/>
        <v>ND</v>
      </c>
      <c r="AO136" s="1" t="str">
        <f t="shared" si="541"/>
        <v>ND</v>
      </c>
      <c r="AP136" s="1" t="str">
        <f t="shared" si="542"/>
        <v>ND</v>
      </c>
      <c r="AQ136" s="1" t="str">
        <f t="shared" si="543"/>
        <v>ND</v>
      </c>
      <c r="AR136" s="1" t="str">
        <f t="shared" si="544"/>
        <v>ND</v>
      </c>
      <c r="AS136" s="1" t="str">
        <f t="shared" si="545"/>
        <v>ND</v>
      </c>
      <c r="AT136" s="1" t="str">
        <f t="shared" si="546"/>
        <v>ND</v>
      </c>
      <c r="AU136" s="1" t="str">
        <f t="shared" si="547"/>
        <v>ND</v>
      </c>
      <c r="AV136" s="1" t="str">
        <f t="shared" si="548"/>
        <v>ND</v>
      </c>
      <c r="AW136" s="1" t="str">
        <f t="shared" si="549"/>
        <v>ND</v>
      </c>
      <c r="AX136" s="1" t="str">
        <f t="shared" si="550"/>
        <v>ND</v>
      </c>
      <c r="AY136" s="1" t="str">
        <f t="shared" si="551"/>
        <v>ND</v>
      </c>
      <c r="AZ136" s="1" t="str">
        <f t="shared" si="552"/>
        <v>ND</v>
      </c>
      <c r="BA136" s="1" t="str">
        <f t="shared" si="553"/>
        <v>ND</v>
      </c>
      <c r="BB136" s="1" t="str">
        <f t="shared" si="554"/>
        <v>ND</v>
      </c>
      <c r="BC136" s="1" t="str">
        <f t="shared" si="555"/>
        <v>ND</v>
      </c>
      <c r="BD136" s="1" t="str">
        <f t="shared" si="556"/>
        <v>ND</v>
      </c>
      <c r="BE136" s="1" t="str">
        <f t="shared" si="557"/>
        <v>ND</v>
      </c>
      <c r="BF136" s="1" t="str">
        <f t="shared" si="558"/>
        <v>ND</v>
      </c>
      <c r="BG136" s="1" t="str">
        <f t="shared" si="559"/>
        <v>ND</v>
      </c>
      <c r="BH136" s="1" t="str">
        <f t="shared" si="560"/>
        <v>ND</v>
      </c>
      <c r="BI136" s="1" t="str">
        <f t="shared" si="561"/>
        <v>ND</v>
      </c>
      <c r="BJ136" s="1" t="str">
        <f t="shared" si="562"/>
        <v>ND</v>
      </c>
      <c r="BK136" s="1" t="str">
        <f t="shared" si="563"/>
        <v>ND</v>
      </c>
      <c r="BL136" s="1" t="str">
        <f t="shared" si="564"/>
        <v>ND</v>
      </c>
      <c r="BM136" s="1" t="str">
        <f t="shared" si="565"/>
        <v>ND</v>
      </c>
      <c r="BN136" s="1" t="str">
        <f t="shared" si="566"/>
        <v>ND</v>
      </c>
      <c r="BO136" s="1" t="str">
        <f t="shared" si="567"/>
        <v>ND</v>
      </c>
      <c r="BP136" s="1" t="str">
        <f t="shared" si="568"/>
        <v>ND</v>
      </c>
      <c r="BQ136" s="1" t="str">
        <f t="shared" si="569"/>
        <v>ND</v>
      </c>
      <c r="BR136" s="1" t="str">
        <f t="shared" si="570"/>
        <v>ND</v>
      </c>
      <c r="BS136" s="1" t="str">
        <f t="shared" si="571"/>
        <v>ND</v>
      </c>
      <c r="BT136" s="1" t="str">
        <f t="shared" si="572"/>
        <v>ND</v>
      </c>
      <c r="BU136" s="1" t="str">
        <f t="shared" si="573"/>
        <v>ND</v>
      </c>
      <c r="BV136" s="1" t="str">
        <f t="shared" si="574"/>
        <v>ND</v>
      </c>
      <c r="BW136" s="1" t="str">
        <f t="shared" si="575"/>
        <v>ND</v>
      </c>
      <c r="BX136" s="1" t="str">
        <f t="shared" si="576"/>
        <v>ND</v>
      </c>
      <c r="BY136" s="1" t="str">
        <f t="shared" si="577"/>
        <v>ND</v>
      </c>
      <c r="BZ136" s="1" t="str">
        <f t="shared" si="578"/>
        <v>ND</v>
      </c>
      <c r="CA136" s="1" t="str">
        <f t="shared" si="704"/>
        <v>ND</v>
      </c>
      <c r="CB136" s="1" t="str">
        <f t="shared" si="704"/>
        <v>ND</v>
      </c>
      <c r="CC136" s="1" t="str">
        <f t="shared" si="704"/>
        <v>ND</v>
      </c>
      <c r="CD136" s="1" t="str">
        <f t="shared" si="704"/>
        <v>ND</v>
      </c>
      <c r="CE136" s="1" t="str">
        <f t="shared" si="704"/>
        <v>ND</v>
      </c>
      <c r="CF136" s="1" t="str">
        <f t="shared" si="704"/>
        <v>ND</v>
      </c>
      <c r="CG136" s="1" t="str">
        <f t="shared" si="704"/>
        <v>ND</v>
      </c>
      <c r="CH136" s="1" t="str">
        <f t="shared" si="704"/>
        <v>ND</v>
      </c>
      <c r="CI136" s="1" t="str">
        <f t="shared" si="704"/>
        <v>ND</v>
      </c>
      <c r="CJ136" s="1" t="str">
        <f t="shared" si="704"/>
        <v>ND</v>
      </c>
      <c r="CK136" s="1" t="str">
        <f t="shared" si="704"/>
        <v>ND</v>
      </c>
      <c r="CL136" s="1" t="str">
        <f t="shared" si="705"/>
        <v>ND</v>
      </c>
      <c r="CM136" s="1" t="str">
        <f t="shared" si="705"/>
        <v>ND</v>
      </c>
      <c r="CN136" s="1" t="str">
        <f t="shared" si="705"/>
        <v>ND</v>
      </c>
      <c r="CO136" s="1" t="str">
        <f t="shared" si="705"/>
        <v>ND</v>
      </c>
      <c r="CP136" s="1" t="str">
        <f t="shared" si="705"/>
        <v>ND</v>
      </c>
      <c r="CQ136" s="1" t="str">
        <f t="shared" si="705"/>
        <v>ND</v>
      </c>
      <c r="CR136" s="1" t="str">
        <f t="shared" si="705"/>
        <v>ND</v>
      </c>
      <c r="CS136" s="1" t="str">
        <f t="shared" si="705"/>
        <v>ND</v>
      </c>
      <c r="CT136" s="1" t="str">
        <f t="shared" si="705"/>
        <v>ND</v>
      </c>
      <c r="CU136" s="1" t="str">
        <f t="shared" si="705"/>
        <v>ND</v>
      </c>
      <c r="CV136" s="1" t="str">
        <f t="shared" si="705"/>
        <v>ND</v>
      </c>
      <c r="CW136" s="1" t="str">
        <f t="shared" si="579"/>
        <v>ND</v>
      </c>
      <c r="CX136" s="1" t="str">
        <f t="shared" si="580"/>
        <v>ND</v>
      </c>
      <c r="CY136" s="1" t="str">
        <f t="shared" si="581"/>
        <v>ND</v>
      </c>
      <c r="CZ136" s="1" t="str">
        <f t="shared" si="582"/>
        <v>ND</v>
      </c>
      <c r="DA136" s="1" t="str">
        <f t="shared" si="583"/>
        <v>ND</v>
      </c>
      <c r="DB136" s="1" t="str">
        <f t="shared" si="584"/>
        <v>ND</v>
      </c>
      <c r="DC136" s="1" t="str">
        <f t="shared" si="585"/>
        <v>ND</v>
      </c>
      <c r="DD136" s="1" t="str">
        <f t="shared" si="586"/>
        <v>ND</v>
      </c>
      <c r="DE136" s="1" t="str">
        <f t="shared" si="587"/>
        <v>ND</v>
      </c>
      <c r="DF136" s="1" t="str">
        <f t="shared" si="588"/>
        <v>ND</v>
      </c>
      <c r="DG136" s="1" t="str">
        <f t="shared" si="589"/>
        <v>ND</v>
      </c>
      <c r="DH136" s="1" t="str">
        <f t="shared" si="590"/>
        <v>ND</v>
      </c>
      <c r="DI136" s="1" t="str">
        <f t="shared" si="591"/>
        <v>ND</v>
      </c>
      <c r="DJ136" s="1" t="str">
        <f t="shared" si="592"/>
        <v>ND</v>
      </c>
      <c r="DK136" s="1" t="str">
        <f t="shared" si="593"/>
        <v>ND</v>
      </c>
      <c r="DL136" s="1" t="str">
        <f t="shared" si="594"/>
        <v>ND</v>
      </c>
      <c r="DM136" s="1" t="str">
        <f t="shared" si="595"/>
        <v>ND</v>
      </c>
      <c r="DN136" s="1" t="str">
        <f t="shared" si="596"/>
        <v>ND</v>
      </c>
      <c r="DO136" s="1" t="str">
        <f t="shared" si="597"/>
        <v>ND</v>
      </c>
      <c r="DP136" s="1" t="str">
        <f t="shared" si="598"/>
        <v>ND</v>
      </c>
      <c r="DQ136" s="1" t="str">
        <f t="shared" si="599"/>
        <v>ND</v>
      </c>
      <c r="DR136" s="1" t="str">
        <f t="shared" si="600"/>
        <v>ND</v>
      </c>
      <c r="DS136" s="1" t="str">
        <f t="shared" si="601"/>
        <v>ND</v>
      </c>
      <c r="DT136" s="1" t="str">
        <f t="shared" si="602"/>
        <v>ND</v>
      </c>
      <c r="DU136" s="1" t="str">
        <f t="shared" si="603"/>
        <v>ND</v>
      </c>
      <c r="DV136" s="1" t="str">
        <f t="shared" si="604"/>
        <v>ND</v>
      </c>
      <c r="DW136" s="1" t="str">
        <f t="shared" si="605"/>
        <v>ND</v>
      </c>
      <c r="DX136" s="1" t="str">
        <f t="shared" si="606"/>
        <v>ND</v>
      </c>
      <c r="DY136" s="1" t="str">
        <f t="shared" si="607"/>
        <v>ND</v>
      </c>
      <c r="DZ136" s="1" t="str">
        <f t="shared" si="608"/>
        <v>ND</v>
      </c>
      <c r="EA136" s="1" t="str">
        <f t="shared" si="609"/>
        <v>ND</v>
      </c>
      <c r="EB136" s="1" t="str">
        <f t="shared" si="610"/>
        <v>ND</v>
      </c>
      <c r="EC136" s="1" t="str">
        <f t="shared" si="611"/>
        <v>ND</v>
      </c>
      <c r="ED136" s="1" t="str">
        <f t="shared" si="612"/>
        <v>ND</v>
      </c>
      <c r="EE136" s="1" t="str">
        <f t="shared" si="613"/>
        <v>ND</v>
      </c>
      <c r="EF136" s="1" t="str">
        <f t="shared" si="614"/>
        <v>ND</v>
      </c>
      <c r="EG136" s="1" t="str">
        <f t="shared" si="615"/>
        <v>ND</v>
      </c>
      <c r="EH136" s="1" t="str">
        <f t="shared" si="616"/>
        <v>ND</v>
      </c>
      <c r="EI136" s="1" t="str">
        <f t="shared" si="617"/>
        <v>ND</v>
      </c>
      <c r="EJ136" s="1" t="str">
        <f t="shared" si="618"/>
        <v>ND</v>
      </c>
      <c r="EK136" s="1" t="str">
        <f t="shared" si="619"/>
        <v>ND</v>
      </c>
      <c r="EL136" s="1" t="str">
        <f t="shared" si="620"/>
        <v>ND</v>
      </c>
      <c r="EM136" s="1" t="str">
        <f t="shared" si="621"/>
        <v>ND</v>
      </c>
      <c r="EN136" s="1" t="str">
        <f t="shared" si="622"/>
        <v>ND</v>
      </c>
      <c r="EO136" s="1" t="str">
        <f t="shared" si="706"/>
        <v>ND</v>
      </c>
      <c r="EP136" s="1" t="str">
        <f t="shared" si="706"/>
        <v>ND</v>
      </c>
      <c r="EQ136" s="1" t="str">
        <f t="shared" si="706"/>
        <v>ND</v>
      </c>
      <c r="ER136" s="1" t="str">
        <f t="shared" si="706"/>
        <v>ND</v>
      </c>
      <c r="ES136" s="1" t="str">
        <f t="shared" si="706"/>
        <v>ND</v>
      </c>
      <c r="ET136" s="1" t="str">
        <f t="shared" si="706"/>
        <v>ND</v>
      </c>
      <c r="EU136" s="1" t="str">
        <f t="shared" si="706"/>
        <v>ND</v>
      </c>
      <c r="EV136" s="1" t="str">
        <f t="shared" si="706"/>
        <v>ND</v>
      </c>
      <c r="EW136" s="1" t="str">
        <f t="shared" si="706"/>
        <v>ND</v>
      </c>
      <c r="EX136" s="1" t="str">
        <f t="shared" si="706"/>
        <v>ND</v>
      </c>
      <c r="EY136" s="1" t="str">
        <f t="shared" si="706"/>
        <v>ND</v>
      </c>
      <c r="EZ136" s="1" t="str">
        <f t="shared" si="707"/>
        <v>ND</v>
      </c>
      <c r="FA136" s="1" t="str">
        <f t="shared" si="707"/>
        <v>ND</v>
      </c>
      <c r="FB136" s="1" t="str">
        <f t="shared" si="707"/>
        <v>ND</v>
      </c>
      <c r="FC136" s="1" t="str">
        <f t="shared" si="707"/>
        <v>ND</v>
      </c>
      <c r="FD136" s="1" t="str">
        <f t="shared" si="707"/>
        <v>ND</v>
      </c>
      <c r="FE136" s="1" t="str">
        <f t="shared" si="707"/>
        <v>ND</v>
      </c>
      <c r="FF136" s="1" t="str">
        <f t="shared" si="707"/>
        <v>ND</v>
      </c>
      <c r="FG136" s="1" t="str">
        <f t="shared" si="707"/>
        <v>ND</v>
      </c>
      <c r="FH136" s="1" t="str">
        <f t="shared" si="707"/>
        <v>ND</v>
      </c>
      <c r="FI136" s="1" t="str">
        <f t="shared" si="707"/>
        <v>ND</v>
      </c>
      <c r="FJ136" s="1" t="str">
        <f t="shared" si="707"/>
        <v>ND</v>
      </c>
      <c r="FK136" s="1" t="str">
        <f t="shared" si="708"/>
        <v>ND</v>
      </c>
      <c r="FL136" s="1" t="str">
        <f t="shared" si="708"/>
        <v>ND</v>
      </c>
      <c r="FM136" s="1" t="str">
        <f t="shared" si="708"/>
        <v>ND</v>
      </c>
      <c r="FN136" s="1" t="str">
        <f t="shared" si="708"/>
        <v>ND</v>
      </c>
      <c r="FO136" s="1" t="str">
        <f t="shared" si="708"/>
        <v>ND</v>
      </c>
      <c r="FP136" s="1" t="str">
        <f t="shared" si="708"/>
        <v>ND</v>
      </c>
      <c r="FQ136" s="1" t="str">
        <f t="shared" si="708"/>
        <v>ND</v>
      </c>
      <c r="FR136" s="1" t="str">
        <f t="shared" si="708"/>
        <v>ND</v>
      </c>
      <c r="FS136" s="1" t="str">
        <f t="shared" si="708"/>
        <v>ND</v>
      </c>
      <c r="FT136" s="1" t="str">
        <f t="shared" si="708"/>
        <v>ND</v>
      </c>
      <c r="FU136" s="1" t="str">
        <f t="shared" si="708"/>
        <v>ND</v>
      </c>
      <c r="FV136" s="1" t="str">
        <f t="shared" si="623"/>
        <v>ND</v>
      </c>
      <c r="FW136" s="1" t="str">
        <f t="shared" si="624"/>
        <v>ND</v>
      </c>
      <c r="FX136" s="1" t="str">
        <f t="shared" si="625"/>
        <v>ND</v>
      </c>
      <c r="FY136" s="1" t="str">
        <f t="shared" si="626"/>
        <v>ND</v>
      </c>
      <c r="FZ136" s="1" t="str">
        <f t="shared" si="627"/>
        <v>ND</v>
      </c>
      <c r="GA136" s="1" t="str">
        <f t="shared" si="628"/>
        <v>ND</v>
      </c>
      <c r="GB136" s="1" t="str">
        <f t="shared" si="629"/>
        <v>ND</v>
      </c>
      <c r="GC136" s="1" t="str">
        <f t="shared" si="630"/>
        <v>ND</v>
      </c>
      <c r="GD136" s="1" t="str">
        <f t="shared" si="631"/>
        <v>ND</v>
      </c>
      <c r="GE136" s="1" t="str">
        <f t="shared" si="632"/>
        <v>ND</v>
      </c>
      <c r="GF136" s="1" t="str">
        <f t="shared" si="633"/>
        <v>ND</v>
      </c>
      <c r="GG136" s="1" t="str">
        <f t="shared" si="634"/>
        <v>ND</v>
      </c>
      <c r="GH136" s="1" t="str">
        <f t="shared" si="635"/>
        <v>ND</v>
      </c>
      <c r="GI136" s="1" t="str">
        <f t="shared" si="636"/>
        <v>ND</v>
      </c>
      <c r="GJ136" s="1" t="str">
        <f t="shared" si="637"/>
        <v>ND</v>
      </c>
      <c r="GK136" s="1" t="str">
        <f t="shared" si="638"/>
        <v>ND</v>
      </c>
      <c r="GL136" s="1" t="str">
        <f t="shared" si="639"/>
        <v>ND</v>
      </c>
      <c r="GM136" s="1" t="str">
        <f t="shared" si="640"/>
        <v>ND</v>
      </c>
      <c r="GN136" s="1" t="str">
        <f t="shared" si="641"/>
        <v>ND</v>
      </c>
      <c r="GO136" s="1" t="str">
        <f t="shared" si="642"/>
        <v>ND</v>
      </c>
      <c r="GP136" s="1" t="str">
        <f t="shared" si="643"/>
        <v>ND</v>
      </c>
      <c r="GQ136" s="1" t="str">
        <f t="shared" si="644"/>
        <v>ND</v>
      </c>
      <c r="GR136" s="1" t="str">
        <f t="shared" si="645"/>
        <v>ND</v>
      </c>
      <c r="GS136" s="1" t="str">
        <f t="shared" si="646"/>
        <v>ND</v>
      </c>
      <c r="GT136" s="1" t="str">
        <f t="shared" si="647"/>
        <v>ND</v>
      </c>
      <c r="GU136" s="1" t="str">
        <f t="shared" si="648"/>
        <v>ND</v>
      </c>
      <c r="GV136" s="1" t="str">
        <f t="shared" si="649"/>
        <v>ND</v>
      </c>
      <c r="GW136" s="1" t="str">
        <f t="shared" si="650"/>
        <v>ND</v>
      </c>
      <c r="GX136" s="1" t="str">
        <f t="shared" si="651"/>
        <v>ND</v>
      </c>
      <c r="GY136" s="1" t="str">
        <f t="shared" si="652"/>
        <v>ND</v>
      </c>
      <c r="GZ136" s="1" t="str">
        <f t="shared" si="653"/>
        <v>ND</v>
      </c>
      <c r="HA136" s="1" t="str">
        <f t="shared" si="654"/>
        <v>ND</v>
      </c>
      <c r="HB136" s="1" t="str">
        <f t="shared" si="655"/>
        <v>ND</v>
      </c>
      <c r="HC136" s="1" t="str">
        <f t="shared" si="656"/>
        <v>ND</v>
      </c>
      <c r="HD136" s="1" t="str">
        <f t="shared" si="657"/>
        <v>ND</v>
      </c>
      <c r="HE136" s="1" t="str">
        <f t="shared" si="658"/>
        <v>ND</v>
      </c>
      <c r="HF136" s="1" t="str">
        <f t="shared" si="659"/>
        <v>ND</v>
      </c>
      <c r="HG136" s="1" t="str">
        <f t="shared" si="660"/>
        <v>ND</v>
      </c>
      <c r="HH136" s="1" t="str">
        <f t="shared" si="661"/>
        <v>ND</v>
      </c>
      <c r="HI136" s="1" t="str">
        <f t="shared" si="662"/>
        <v>ND</v>
      </c>
      <c r="HJ136" s="1" t="str">
        <f t="shared" si="663"/>
        <v>ND</v>
      </c>
      <c r="HK136" s="1" t="str">
        <f t="shared" si="664"/>
        <v>ND</v>
      </c>
      <c r="HL136" s="1" t="str">
        <f t="shared" si="665"/>
        <v>ND</v>
      </c>
      <c r="HM136" s="1" t="str">
        <f t="shared" si="666"/>
        <v>ND</v>
      </c>
      <c r="HN136" s="1" t="str">
        <f t="shared" si="667"/>
        <v>ND</v>
      </c>
      <c r="HO136" s="1" t="str">
        <f t="shared" si="668"/>
        <v>ND</v>
      </c>
      <c r="HP136" s="1" t="str">
        <f t="shared" si="669"/>
        <v>ND</v>
      </c>
      <c r="HQ136" s="1" t="str">
        <f t="shared" si="670"/>
        <v>ND</v>
      </c>
      <c r="HR136" s="1" t="str">
        <f t="shared" si="671"/>
        <v>ND</v>
      </c>
      <c r="HS136" s="1" t="str">
        <f t="shared" si="672"/>
        <v>ND</v>
      </c>
      <c r="HT136" s="1" t="str">
        <f t="shared" si="673"/>
        <v>ND</v>
      </c>
      <c r="HU136" s="1" t="str">
        <f t="shared" si="674"/>
        <v>ND</v>
      </c>
      <c r="HV136" s="1" t="str">
        <f t="shared" si="675"/>
        <v>ND</v>
      </c>
      <c r="HW136" s="1" t="str">
        <f t="shared" si="676"/>
        <v>ND</v>
      </c>
      <c r="HX136" s="1" t="str">
        <f t="shared" si="677"/>
        <v>ND</v>
      </c>
      <c r="HY136" s="1" t="str">
        <f t="shared" si="678"/>
        <v>ND</v>
      </c>
      <c r="HZ136" s="1" t="str">
        <f t="shared" si="679"/>
        <v>ND</v>
      </c>
      <c r="IA136" s="1" t="str">
        <f t="shared" si="680"/>
        <v>ND</v>
      </c>
      <c r="IB136" s="1" t="str">
        <f t="shared" si="681"/>
        <v>ND</v>
      </c>
      <c r="IC136" s="1" t="str">
        <f t="shared" si="682"/>
        <v>ND</v>
      </c>
      <c r="ID136" s="1" t="str">
        <f t="shared" si="683"/>
        <v>ND</v>
      </c>
      <c r="IE136" s="1" t="str">
        <f t="shared" si="684"/>
        <v>ND</v>
      </c>
      <c r="IF136" s="1" t="str">
        <f t="shared" si="685"/>
        <v>ND</v>
      </c>
      <c r="IG136" s="1" t="str">
        <f t="shared" si="686"/>
        <v>ND</v>
      </c>
      <c r="IH136" s="1" t="str">
        <f t="shared" si="687"/>
        <v>ND</v>
      </c>
      <c r="II136" s="1" t="str">
        <f t="shared" si="688"/>
        <v>ND</v>
      </c>
    </row>
    <row r="137" spans="3:243" x14ac:dyDescent="0.25">
      <c r="C137" t="s">
        <v>74</v>
      </c>
      <c r="D137">
        <f>SUMIFS(DICCIONARIO[Cantidad],DICCIONARIO[Modelo],UNIFICADA[[#This Row],[Equipo]])</f>
        <v>0</v>
      </c>
      <c r="E137" s="1">
        <f>IFERROR(VLOOKUP($C137,EQUIPOS[],UNIFICADO!E$9,0),"")</f>
        <v>11</v>
      </c>
      <c r="F137" s="1">
        <f>IFERROR(VLOOKUP($C137,EQUIPOS[],UNIFICADO!F$9,0),"")</f>
        <v>6.67</v>
      </c>
      <c r="G137" s="1">
        <f>IFERROR(VLOOKUP($C137,EQUIPOS[],UNIFICADO!G$9,0),"")</f>
        <v>108</v>
      </c>
      <c r="H137" s="1">
        <f>IFERROR(VLOOKUP($C137,EQUIPOS[],UNIFICADO!H$9,0),"")</f>
        <v>4</v>
      </c>
      <c r="I137" s="1">
        <f>IFERROR(VLOOKUP($C137,EQUIPOS[],UNIFICADO!I$9,0),"")</f>
        <v>16</v>
      </c>
      <c r="J137" s="1" t="str">
        <f>IFERROR(VLOOKUP($C137,EQUIPOS[],UNIFICADO!J$9,0),"")</f>
        <v>128GB</v>
      </c>
      <c r="K137" s="1">
        <f>IFERROR(VLOOKUP($C137,EQUIPOS[],UNIFICADO!K$9,0),"")</f>
        <v>256</v>
      </c>
      <c r="L137" s="1">
        <f>IFERROR(VLOOKUP($C137,EQUIPOS[],UNIFICADO!L$9,0),"")</f>
        <v>8</v>
      </c>
      <c r="M137" s="1" t="str">
        <f>IFERROR(VLOOKUP($C137,EQUIPOS[],UNIFICADO!M$9,0),"")</f>
        <v>2.05/2.0</v>
      </c>
      <c r="N137" s="1">
        <f>IFERROR(VLOOKUP($C137,EQUIPOS[],UNIFICADO!N$9,0),"")</f>
        <v>6</v>
      </c>
      <c r="O137" s="1">
        <f>IFERROR(VLOOKUP($C137,EQUIPOS[],UNIFICADO!O$9,0),"")</f>
        <v>202</v>
      </c>
      <c r="P137" s="1">
        <f>IFERROR(VLOOKUP($C137,EQUIPOS[],UNIFICADO!P$9,0),"")</f>
        <v>16.399999999999999</v>
      </c>
      <c r="Q137" s="1">
        <f>IFERROR(VLOOKUP($C137,EQUIPOS[],UNIFICADO!Q$9,0),"")</f>
        <v>7.61</v>
      </c>
      <c r="R137" s="1">
        <f>IFERROR(VLOOKUP($C137,EQUIPOS[],UNIFICADO!R$9,0),"")</f>
        <v>0.81</v>
      </c>
      <c r="S137" s="1">
        <f>IFERROR(VLOOKUP($C137,EQUIPOS[],UNIFICADO!S$9,0),"")</f>
        <v>5000</v>
      </c>
      <c r="T137" s="1">
        <f>IFERROR(VLOOKUP($C137,EQUIPOS[],UNIFICADO!T$9,0),"")</f>
        <v>4.5</v>
      </c>
      <c r="U137" s="1">
        <f>VLOOKUP(UNIFICADA[[#This Row],[Equipo]],EQUIPOS[],19,0)</f>
        <v>127</v>
      </c>
      <c r="V137" s="1" t="str">
        <f t="shared" si="533"/>
        <v>ND</v>
      </c>
      <c r="W137" s="1" t="str">
        <f t="shared" si="534"/>
        <v>ND</v>
      </c>
      <c r="X137" s="1" t="str">
        <f t="shared" si="702"/>
        <v>ND</v>
      </c>
      <c r="Y137" s="1" t="str">
        <f t="shared" si="702"/>
        <v>ND</v>
      </c>
      <c r="Z137" s="1" t="str">
        <f t="shared" si="703"/>
        <v>ND</v>
      </c>
      <c r="AA137" s="1" t="str">
        <f t="shared" si="703"/>
        <v>ND</v>
      </c>
      <c r="AB137" s="1" t="str">
        <f t="shared" si="703"/>
        <v>ND</v>
      </c>
      <c r="AC137" s="1" t="str">
        <f t="shared" si="703"/>
        <v>ND</v>
      </c>
      <c r="AD137" s="1" t="str">
        <f t="shared" si="703"/>
        <v>ND</v>
      </c>
      <c r="AE137" s="1" t="str">
        <f t="shared" si="703"/>
        <v>ND</v>
      </c>
      <c r="AF137" s="1" t="str">
        <f t="shared" si="703"/>
        <v>ND</v>
      </c>
      <c r="AG137" s="1" t="str">
        <f t="shared" si="703"/>
        <v>ND</v>
      </c>
      <c r="AH137" s="1" t="str">
        <f t="shared" si="703"/>
        <v>ND</v>
      </c>
      <c r="AI137" s="1" t="str">
        <f t="shared" si="535"/>
        <v>ND</v>
      </c>
      <c r="AJ137" s="1" t="str">
        <f t="shared" si="536"/>
        <v>ND</v>
      </c>
      <c r="AK137" s="1" t="str">
        <f t="shared" si="537"/>
        <v>ND</v>
      </c>
      <c r="AL137" s="1" t="str">
        <f t="shared" si="538"/>
        <v>ND</v>
      </c>
      <c r="AM137" s="1" t="str">
        <f t="shared" si="539"/>
        <v>ND</v>
      </c>
      <c r="AN137" s="1" t="str">
        <f t="shared" si="540"/>
        <v>ND</v>
      </c>
      <c r="AO137" s="1" t="str">
        <f t="shared" si="541"/>
        <v>ND</v>
      </c>
      <c r="AP137" s="1" t="str">
        <f t="shared" si="542"/>
        <v>ND</v>
      </c>
      <c r="AQ137" s="1" t="str">
        <f t="shared" si="543"/>
        <v>ND</v>
      </c>
      <c r="AR137" s="1" t="str">
        <f t="shared" si="544"/>
        <v>ND</v>
      </c>
      <c r="AS137" s="1" t="str">
        <f t="shared" si="545"/>
        <v>ND</v>
      </c>
      <c r="AT137" s="1" t="str">
        <f t="shared" si="546"/>
        <v>ND</v>
      </c>
      <c r="AU137" s="1" t="str">
        <f t="shared" si="547"/>
        <v>ND</v>
      </c>
      <c r="AV137" s="1" t="str">
        <f t="shared" si="548"/>
        <v>ND</v>
      </c>
      <c r="AW137" s="1" t="str">
        <f t="shared" si="549"/>
        <v>ND</v>
      </c>
      <c r="AX137" s="1" t="str">
        <f t="shared" si="550"/>
        <v>ND</v>
      </c>
      <c r="AY137" s="1" t="str">
        <f t="shared" si="551"/>
        <v>ND</v>
      </c>
      <c r="AZ137" s="1" t="str">
        <f t="shared" si="552"/>
        <v>ND</v>
      </c>
      <c r="BA137" s="1" t="str">
        <f t="shared" si="553"/>
        <v>ND</v>
      </c>
      <c r="BB137" s="1" t="str">
        <f t="shared" si="554"/>
        <v>ND</v>
      </c>
      <c r="BC137" s="1" t="str">
        <f t="shared" si="555"/>
        <v>ND</v>
      </c>
      <c r="BD137" s="1" t="str">
        <f t="shared" si="556"/>
        <v>ND</v>
      </c>
      <c r="BE137" s="1" t="str">
        <f t="shared" si="557"/>
        <v>ND</v>
      </c>
      <c r="BF137" s="1" t="str">
        <f t="shared" si="558"/>
        <v>ND</v>
      </c>
      <c r="BG137" s="1" t="str">
        <f t="shared" si="559"/>
        <v>ND</v>
      </c>
      <c r="BH137" s="1" t="str">
        <f t="shared" si="560"/>
        <v>ND</v>
      </c>
      <c r="BI137" s="1" t="str">
        <f t="shared" si="561"/>
        <v>ND</v>
      </c>
      <c r="BJ137" s="1" t="str">
        <f t="shared" si="562"/>
        <v>ND</v>
      </c>
      <c r="BK137" s="1" t="str">
        <f t="shared" si="563"/>
        <v>ND</v>
      </c>
      <c r="BL137" s="1" t="str">
        <f t="shared" si="564"/>
        <v>ND</v>
      </c>
      <c r="BM137" s="1" t="str">
        <f t="shared" si="565"/>
        <v>ND</v>
      </c>
      <c r="BN137" s="1" t="str">
        <f t="shared" si="566"/>
        <v>ND</v>
      </c>
      <c r="BO137" s="1" t="str">
        <f t="shared" si="567"/>
        <v>ND</v>
      </c>
      <c r="BP137" s="1" t="str">
        <f t="shared" si="568"/>
        <v>ND</v>
      </c>
      <c r="BQ137" s="1" t="str">
        <f t="shared" si="569"/>
        <v>ND</v>
      </c>
      <c r="BR137" s="1" t="str">
        <f t="shared" si="570"/>
        <v>ND</v>
      </c>
      <c r="BS137" s="1" t="str">
        <f t="shared" si="571"/>
        <v>ND</v>
      </c>
      <c r="BT137" s="1" t="str">
        <f t="shared" si="572"/>
        <v>ND</v>
      </c>
      <c r="BU137" s="1" t="str">
        <f t="shared" si="573"/>
        <v>ND</v>
      </c>
      <c r="BV137" s="1" t="str">
        <f t="shared" si="574"/>
        <v>ND</v>
      </c>
      <c r="BW137" s="1" t="str">
        <f t="shared" si="575"/>
        <v>ND</v>
      </c>
      <c r="BX137" s="1" t="str">
        <f t="shared" si="576"/>
        <v>ND</v>
      </c>
      <c r="BY137" s="1" t="str">
        <f t="shared" si="577"/>
        <v>ND</v>
      </c>
      <c r="BZ137" s="1" t="str">
        <f t="shared" si="578"/>
        <v>ND</v>
      </c>
      <c r="CA137" s="1" t="str">
        <f t="shared" si="704"/>
        <v>ND</v>
      </c>
      <c r="CB137" s="1" t="str">
        <f t="shared" si="704"/>
        <v>ND</v>
      </c>
      <c r="CC137" s="1" t="str">
        <f t="shared" si="704"/>
        <v>ND</v>
      </c>
      <c r="CD137" s="1" t="str">
        <f t="shared" si="704"/>
        <v>ND</v>
      </c>
      <c r="CE137" s="1" t="str">
        <f t="shared" si="704"/>
        <v>ND</v>
      </c>
      <c r="CF137" s="1" t="str">
        <f t="shared" si="704"/>
        <v>ND</v>
      </c>
      <c r="CG137" s="1" t="str">
        <f t="shared" si="704"/>
        <v>ND</v>
      </c>
      <c r="CH137" s="1" t="str">
        <f t="shared" si="704"/>
        <v>ND</v>
      </c>
      <c r="CI137" s="1" t="str">
        <f t="shared" si="704"/>
        <v>ND</v>
      </c>
      <c r="CJ137" s="1" t="str">
        <f t="shared" si="704"/>
        <v>ND</v>
      </c>
      <c r="CK137" s="1" t="str">
        <f t="shared" si="704"/>
        <v>ND</v>
      </c>
      <c r="CL137" s="1" t="str">
        <f t="shared" si="705"/>
        <v>ND</v>
      </c>
      <c r="CM137" s="1" t="str">
        <f t="shared" si="705"/>
        <v>ND</v>
      </c>
      <c r="CN137" s="1" t="str">
        <f t="shared" si="705"/>
        <v>ND</v>
      </c>
      <c r="CO137" s="1" t="str">
        <f t="shared" si="705"/>
        <v>ND</v>
      </c>
      <c r="CP137" s="1" t="str">
        <f t="shared" si="705"/>
        <v>ND</v>
      </c>
      <c r="CQ137" s="1" t="str">
        <f t="shared" si="705"/>
        <v>ND</v>
      </c>
      <c r="CR137" s="1" t="str">
        <f t="shared" si="705"/>
        <v>ND</v>
      </c>
      <c r="CS137" s="1" t="str">
        <f t="shared" si="705"/>
        <v>ND</v>
      </c>
      <c r="CT137" s="1" t="str">
        <f t="shared" si="705"/>
        <v>ND</v>
      </c>
      <c r="CU137" s="1" t="str">
        <f t="shared" si="705"/>
        <v>ND</v>
      </c>
      <c r="CV137" s="1" t="str">
        <f t="shared" si="705"/>
        <v>ND</v>
      </c>
      <c r="CW137" s="1" t="str">
        <f t="shared" si="579"/>
        <v>ND</v>
      </c>
      <c r="CX137" s="1" t="str">
        <f t="shared" si="580"/>
        <v>ND</v>
      </c>
      <c r="CY137" s="1" t="str">
        <f t="shared" si="581"/>
        <v>ND</v>
      </c>
      <c r="CZ137" s="1" t="str">
        <f t="shared" si="582"/>
        <v>ND</v>
      </c>
      <c r="DA137" s="1" t="str">
        <f t="shared" si="583"/>
        <v>ND</v>
      </c>
      <c r="DB137" s="1" t="str">
        <f t="shared" si="584"/>
        <v>ND</v>
      </c>
      <c r="DC137" s="1" t="str">
        <f t="shared" si="585"/>
        <v>ND</v>
      </c>
      <c r="DD137" s="1" t="str">
        <f t="shared" si="586"/>
        <v>ND</v>
      </c>
      <c r="DE137" s="1" t="str">
        <f t="shared" si="587"/>
        <v>ND</v>
      </c>
      <c r="DF137" s="1" t="str">
        <f t="shared" si="588"/>
        <v>ND</v>
      </c>
      <c r="DG137" s="1" t="str">
        <f t="shared" si="589"/>
        <v>ND</v>
      </c>
      <c r="DH137" s="1" t="str">
        <f t="shared" si="590"/>
        <v>ND</v>
      </c>
      <c r="DI137" s="1" t="str">
        <f t="shared" si="591"/>
        <v>ND</v>
      </c>
      <c r="DJ137" s="1" t="str">
        <f t="shared" si="592"/>
        <v>ND</v>
      </c>
      <c r="DK137" s="1" t="str">
        <f t="shared" si="593"/>
        <v>ND</v>
      </c>
      <c r="DL137" s="1" t="str">
        <f t="shared" si="594"/>
        <v>ND</v>
      </c>
      <c r="DM137" s="1" t="str">
        <f t="shared" si="595"/>
        <v>ND</v>
      </c>
      <c r="DN137" s="1" t="str">
        <f t="shared" si="596"/>
        <v>ND</v>
      </c>
      <c r="DO137" s="1" t="str">
        <f t="shared" si="597"/>
        <v>ND</v>
      </c>
      <c r="DP137" s="1" t="str">
        <f t="shared" si="598"/>
        <v>ND</v>
      </c>
      <c r="DQ137" s="1" t="str">
        <f t="shared" si="599"/>
        <v>ND</v>
      </c>
      <c r="DR137" s="1" t="str">
        <f t="shared" si="600"/>
        <v>ND</v>
      </c>
      <c r="DS137" s="1" t="str">
        <f t="shared" si="601"/>
        <v>ND</v>
      </c>
      <c r="DT137" s="1" t="str">
        <f t="shared" si="602"/>
        <v>ND</v>
      </c>
      <c r="DU137" s="1" t="str">
        <f t="shared" si="603"/>
        <v>ND</v>
      </c>
      <c r="DV137" s="1" t="str">
        <f t="shared" si="604"/>
        <v>ND</v>
      </c>
      <c r="DW137" s="1" t="str">
        <f t="shared" si="605"/>
        <v>ND</v>
      </c>
      <c r="DX137" s="1" t="str">
        <f t="shared" si="606"/>
        <v>ND</v>
      </c>
      <c r="DY137" s="1" t="str">
        <f t="shared" si="607"/>
        <v>ND</v>
      </c>
      <c r="DZ137" s="1" t="str">
        <f t="shared" si="608"/>
        <v>ND</v>
      </c>
      <c r="EA137" s="1" t="str">
        <f t="shared" si="609"/>
        <v>ND</v>
      </c>
      <c r="EB137" s="1" t="str">
        <f t="shared" si="610"/>
        <v>ND</v>
      </c>
      <c r="EC137" s="1" t="str">
        <f t="shared" si="611"/>
        <v>ND</v>
      </c>
      <c r="ED137" s="1" t="str">
        <f t="shared" si="612"/>
        <v>ND</v>
      </c>
      <c r="EE137" s="1" t="str">
        <f t="shared" si="613"/>
        <v>ND</v>
      </c>
      <c r="EF137" s="1" t="str">
        <f t="shared" si="614"/>
        <v>ND</v>
      </c>
      <c r="EG137" s="1" t="str">
        <f t="shared" si="615"/>
        <v>ND</v>
      </c>
      <c r="EH137" s="1" t="str">
        <f t="shared" si="616"/>
        <v>ND</v>
      </c>
      <c r="EI137" s="1" t="str">
        <f t="shared" si="617"/>
        <v>ND</v>
      </c>
      <c r="EJ137" s="1" t="str">
        <f t="shared" si="618"/>
        <v>ND</v>
      </c>
      <c r="EK137" s="1" t="str">
        <f t="shared" si="619"/>
        <v>ND</v>
      </c>
      <c r="EL137" s="1" t="str">
        <f t="shared" si="620"/>
        <v>ND</v>
      </c>
      <c r="EM137" s="1" t="str">
        <f t="shared" si="621"/>
        <v>ND</v>
      </c>
      <c r="EN137" s="1" t="str">
        <f t="shared" si="622"/>
        <v>ND</v>
      </c>
      <c r="EO137" s="1" t="str">
        <f t="shared" si="706"/>
        <v>ND</v>
      </c>
      <c r="EP137" s="1" t="str">
        <f t="shared" si="706"/>
        <v>ND</v>
      </c>
      <c r="EQ137" s="1" t="str">
        <f t="shared" si="706"/>
        <v>ND</v>
      </c>
      <c r="ER137" s="1" t="str">
        <f t="shared" si="706"/>
        <v>ND</v>
      </c>
      <c r="ES137" s="1" t="str">
        <f t="shared" si="706"/>
        <v>ND</v>
      </c>
      <c r="ET137" s="1" t="str">
        <f t="shared" si="706"/>
        <v>ND</v>
      </c>
      <c r="EU137" s="1" t="str">
        <f t="shared" si="706"/>
        <v>ND</v>
      </c>
      <c r="EV137" s="1" t="str">
        <f t="shared" si="706"/>
        <v>ND</v>
      </c>
      <c r="EW137" s="1" t="str">
        <f t="shared" si="706"/>
        <v>ND</v>
      </c>
      <c r="EX137" s="1" t="str">
        <f t="shared" si="706"/>
        <v>ND</v>
      </c>
      <c r="EY137" s="1" t="str">
        <f t="shared" si="706"/>
        <v>ND</v>
      </c>
      <c r="EZ137" s="1" t="str">
        <f t="shared" si="707"/>
        <v>ND</v>
      </c>
      <c r="FA137" s="1" t="str">
        <f t="shared" si="707"/>
        <v>ND</v>
      </c>
      <c r="FB137" s="1" t="str">
        <f t="shared" si="707"/>
        <v>ND</v>
      </c>
      <c r="FC137" s="1" t="str">
        <f t="shared" si="707"/>
        <v>ND</v>
      </c>
      <c r="FD137" s="1" t="str">
        <f t="shared" si="707"/>
        <v>ND</v>
      </c>
      <c r="FE137" s="1" t="str">
        <f t="shared" si="707"/>
        <v>ND</v>
      </c>
      <c r="FF137" s="1" t="str">
        <f t="shared" si="707"/>
        <v>ND</v>
      </c>
      <c r="FG137" s="1" t="str">
        <f t="shared" si="707"/>
        <v>ND</v>
      </c>
      <c r="FH137" s="1" t="str">
        <f t="shared" si="707"/>
        <v>ND</v>
      </c>
      <c r="FI137" s="1" t="str">
        <f t="shared" si="707"/>
        <v>ND</v>
      </c>
      <c r="FJ137" s="1" t="str">
        <f t="shared" si="707"/>
        <v>ND</v>
      </c>
      <c r="FK137" s="1" t="str">
        <f t="shared" si="708"/>
        <v>ND</v>
      </c>
      <c r="FL137" s="1" t="str">
        <f t="shared" si="708"/>
        <v>ND</v>
      </c>
      <c r="FM137" s="1" t="str">
        <f t="shared" si="708"/>
        <v>ND</v>
      </c>
      <c r="FN137" s="1" t="str">
        <f t="shared" si="708"/>
        <v>ND</v>
      </c>
      <c r="FO137" s="1" t="str">
        <f t="shared" si="708"/>
        <v>ND</v>
      </c>
      <c r="FP137" s="1" t="str">
        <f t="shared" si="708"/>
        <v>ND</v>
      </c>
      <c r="FQ137" s="1" t="str">
        <f t="shared" si="708"/>
        <v>ND</v>
      </c>
      <c r="FR137" s="1" t="str">
        <f t="shared" si="708"/>
        <v>ND</v>
      </c>
      <c r="FS137" s="1" t="str">
        <f t="shared" si="708"/>
        <v>ND</v>
      </c>
      <c r="FT137" s="1" t="str">
        <f t="shared" si="708"/>
        <v>ND</v>
      </c>
      <c r="FU137" s="1" t="str">
        <f t="shared" si="708"/>
        <v>ND</v>
      </c>
      <c r="FV137" s="1" t="str">
        <f t="shared" si="623"/>
        <v>ND</v>
      </c>
      <c r="FW137" s="1" t="str">
        <f t="shared" si="624"/>
        <v>ND</v>
      </c>
      <c r="FX137" s="1" t="str">
        <f t="shared" si="625"/>
        <v>ND</v>
      </c>
      <c r="FY137" s="1" t="str">
        <f t="shared" si="626"/>
        <v>ND</v>
      </c>
      <c r="FZ137" s="1" t="str">
        <f t="shared" si="627"/>
        <v>ND</v>
      </c>
      <c r="GA137" s="1" t="str">
        <f t="shared" si="628"/>
        <v>ND</v>
      </c>
      <c r="GB137" s="1" t="str">
        <f t="shared" si="629"/>
        <v>ND</v>
      </c>
      <c r="GC137" s="1" t="str">
        <f t="shared" si="630"/>
        <v>ND</v>
      </c>
      <c r="GD137" s="1" t="str">
        <f t="shared" si="631"/>
        <v>ND</v>
      </c>
      <c r="GE137" s="1" t="str">
        <f t="shared" si="632"/>
        <v>ND</v>
      </c>
      <c r="GF137" s="1" t="str">
        <f t="shared" si="633"/>
        <v>ND</v>
      </c>
      <c r="GG137" s="1" t="str">
        <f t="shared" si="634"/>
        <v>ND</v>
      </c>
      <c r="GH137" s="1" t="str">
        <f t="shared" si="635"/>
        <v>ND</v>
      </c>
      <c r="GI137" s="1" t="str">
        <f t="shared" si="636"/>
        <v>ND</v>
      </c>
      <c r="GJ137" s="1" t="str">
        <f t="shared" si="637"/>
        <v>ND</v>
      </c>
      <c r="GK137" s="1" t="str">
        <f t="shared" si="638"/>
        <v>ND</v>
      </c>
      <c r="GL137" s="1" t="str">
        <f t="shared" si="639"/>
        <v>ND</v>
      </c>
      <c r="GM137" s="1" t="str">
        <f t="shared" si="640"/>
        <v>ND</v>
      </c>
      <c r="GN137" s="1" t="str">
        <f t="shared" si="641"/>
        <v>ND</v>
      </c>
      <c r="GO137" s="1" t="str">
        <f t="shared" si="642"/>
        <v>ND</v>
      </c>
      <c r="GP137" s="1" t="str">
        <f t="shared" si="643"/>
        <v>ND</v>
      </c>
      <c r="GQ137" s="1" t="str">
        <f t="shared" si="644"/>
        <v>ND</v>
      </c>
      <c r="GR137" s="1" t="str">
        <f t="shared" si="645"/>
        <v>ND</v>
      </c>
      <c r="GS137" s="1" t="str">
        <f t="shared" si="646"/>
        <v>ND</v>
      </c>
      <c r="GT137" s="1" t="str">
        <f t="shared" si="647"/>
        <v>ND</v>
      </c>
      <c r="GU137" s="1" t="str">
        <f t="shared" si="648"/>
        <v>ND</v>
      </c>
      <c r="GV137" s="1" t="str">
        <f t="shared" si="649"/>
        <v>ND</v>
      </c>
      <c r="GW137" s="1" t="str">
        <f t="shared" si="650"/>
        <v>ND</v>
      </c>
      <c r="GX137" s="1" t="str">
        <f t="shared" si="651"/>
        <v>ND</v>
      </c>
      <c r="GY137" s="1" t="str">
        <f t="shared" si="652"/>
        <v>ND</v>
      </c>
      <c r="GZ137" s="1" t="str">
        <f t="shared" si="653"/>
        <v>ND</v>
      </c>
      <c r="HA137" s="1" t="str">
        <f t="shared" si="654"/>
        <v>ND</v>
      </c>
      <c r="HB137" s="1" t="str">
        <f t="shared" si="655"/>
        <v>ND</v>
      </c>
      <c r="HC137" s="1" t="str">
        <f t="shared" si="656"/>
        <v>ND</v>
      </c>
      <c r="HD137" s="1" t="str">
        <f t="shared" si="657"/>
        <v>ND</v>
      </c>
      <c r="HE137" s="1" t="str">
        <f t="shared" si="658"/>
        <v>ND</v>
      </c>
      <c r="HF137" s="1" t="str">
        <f t="shared" si="659"/>
        <v>ND</v>
      </c>
      <c r="HG137" s="1" t="str">
        <f t="shared" si="660"/>
        <v>ND</v>
      </c>
      <c r="HH137" s="1" t="str">
        <f t="shared" si="661"/>
        <v>ND</v>
      </c>
      <c r="HI137" s="1" t="str">
        <f t="shared" si="662"/>
        <v>ND</v>
      </c>
      <c r="HJ137" s="1" t="str">
        <f t="shared" si="663"/>
        <v>ND</v>
      </c>
      <c r="HK137" s="1" t="str">
        <f t="shared" si="664"/>
        <v>ND</v>
      </c>
      <c r="HL137" s="1" t="str">
        <f t="shared" si="665"/>
        <v>ND</v>
      </c>
      <c r="HM137" s="1" t="str">
        <f t="shared" si="666"/>
        <v>ND</v>
      </c>
      <c r="HN137" s="1" t="str">
        <f t="shared" si="667"/>
        <v>ND</v>
      </c>
      <c r="HO137" s="1" t="str">
        <f t="shared" si="668"/>
        <v>ND</v>
      </c>
      <c r="HP137" s="1" t="str">
        <f t="shared" si="669"/>
        <v>ND</v>
      </c>
      <c r="HQ137" s="1" t="str">
        <f t="shared" si="670"/>
        <v>ND</v>
      </c>
      <c r="HR137" s="1" t="str">
        <f t="shared" si="671"/>
        <v>ND</v>
      </c>
      <c r="HS137" s="1" t="str">
        <f t="shared" si="672"/>
        <v>ND</v>
      </c>
      <c r="HT137" s="1" t="str">
        <f t="shared" si="673"/>
        <v>ND</v>
      </c>
      <c r="HU137" s="1" t="str">
        <f t="shared" si="674"/>
        <v>ND</v>
      </c>
      <c r="HV137" s="1" t="str">
        <f t="shared" si="675"/>
        <v>ND</v>
      </c>
      <c r="HW137" s="1" t="str">
        <f t="shared" si="676"/>
        <v>ND</v>
      </c>
      <c r="HX137" s="1" t="str">
        <f t="shared" si="677"/>
        <v>ND</v>
      </c>
      <c r="HY137" s="1" t="str">
        <f t="shared" si="678"/>
        <v>ND</v>
      </c>
      <c r="HZ137" s="1" t="str">
        <f t="shared" si="679"/>
        <v>ND</v>
      </c>
      <c r="IA137" s="1" t="str">
        <f t="shared" si="680"/>
        <v>ND</v>
      </c>
      <c r="IB137" s="1" t="str">
        <f t="shared" si="681"/>
        <v>ND</v>
      </c>
      <c r="IC137" s="1" t="str">
        <f t="shared" si="682"/>
        <v>ND</v>
      </c>
      <c r="ID137" s="1" t="str">
        <f t="shared" si="683"/>
        <v>ND</v>
      </c>
      <c r="IE137" s="1" t="str">
        <f t="shared" si="684"/>
        <v>ND</v>
      </c>
      <c r="IF137" s="1" t="str">
        <f t="shared" si="685"/>
        <v>ND</v>
      </c>
      <c r="IG137" s="1" t="str">
        <f t="shared" si="686"/>
        <v>ND</v>
      </c>
      <c r="IH137" s="1" t="str">
        <f t="shared" si="687"/>
        <v>ND</v>
      </c>
      <c r="II137" s="1" t="str">
        <f t="shared" si="688"/>
        <v>ND</v>
      </c>
    </row>
    <row r="138" spans="3:243" x14ac:dyDescent="0.25">
      <c r="C138" t="s">
        <v>75</v>
      </c>
      <c r="D138">
        <f>SUMIFS(DICCIONARIO[Cantidad],DICCIONARIO[Modelo],UNIFICADA[[#This Row],[Equipo]])</f>
        <v>0</v>
      </c>
      <c r="E138" s="1">
        <f>IFERROR(VLOOKUP($C138,EQUIPOS[],UNIFICADO!E$9,0),"")</f>
        <v>11</v>
      </c>
      <c r="F138" s="1">
        <f>IFERROR(VLOOKUP($C138,EQUIPOS[],UNIFICADO!F$9,0),"")</f>
        <v>6.67</v>
      </c>
      <c r="G138" s="1">
        <f>IFERROR(VLOOKUP($C138,EQUIPOS[],UNIFICADO!G$9,0),"")</f>
        <v>108</v>
      </c>
      <c r="H138" s="1">
        <f>IFERROR(VLOOKUP($C138,EQUIPOS[],UNIFICADO!H$9,0),"")</f>
        <v>3</v>
      </c>
      <c r="I138" s="1">
        <f>IFERROR(VLOOKUP($C138,EQUIPOS[],UNIFICADO!I$9,0),"")</f>
        <v>16</v>
      </c>
      <c r="J138" s="1" t="str">
        <f>IFERROR(VLOOKUP($C138,EQUIPOS[],UNIFICADO!J$9,0),"")</f>
        <v>128GB</v>
      </c>
      <c r="K138" s="1">
        <f>IFERROR(VLOOKUP($C138,EQUIPOS[],UNIFICADO!K$9,0),"")</f>
        <v>256</v>
      </c>
      <c r="L138" s="1">
        <f>IFERROR(VLOOKUP($C138,EQUIPOS[],UNIFICADO!L$9,0),"")</f>
        <v>8</v>
      </c>
      <c r="M138" s="1" t="str">
        <f>IFERROR(VLOOKUP($C138,EQUIPOS[],UNIFICADO!M$9,0),"")</f>
        <v>2.2/1.7</v>
      </c>
      <c r="N138" s="1">
        <f>IFERROR(VLOOKUP($C138,EQUIPOS[],UNIFICADO!N$9,0),"")</f>
        <v>4</v>
      </c>
      <c r="O138" s="1">
        <f>IFERROR(VLOOKUP($C138,EQUIPOS[],UNIFICADO!O$9,0),"")</f>
        <v>202</v>
      </c>
      <c r="P138" s="1">
        <f>IFERROR(VLOOKUP($C138,EQUIPOS[],UNIFICADO!P$9,0),"")</f>
        <v>16.399999999999999</v>
      </c>
      <c r="Q138" s="1">
        <f>IFERROR(VLOOKUP($C138,EQUIPOS[],UNIFICADO!Q$9,0),"")</f>
        <v>7.61</v>
      </c>
      <c r="R138" s="1">
        <f>IFERROR(VLOOKUP($C138,EQUIPOS[],UNIFICADO!R$9,0),"")</f>
        <v>0.81</v>
      </c>
      <c r="S138" s="1">
        <f>IFERROR(VLOOKUP($C138,EQUIPOS[],UNIFICADO!S$9,0),"")</f>
        <v>5000</v>
      </c>
      <c r="T138" s="1">
        <f>IFERROR(VLOOKUP($C138,EQUIPOS[],UNIFICADO!T$9,0),"")</f>
        <v>5</v>
      </c>
      <c r="U138" s="1">
        <f>VLOOKUP(UNIFICADA[[#This Row],[Equipo]],EQUIPOS[],19,0)</f>
        <v>128</v>
      </c>
      <c r="V138" s="1" t="str">
        <f t="shared" si="533"/>
        <v>ND</v>
      </c>
      <c r="W138" s="1" t="str">
        <f t="shared" si="534"/>
        <v>ND</v>
      </c>
      <c r="X138" s="1" t="str">
        <f t="shared" si="702"/>
        <v>ND</v>
      </c>
      <c r="Y138" s="1" t="str">
        <f t="shared" si="702"/>
        <v>ND</v>
      </c>
      <c r="Z138" s="1" t="str">
        <f t="shared" si="703"/>
        <v>ND</v>
      </c>
      <c r="AA138" s="1" t="str">
        <f t="shared" si="703"/>
        <v>ND</v>
      </c>
      <c r="AB138" s="1" t="str">
        <f t="shared" si="703"/>
        <v>ND</v>
      </c>
      <c r="AC138" s="1" t="str">
        <f t="shared" si="703"/>
        <v>ND</v>
      </c>
      <c r="AD138" s="1" t="str">
        <f t="shared" si="703"/>
        <v>ND</v>
      </c>
      <c r="AE138" s="1" t="str">
        <f t="shared" si="703"/>
        <v>ND</v>
      </c>
      <c r="AF138" s="1" t="str">
        <f t="shared" si="703"/>
        <v>ND</v>
      </c>
      <c r="AG138" s="1" t="str">
        <f t="shared" si="703"/>
        <v>ND</v>
      </c>
      <c r="AH138" s="1" t="str">
        <f t="shared" si="703"/>
        <v>ND</v>
      </c>
      <c r="AI138" s="1" t="str">
        <f t="shared" si="535"/>
        <v>ND</v>
      </c>
      <c r="AJ138" s="1" t="str">
        <f t="shared" si="536"/>
        <v>ND</v>
      </c>
      <c r="AK138" s="1" t="str">
        <f t="shared" si="537"/>
        <v>ND</v>
      </c>
      <c r="AL138" s="1" t="str">
        <f t="shared" si="538"/>
        <v>ND</v>
      </c>
      <c r="AM138" s="1" t="str">
        <f t="shared" si="539"/>
        <v>ND</v>
      </c>
      <c r="AN138" s="1" t="str">
        <f t="shared" si="540"/>
        <v>ND</v>
      </c>
      <c r="AO138" s="1" t="str">
        <f t="shared" si="541"/>
        <v>ND</v>
      </c>
      <c r="AP138" s="1" t="str">
        <f t="shared" si="542"/>
        <v>ND</v>
      </c>
      <c r="AQ138" s="1" t="str">
        <f t="shared" si="543"/>
        <v>ND</v>
      </c>
      <c r="AR138" s="1" t="str">
        <f t="shared" si="544"/>
        <v>ND</v>
      </c>
      <c r="AS138" s="1" t="str">
        <f t="shared" si="545"/>
        <v>ND</v>
      </c>
      <c r="AT138" s="1" t="str">
        <f t="shared" si="546"/>
        <v>ND</v>
      </c>
      <c r="AU138" s="1" t="str">
        <f t="shared" si="547"/>
        <v>ND</v>
      </c>
      <c r="AV138" s="1" t="str">
        <f t="shared" si="548"/>
        <v>ND</v>
      </c>
      <c r="AW138" s="1" t="str">
        <f t="shared" si="549"/>
        <v>ND</v>
      </c>
      <c r="AX138" s="1" t="str">
        <f t="shared" si="550"/>
        <v>ND</v>
      </c>
      <c r="AY138" s="1" t="str">
        <f t="shared" si="551"/>
        <v>ND</v>
      </c>
      <c r="AZ138" s="1" t="str">
        <f t="shared" si="552"/>
        <v>ND</v>
      </c>
      <c r="BA138" s="1" t="str">
        <f t="shared" si="553"/>
        <v>ND</v>
      </c>
      <c r="BB138" s="1" t="str">
        <f t="shared" si="554"/>
        <v>ND</v>
      </c>
      <c r="BC138" s="1" t="str">
        <f t="shared" si="555"/>
        <v>ND</v>
      </c>
      <c r="BD138" s="1" t="str">
        <f t="shared" si="556"/>
        <v>ND</v>
      </c>
      <c r="BE138" s="1" t="str">
        <f t="shared" si="557"/>
        <v>ND</v>
      </c>
      <c r="BF138" s="1" t="str">
        <f t="shared" si="558"/>
        <v>ND</v>
      </c>
      <c r="BG138" s="1" t="str">
        <f t="shared" si="559"/>
        <v>ND</v>
      </c>
      <c r="BH138" s="1" t="str">
        <f t="shared" si="560"/>
        <v>ND</v>
      </c>
      <c r="BI138" s="1" t="str">
        <f t="shared" si="561"/>
        <v>ND</v>
      </c>
      <c r="BJ138" s="1" t="str">
        <f t="shared" si="562"/>
        <v>ND</v>
      </c>
      <c r="BK138" s="1" t="str">
        <f t="shared" si="563"/>
        <v>ND</v>
      </c>
      <c r="BL138" s="1" t="str">
        <f t="shared" si="564"/>
        <v>ND</v>
      </c>
      <c r="BM138" s="1" t="str">
        <f t="shared" si="565"/>
        <v>ND</v>
      </c>
      <c r="BN138" s="1" t="str">
        <f t="shared" si="566"/>
        <v>ND</v>
      </c>
      <c r="BO138" s="1" t="str">
        <f t="shared" si="567"/>
        <v>ND</v>
      </c>
      <c r="BP138" s="1" t="str">
        <f t="shared" si="568"/>
        <v>ND</v>
      </c>
      <c r="BQ138" s="1" t="str">
        <f t="shared" si="569"/>
        <v>ND</v>
      </c>
      <c r="BR138" s="1" t="str">
        <f t="shared" si="570"/>
        <v>ND</v>
      </c>
      <c r="BS138" s="1" t="str">
        <f t="shared" si="571"/>
        <v>ND</v>
      </c>
      <c r="BT138" s="1" t="str">
        <f t="shared" si="572"/>
        <v>ND</v>
      </c>
      <c r="BU138" s="1" t="str">
        <f t="shared" si="573"/>
        <v>ND</v>
      </c>
      <c r="BV138" s="1" t="str">
        <f t="shared" si="574"/>
        <v>ND</v>
      </c>
      <c r="BW138" s="1" t="str">
        <f t="shared" si="575"/>
        <v>ND</v>
      </c>
      <c r="BX138" s="1" t="str">
        <f t="shared" si="576"/>
        <v>ND</v>
      </c>
      <c r="BY138" s="1" t="str">
        <f t="shared" si="577"/>
        <v>ND</v>
      </c>
      <c r="BZ138" s="1" t="str">
        <f t="shared" si="578"/>
        <v>ND</v>
      </c>
      <c r="CA138" s="1" t="str">
        <f t="shared" si="704"/>
        <v>ND</v>
      </c>
      <c r="CB138" s="1" t="str">
        <f t="shared" si="704"/>
        <v>ND</v>
      </c>
      <c r="CC138" s="1" t="str">
        <f t="shared" si="704"/>
        <v>ND</v>
      </c>
      <c r="CD138" s="1" t="str">
        <f t="shared" si="704"/>
        <v>ND</v>
      </c>
      <c r="CE138" s="1" t="str">
        <f t="shared" si="704"/>
        <v>ND</v>
      </c>
      <c r="CF138" s="1" t="str">
        <f t="shared" si="704"/>
        <v>ND</v>
      </c>
      <c r="CG138" s="1" t="str">
        <f t="shared" si="704"/>
        <v>ND</v>
      </c>
      <c r="CH138" s="1" t="str">
        <f t="shared" si="704"/>
        <v>ND</v>
      </c>
      <c r="CI138" s="1" t="str">
        <f t="shared" si="704"/>
        <v>ND</v>
      </c>
      <c r="CJ138" s="1" t="str">
        <f t="shared" si="704"/>
        <v>ND</v>
      </c>
      <c r="CK138" s="1" t="str">
        <f t="shared" si="704"/>
        <v>ND</v>
      </c>
      <c r="CL138" s="1" t="str">
        <f t="shared" si="705"/>
        <v>ND</v>
      </c>
      <c r="CM138" s="1" t="str">
        <f t="shared" si="705"/>
        <v>ND</v>
      </c>
      <c r="CN138" s="1" t="str">
        <f t="shared" si="705"/>
        <v>ND</v>
      </c>
      <c r="CO138" s="1" t="str">
        <f t="shared" si="705"/>
        <v>ND</v>
      </c>
      <c r="CP138" s="1" t="str">
        <f t="shared" si="705"/>
        <v>ND</v>
      </c>
      <c r="CQ138" s="1" t="str">
        <f t="shared" si="705"/>
        <v>ND</v>
      </c>
      <c r="CR138" s="1" t="str">
        <f t="shared" si="705"/>
        <v>ND</v>
      </c>
      <c r="CS138" s="1" t="str">
        <f t="shared" si="705"/>
        <v>ND</v>
      </c>
      <c r="CT138" s="1" t="str">
        <f t="shared" si="705"/>
        <v>ND</v>
      </c>
      <c r="CU138" s="1" t="str">
        <f t="shared" si="705"/>
        <v>ND</v>
      </c>
      <c r="CV138" s="1" t="str">
        <f t="shared" si="705"/>
        <v>ND</v>
      </c>
      <c r="CW138" s="1" t="str">
        <f t="shared" si="579"/>
        <v>ND</v>
      </c>
      <c r="CX138" s="1" t="str">
        <f t="shared" si="580"/>
        <v>ND</v>
      </c>
      <c r="CY138" s="1" t="str">
        <f t="shared" si="581"/>
        <v>ND</v>
      </c>
      <c r="CZ138" s="1" t="str">
        <f t="shared" si="582"/>
        <v>ND</v>
      </c>
      <c r="DA138" s="1" t="str">
        <f t="shared" si="583"/>
        <v>ND</v>
      </c>
      <c r="DB138" s="1" t="str">
        <f t="shared" si="584"/>
        <v>ND</v>
      </c>
      <c r="DC138" s="1" t="str">
        <f t="shared" si="585"/>
        <v>ND</v>
      </c>
      <c r="DD138" s="1" t="str">
        <f t="shared" si="586"/>
        <v>ND</v>
      </c>
      <c r="DE138" s="1" t="str">
        <f t="shared" si="587"/>
        <v>ND</v>
      </c>
      <c r="DF138" s="1" t="str">
        <f t="shared" si="588"/>
        <v>ND</v>
      </c>
      <c r="DG138" s="1" t="str">
        <f t="shared" si="589"/>
        <v>ND</v>
      </c>
      <c r="DH138" s="1" t="str">
        <f t="shared" si="590"/>
        <v>ND</v>
      </c>
      <c r="DI138" s="1" t="str">
        <f t="shared" si="591"/>
        <v>ND</v>
      </c>
      <c r="DJ138" s="1" t="str">
        <f t="shared" si="592"/>
        <v>ND</v>
      </c>
      <c r="DK138" s="1" t="str">
        <f t="shared" si="593"/>
        <v>ND</v>
      </c>
      <c r="DL138" s="1" t="str">
        <f t="shared" si="594"/>
        <v>ND</v>
      </c>
      <c r="DM138" s="1" t="str">
        <f t="shared" si="595"/>
        <v>ND</v>
      </c>
      <c r="DN138" s="1" t="str">
        <f t="shared" si="596"/>
        <v>ND</v>
      </c>
      <c r="DO138" s="1" t="str">
        <f t="shared" si="597"/>
        <v>ND</v>
      </c>
      <c r="DP138" s="1" t="str">
        <f t="shared" si="598"/>
        <v>ND</v>
      </c>
      <c r="DQ138" s="1" t="str">
        <f t="shared" si="599"/>
        <v>ND</v>
      </c>
      <c r="DR138" s="1" t="str">
        <f t="shared" si="600"/>
        <v>ND</v>
      </c>
      <c r="DS138" s="1" t="str">
        <f t="shared" si="601"/>
        <v>ND</v>
      </c>
      <c r="DT138" s="1" t="str">
        <f t="shared" si="602"/>
        <v>ND</v>
      </c>
      <c r="DU138" s="1" t="str">
        <f t="shared" si="603"/>
        <v>ND</v>
      </c>
      <c r="DV138" s="1" t="str">
        <f t="shared" si="604"/>
        <v>ND</v>
      </c>
      <c r="DW138" s="1" t="str">
        <f t="shared" si="605"/>
        <v>ND</v>
      </c>
      <c r="DX138" s="1" t="str">
        <f t="shared" si="606"/>
        <v>ND</v>
      </c>
      <c r="DY138" s="1" t="str">
        <f t="shared" si="607"/>
        <v>ND</v>
      </c>
      <c r="DZ138" s="1" t="str">
        <f t="shared" si="608"/>
        <v>ND</v>
      </c>
      <c r="EA138" s="1" t="str">
        <f t="shared" si="609"/>
        <v>ND</v>
      </c>
      <c r="EB138" s="1" t="str">
        <f t="shared" si="610"/>
        <v>ND</v>
      </c>
      <c r="EC138" s="1" t="str">
        <f t="shared" si="611"/>
        <v>ND</v>
      </c>
      <c r="ED138" s="1" t="str">
        <f t="shared" si="612"/>
        <v>ND</v>
      </c>
      <c r="EE138" s="1" t="str">
        <f t="shared" si="613"/>
        <v>ND</v>
      </c>
      <c r="EF138" s="1" t="str">
        <f t="shared" si="614"/>
        <v>ND</v>
      </c>
      <c r="EG138" s="1" t="str">
        <f t="shared" si="615"/>
        <v>ND</v>
      </c>
      <c r="EH138" s="1" t="str">
        <f t="shared" si="616"/>
        <v>ND</v>
      </c>
      <c r="EI138" s="1" t="str">
        <f t="shared" si="617"/>
        <v>ND</v>
      </c>
      <c r="EJ138" s="1" t="str">
        <f t="shared" si="618"/>
        <v>ND</v>
      </c>
      <c r="EK138" s="1" t="str">
        <f t="shared" si="619"/>
        <v>ND</v>
      </c>
      <c r="EL138" s="1" t="str">
        <f t="shared" si="620"/>
        <v>ND</v>
      </c>
      <c r="EM138" s="1" t="str">
        <f t="shared" si="621"/>
        <v>ND</v>
      </c>
      <c r="EN138" s="1" t="str">
        <f t="shared" si="622"/>
        <v>ND</v>
      </c>
      <c r="EO138" s="1" t="str">
        <f t="shared" si="706"/>
        <v>ND</v>
      </c>
      <c r="EP138" s="1" t="str">
        <f t="shared" si="706"/>
        <v>ND</v>
      </c>
      <c r="EQ138" s="1" t="str">
        <f t="shared" si="706"/>
        <v>ND</v>
      </c>
      <c r="ER138" s="1" t="str">
        <f t="shared" si="706"/>
        <v>ND</v>
      </c>
      <c r="ES138" s="1" t="str">
        <f t="shared" si="706"/>
        <v>ND</v>
      </c>
      <c r="ET138" s="1" t="str">
        <f t="shared" si="706"/>
        <v>ND</v>
      </c>
      <c r="EU138" s="1" t="str">
        <f t="shared" si="706"/>
        <v>ND</v>
      </c>
      <c r="EV138" s="1" t="str">
        <f t="shared" si="706"/>
        <v>ND</v>
      </c>
      <c r="EW138" s="1" t="str">
        <f t="shared" si="706"/>
        <v>ND</v>
      </c>
      <c r="EX138" s="1" t="str">
        <f t="shared" si="706"/>
        <v>ND</v>
      </c>
      <c r="EY138" s="1" t="str">
        <f t="shared" si="706"/>
        <v>ND</v>
      </c>
      <c r="EZ138" s="1" t="str">
        <f t="shared" si="707"/>
        <v>ND</v>
      </c>
      <c r="FA138" s="1" t="str">
        <f t="shared" si="707"/>
        <v>ND</v>
      </c>
      <c r="FB138" s="1" t="str">
        <f t="shared" si="707"/>
        <v>ND</v>
      </c>
      <c r="FC138" s="1" t="str">
        <f t="shared" si="707"/>
        <v>ND</v>
      </c>
      <c r="FD138" s="1" t="str">
        <f t="shared" si="707"/>
        <v>ND</v>
      </c>
      <c r="FE138" s="1" t="str">
        <f t="shared" si="707"/>
        <v>ND</v>
      </c>
      <c r="FF138" s="1" t="str">
        <f t="shared" si="707"/>
        <v>ND</v>
      </c>
      <c r="FG138" s="1" t="str">
        <f t="shared" si="707"/>
        <v>ND</v>
      </c>
      <c r="FH138" s="1" t="str">
        <f t="shared" si="707"/>
        <v>ND</v>
      </c>
      <c r="FI138" s="1" t="str">
        <f t="shared" si="707"/>
        <v>ND</v>
      </c>
      <c r="FJ138" s="1" t="str">
        <f t="shared" si="707"/>
        <v>ND</v>
      </c>
      <c r="FK138" s="1" t="str">
        <f t="shared" si="708"/>
        <v>ND</v>
      </c>
      <c r="FL138" s="1" t="str">
        <f t="shared" si="708"/>
        <v>ND</v>
      </c>
      <c r="FM138" s="1" t="str">
        <f t="shared" si="708"/>
        <v>ND</v>
      </c>
      <c r="FN138" s="1" t="str">
        <f t="shared" si="708"/>
        <v>ND</v>
      </c>
      <c r="FO138" s="1" t="str">
        <f t="shared" si="708"/>
        <v>ND</v>
      </c>
      <c r="FP138" s="1" t="str">
        <f t="shared" si="708"/>
        <v>ND</v>
      </c>
      <c r="FQ138" s="1" t="str">
        <f t="shared" si="708"/>
        <v>ND</v>
      </c>
      <c r="FR138" s="1" t="str">
        <f t="shared" si="708"/>
        <v>ND</v>
      </c>
      <c r="FS138" s="1" t="str">
        <f t="shared" si="708"/>
        <v>ND</v>
      </c>
      <c r="FT138" s="1" t="str">
        <f t="shared" si="708"/>
        <v>ND</v>
      </c>
      <c r="FU138" s="1" t="str">
        <f t="shared" si="708"/>
        <v>ND</v>
      </c>
      <c r="FV138" s="1" t="str">
        <f t="shared" si="623"/>
        <v>ND</v>
      </c>
      <c r="FW138" s="1" t="str">
        <f t="shared" si="624"/>
        <v>ND</v>
      </c>
      <c r="FX138" s="1" t="str">
        <f t="shared" si="625"/>
        <v>ND</v>
      </c>
      <c r="FY138" s="1" t="str">
        <f t="shared" si="626"/>
        <v>ND</v>
      </c>
      <c r="FZ138" s="1" t="str">
        <f t="shared" si="627"/>
        <v>ND</v>
      </c>
      <c r="GA138" s="1" t="str">
        <f t="shared" si="628"/>
        <v>ND</v>
      </c>
      <c r="GB138" s="1" t="str">
        <f t="shared" si="629"/>
        <v>ND</v>
      </c>
      <c r="GC138" s="1" t="str">
        <f t="shared" si="630"/>
        <v>ND</v>
      </c>
      <c r="GD138" s="1" t="str">
        <f t="shared" si="631"/>
        <v>ND</v>
      </c>
      <c r="GE138" s="1" t="str">
        <f t="shared" si="632"/>
        <v>ND</v>
      </c>
      <c r="GF138" s="1" t="str">
        <f t="shared" si="633"/>
        <v>ND</v>
      </c>
      <c r="GG138" s="1" t="str">
        <f t="shared" si="634"/>
        <v>ND</v>
      </c>
      <c r="GH138" s="1" t="str">
        <f t="shared" si="635"/>
        <v>ND</v>
      </c>
      <c r="GI138" s="1" t="str">
        <f t="shared" si="636"/>
        <v>ND</v>
      </c>
      <c r="GJ138" s="1" t="str">
        <f t="shared" si="637"/>
        <v>ND</v>
      </c>
      <c r="GK138" s="1" t="str">
        <f t="shared" si="638"/>
        <v>ND</v>
      </c>
      <c r="GL138" s="1" t="str">
        <f t="shared" si="639"/>
        <v>ND</v>
      </c>
      <c r="GM138" s="1" t="str">
        <f t="shared" si="640"/>
        <v>ND</v>
      </c>
      <c r="GN138" s="1" t="str">
        <f t="shared" si="641"/>
        <v>ND</v>
      </c>
      <c r="GO138" s="1" t="str">
        <f t="shared" si="642"/>
        <v>ND</v>
      </c>
      <c r="GP138" s="1" t="str">
        <f t="shared" si="643"/>
        <v>ND</v>
      </c>
      <c r="GQ138" s="1" t="str">
        <f t="shared" si="644"/>
        <v>ND</v>
      </c>
      <c r="GR138" s="1" t="str">
        <f t="shared" si="645"/>
        <v>ND</v>
      </c>
      <c r="GS138" s="1" t="str">
        <f t="shared" si="646"/>
        <v>ND</v>
      </c>
      <c r="GT138" s="1" t="str">
        <f t="shared" si="647"/>
        <v>ND</v>
      </c>
      <c r="GU138" s="1" t="str">
        <f t="shared" si="648"/>
        <v>ND</v>
      </c>
      <c r="GV138" s="1" t="str">
        <f t="shared" si="649"/>
        <v>ND</v>
      </c>
      <c r="GW138" s="1" t="str">
        <f t="shared" si="650"/>
        <v>ND</v>
      </c>
      <c r="GX138" s="1" t="str">
        <f t="shared" si="651"/>
        <v>ND</v>
      </c>
      <c r="GY138" s="1" t="str">
        <f t="shared" si="652"/>
        <v>ND</v>
      </c>
      <c r="GZ138" s="1" t="str">
        <f t="shared" si="653"/>
        <v>ND</v>
      </c>
      <c r="HA138" s="1" t="str">
        <f t="shared" si="654"/>
        <v>ND</v>
      </c>
      <c r="HB138" s="1" t="str">
        <f t="shared" si="655"/>
        <v>ND</v>
      </c>
      <c r="HC138" s="1" t="str">
        <f t="shared" si="656"/>
        <v>ND</v>
      </c>
      <c r="HD138" s="1" t="str">
        <f t="shared" si="657"/>
        <v>ND</v>
      </c>
      <c r="HE138" s="1" t="str">
        <f t="shared" si="658"/>
        <v>ND</v>
      </c>
      <c r="HF138" s="1" t="str">
        <f t="shared" si="659"/>
        <v>ND</v>
      </c>
      <c r="HG138" s="1" t="str">
        <f t="shared" si="660"/>
        <v>ND</v>
      </c>
      <c r="HH138" s="1" t="str">
        <f t="shared" si="661"/>
        <v>ND</v>
      </c>
      <c r="HI138" s="1" t="str">
        <f t="shared" si="662"/>
        <v>ND</v>
      </c>
      <c r="HJ138" s="1" t="str">
        <f t="shared" si="663"/>
        <v>ND</v>
      </c>
      <c r="HK138" s="1" t="str">
        <f t="shared" si="664"/>
        <v>ND</v>
      </c>
      <c r="HL138" s="1" t="str">
        <f t="shared" si="665"/>
        <v>ND</v>
      </c>
      <c r="HM138" s="1" t="str">
        <f t="shared" si="666"/>
        <v>ND</v>
      </c>
      <c r="HN138" s="1" t="str">
        <f t="shared" si="667"/>
        <v>ND</v>
      </c>
      <c r="HO138" s="1" t="str">
        <f t="shared" si="668"/>
        <v>ND</v>
      </c>
      <c r="HP138" s="1" t="str">
        <f t="shared" si="669"/>
        <v>ND</v>
      </c>
      <c r="HQ138" s="1" t="str">
        <f t="shared" si="670"/>
        <v>ND</v>
      </c>
      <c r="HR138" s="1" t="str">
        <f t="shared" si="671"/>
        <v>ND</v>
      </c>
      <c r="HS138" s="1" t="str">
        <f t="shared" si="672"/>
        <v>ND</v>
      </c>
      <c r="HT138" s="1" t="str">
        <f t="shared" si="673"/>
        <v>ND</v>
      </c>
      <c r="HU138" s="1" t="str">
        <f t="shared" si="674"/>
        <v>ND</v>
      </c>
      <c r="HV138" s="1" t="str">
        <f t="shared" si="675"/>
        <v>ND</v>
      </c>
      <c r="HW138" s="1" t="str">
        <f t="shared" si="676"/>
        <v>ND</v>
      </c>
      <c r="HX138" s="1" t="str">
        <f t="shared" si="677"/>
        <v>ND</v>
      </c>
      <c r="HY138" s="1" t="str">
        <f t="shared" si="678"/>
        <v>ND</v>
      </c>
      <c r="HZ138" s="1" t="str">
        <f t="shared" si="679"/>
        <v>ND</v>
      </c>
      <c r="IA138" s="1" t="str">
        <f t="shared" si="680"/>
        <v>ND</v>
      </c>
      <c r="IB138" s="1" t="str">
        <f t="shared" si="681"/>
        <v>ND</v>
      </c>
      <c r="IC138" s="1" t="str">
        <f t="shared" si="682"/>
        <v>ND</v>
      </c>
      <c r="ID138" s="1" t="str">
        <f t="shared" si="683"/>
        <v>ND</v>
      </c>
      <c r="IE138" s="1" t="str">
        <f t="shared" si="684"/>
        <v>ND</v>
      </c>
      <c r="IF138" s="1" t="str">
        <f t="shared" si="685"/>
        <v>ND</v>
      </c>
      <c r="IG138" s="1" t="str">
        <f t="shared" si="686"/>
        <v>ND</v>
      </c>
      <c r="IH138" s="1" t="str">
        <f t="shared" si="687"/>
        <v>ND</v>
      </c>
      <c r="II138" s="1" t="str">
        <f t="shared" si="688"/>
        <v>ND</v>
      </c>
    </row>
    <row r="139" spans="3:243" x14ac:dyDescent="0.25">
      <c r="C139" t="s">
        <v>71</v>
      </c>
      <c r="D139">
        <f>SUMIFS(DICCIONARIO[Cantidad],DICCIONARIO[Modelo],UNIFICADA[[#This Row],[Equipo]])</f>
        <v>0</v>
      </c>
      <c r="E139" s="1">
        <f>IFERROR(VLOOKUP($C139,EQUIPOS[],UNIFICADO!E$9,0),"")</f>
        <v>11</v>
      </c>
      <c r="F139" s="1">
        <f>IFERROR(VLOOKUP($C139,EQUIPOS[],UNIFICADO!F$9,0),"")</f>
        <v>6.43</v>
      </c>
      <c r="G139" s="1">
        <f>IFERROR(VLOOKUP($C139,EQUIPOS[],UNIFICADO!G$9,0),"")</f>
        <v>108</v>
      </c>
      <c r="H139" s="1">
        <f>IFERROR(VLOOKUP($C139,EQUIPOS[],UNIFICADO!H$9,0),"")</f>
        <v>4</v>
      </c>
      <c r="I139" s="1">
        <f>IFERROR(VLOOKUP($C139,EQUIPOS[],UNIFICADO!I$9,0),"")</f>
        <v>16</v>
      </c>
      <c r="J139" s="1" t="str">
        <f>IFERROR(VLOOKUP($C139,EQUIPOS[],UNIFICADO!J$9,0),"")</f>
        <v>128GB</v>
      </c>
      <c r="K139" s="1">
        <f>IFERROR(VLOOKUP($C139,EQUIPOS[],UNIFICADO!K$9,0),"")</f>
        <v>256</v>
      </c>
      <c r="L139" s="1">
        <f>IFERROR(VLOOKUP($C139,EQUIPOS[],UNIFICADO!L$9,0),"")</f>
        <v>8</v>
      </c>
      <c r="M139" s="1" t="str">
        <f>IFERROR(VLOOKUP($C139,EQUIPOS[],UNIFICADO!M$9,0),"")</f>
        <v>2.05/2.0</v>
      </c>
      <c r="N139" s="1">
        <f>IFERROR(VLOOKUP($C139,EQUIPOS[],UNIFICADO!N$9,0),"")</f>
        <v>6</v>
      </c>
      <c r="O139" s="1">
        <f>IFERROR(VLOOKUP($C139,EQUIPOS[],UNIFICADO!O$9,0),"")</f>
        <v>179</v>
      </c>
      <c r="P139" s="1">
        <f>IFERROR(VLOOKUP($C139,EQUIPOS[],UNIFICADO!P$9,0),"")</f>
        <v>15.9</v>
      </c>
      <c r="Q139" s="1">
        <f>IFERROR(VLOOKUP($C139,EQUIPOS[],UNIFICADO!Q$9,0),"")</f>
        <v>7.73</v>
      </c>
      <c r="R139" s="1">
        <f>IFERROR(VLOOKUP($C139,EQUIPOS[],UNIFICADO!R$9,0),"")</f>
        <v>0.81</v>
      </c>
      <c r="S139" s="1">
        <f>IFERROR(VLOOKUP($C139,EQUIPOS[],UNIFICADO!S$9,0),"")</f>
        <v>5000</v>
      </c>
      <c r="T139" s="1">
        <f>IFERROR(VLOOKUP($C139,EQUIPOS[],UNIFICADO!T$9,0),"")</f>
        <v>4.5</v>
      </c>
      <c r="U139" s="1">
        <f>VLOOKUP(UNIFICADA[[#This Row],[Equipo]],EQUIPOS[],19,0)</f>
        <v>129</v>
      </c>
      <c r="V139" s="1" t="str">
        <f t="shared" ref="V139:V170" si="709">IFERROR(IF(V$9="ND","ND",VLOOKUP($C139,PAR,V$9,0)),"ND")</f>
        <v>ND</v>
      </c>
      <c r="W139" s="1" t="str">
        <f t="shared" ref="W139:W170" si="710">IFERROR(IF(W$9="ND","ND",VLOOKUP($C139,PRP,W$9,0)),"ND")</f>
        <v>ND</v>
      </c>
      <c r="X139" s="1" t="str">
        <f t="shared" si="702"/>
        <v>ND</v>
      </c>
      <c r="Y139" s="1" t="str">
        <f t="shared" si="702"/>
        <v>ND</v>
      </c>
      <c r="Z139" s="1" t="str">
        <f t="shared" si="703"/>
        <v>ND</v>
      </c>
      <c r="AA139" s="1" t="str">
        <f t="shared" si="703"/>
        <v>ND</v>
      </c>
      <c r="AB139" s="1" t="str">
        <f t="shared" si="703"/>
        <v>ND</v>
      </c>
      <c r="AC139" s="1" t="str">
        <f t="shared" si="703"/>
        <v>ND</v>
      </c>
      <c r="AD139" s="1" t="str">
        <f t="shared" si="703"/>
        <v>ND</v>
      </c>
      <c r="AE139" s="1" t="str">
        <f t="shared" si="703"/>
        <v>ND</v>
      </c>
      <c r="AF139" s="1" t="str">
        <f t="shared" si="703"/>
        <v>ND</v>
      </c>
      <c r="AG139" s="1" t="str">
        <f t="shared" si="703"/>
        <v>ND</v>
      </c>
      <c r="AH139" s="1" t="str">
        <f t="shared" si="703"/>
        <v>ND</v>
      </c>
      <c r="AI139" s="1" t="str">
        <f t="shared" ref="AI139:AI170" si="711">IFERROR(ROUNDUP(AJ139/6,2)+29.9,"ND")</f>
        <v>ND</v>
      </c>
      <c r="AJ139" s="1" t="str">
        <f t="shared" ref="AJ139:AJ170" si="712">IFERROR(IF(AJ$9="ND","ND",ROUNDUP(VALUE(VLOOKUP($C139,A6M,AJ$9,0))/6,2)),"ND")</f>
        <v>ND</v>
      </c>
      <c r="AK139" s="1" t="str">
        <f t="shared" ref="AK139:AK170" si="713">IFERROR(ROUNDUP(AL139/6,2)+39.9,"ND")</f>
        <v>ND</v>
      </c>
      <c r="AL139" s="1" t="str">
        <f t="shared" ref="AL139:AL170" si="714">IFERROR(IF(AL$9="ND","ND",ROUNDUP(VALUE(VLOOKUP($C139,A6M,AL$9,0))/6,2)),"ND")</f>
        <v>ND</v>
      </c>
      <c r="AM139" s="1" t="str">
        <f t="shared" ref="AM139:AM170" si="715">IFERROR(ROUNDUP(AN139/6,2)+49.9,"ND")</f>
        <v>ND</v>
      </c>
      <c r="AN139" s="1" t="str">
        <f t="shared" ref="AN139:AN170" si="716">IFERROR(IF(AN$9="ND","ND",VLOOKUP($C139,A6M,AN$9,0)),"ND")</f>
        <v>ND</v>
      </c>
      <c r="AO139" s="1" t="str">
        <f t="shared" ref="AO139:AO170" si="717">IFERROR(ROUNDUP(AP139/6,2)+55.9,"ND")</f>
        <v>ND</v>
      </c>
      <c r="AP139" s="1" t="str">
        <f t="shared" ref="AP139:AP170" si="718">IFERROR(IF(AP$9="ND","ND",VLOOKUP($C139,A6M,AP$9,0)),"ND")</f>
        <v>ND</v>
      </c>
      <c r="AQ139" s="1" t="str">
        <f t="shared" ref="AQ139:AQ170" si="719">IFERROR(ROUNDUP(AR139/6,2)+69.9,"ND")</f>
        <v>ND</v>
      </c>
      <c r="AR139" s="1" t="str">
        <f t="shared" ref="AR139:AR170" si="720">IFERROR(IF(AR$9="ND","ND",VLOOKUP($C139,A6M,AR$9,0)),"ND")</f>
        <v>ND</v>
      </c>
      <c r="AS139" s="1" t="str">
        <f t="shared" ref="AS139:AS170" si="721">IFERROR(ROUNDUP(AT139/6,2)+79.9,"ND")</f>
        <v>ND</v>
      </c>
      <c r="AT139" s="1" t="str">
        <f t="shared" ref="AT139:AT170" si="722">IFERROR(IF(AT$9="ND","ND",VLOOKUP($C139,A6M,AT$9,0)),"ND")</f>
        <v>ND</v>
      </c>
      <c r="AU139" s="1" t="str">
        <f t="shared" ref="AU139:AU170" si="723">IFERROR(ROUNDUP(AV139/6,2)+95.9,"ND")</f>
        <v>ND</v>
      </c>
      <c r="AV139" s="1" t="str">
        <f t="shared" ref="AV139:AV170" si="724">IFERROR(IF(AV$9="ND","ND",VLOOKUP($C139,A6M,AV$9,0)),"ND")</f>
        <v>ND</v>
      </c>
      <c r="AW139" s="1" t="str">
        <f t="shared" ref="AW139:AW170" si="725">IFERROR(ROUNDUP(AX139/6,2)+109.9,"ND")</f>
        <v>ND</v>
      </c>
      <c r="AX139" s="1" t="str">
        <f t="shared" ref="AX139:AX170" si="726">IFERROR(IF(AX$9="ND","ND",VLOOKUP($C139,A6M,AX$9,0)),"ND")</f>
        <v>ND</v>
      </c>
      <c r="AY139" s="1" t="str">
        <f t="shared" ref="AY139:AY170" si="727">IFERROR(ROUNDUP(AZ139/6,2)+159.9,"ND")</f>
        <v>ND</v>
      </c>
      <c r="AZ139" s="1" t="str">
        <f t="shared" ref="AZ139:AZ170" si="728">IFERROR(IF(AZ$9="ND","ND",VLOOKUP($C139,A6M,AZ$9,0)),"ND")</f>
        <v>ND</v>
      </c>
      <c r="BA139" s="1" t="str">
        <f t="shared" ref="BA139:BA170" si="729">IFERROR(ROUNDUP(BB139/6,2)+189.9,"ND")</f>
        <v>ND</v>
      </c>
      <c r="BB139" s="1" t="str">
        <f t="shared" ref="BB139:BB170" si="730">IFERROR(IF(BB$9="ND","ND",VLOOKUP($C139,A6M,BB$9,0)),"ND")</f>
        <v>ND</v>
      </c>
      <c r="BC139" s="1" t="str">
        <f t="shared" ref="BC139:BC170" si="731">IFERROR(ROUNDUP(BD139/6,2)+289.9,"ND")</f>
        <v>ND</v>
      </c>
      <c r="BD139" s="1" t="str">
        <f t="shared" ref="BD139:BD170" si="732">IFERROR(IF(BD$9="ND","ND",VLOOKUP($C139,A6M,BD$9,0)),"ND")</f>
        <v>ND</v>
      </c>
      <c r="BE139" s="1" t="str">
        <f t="shared" ref="BE139:BE170" si="733">IFERROR(ROUNDUP(BF139/12,2)+29.9,"ND")</f>
        <v>ND</v>
      </c>
      <c r="BF139" s="1" t="str">
        <f t="shared" ref="BF139:BF170" si="734">IFERROR(IF(BF$9="ND","ND",VLOOKUP($C139,A12M,BF$9,0)),"ND")</f>
        <v>ND</v>
      </c>
      <c r="BG139" s="1" t="str">
        <f t="shared" ref="BG139:BG170" si="735">IFERROR(ROUNDUP(BH139/12,2)+39.9,"ND")</f>
        <v>ND</v>
      </c>
      <c r="BH139" s="1" t="str">
        <f t="shared" ref="BH139:BH170" si="736">IFERROR(IF(BH$9="ND","ND",VLOOKUP($C139,A12M,BH$9,0)),"ND")</f>
        <v>ND</v>
      </c>
      <c r="BI139" s="1" t="str">
        <f t="shared" ref="BI139:BI170" si="737">IFERROR(ROUNDUP(BJ139/12,2)+49.9,"ND")</f>
        <v>ND</v>
      </c>
      <c r="BJ139" s="1" t="str">
        <f t="shared" ref="BJ139:BJ170" si="738">IFERROR(IF(BJ$9="ND","ND",VLOOKUP($C139,A12M,BJ$9,0)),"ND")</f>
        <v>ND</v>
      </c>
      <c r="BK139" s="1" t="str">
        <f t="shared" ref="BK139:BK170" si="739">IFERROR(ROUNDUP(BL139/12,2)+55.9,"ND")</f>
        <v>ND</v>
      </c>
      <c r="BL139" s="1" t="str">
        <f t="shared" ref="BL139:BL170" si="740">IFERROR(IF(BL$9="ND","ND",VLOOKUP($C139,A12M,BL$9,0)),"ND")</f>
        <v>ND</v>
      </c>
      <c r="BM139" s="1" t="str">
        <f t="shared" ref="BM139:BM170" si="741">IFERROR(ROUNDUP(BN139/12,2)+69.9,"ND")</f>
        <v>ND</v>
      </c>
      <c r="BN139" s="1" t="str">
        <f t="shared" ref="BN139:BN170" si="742">IFERROR(IF(BN$9="ND","ND",VLOOKUP($C139,A12M,BN$9,0)),"ND")</f>
        <v>ND</v>
      </c>
      <c r="BO139" s="1" t="str">
        <f t="shared" ref="BO139:BO170" si="743">IFERROR(ROUNDUP(BP139/12,2)+79.9,"ND")</f>
        <v>ND</v>
      </c>
      <c r="BP139" s="1" t="str">
        <f t="shared" ref="BP139:BP170" si="744">IFERROR(IF(BP$9="ND","ND",VLOOKUP($C139,A12M,BP$9,0)),"ND")</f>
        <v>ND</v>
      </c>
      <c r="BQ139" s="1" t="str">
        <f t="shared" ref="BQ139:BQ170" si="745">IFERROR(ROUNDUP(BR139/12,2)+95.9,"ND")</f>
        <v>ND</v>
      </c>
      <c r="BR139" s="1" t="str">
        <f t="shared" ref="BR139:BR170" si="746">IFERROR(IF(BR$9="ND","ND",VLOOKUP($C139,A12M,BR$9,0)),"ND")</f>
        <v>ND</v>
      </c>
      <c r="BS139" s="1" t="str">
        <f t="shared" ref="BS139:BS170" si="747">IFERROR(ROUNDUP(BT139/12,2)+109.9,"ND")</f>
        <v>ND</v>
      </c>
      <c r="BT139" s="1" t="str">
        <f t="shared" ref="BT139:BT170" si="748">IFERROR(IF(BT$9="ND","ND",VLOOKUP($C139,A12M,BT$9,0)),"ND")</f>
        <v>ND</v>
      </c>
      <c r="BU139" s="1" t="str">
        <f t="shared" ref="BU139:BU170" si="749">IFERROR(ROUNDUP(BV139/12,2)+159.9,"ND")</f>
        <v>ND</v>
      </c>
      <c r="BV139" s="1" t="str">
        <f t="shared" ref="BV139:BV170" si="750">IFERROR(IF(BV$9="ND","ND",VLOOKUP($C139,A12M,BV$9,0)),"ND")</f>
        <v>ND</v>
      </c>
      <c r="BW139" s="1" t="str">
        <f t="shared" ref="BW139:BW170" si="751">IFERROR(ROUNDUP(BX139/12,2)+189.9,"ND")</f>
        <v>ND</v>
      </c>
      <c r="BX139" s="1" t="str">
        <f t="shared" ref="BX139:BX170" si="752">IFERROR(IF(BX$9="ND","ND",VLOOKUP($C139,A12M,BX$9,0)),"ND")</f>
        <v>ND</v>
      </c>
      <c r="BY139" s="1" t="str">
        <f t="shared" ref="BY139:BY170" si="753">IFERROR(ROUNDUP(BZ139/12,2)+289.9,"ND")</f>
        <v>ND</v>
      </c>
      <c r="BZ139" s="1" t="str">
        <f t="shared" ref="BZ139:BZ170" si="754">IFERROR(IF(BZ$9="ND","ND",VLOOKUP($C139,A12M,BZ$9,0)),"ND")</f>
        <v>ND</v>
      </c>
      <c r="CA139" s="1" t="str">
        <f t="shared" si="704"/>
        <v>ND</v>
      </c>
      <c r="CB139" s="1" t="str">
        <f t="shared" si="704"/>
        <v>ND</v>
      </c>
      <c r="CC139" s="1" t="str">
        <f t="shared" si="704"/>
        <v>ND</v>
      </c>
      <c r="CD139" s="1" t="str">
        <f t="shared" si="704"/>
        <v>ND</v>
      </c>
      <c r="CE139" s="1" t="str">
        <f t="shared" si="704"/>
        <v>ND</v>
      </c>
      <c r="CF139" s="1" t="str">
        <f t="shared" si="704"/>
        <v>ND</v>
      </c>
      <c r="CG139" s="1" t="str">
        <f t="shared" si="704"/>
        <v>ND</v>
      </c>
      <c r="CH139" s="1" t="str">
        <f t="shared" si="704"/>
        <v>ND</v>
      </c>
      <c r="CI139" s="1" t="str">
        <f t="shared" si="704"/>
        <v>ND</v>
      </c>
      <c r="CJ139" s="1" t="str">
        <f t="shared" si="704"/>
        <v>ND</v>
      </c>
      <c r="CK139" s="1" t="str">
        <f t="shared" si="704"/>
        <v>ND</v>
      </c>
      <c r="CL139" s="1" t="str">
        <f t="shared" si="705"/>
        <v>ND</v>
      </c>
      <c r="CM139" s="1" t="str">
        <f t="shared" si="705"/>
        <v>ND</v>
      </c>
      <c r="CN139" s="1" t="str">
        <f t="shared" si="705"/>
        <v>ND</v>
      </c>
      <c r="CO139" s="1" t="str">
        <f t="shared" si="705"/>
        <v>ND</v>
      </c>
      <c r="CP139" s="1" t="str">
        <f t="shared" si="705"/>
        <v>ND</v>
      </c>
      <c r="CQ139" s="1" t="str">
        <f t="shared" si="705"/>
        <v>ND</v>
      </c>
      <c r="CR139" s="1" t="str">
        <f t="shared" si="705"/>
        <v>ND</v>
      </c>
      <c r="CS139" s="1" t="str">
        <f t="shared" si="705"/>
        <v>ND</v>
      </c>
      <c r="CT139" s="1" t="str">
        <f t="shared" si="705"/>
        <v>ND</v>
      </c>
      <c r="CU139" s="1" t="str">
        <f t="shared" si="705"/>
        <v>ND</v>
      </c>
      <c r="CV139" s="1" t="str">
        <f t="shared" si="705"/>
        <v>ND</v>
      </c>
      <c r="CW139" s="1" t="str">
        <f t="shared" ref="CW139:CW170" si="755">IFERROR(ROUNDUP(CX139/6,2)+29.9,"ND")</f>
        <v>ND</v>
      </c>
      <c r="CX139" s="1" t="str">
        <f t="shared" ref="CX139:CX170" si="756">IFERROR(IF(CX$9="ND","ND",VLOOKUP($C139,AC6M,CX$9,0)),"ND")</f>
        <v>ND</v>
      </c>
      <c r="CY139" s="1" t="str">
        <f t="shared" ref="CY139:CY170" si="757">IFERROR(ROUNDUP(CZ139/6,2)+39.9,"ND")</f>
        <v>ND</v>
      </c>
      <c r="CZ139" s="1" t="str">
        <f t="shared" ref="CZ139:CZ170" si="758">IFERROR(IF(CZ$9="ND","ND",VLOOKUP($C139,AC6M,CZ$9,0)),"ND")</f>
        <v>ND</v>
      </c>
      <c r="DA139" s="1" t="str">
        <f t="shared" ref="DA139:DA170" si="759">IFERROR(ROUNDUP(DB139/6,2)+49.9,"ND")</f>
        <v>ND</v>
      </c>
      <c r="DB139" s="1" t="str">
        <f t="shared" ref="DB139:DB170" si="760">IFERROR(IF(DB$9="ND","ND",VLOOKUP($C139,AC6M,DB$9,0)),"ND")</f>
        <v>ND</v>
      </c>
      <c r="DC139" s="1" t="str">
        <f t="shared" ref="DC139:DC170" si="761">IFERROR(ROUNDUP(DD139/6,2)+55.9,"ND")</f>
        <v>ND</v>
      </c>
      <c r="DD139" s="1" t="str">
        <f t="shared" ref="DD139:DD170" si="762">IFERROR(IF(DD$9="ND","ND",VLOOKUP($C139,AC6M,DD$9,0)),"ND")</f>
        <v>ND</v>
      </c>
      <c r="DE139" s="1" t="str">
        <f t="shared" ref="DE139:DE170" si="763">IFERROR(ROUNDUP(DF139/6,2)+69.9,"ND")</f>
        <v>ND</v>
      </c>
      <c r="DF139" s="1" t="str">
        <f t="shared" ref="DF139:DF170" si="764">IFERROR(IF(DF$9="ND","ND",VLOOKUP($C139,AC6M,DF$9,0)),"ND")</f>
        <v>ND</v>
      </c>
      <c r="DG139" s="1" t="str">
        <f t="shared" ref="DG139:DG170" si="765">IFERROR(ROUNDUP(DH139/6,2)+79.9,"ND")</f>
        <v>ND</v>
      </c>
      <c r="DH139" s="1" t="str">
        <f t="shared" ref="DH139:DH170" si="766">IFERROR(IF(DH$9="ND","ND",VLOOKUP($C139,AC6M,DH$9,0)),"ND")</f>
        <v>ND</v>
      </c>
      <c r="DI139" s="1" t="str">
        <f t="shared" ref="DI139:DI170" si="767">IFERROR(ROUNDUP(DJ139/6,2)+95.9,"ND")</f>
        <v>ND</v>
      </c>
      <c r="DJ139" s="1" t="str">
        <f t="shared" ref="DJ139:DJ170" si="768">IFERROR(IF(DJ$9="ND","ND",VLOOKUP($C139,AC6M,DJ$9,0)),"ND")</f>
        <v>ND</v>
      </c>
      <c r="DK139" s="1" t="str">
        <f t="shared" ref="DK139:DK170" si="769">IFERROR(ROUNDUP(DL139/6,2)+109.9,"ND")</f>
        <v>ND</v>
      </c>
      <c r="DL139" s="1" t="str">
        <f t="shared" ref="DL139:DL170" si="770">IFERROR(IF(DL$9="ND","ND",VLOOKUP($C139,AC6M,DL$9,0)),"ND")</f>
        <v>ND</v>
      </c>
      <c r="DM139" s="1" t="str">
        <f t="shared" ref="DM139:DM170" si="771">IFERROR(ROUNDUP(DN139/6,2)+159.9,"ND")</f>
        <v>ND</v>
      </c>
      <c r="DN139" s="1" t="str">
        <f t="shared" ref="DN139:DN170" si="772">IFERROR(IF(DN$9="ND","ND",VLOOKUP($C139,AC6M,DN$9,0)),"ND")</f>
        <v>ND</v>
      </c>
      <c r="DO139" s="1" t="str">
        <f t="shared" ref="DO139:DO170" si="773">IFERROR(ROUNDUP(DP139/6,2)+189.9,"ND")</f>
        <v>ND</v>
      </c>
      <c r="DP139" s="1" t="str">
        <f t="shared" ref="DP139:DP170" si="774">IFERROR(IF(DP$9="ND","ND",VLOOKUP($C139,AC6M,DP$9,0)),"ND")</f>
        <v>ND</v>
      </c>
      <c r="DQ139" s="1" t="str">
        <f t="shared" ref="DQ139:DQ170" si="775">IFERROR(ROUNDUP(DR139/6,2)+289.9,"ND")</f>
        <v>ND</v>
      </c>
      <c r="DR139" s="1" t="str">
        <f t="shared" ref="DR139:DR170" si="776">IFERROR(IF(DR$9="ND","ND",VLOOKUP($C139,AC6M,DR$9,0)),"ND")</f>
        <v>ND</v>
      </c>
      <c r="DS139" s="1" t="str">
        <f t="shared" ref="DS139:DS170" si="777">IFERROR(ROUNDUP(DT139/12,2)+29.9,"ND")</f>
        <v>ND</v>
      </c>
      <c r="DT139" s="1" t="str">
        <f t="shared" ref="DT139:DT170" si="778">IFERROR(IF(DT$9="ND","ND",VLOOKUP($C139,AC12M,DT$9,0)),"ND")</f>
        <v>ND</v>
      </c>
      <c r="DU139" s="1" t="str">
        <f t="shared" ref="DU139:DU170" si="779">IFERROR(ROUNDUP(DV139/12,2)+39.9,"ND")</f>
        <v>ND</v>
      </c>
      <c r="DV139" s="1" t="str">
        <f t="shared" ref="DV139:DV170" si="780">IFERROR(IF(DV$9="ND","ND",VLOOKUP($C139,AC12M,DV$9,0)),"ND")</f>
        <v>ND</v>
      </c>
      <c r="DW139" s="1" t="str">
        <f t="shared" ref="DW139:DW170" si="781">IFERROR(ROUNDUP(DX139/12,2)+49.9,"ND")</f>
        <v>ND</v>
      </c>
      <c r="DX139" s="1" t="str">
        <f t="shared" ref="DX139:DX170" si="782">IFERROR(IF(DX$9="ND","ND",VLOOKUP($C139,AC12M,DX$9,0)),"ND")</f>
        <v>ND</v>
      </c>
      <c r="DY139" s="1" t="str">
        <f t="shared" ref="DY139:DY170" si="783">IFERROR(ROUNDUP(DZ139/12,2)+55.9,"ND")</f>
        <v>ND</v>
      </c>
      <c r="DZ139" s="1" t="str">
        <f t="shared" ref="DZ139:DZ170" si="784">IFERROR(IF(DZ$9="ND","ND",VLOOKUP($C139,AC12M,DZ$9,0)),"ND")</f>
        <v>ND</v>
      </c>
      <c r="EA139" s="1" t="str">
        <f t="shared" ref="EA139:EA170" si="785">IFERROR(ROUNDUP(EB139/12,2)+69.9,"ND")</f>
        <v>ND</v>
      </c>
      <c r="EB139" s="1" t="str">
        <f t="shared" ref="EB139:EB170" si="786">IFERROR(IF(EB$9="ND","ND",VLOOKUP($C139,AC12M,EB$9,0)),"ND")</f>
        <v>ND</v>
      </c>
      <c r="EC139" s="1" t="str">
        <f t="shared" ref="EC139:EC170" si="787">IFERROR(ROUNDUP(ED139/12,2)+79.9,"ND")</f>
        <v>ND</v>
      </c>
      <c r="ED139" s="1" t="str">
        <f t="shared" ref="ED139:ED170" si="788">IFERROR(IF(ED$9="ND","ND",VLOOKUP($C139,AC12M,ED$9,0)),"ND")</f>
        <v>ND</v>
      </c>
      <c r="EE139" s="1" t="str">
        <f t="shared" ref="EE139:EE170" si="789">IFERROR(ROUNDUP(EF139/12,2)+95.9,"ND")</f>
        <v>ND</v>
      </c>
      <c r="EF139" s="1" t="str">
        <f t="shared" ref="EF139:EF170" si="790">IFERROR(IF(EF$9="ND","ND",VLOOKUP($C139,AC12M,EF$9,0)),"ND")</f>
        <v>ND</v>
      </c>
      <c r="EG139" s="1" t="str">
        <f t="shared" ref="EG139:EG170" si="791">IFERROR(ROUNDUP(EH139/12,2)+109.9,"ND")</f>
        <v>ND</v>
      </c>
      <c r="EH139" s="1" t="str">
        <f t="shared" ref="EH139:EH170" si="792">IFERROR(IF(EH$9="ND","ND",VLOOKUP($C139,AC12M,EH$9,0)),"ND")</f>
        <v>ND</v>
      </c>
      <c r="EI139" s="1" t="str">
        <f t="shared" ref="EI139:EI170" si="793">IFERROR(ROUNDUP(EJ139/12,2)+159.9,"ND")</f>
        <v>ND</v>
      </c>
      <c r="EJ139" s="1" t="str">
        <f t="shared" ref="EJ139:EJ170" si="794">IFERROR(IF(EJ$9="ND","ND",VLOOKUP($C139,AC12M,EJ$9,0)),"ND")</f>
        <v>ND</v>
      </c>
      <c r="EK139" s="1" t="str">
        <f t="shared" ref="EK139:EK170" si="795">IFERROR(ROUNDUP(EL139/12,2)+189.9,"ND")</f>
        <v>ND</v>
      </c>
      <c r="EL139" s="1" t="str">
        <f t="shared" ref="EL139:EL170" si="796">IFERROR(IF(EL$9="ND","ND",VLOOKUP($C139,AC12M,EL$9,0)),"ND")</f>
        <v>ND</v>
      </c>
      <c r="EM139" s="1" t="str">
        <f t="shared" ref="EM139:EM170" si="797">IFERROR(ROUNDUP(EN139/12,2)+289.9,"ND")</f>
        <v>ND</v>
      </c>
      <c r="EN139" s="1" t="str">
        <f t="shared" ref="EN139:EN170" si="798">IFERROR(IF(EN$9="ND","ND",VLOOKUP($C139,AC12M,EN$9,0)),"ND")</f>
        <v>ND</v>
      </c>
      <c r="EO139" s="1" t="str">
        <f t="shared" si="706"/>
        <v>ND</v>
      </c>
      <c r="EP139" s="1" t="str">
        <f t="shared" si="706"/>
        <v>ND</v>
      </c>
      <c r="EQ139" s="1" t="str">
        <f t="shared" si="706"/>
        <v>ND</v>
      </c>
      <c r="ER139" s="1" t="str">
        <f t="shared" si="706"/>
        <v>ND</v>
      </c>
      <c r="ES139" s="1" t="str">
        <f t="shared" si="706"/>
        <v>ND</v>
      </c>
      <c r="ET139" s="1" t="str">
        <f t="shared" si="706"/>
        <v>ND</v>
      </c>
      <c r="EU139" s="1" t="str">
        <f t="shared" si="706"/>
        <v>ND</v>
      </c>
      <c r="EV139" s="1" t="str">
        <f t="shared" si="706"/>
        <v>ND</v>
      </c>
      <c r="EW139" s="1" t="str">
        <f t="shared" si="706"/>
        <v>ND</v>
      </c>
      <c r="EX139" s="1" t="str">
        <f t="shared" si="706"/>
        <v>ND</v>
      </c>
      <c r="EY139" s="1" t="str">
        <f t="shared" si="706"/>
        <v>ND</v>
      </c>
      <c r="EZ139" s="1" t="str">
        <f t="shared" si="707"/>
        <v>ND</v>
      </c>
      <c r="FA139" s="1" t="str">
        <f t="shared" si="707"/>
        <v>ND</v>
      </c>
      <c r="FB139" s="1" t="str">
        <f t="shared" si="707"/>
        <v>ND</v>
      </c>
      <c r="FC139" s="1" t="str">
        <f t="shared" si="707"/>
        <v>ND</v>
      </c>
      <c r="FD139" s="1" t="str">
        <f t="shared" si="707"/>
        <v>ND</v>
      </c>
      <c r="FE139" s="1" t="str">
        <f t="shared" si="707"/>
        <v>ND</v>
      </c>
      <c r="FF139" s="1" t="str">
        <f t="shared" si="707"/>
        <v>ND</v>
      </c>
      <c r="FG139" s="1" t="str">
        <f t="shared" si="707"/>
        <v>ND</v>
      </c>
      <c r="FH139" s="1" t="str">
        <f t="shared" si="707"/>
        <v>ND</v>
      </c>
      <c r="FI139" s="1" t="str">
        <f t="shared" si="707"/>
        <v>ND</v>
      </c>
      <c r="FJ139" s="1" t="str">
        <f t="shared" si="707"/>
        <v>ND</v>
      </c>
      <c r="FK139" s="1" t="str">
        <f t="shared" si="708"/>
        <v>ND</v>
      </c>
      <c r="FL139" s="1" t="str">
        <f t="shared" si="708"/>
        <v>ND</v>
      </c>
      <c r="FM139" s="1" t="str">
        <f t="shared" si="708"/>
        <v>ND</v>
      </c>
      <c r="FN139" s="1" t="str">
        <f t="shared" si="708"/>
        <v>ND</v>
      </c>
      <c r="FO139" s="1" t="str">
        <f t="shared" si="708"/>
        <v>ND</v>
      </c>
      <c r="FP139" s="1" t="str">
        <f t="shared" si="708"/>
        <v>ND</v>
      </c>
      <c r="FQ139" s="1" t="str">
        <f t="shared" si="708"/>
        <v>ND</v>
      </c>
      <c r="FR139" s="1" t="str">
        <f t="shared" si="708"/>
        <v>ND</v>
      </c>
      <c r="FS139" s="1" t="str">
        <f t="shared" si="708"/>
        <v>ND</v>
      </c>
      <c r="FT139" s="1" t="str">
        <f t="shared" si="708"/>
        <v>ND</v>
      </c>
      <c r="FU139" s="1" t="str">
        <f t="shared" si="708"/>
        <v>ND</v>
      </c>
      <c r="FV139" s="1" t="str">
        <f t="shared" ref="FV139:FV170" si="799">IFERROR(ROUNDUP(FW139/6,2)+29.9,"ND")</f>
        <v>ND</v>
      </c>
      <c r="FW139" s="1" t="str">
        <f t="shared" ref="FW139:FW170" si="800">IFERROR(IF(FW$9="ND","ND",VLOOKUP($C139,LC6M,FW$9,0)),"ND")</f>
        <v>ND</v>
      </c>
      <c r="FX139" s="1" t="str">
        <f t="shared" ref="FX139:FX170" si="801">IFERROR(ROUNDUP(FY139/6,2)+39.9,"ND")</f>
        <v>ND</v>
      </c>
      <c r="FY139" s="1" t="str">
        <f t="shared" ref="FY139:FY170" si="802">IFERROR(IF(FY$9="ND","ND",VLOOKUP($C139,LC6M,FY$9,0)),"ND")</f>
        <v>ND</v>
      </c>
      <c r="FZ139" s="1" t="str">
        <f t="shared" ref="FZ139:FZ170" si="803">IFERROR(ROUNDUP(GA139/6,2)+49.9,"ND")</f>
        <v>ND</v>
      </c>
      <c r="GA139" s="1" t="str">
        <f t="shared" ref="GA139:GA170" si="804">IFERROR(IF(GA$9="ND","ND",VLOOKUP($C139,LC6M,GA$9,0)),"ND")</f>
        <v>ND</v>
      </c>
      <c r="GB139" s="1" t="str">
        <f t="shared" ref="GB139:GB170" si="805">IFERROR(ROUNDUP(GC139/6,2)+55.9,"ND")</f>
        <v>ND</v>
      </c>
      <c r="GC139" s="1" t="str">
        <f t="shared" ref="GC139:GC170" si="806">IFERROR(IF(GC$9="ND","ND",VLOOKUP($C139,LC6M,GC$9,0)),"ND")</f>
        <v>ND</v>
      </c>
      <c r="GD139" s="1" t="str">
        <f t="shared" ref="GD139:GD170" si="807">IFERROR(ROUNDUP(GE139/6,2)+69.9,"ND")</f>
        <v>ND</v>
      </c>
      <c r="GE139" s="1" t="str">
        <f t="shared" ref="GE139:GE170" si="808">IFERROR(IF(GE$9="ND","ND",VLOOKUP($C139,LC6M,GE$9,0)),"ND")</f>
        <v>ND</v>
      </c>
      <c r="GF139" s="1" t="str">
        <f t="shared" ref="GF139:GF170" si="809">IFERROR(ROUNDUP(GG139/6,2)+79.9,"ND")</f>
        <v>ND</v>
      </c>
      <c r="GG139" s="1" t="str">
        <f t="shared" ref="GG139:GG170" si="810">IFERROR(IF(GG$9="ND","ND",VLOOKUP($C139,LC6M,GG$9,0)),"ND")</f>
        <v>ND</v>
      </c>
      <c r="GH139" s="1" t="str">
        <f t="shared" ref="GH139:GH170" si="811">IFERROR(ROUNDUP(GI139/6,2)+95.9,"ND")</f>
        <v>ND</v>
      </c>
      <c r="GI139" s="1" t="str">
        <f t="shared" ref="GI139:GI170" si="812">IFERROR(IF(GI$9="ND","ND",VLOOKUP($C139,LC6M,GI$9,0)),"ND")</f>
        <v>ND</v>
      </c>
      <c r="GJ139" s="1" t="str">
        <f t="shared" ref="GJ139:GJ170" si="813">IFERROR(ROUNDUP(GK139/6,2)+109.9,"ND")</f>
        <v>ND</v>
      </c>
      <c r="GK139" s="1" t="str">
        <f t="shared" ref="GK139:GK170" si="814">IFERROR(IF(GK$9="ND","ND",VLOOKUP($C139,LC6M,GK$9,0)),"ND")</f>
        <v>ND</v>
      </c>
      <c r="GL139" s="1" t="str">
        <f t="shared" ref="GL139:GL170" si="815">IFERROR(ROUNDUP(GM139/6,2)+159.9,"ND")</f>
        <v>ND</v>
      </c>
      <c r="GM139" s="1" t="str">
        <f t="shared" ref="GM139:GM170" si="816">IFERROR(IF(GM$9="ND","ND",VLOOKUP($C139,LC6M,GM$9,0)),"ND")</f>
        <v>ND</v>
      </c>
      <c r="GN139" s="1" t="str">
        <f t="shared" ref="GN139:GN170" si="817">IFERROR(ROUNDUP(GO139/6,2)+189.9,"ND")</f>
        <v>ND</v>
      </c>
      <c r="GO139" s="1" t="str">
        <f t="shared" ref="GO139:GO170" si="818">IFERROR(IF(GO$9="ND","ND",VLOOKUP($C139,LC6M,GO$9,0)),"ND")</f>
        <v>ND</v>
      </c>
      <c r="GP139" s="1" t="str">
        <f t="shared" ref="GP139:GP170" si="819">IFERROR(ROUNDUP(GQ139/6,2)+289.9,"ND")</f>
        <v>ND</v>
      </c>
      <c r="GQ139" s="1" t="str">
        <f t="shared" ref="GQ139:GQ170" si="820">IFERROR(IF(GQ$9="ND","ND",VLOOKUP($C139,LC6M,GQ$9,0)),"ND")</f>
        <v>ND</v>
      </c>
      <c r="GR139" s="1" t="str">
        <f t="shared" ref="GR139:GR170" si="821">IFERROR(ROUNDUP(GS139/12,2)+29.9,"ND")</f>
        <v>ND</v>
      </c>
      <c r="GS139" s="1" t="str">
        <f t="shared" ref="GS139:GS170" si="822">IFERROR(IF(GS$9="ND","ND",VLOOKUP($C139,LP12M,GS$9,0)),"ND")</f>
        <v>ND</v>
      </c>
      <c r="GT139" s="1" t="str">
        <f t="shared" ref="GT139:GT170" si="823">IFERROR(ROUNDUP(GU139/12,2)+39.9,"ND")</f>
        <v>ND</v>
      </c>
      <c r="GU139" s="1" t="str">
        <f t="shared" ref="GU139:GU170" si="824">IFERROR(IF(GU$9="ND","ND",VLOOKUP($C139,LP12M,GU$9,0)),"ND")</f>
        <v>ND</v>
      </c>
      <c r="GV139" s="1" t="str">
        <f t="shared" ref="GV139:GV170" si="825">IFERROR(ROUNDUP(GW139/12,2)+49.9,"ND")</f>
        <v>ND</v>
      </c>
      <c r="GW139" s="1" t="str">
        <f t="shared" ref="GW139:GW170" si="826">IFERROR(IF(GW$9="ND","ND",VLOOKUP($C139,LP12M,GW$9,0)),"ND")</f>
        <v>ND</v>
      </c>
      <c r="GX139" s="1" t="str">
        <f t="shared" ref="GX139:GX170" si="827">IFERROR(ROUNDUP(GY139/12,2)+55.9,"ND")</f>
        <v>ND</v>
      </c>
      <c r="GY139" s="1" t="str">
        <f t="shared" ref="GY139:GY170" si="828">IFERROR(IF(GY$9="ND","ND",VLOOKUP($C139,LP12M,GY$9,0)),"ND")</f>
        <v>ND</v>
      </c>
      <c r="GZ139" s="1" t="str">
        <f t="shared" ref="GZ139:GZ170" si="829">IFERROR(ROUNDUP(HA139/12,2)+69.9,"ND")</f>
        <v>ND</v>
      </c>
      <c r="HA139" s="1" t="str">
        <f t="shared" ref="HA139:HA170" si="830">IFERROR(IF(HA$9="ND","ND",VLOOKUP($C139,LP12M,HA$9,0)),"ND")</f>
        <v>ND</v>
      </c>
      <c r="HB139" s="1" t="str">
        <f t="shared" ref="HB139:HB170" si="831">IFERROR(ROUNDUP(HC139/12,2)+79.9,"ND")</f>
        <v>ND</v>
      </c>
      <c r="HC139" s="1" t="str">
        <f t="shared" ref="HC139:HC170" si="832">IFERROR(IF(HC$9="ND","ND",VLOOKUP($C139,LP12M,HC$9,0)),"ND")</f>
        <v>ND</v>
      </c>
      <c r="HD139" s="1" t="str">
        <f t="shared" ref="HD139:HD170" si="833">IFERROR(ROUNDUP(HE139/12,2)+95.9,"ND")</f>
        <v>ND</v>
      </c>
      <c r="HE139" s="1" t="str">
        <f t="shared" ref="HE139:HE170" si="834">IFERROR(IF(HE$9="ND","ND",VLOOKUP($C139,LP12M,HE$9,0)),"ND")</f>
        <v>ND</v>
      </c>
      <c r="HF139" s="1" t="str">
        <f t="shared" ref="HF139:HF170" si="835">IFERROR(ROUNDUP(HG139/12,2)+109.9,"ND")</f>
        <v>ND</v>
      </c>
      <c r="HG139" s="1" t="str">
        <f t="shared" ref="HG139:HG170" si="836">IFERROR(IF(HG$9="ND","ND",VLOOKUP($C139,LP12M,HG$9,0)),"ND")</f>
        <v>ND</v>
      </c>
      <c r="HH139" s="1" t="str">
        <f t="shared" ref="HH139:HH170" si="837">IFERROR(ROUNDUP(HI139/12,2)+159.9,"ND")</f>
        <v>ND</v>
      </c>
      <c r="HI139" s="1" t="str">
        <f t="shared" ref="HI139:HI170" si="838">IFERROR(IF(HI$9="ND","ND",VLOOKUP($C139,LP12M,HI$9,0)),"ND")</f>
        <v>ND</v>
      </c>
      <c r="HJ139" s="1" t="str">
        <f t="shared" ref="HJ139:HJ170" si="839">IFERROR(ROUNDUP(HK139/12,2)+189.9,"ND")</f>
        <v>ND</v>
      </c>
      <c r="HK139" s="1" t="str">
        <f t="shared" ref="HK139:HK170" si="840">IFERROR(IF(HK$9="ND","ND",VLOOKUP($C139,LP12M,HK$9,0)),"ND")</f>
        <v>ND</v>
      </c>
      <c r="HL139" s="1" t="str">
        <f t="shared" ref="HL139:HL170" si="841">IFERROR(ROUNDUP(HM139/12,2)+289.9,"ND")</f>
        <v>ND</v>
      </c>
      <c r="HM139" s="1" t="str">
        <f t="shared" ref="HM139:HM170" si="842">IFERROR(IF(HM$9="ND","ND",VLOOKUP($C139,LP12M,HM$9,0)),"ND")</f>
        <v>ND</v>
      </c>
      <c r="HN139" s="1" t="str">
        <f t="shared" ref="HN139:HN170" si="843">IFERROR(ROUNDUP(HO139/12,2)+29.9,"ND")</f>
        <v>ND</v>
      </c>
      <c r="HO139" s="1" t="str">
        <f t="shared" ref="HO139:HO170" si="844">IFERROR(IF(HO$9="ND","ND",VLOOKUP($C139,LR12M,HO$9,0)),"ND")</f>
        <v>ND</v>
      </c>
      <c r="HP139" s="1" t="str">
        <f t="shared" ref="HP139:HP170" si="845">IFERROR(ROUNDUP(HQ139/12,2)+39.9,"ND")</f>
        <v>ND</v>
      </c>
      <c r="HQ139" s="1" t="str">
        <f t="shared" ref="HQ139:HQ170" si="846">IFERROR(IF(HQ$9="ND","ND",VLOOKUP($C139,LR12M,HQ$9,0)),"ND")</f>
        <v>ND</v>
      </c>
      <c r="HR139" s="1" t="str">
        <f t="shared" ref="HR139:HR170" si="847">IFERROR(ROUNDUP(HS139/12,2)+49.9,"ND")</f>
        <v>ND</v>
      </c>
      <c r="HS139" s="1" t="str">
        <f t="shared" ref="HS139:HS170" si="848">IFERROR(IF(HS$9="ND","ND",VLOOKUP($C139,LR12M,HS$9,0)),"ND")</f>
        <v>ND</v>
      </c>
      <c r="HT139" s="1" t="str">
        <f t="shared" ref="HT139:HT170" si="849">IFERROR(ROUNDUP(HU139/12,2)+55.9,"ND")</f>
        <v>ND</v>
      </c>
      <c r="HU139" s="1" t="str">
        <f t="shared" ref="HU139:HU170" si="850">IFERROR(IF(HU$9="ND","ND",VLOOKUP($C139,LR12M,HU$9,0)),"ND")</f>
        <v>ND</v>
      </c>
      <c r="HV139" s="1" t="str">
        <f t="shared" ref="HV139:HV170" si="851">IFERROR(ROUNDUP(HW139/12,2)+69.9,"ND")</f>
        <v>ND</v>
      </c>
      <c r="HW139" s="1" t="str">
        <f t="shared" ref="HW139:HW170" si="852">IFERROR(IF(HW$9="ND","ND",VLOOKUP($C139,LR12M,HW$9,0)),"ND")</f>
        <v>ND</v>
      </c>
      <c r="HX139" s="1" t="str">
        <f t="shared" ref="HX139:HX170" si="853">IFERROR(ROUNDUP(HY139/12,2)+79.9,"ND")</f>
        <v>ND</v>
      </c>
      <c r="HY139" s="1" t="str">
        <f t="shared" ref="HY139:HY170" si="854">IFERROR(IF(HY$9="ND","ND",VLOOKUP($C139,LR12M,HY$9,0)),"ND")</f>
        <v>ND</v>
      </c>
      <c r="HZ139" s="1" t="str">
        <f t="shared" ref="HZ139:HZ170" si="855">IFERROR(ROUNDUP(IA139/12,2)+95.9,"ND")</f>
        <v>ND</v>
      </c>
      <c r="IA139" s="1" t="str">
        <f t="shared" ref="IA139:IA170" si="856">IFERROR(IF(IA$9="ND","ND",VLOOKUP($C139,LR12M,IA$9,0)),"ND")</f>
        <v>ND</v>
      </c>
      <c r="IB139" s="1" t="str">
        <f t="shared" ref="IB139:IB170" si="857">IFERROR(ROUNDUP(IC139/12,2)+109.9,"ND")</f>
        <v>ND</v>
      </c>
      <c r="IC139" s="1" t="str">
        <f t="shared" ref="IC139:IC170" si="858">IFERROR(IF(IC$9="ND","ND",VLOOKUP($C139,LR12M,IC$9,0)),"ND")</f>
        <v>ND</v>
      </c>
      <c r="ID139" s="1" t="str">
        <f t="shared" ref="ID139:ID170" si="859">IFERROR(ROUNDUP(IE139/12,2)+159.9,"ND")</f>
        <v>ND</v>
      </c>
      <c r="IE139" s="1" t="str">
        <f t="shared" ref="IE139:IE170" si="860">IFERROR(IF(IE$9="ND","ND",VLOOKUP($C139,LR12M,IE$9,0)),"ND")</f>
        <v>ND</v>
      </c>
      <c r="IF139" s="1" t="str">
        <f t="shared" ref="IF139:IF170" si="861">IFERROR(ROUNDUP(IG139/12,2)+189.9,"ND")</f>
        <v>ND</v>
      </c>
      <c r="IG139" s="1" t="str">
        <f t="shared" ref="IG139:IG170" si="862">IFERROR(IF(IG$9="ND","ND",VLOOKUP($C139,LR12M,IG$9,0)),"ND")</f>
        <v>ND</v>
      </c>
      <c r="IH139" s="1" t="str">
        <f t="shared" ref="IH139:IH170" si="863">IFERROR(ROUNDUP(II139/12,2)+289.9,"ND")</f>
        <v>ND</v>
      </c>
      <c r="II139" s="1" t="str">
        <f t="shared" ref="II139:II170" si="864">IFERROR(IF(II$9="ND","ND",VLOOKUP($C139,LR12M,II$9,0)),"ND")</f>
        <v>ND</v>
      </c>
    </row>
    <row r="140" spans="3:243" x14ac:dyDescent="0.25">
      <c r="C140" t="s">
        <v>1127</v>
      </c>
      <c r="D140">
        <f>SUMIFS(DICCIONARIO[Cantidad],DICCIONARIO[Modelo],UNIFICADA[[#This Row],[Equipo]])</f>
        <v>24</v>
      </c>
      <c r="E140" s="1">
        <f>IFERROR(VLOOKUP($C140,EQUIPOS[],UNIFICADO!E$9,0),"")</f>
        <v>12</v>
      </c>
      <c r="F140" s="1">
        <f>IFERROR(VLOOKUP($C140,EQUIPOS[],UNIFICADO!F$9,0),"")</f>
        <v>6.67</v>
      </c>
      <c r="G140" s="1">
        <f>IFERROR(VLOOKUP($C140,EQUIPOS[],UNIFICADO!G$9,0),"")</f>
        <v>48</v>
      </c>
      <c r="H140" s="1">
        <f>IFERROR(VLOOKUP($C140,EQUIPOS[],UNIFICADO!H$9,0),"")</f>
        <v>3</v>
      </c>
      <c r="I140" s="1">
        <f>IFERROR(VLOOKUP($C140,EQUIPOS[],UNIFICADO!I$9,0),"")</f>
        <v>16</v>
      </c>
      <c r="J140" s="1" t="str">
        <f>IFERROR(VLOOKUP($C140,EQUIPOS[],UNIFICADO!J$9,0),"")</f>
        <v>128GB</v>
      </c>
      <c r="K140" s="1">
        <f>IFERROR(VLOOKUP($C140,EQUIPOS[],UNIFICADO!K$9,0),"")</f>
        <v>0</v>
      </c>
      <c r="L140" s="1">
        <f>IFERROR(VLOOKUP($C140,EQUIPOS[],UNIFICADO!L$9,0),"")</f>
        <v>8</v>
      </c>
      <c r="M140" s="1" t="str">
        <f>IFERROR(VLOOKUP($C140,EQUIPOS[],UNIFICADO!M$9,0),"")</f>
        <v>Snapdragon 685</v>
      </c>
      <c r="N140" s="1">
        <f>IFERROR(VLOOKUP($C140,EQUIPOS[],UNIFICADO!N$9,0),"")</f>
        <v>4</v>
      </c>
      <c r="O140" s="1">
        <f>IFERROR(VLOOKUP($C140,EQUIPOS[],UNIFICADO!O$9,0),"")</f>
        <v>189</v>
      </c>
      <c r="P140" s="1">
        <f>IFERROR(VLOOKUP($C140,EQUIPOS[],UNIFICADO!P$9,0),"")</f>
        <v>16.600000000000001</v>
      </c>
      <c r="Q140" s="1">
        <f>IFERROR(VLOOKUP($C140,EQUIPOS[],UNIFICADO!Q$9,0),"")</f>
        <v>7.62</v>
      </c>
      <c r="R140" s="1">
        <f>IFERROR(VLOOKUP($C140,EQUIPOS[],UNIFICADO!R$9,0),"")</f>
        <v>0.8</v>
      </c>
      <c r="S140" s="1" t="str">
        <f>IFERROR(VLOOKUP($C140,EQUIPOS[],UNIFICADO!S$9,0),"")</f>
        <v>5000 33W</v>
      </c>
      <c r="T140" s="1">
        <f>IFERROR(VLOOKUP($C140,EQUIPOS[],UNIFICADO!T$9,0),"")</f>
        <v>5</v>
      </c>
      <c r="U140" s="1">
        <f>VLOOKUP(UNIFICADA[[#This Row],[Equipo]],EQUIPOS[],19,0)</f>
        <v>130</v>
      </c>
      <c r="V140" s="1" t="str">
        <f t="shared" si="709"/>
        <v>ND</v>
      </c>
      <c r="W140" s="1" t="str">
        <f t="shared" si="710"/>
        <v>ND</v>
      </c>
      <c r="X140" s="1" t="str">
        <f t="shared" si="702"/>
        <v>ND</v>
      </c>
      <c r="Y140" s="1" t="str">
        <f t="shared" si="702"/>
        <v>ND</v>
      </c>
      <c r="Z140" s="1" t="str">
        <f t="shared" si="703"/>
        <v>ND</v>
      </c>
      <c r="AA140" s="1" t="str">
        <f t="shared" si="703"/>
        <v>ND</v>
      </c>
      <c r="AB140" s="1" t="str">
        <f t="shared" si="703"/>
        <v>ND</v>
      </c>
      <c r="AC140" s="1" t="str">
        <f t="shared" si="703"/>
        <v>ND</v>
      </c>
      <c r="AD140" s="1" t="str">
        <f t="shared" si="703"/>
        <v>ND</v>
      </c>
      <c r="AE140" s="1" t="str">
        <f t="shared" si="703"/>
        <v>ND</v>
      </c>
      <c r="AF140" s="1" t="str">
        <f t="shared" si="703"/>
        <v>ND</v>
      </c>
      <c r="AG140" s="1" t="str">
        <f t="shared" si="703"/>
        <v>ND</v>
      </c>
      <c r="AH140" s="1" t="str">
        <f t="shared" si="703"/>
        <v>ND</v>
      </c>
      <c r="AI140" s="1" t="str">
        <f t="shared" si="711"/>
        <v>ND</v>
      </c>
      <c r="AJ140" s="1" t="str">
        <f t="shared" si="712"/>
        <v>ND</v>
      </c>
      <c r="AK140" s="1" t="str">
        <f t="shared" si="713"/>
        <v>ND</v>
      </c>
      <c r="AL140" s="1" t="str">
        <f t="shared" si="714"/>
        <v>ND</v>
      </c>
      <c r="AM140" s="1" t="str">
        <f t="shared" si="715"/>
        <v>ND</v>
      </c>
      <c r="AN140" s="1" t="str">
        <f t="shared" si="716"/>
        <v>ND</v>
      </c>
      <c r="AO140" s="1" t="str">
        <f t="shared" si="717"/>
        <v>ND</v>
      </c>
      <c r="AP140" s="1" t="str">
        <f t="shared" si="718"/>
        <v>ND</v>
      </c>
      <c r="AQ140" s="1" t="str">
        <f t="shared" si="719"/>
        <v>ND</v>
      </c>
      <c r="AR140" s="1" t="str">
        <f t="shared" si="720"/>
        <v>ND</v>
      </c>
      <c r="AS140" s="1" t="str">
        <f t="shared" si="721"/>
        <v>ND</v>
      </c>
      <c r="AT140" s="1" t="str">
        <f t="shared" si="722"/>
        <v>ND</v>
      </c>
      <c r="AU140" s="1" t="str">
        <f t="shared" si="723"/>
        <v>ND</v>
      </c>
      <c r="AV140" s="1" t="str">
        <f t="shared" si="724"/>
        <v>ND</v>
      </c>
      <c r="AW140" s="1" t="str">
        <f t="shared" si="725"/>
        <v>ND</v>
      </c>
      <c r="AX140" s="1" t="str">
        <f t="shared" si="726"/>
        <v>ND</v>
      </c>
      <c r="AY140" s="1" t="str">
        <f t="shared" si="727"/>
        <v>ND</v>
      </c>
      <c r="AZ140" s="1" t="str">
        <f t="shared" si="728"/>
        <v>ND</v>
      </c>
      <c r="BA140" s="1" t="str">
        <f t="shared" si="729"/>
        <v>ND</v>
      </c>
      <c r="BB140" s="1" t="str">
        <f t="shared" si="730"/>
        <v>ND</v>
      </c>
      <c r="BC140" s="1" t="str">
        <f t="shared" si="731"/>
        <v>ND</v>
      </c>
      <c r="BD140" s="1" t="str">
        <f t="shared" si="732"/>
        <v>ND</v>
      </c>
      <c r="BE140" s="1" t="str">
        <f t="shared" si="733"/>
        <v>ND</v>
      </c>
      <c r="BF140" s="1" t="str">
        <f t="shared" si="734"/>
        <v>ND</v>
      </c>
      <c r="BG140" s="1" t="str">
        <f t="shared" si="735"/>
        <v>ND</v>
      </c>
      <c r="BH140" s="1" t="str">
        <f t="shared" si="736"/>
        <v>ND</v>
      </c>
      <c r="BI140" s="1" t="str">
        <f t="shared" si="737"/>
        <v>ND</v>
      </c>
      <c r="BJ140" s="1" t="str">
        <f t="shared" si="738"/>
        <v>ND</v>
      </c>
      <c r="BK140" s="1" t="str">
        <f t="shared" si="739"/>
        <v>ND</v>
      </c>
      <c r="BL140" s="1" t="str">
        <f t="shared" si="740"/>
        <v>ND</v>
      </c>
      <c r="BM140" s="1" t="str">
        <f t="shared" si="741"/>
        <v>ND</v>
      </c>
      <c r="BN140" s="1" t="str">
        <f t="shared" si="742"/>
        <v>ND</v>
      </c>
      <c r="BO140" s="1" t="str">
        <f t="shared" si="743"/>
        <v>ND</v>
      </c>
      <c r="BP140" s="1" t="str">
        <f t="shared" si="744"/>
        <v>ND</v>
      </c>
      <c r="BQ140" s="1" t="str">
        <f t="shared" si="745"/>
        <v>ND</v>
      </c>
      <c r="BR140" s="1" t="str">
        <f t="shared" si="746"/>
        <v>ND</v>
      </c>
      <c r="BS140" s="1" t="str">
        <f t="shared" si="747"/>
        <v>ND</v>
      </c>
      <c r="BT140" s="1" t="str">
        <f t="shared" si="748"/>
        <v>ND</v>
      </c>
      <c r="BU140" s="1" t="str">
        <f t="shared" si="749"/>
        <v>ND</v>
      </c>
      <c r="BV140" s="1" t="str">
        <f t="shared" si="750"/>
        <v>ND</v>
      </c>
      <c r="BW140" s="1" t="str">
        <f t="shared" si="751"/>
        <v>ND</v>
      </c>
      <c r="BX140" s="1" t="str">
        <f t="shared" si="752"/>
        <v>ND</v>
      </c>
      <c r="BY140" s="1" t="str">
        <f t="shared" si="753"/>
        <v>ND</v>
      </c>
      <c r="BZ140" s="1" t="str">
        <f t="shared" si="754"/>
        <v>ND</v>
      </c>
      <c r="CA140" s="1" t="str">
        <f t="shared" si="704"/>
        <v>ND</v>
      </c>
      <c r="CB140" s="1" t="str">
        <f t="shared" si="704"/>
        <v>ND</v>
      </c>
      <c r="CC140" s="1" t="str">
        <f t="shared" si="704"/>
        <v>ND</v>
      </c>
      <c r="CD140" s="1" t="str">
        <f t="shared" si="704"/>
        <v>ND</v>
      </c>
      <c r="CE140" s="1" t="str">
        <f t="shared" si="704"/>
        <v>ND</v>
      </c>
      <c r="CF140" s="1" t="str">
        <f t="shared" si="704"/>
        <v>ND</v>
      </c>
      <c r="CG140" s="1" t="str">
        <f t="shared" si="704"/>
        <v>ND</v>
      </c>
      <c r="CH140" s="1" t="str">
        <f t="shared" si="704"/>
        <v>ND</v>
      </c>
      <c r="CI140" s="1" t="str">
        <f t="shared" si="704"/>
        <v>ND</v>
      </c>
      <c r="CJ140" s="1" t="str">
        <f t="shared" si="704"/>
        <v>ND</v>
      </c>
      <c r="CK140" s="1" t="str">
        <f t="shared" si="704"/>
        <v>ND</v>
      </c>
      <c r="CL140" s="1" t="str">
        <f t="shared" si="705"/>
        <v>ND</v>
      </c>
      <c r="CM140" s="1" t="str">
        <f t="shared" si="705"/>
        <v>ND</v>
      </c>
      <c r="CN140" s="1" t="str">
        <f t="shared" si="705"/>
        <v>ND</v>
      </c>
      <c r="CO140" s="1" t="str">
        <f t="shared" si="705"/>
        <v>ND</v>
      </c>
      <c r="CP140" s="1" t="str">
        <f t="shared" si="705"/>
        <v>ND</v>
      </c>
      <c r="CQ140" s="1" t="str">
        <f t="shared" si="705"/>
        <v>ND</v>
      </c>
      <c r="CR140" s="1" t="str">
        <f t="shared" si="705"/>
        <v>ND</v>
      </c>
      <c r="CS140" s="1" t="str">
        <f t="shared" si="705"/>
        <v>ND</v>
      </c>
      <c r="CT140" s="1" t="str">
        <f t="shared" si="705"/>
        <v>ND</v>
      </c>
      <c r="CU140" s="1" t="str">
        <f t="shared" si="705"/>
        <v>ND</v>
      </c>
      <c r="CV140" s="1" t="str">
        <f t="shared" si="705"/>
        <v>ND</v>
      </c>
      <c r="CW140" s="1" t="str">
        <f t="shared" si="755"/>
        <v>ND</v>
      </c>
      <c r="CX140" s="1" t="str">
        <f t="shared" si="756"/>
        <v>ND</v>
      </c>
      <c r="CY140" s="1" t="str">
        <f t="shared" si="757"/>
        <v>ND</v>
      </c>
      <c r="CZ140" s="1" t="str">
        <f t="shared" si="758"/>
        <v>ND</v>
      </c>
      <c r="DA140" s="1" t="str">
        <f t="shared" si="759"/>
        <v>ND</v>
      </c>
      <c r="DB140" s="1" t="str">
        <f t="shared" si="760"/>
        <v>ND</v>
      </c>
      <c r="DC140" s="1" t="str">
        <f t="shared" si="761"/>
        <v>ND</v>
      </c>
      <c r="DD140" s="1" t="str">
        <f t="shared" si="762"/>
        <v>ND</v>
      </c>
      <c r="DE140" s="1" t="str">
        <f t="shared" si="763"/>
        <v>ND</v>
      </c>
      <c r="DF140" s="1" t="str">
        <f t="shared" si="764"/>
        <v>ND</v>
      </c>
      <c r="DG140" s="1" t="str">
        <f t="shared" si="765"/>
        <v>ND</v>
      </c>
      <c r="DH140" s="1" t="str">
        <f t="shared" si="766"/>
        <v>ND</v>
      </c>
      <c r="DI140" s="1" t="str">
        <f t="shared" si="767"/>
        <v>ND</v>
      </c>
      <c r="DJ140" s="1" t="str">
        <f t="shared" si="768"/>
        <v>ND</v>
      </c>
      <c r="DK140" s="1" t="str">
        <f t="shared" si="769"/>
        <v>ND</v>
      </c>
      <c r="DL140" s="1" t="str">
        <f t="shared" si="770"/>
        <v>ND</v>
      </c>
      <c r="DM140" s="1" t="str">
        <f t="shared" si="771"/>
        <v>ND</v>
      </c>
      <c r="DN140" s="1" t="str">
        <f t="shared" si="772"/>
        <v>ND</v>
      </c>
      <c r="DO140" s="1" t="str">
        <f t="shared" si="773"/>
        <v>ND</v>
      </c>
      <c r="DP140" s="1" t="str">
        <f t="shared" si="774"/>
        <v>ND</v>
      </c>
      <c r="DQ140" s="1" t="str">
        <f t="shared" si="775"/>
        <v>ND</v>
      </c>
      <c r="DR140" s="1" t="str">
        <f t="shared" si="776"/>
        <v>ND</v>
      </c>
      <c r="DS140" s="1" t="str">
        <f t="shared" si="777"/>
        <v>ND</v>
      </c>
      <c r="DT140" s="1" t="str">
        <f t="shared" si="778"/>
        <v>ND</v>
      </c>
      <c r="DU140" s="1" t="str">
        <f t="shared" si="779"/>
        <v>ND</v>
      </c>
      <c r="DV140" s="1" t="str">
        <f t="shared" si="780"/>
        <v>ND</v>
      </c>
      <c r="DW140" s="1" t="str">
        <f t="shared" si="781"/>
        <v>ND</v>
      </c>
      <c r="DX140" s="1" t="str">
        <f t="shared" si="782"/>
        <v>ND</v>
      </c>
      <c r="DY140" s="1" t="str">
        <f t="shared" si="783"/>
        <v>ND</v>
      </c>
      <c r="DZ140" s="1" t="str">
        <f t="shared" si="784"/>
        <v>ND</v>
      </c>
      <c r="EA140" s="1" t="str">
        <f t="shared" si="785"/>
        <v>ND</v>
      </c>
      <c r="EB140" s="1" t="str">
        <f t="shared" si="786"/>
        <v>ND</v>
      </c>
      <c r="EC140" s="1" t="str">
        <f t="shared" si="787"/>
        <v>ND</v>
      </c>
      <c r="ED140" s="1" t="str">
        <f t="shared" si="788"/>
        <v>ND</v>
      </c>
      <c r="EE140" s="1" t="str">
        <f t="shared" si="789"/>
        <v>ND</v>
      </c>
      <c r="EF140" s="1" t="str">
        <f t="shared" si="790"/>
        <v>ND</v>
      </c>
      <c r="EG140" s="1" t="str">
        <f t="shared" si="791"/>
        <v>ND</v>
      </c>
      <c r="EH140" s="1" t="str">
        <f t="shared" si="792"/>
        <v>ND</v>
      </c>
      <c r="EI140" s="1" t="str">
        <f t="shared" si="793"/>
        <v>ND</v>
      </c>
      <c r="EJ140" s="1" t="str">
        <f t="shared" si="794"/>
        <v>ND</v>
      </c>
      <c r="EK140" s="1" t="str">
        <f t="shared" si="795"/>
        <v>ND</v>
      </c>
      <c r="EL140" s="1" t="str">
        <f t="shared" si="796"/>
        <v>ND</v>
      </c>
      <c r="EM140" s="1" t="str">
        <f t="shared" si="797"/>
        <v>ND</v>
      </c>
      <c r="EN140" s="1" t="str">
        <f t="shared" si="798"/>
        <v>ND</v>
      </c>
      <c r="EO140" s="1" t="str">
        <f t="shared" si="706"/>
        <v>ND</v>
      </c>
      <c r="EP140" s="1" t="str">
        <f t="shared" si="706"/>
        <v>ND</v>
      </c>
      <c r="EQ140" s="1" t="str">
        <f t="shared" si="706"/>
        <v>ND</v>
      </c>
      <c r="ER140" s="1" t="str">
        <f t="shared" si="706"/>
        <v>ND</v>
      </c>
      <c r="ES140" s="1" t="str">
        <f t="shared" si="706"/>
        <v>ND</v>
      </c>
      <c r="ET140" s="1" t="str">
        <f t="shared" si="706"/>
        <v>ND</v>
      </c>
      <c r="EU140" s="1" t="str">
        <f t="shared" si="706"/>
        <v>ND</v>
      </c>
      <c r="EV140" s="1" t="str">
        <f t="shared" si="706"/>
        <v>ND</v>
      </c>
      <c r="EW140" s="1" t="str">
        <f t="shared" si="706"/>
        <v>ND</v>
      </c>
      <c r="EX140" s="1" t="str">
        <f t="shared" si="706"/>
        <v>ND</v>
      </c>
      <c r="EY140" s="1" t="str">
        <f t="shared" si="706"/>
        <v>ND</v>
      </c>
      <c r="EZ140" s="1" t="str">
        <f t="shared" si="707"/>
        <v>ND</v>
      </c>
      <c r="FA140" s="1" t="str">
        <f t="shared" si="707"/>
        <v>ND</v>
      </c>
      <c r="FB140" s="1" t="str">
        <f t="shared" si="707"/>
        <v>ND</v>
      </c>
      <c r="FC140" s="1" t="str">
        <f t="shared" si="707"/>
        <v>ND</v>
      </c>
      <c r="FD140" s="1" t="str">
        <f t="shared" si="707"/>
        <v>ND</v>
      </c>
      <c r="FE140" s="1" t="str">
        <f t="shared" si="707"/>
        <v>ND</v>
      </c>
      <c r="FF140" s="1" t="str">
        <f t="shared" si="707"/>
        <v>ND</v>
      </c>
      <c r="FG140" s="1" t="str">
        <f t="shared" si="707"/>
        <v>ND</v>
      </c>
      <c r="FH140" s="1" t="str">
        <f t="shared" si="707"/>
        <v>ND</v>
      </c>
      <c r="FI140" s="1" t="str">
        <f t="shared" si="707"/>
        <v>ND</v>
      </c>
      <c r="FJ140" s="1" t="str">
        <f t="shared" si="707"/>
        <v>ND</v>
      </c>
      <c r="FK140" s="1" t="str">
        <f t="shared" si="708"/>
        <v>ND</v>
      </c>
      <c r="FL140" s="1" t="str">
        <f t="shared" si="708"/>
        <v>ND</v>
      </c>
      <c r="FM140" s="1" t="str">
        <f t="shared" si="708"/>
        <v>ND</v>
      </c>
      <c r="FN140" s="1" t="str">
        <f t="shared" si="708"/>
        <v>ND</v>
      </c>
      <c r="FO140" s="1" t="str">
        <f t="shared" si="708"/>
        <v>ND</v>
      </c>
      <c r="FP140" s="1" t="str">
        <f t="shared" si="708"/>
        <v>ND</v>
      </c>
      <c r="FQ140" s="1" t="str">
        <f t="shared" si="708"/>
        <v>ND</v>
      </c>
      <c r="FR140" s="1" t="str">
        <f t="shared" si="708"/>
        <v>ND</v>
      </c>
      <c r="FS140" s="1" t="str">
        <f t="shared" si="708"/>
        <v>ND</v>
      </c>
      <c r="FT140" s="1" t="str">
        <f t="shared" si="708"/>
        <v>ND</v>
      </c>
      <c r="FU140" s="1" t="str">
        <f t="shared" si="708"/>
        <v>ND</v>
      </c>
      <c r="FV140" s="1" t="str">
        <f t="shared" si="799"/>
        <v>ND</v>
      </c>
      <c r="FW140" s="1" t="str">
        <f t="shared" si="800"/>
        <v>ND</v>
      </c>
      <c r="FX140" s="1" t="str">
        <f t="shared" si="801"/>
        <v>ND</v>
      </c>
      <c r="FY140" s="1" t="str">
        <f t="shared" si="802"/>
        <v>ND</v>
      </c>
      <c r="FZ140" s="1" t="str">
        <f t="shared" si="803"/>
        <v>ND</v>
      </c>
      <c r="GA140" s="1" t="str">
        <f t="shared" si="804"/>
        <v>ND</v>
      </c>
      <c r="GB140" s="1" t="str">
        <f t="shared" si="805"/>
        <v>ND</v>
      </c>
      <c r="GC140" s="1" t="str">
        <f t="shared" si="806"/>
        <v>ND</v>
      </c>
      <c r="GD140" s="1" t="str">
        <f t="shared" si="807"/>
        <v>ND</v>
      </c>
      <c r="GE140" s="1" t="str">
        <f t="shared" si="808"/>
        <v>ND</v>
      </c>
      <c r="GF140" s="1" t="str">
        <f t="shared" si="809"/>
        <v>ND</v>
      </c>
      <c r="GG140" s="1" t="str">
        <f t="shared" si="810"/>
        <v>ND</v>
      </c>
      <c r="GH140" s="1" t="str">
        <f t="shared" si="811"/>
        <v>ND</v>
      </c>
      <c r="GI140" s="1" t="str">
        <f t="shared" si="812"/>
        <v>ND</v>
      </c>
      <c r="GJ140" s="1" t="str">
        <f t="shared" si="813"/>
        <v>ND</v>
      </c>
      <c r="GK140" s="1" t="str">
        <f t="shared" si="814"/>
        <v>ND</v>
      </c>
      <c r="GL140" s="1" t="str">
        <f t="shared" si="815"/>
        <v>ND</v>
      </c>
      <c r="GM140" s="1" t="str">
        <f t="shared" si="816"/>
        <v>ND</v>
      </c>
      <c r="GN140" s="1" t="str">
        <f t="shared" si="817"/>
        <v>ND</v>
      </c>
      <c r="GO140" s="1" t="str">
        <f t="shared" si="818"/>
        <v>ND</v>
      </c>
      <c r="GP140" s="1" t="str">
        <f t="shared" si="819"/>
        <v>ND</v>
      </c>
      <c r="GQ140" s="1" t="str">
        <f t="shared" si="820"/>
        <v>ND</v>
      </c>
      <c r="GR140" s="1" t="str">
        <f t="shared" si="821"/>
        <v>ND</v>
      </c>
      <c r="GS140" s="1" t="str">
        <f t="shared" si="822"/>
        <v>ND</v>
      </c>
      <c r="GT140" s="1" t="str">
        <f t="shared" si="823"/>
        <v>ND</v>
      </c>
      <c r="GU140" s="1" t="str">
        <f t="shared" si="824"/>
        <v>ND</v>
      </c>
      <c r="GV140" s="1" t="str">
        <f t="shared" si="825"/>
        <v>ND</v>
      </c>
      <c r="GW140" s="1" t="str">
        <f t="shared" si="826"/>
        <v>ND</v>
      </c>
      <c r="GX140" s="1" t="str">
        <f t="shared" si="827"/>
        <v>ND</v>
      </c>
      <c r="GY140" s="1" t="str">
        <f t="shared" si="828"/>
        <v>ND</v>
      </c>
      <c r="GZ140" s="1" t="str">
        <f t="shared" si="829"/>
        <v>ND</v>
      </c>
      <c r="HA140" s="1" t="str">
        <f t="shared" si="830"/>
        <v>ND</v>
      </c>
      <c r="HB140" s="1" t="str">
        <f t="shared" si="831"/>
        <v>ND</v>
      </c>
      <c r="HC140" s="1" t="str">
        <f t="shared" si="832"/>
        <v>ND</v>
      </c>
      <c r="HD140" s="1" t="str">
        <f t="shared" si="833"/>
        <v>ND</v>
      </c>
      <c r="HE140" s="1" t="str">
        <f t="shared" si="834"/>
        <v>ND</v>
      </c>
      <c r="HF140" s="1" t="str">
        <f t="shared" si="835"/>
        <v>ND</v>
      </c>
      <c r="HG140" s="1" t="str">
        <f t="shared" si="836"/>
        <v>ND</v>
      </c>
      <c r="HH140" s="1" t="str">
        <f t="shared" si="837"/>
        <v>ND</v>
      </c>
      <c r="HI140" s="1" t="str">
        <f t="shared" si="838"/>
        <v>ND</v>
      </c>
      <c r="HJ140" s="1" t="str">
        <f t="shared" si="839"/>
        <v>ND</v>
      </c>
      <c r="HK140" s="1" t="str">
        <f t="shared" si="840"/>
        <v>ND</v>
      </c>
      <c r="HL140" s="1" t="str">
        <f t="shared" si="841"/>
        <v>ND</v>
      </c>
      <c r="HM140" s="1" t="str">
        <f t="shared" si="842"/>
        <v>ND</v>
      </c>
      <c r="HN140" s="1" t="str">
        <f t="shared" si="843"/>
        <v>ND</v>
      </c>
      <c r="HO140" s="1" t="str">
        <f t="shared" si="844"/>
        <v>ND</v>
      </c>
      <c r="HP140" s="1" t="str">
        <f t="shared" si="845"/>
        <v>ND</v>
      </c>
      <c r="HQ140" s="1" t="str">
        <f t="shared" si="846"/>
        <v>ND</v>
      </c>
      <c r="HR140" s="1" t="str">
        <f t="shared" si="847"/>
        <v>ND</v>
      </c>
      <c r="HS140" s="1" t="str">
        <f t="shared" si="848"/>
        <v>ND</v>
      </c>
      <c r="HT140" s="1" t="str">
        <f t="shared" si="849"/>
        <v>ND</v>
      </c>
      <c r="HU140" s="1" t="str">
        <f t="shared" si="850"/>
        <v>ND</v>
      </c>
      <c r="HV140" s="1" t="str">
        <f t="shared" si="851"/>
        <v>ND</v>
      </c>
      <c r="HW140" s="1" t="str">
        <f t="shared" si="852"/>
        <v>ND</v>
      </c>
      <c r="HX140" s="1" t="str">
        <f t="shared" si="853"/>
        <v>ND</v>
      </c>
      <c r="HY140" s="1" t="str">
        <f t="shared" si="854"/>
        <v>ND</v>
      </c>
      <c r="HZ140" s="1" t="str">
        <f t="shared" si="855"/>
        <v>ND</v>
      </c>
      <c r="IA140" s="1" t="str">
        <f t="shared" si="856"/>
        <v>ND</v>
      </c>
      <c r="IB140" s="1" t="str">
        <f t="shared" si="857"/>
        <v>ND</v>
      </c>
      <c r="IC140" s="1" t="str">
        <f t="shared" si="858"/>
        <v>ND</v>
      </c>
      <c r="ID140" s="1" t="str">
        <f t="shared" si="859"/>
        <v>ND</v>
      </c>
      <c r="IE140" s="1" t="str">
        <f t="shared" si="860"/>
        <v>ND</v>
      </c>
      <c r="IF140" s="1" t="str">
        <f t="shared" si="861"/>
        <v>ND</v>
      </c>
      <c r="IG140" s="1" t="str">
        <f t="shared" si="862"/>
        <v>ND</v>
      </c>
      <c r="IH140" s="1" t="str">
        <f t="shared" si="863"/>
        <v>ND</v>
      </c>
      <c r="II140" s="1" t="str">
        <f t="shared" si="864"/>
        <v>ND</v>
      </c>
    </row>
    <row r="141" spans="3:243" x14ac:dyDescent="0.25">
      <c r="C141" t="s">
        <v>1221</v>
      </c>
      <c r="D141">
        <f>SUMIFS(DICCIONARIO[Cantidad],DICCIONARIO[Modelo],UNIFICADA[[#This Row],[Equipo]])</f>
        <v>0</v>
      </c>
      <c r="E141" s="1">
        <f>IFERROR(VLOOKUP($C141,EQUIPOS[],UNIFICADO!E$9,0),"")</f>
        <v>12</v>
      </c>
      <c r="F141" s="1" t="str">
        <f>IFERROR(VLOOKUP($C141,EQUIPOS[],UNIFICADO!F$9,0),"")</f>
        <v>6.67 HDR10 120Hz</v>
      </c>
      <c r="G141" s="1">
        <f>IFERROR(VLOOKUP($C141,EQUIPOS[],UNIFICADO!G$9,0),"")</f>
        <v>200</v>
      </c>
      <c r="H141" s="1">
        <f>IFERROR(VLOOKUP($C141,EQUIPOS[],UNIFICADO!H$9,0),"")</f>
        <v>4</v>
      </c>
      <c r="I141" s="1">
        <f>IFERROR(VLOOKUP($C141,EQUIPOS[],UNIFICADO!I$9,0),"")</f>
        <v>16</v>
      </c>
      <c r="J141" s="1" t="str">
        <f>IFERROR(VLOOKUP($C141,EQUIPOS[],UNIFICADO!J$9,0),"")</f>
        <v>256GB</v>
      </c>
      <c r="K141" s="1">
        <f>IFERROR(VLOOKUP($C141,EQUIPOS[],UNIFICADO!K$9,0),"")</f>
        <v>0</v>
      </c>
      <c r="L141" s="1">
        <f>IFERROR(VLOOKUP($C141,EQUIPOS[],UNIFICADO!L$9,0),"")</f>
        <v>8</v>
      </c>
      <c r="M141" s="1" t="str">
        <f>IFERROR(VLOOKUP($C141,EQUIPOS[],UNIFICADO!M$9,0),"")</f>
        <v>MediaTek Dimensity 1080</v>
      </c>
      <c r="N141" s="1">
        <f>IFERROR(VLOOKUP($C141,EQUIPOS[],UNIFICADO!N$9,0),"")</f>
        <v>8</v>
      </c>
      <c r="O141" s="1">
        <f>IFERROR(VLOOKUP($C141,EQUIPOS[],UNIFICADO!O$9,0),"")</f>
        <v>204</v>
      </c>
      <c r="P141" s="1">
        <f>IFERROR(VLOOKUP($C141,EQUIPOS[],UNIFICADO!P$9,0),"")</f>
        <v>16.3</v>
      </c>
      <c r="Q141" s="1">
        <f>IFERROR(VLOOKUP($C141,EQUIPOS[],UNIFICADO!Q$9,0),"")</f>
        <v>7.6</v>
      </c>
      <c r="R141" s="1">
        <f>IFERROR(VLOOKUP($C141,EQUIPOS[],UNIFICADO!R$9,0),"")</f>
        <v>0.79</v>
      </c>
      <c r="S141" s="1" t="str">
        <f>IFERROR(VLOOKUP($C141,EQUIPOS[],UNIFICADO!S$9,0),"")</f>
        <v>5.000 120W</v>
      </c>
      <c r="T141" s="1">
        <f>IFERROR(VLOOKUP($C141,EQUIPOS[],UNIFICADO!T$9,0),"")</f>
        <v>4</v>
      </c>
      <c r="U141" s="1">
        <f>VLOOKUP(UNIFICADA[[#This Row],[Equipo]],EQUIPOS[],19,0)</f>
        <v>131</v>
      </c>
      <c r="V141" s="1" t="str">
        <f t="shared" si="709"/>
        <v>ND</v>
      </c>
      <c r="W141" s="1" t="str">
        <f t="shared" si="710"/>
        <v>ND</v>
      </c>
      <c r="X141" s="1" t="str">
        <f t="shared" si="702"/>
        <v>ND</v>
      </c>
      <c r="Y141" s="1" t="str">
        <f t="shared" si="702"/>
        <v>ND</v>
      </c>
      <c r="Z141" s="1" t="str">
        <f t="shared" ref="Z141:AH150" si="865">IFERROR(IF(Z$9="ND","ND",VLOOKUP($C141,AC,Z$9,0)),"ND")</f>
        <v>ND</v>
      </c>
      <c r="AA141" s="1" t="str">
        <f t="shared" si="865"/>
        <v>ND</v>
      </c>
      <c r="AB141" s="1" t="str">
        <f t="shared" si="865"/>
        <v>ND</v>
      </c>
      <c r="AC141" s="1" t="str">
        <f t="shared" si="865"/>
        <v>ND</v>
      </c>
      <c r="AD141" s="1" t="str">
        <f t="shared" si="865"/>
        <v>ND</v>
      </c>
      <c r="AE141" s="1" t="str">
        <f t="shared" si="865"/>
        <v>ND</v>
      </c>
      <c r="AF141" s="1" t="str">
        <f t="shared" si="865"/>
        <v>ND</v>
      </c>
      <c r="AG141" s="1" t="str">
        <f t="shared" si="865"/>
        <v>ND</v>
      </c>
      <c r="AH141" s="1" t="str">
        <f t="shared" si="865"/>
        <v>ND</v>
      </c>
      <c r="AI141" s="1" t="str">
        <f t="shared" si="711"/>
        <v>ND</v>
      </c>
      <c r="AJ141" s="1" t="str">
        <f t="shared" si="712"/>
        <v>ND</v>
      </c>
      <c r="AK141" s="1" t="str">
        <f t="shared" si="713"/>
        <v>ND</v>
      </c>
      <c r="AL141" s="1" t="str">
        <f t="shared" si="714"/>
        <v>ND</v>
      </c>
      <c r="AM141" s="1" t="str">
        <f t="shared" si="715"/>
        <v>ND</v>
      </c>
      <c r="AN141" s="1" t="str">
        <f t="shared" si="716"/>
        <v>ND</v>
      </c>
      <c r="AO141" s="1" t="str">
        <f t="shared" si="717"/>
        <v>ND</v>
      </c>
      <c r="AP141" s="1" t="str">
        <f t="shared" si="718"/>
        <v>ND</v>
      </c>
      <c r="AQ141" s="1" t="str">
        <f t="shared" si="719"/>
        <v>ND</v>
      </c>
      <c r="AR141" s="1" t="str">
        <f t="shared" si="720"/>
        <v>ND</v>
      </c>
      <c r="AS141" s="1" t="str">
        <f t="shared" si="721"/>
        <v>ND</v>
      </c>
      <c r="AT141" s="1" t="str">
        <f t="shared" si="722"/>
        <v>ND</v>
      </c>
      <c r="AU141" s="1" t="str">
        <f t="shared" si="723"/>
        <v>ND</v>
      </c>
      <c r="AV141" s="1" t="str">
        <f t="shared" si="724"/>
        <v>ND</v>
      </c>
      <c r="AW141" s="1" t="str">
        <f t="shared" si="725"/>
        <v>ND</v>
      </c>
      <c r="AX141" s="1" t="str">
        <f t="shared" si="726"/>
        <v>ND</v>
      </c>
      <c r="AY141" s="1" t="str">
        <f t="shared" si="727"/>
        <v>ND</v>
      </c>
      <c r="AZ141" s="1" t="str">
        <f t="shared" si="728"/>
        <v>ND</v>
      </c>
      <c r="BA141" s="1" t="str">
        <f t="shared" si="729"/>
        <v>ND</v>
      </c>
      <c r="BB141" s="1" t="str">
        <f t="shared" si="730"/>
        <v>ND</v>
      </c>
      <c r="BC141" s="1" t="str">
        <f t="shared" si="731"/>
        <v>ND</v>
      </c>
      <c r="BD141" s="1" t="str">
        <f t="shared" si="732"/>
        <v>ND</v>
      </c>
      <c r="BE141" s="1" t="str">
        <f t="shared" si="733"/>
        <v>ND</v>
      </c>
      <c r="BF141" s="1" t="str">
        <f t="shared" si="734"/>
        <v>ND</v>
      </c>
      <c r="BG141" s="1" t="str">
        <f t="shared" si="735"/>
        <v>ND</v>
      </c>
      <c r="BH141" s="1" t="str">
        <f t="shared" si="736"/>
        <v>ND</v>
      </c>
      <c r="BI141" s="1" t="str">
        <f t="shared" si="737"/>
        <v>ND</v>
      </c>
      <c r="BJ141" s="1" t="str">
        <f t="shared" si="738"/>
        <v>ND</v>
      </c>
      <c r="BK141" s="1" t="str">
        <f t="shared" si="739"/>
        <v>ND</v>
      </c>
      <c r="BL141" s="1" t="str">
        <f t="shared" si="740"/>
        <v>ND</v>
      </c>
      <c r="BM141" s="1" t="str">
        <f t="shared" si="741"/>
        <v>ND</v>
      </c>
      <c r="BN141" s="1" t="str">
        <f t="shared" si="742"/>
        <v>ND</v>
      </c>
      <c r="BO141" s="1" t="str">
        <f t="shared" si="743"/>
        <v>ND</v>
      </c>
      <c r="BP141" s="1" t="str">
        <f t="shared" si="744"/>
        <v>ND</v>
      </c>
      <c r="BQ141" s="1" t="str">
        <f t="shared" si="745"/>
        <v>ND</v>
      </c>
      <c r="BR141" s="1" t="str">
        <f t="shared" si="746"/>
        <v>ND</v>
      </c>
      <c r="BS141" s="1" t="str">
        <f t="shared" si="747"/>
        <v>ND</v>
      </c>
      <c r="BT141" s="1" t="str">
        <f t="shared" si="748"/>
        <v>ND</v>
      </c>
      <c r="BU141" s="1" t="str">
        <f t="shared" si="749"/>
        <v>ND</v>
      </c>
      <c r="BV141" s="1" t="str">
        <f t="shared" si="750"/>
        <v>ND</v>
      </c>
      <c r="BW141" s="1" t="str">
        <f t="shared" si="751"/>
        <v>ND</v>
      </c>
      <c r="BX141" s="1" t="str">
        <f t="shared" si="752"/>
        <v>ND</v>
      </c>
      <c r="BY141" s="1" t="str">
        <f t="shared" si="753"/>
        <v>ND</v>
      </c>
      <c r="BZ141" s="1" t="str">
        <f t="shared" si="754"/>
        <v>ND</v>
      </c>
      <c r="CA141" s="1" t="str">
        <f t="shared" ref="CA141:CK150" si="866">IFERROR(IF(CA$9="ND","ND",VLOOKUP($C141,FULLC,CA$9,0)),"ND")</f>
        <v>ND</v>
      </c>
      <c r="CB141" s="1" t="str">
        <f t="shared" si="866"/>
        <v>ND</v>
      </c>
      <c r="CC141" s="1" t="str">
        <f t="shared" si="866"/>
        <v>ND</v>
      </c>
      <c r="CD141" s="1" t="str">
        <f t="shared" si="866"/>
        <v>ND</v>
      </c>
      <c r="CE141" s="1" t="str">
        <f t="shared" si="866"/>
        <v>ND</v>
      </c>
      <c r="CF141" s="1" t="str">
        <f t="shared" si="866"/>
        <v>ND</v>
      </c>
      <c r="CG141" s="1" t="str">
        <f t="shared" si="866"/>
        <v>ND</v>
      </c>
      <c r="CH141" s="1" t="str">
        <f t="shared" si="866"/>
        <v>ND</v>
      </c>
      <c r="CI141" s="1" t="str">
        <f t="shared" si="866"/>
        <v>ND</v>
      </c>
      <c r="CJ141" s="1" t="str">
        <f t="shared" si="866"/>
        <v>ND</v>
      </c>
      <c r="CK141" s="1" t="str">
        <f t="shared" si="866"/>
        <v>ND</v>
      </c>
      <c r="CL141" s="1" t="str">
        <f t="shared" ref="CL141:CV150" si="867">IFERROR(IF(CL$9="ND","ND",VLOOKUP($C141,LINA,CL$9,0)),"ND")</f>
        <v>ND</v>
      </c>
      <c r="CM141" s="1" t="str">
        <f t="shared" si="867"/>
        <v>ND</v>
      </c>
      <c r="CN141" s="1" t="str">
        <f t="shared" si="867"/>
        <v>ND</v>
      </c>
      <c r="CO141" s="1" t="str">
        <f t="shared" si="867"/>
        <v>ND</v>
      </c>
      <c r="CP141" s="1" t="str">
        <f t="shared" si="867"/>
        <v>ND</v>
      </c>
      <c r="CQ141" s="1" t="str">
        <f t="shared" si="867"/>
        <v>ND</v>
      </c>
      <c r="CR141" s="1" t="str">
        <f t="shared" si="867"/>
        <v>ND</v>
      </c>
      <c r="CS141" s="1" t="str">
        <f t="shared" si="867"/>
        <v>ND</v>
      </c>
      <c r="CT141" s="1" t="str">
        <f t="shared" si="867"/>
        <v>ND</v>
      </c>
      <c r="CU141" s="1" t="str">
        <f t="shared" si="867"/>
        <v>ND</v>
      </c>
      <c r="CV141" s="1" t="str">
        <f t="shared" si="867"/>
        <v>ND</v>
      </c>
      <c r="CW141" s="1" t="str">
        <f t="shared" si="755"/>
        <v>ND</v>
      </c>
      <c r="CX141" s="1" t="str">
        <f t="shared" si="756"/>
        <v>ND</v>
      </c>
      <c r="CY141" s="1" t="str">
        <f t="shared" si="757"/>
        <v>ND</v>
      </c>
      <c r="CZ141" s="1" t="str">
        <f t="shared" si="758"/>
        <v>ND</v>
      </c>
      <c r="DA141" s="1" t="str">
        <f t="shared" si="759"/>
        <v>ND</v>
      </c>
      <c r="DB141" s="1" t="str">
        <f t="shared" si="760"/>
        <v>ND</v>
      </c>
      <c r="DC141" s="1" t="str">
        <f t="shared" si="761"/>
        <v>ND</v>
      </c>
      <c r="DD141" s="1" t="str">
        <f t="shared" si="762"/>
        <v>ND</v>
      </c>
      <c r="DE141" s="1" t="str">
        <f t="shared" si="763"/>
        <v>ND</v>
      </c>
      <c r="DF141" s="1" t="str">
        <f t="shared" si="764"/>
        <v>ND</v>
      </c>
      <c r="DG141" s="1" t="str">
        <f t="shared" si="765"/>
        <v>ND</v>
      </c>
      <c r="DH141" s="1" t="str">
        <f t="shared" si="766"/>
        <v>ND</v>
      </c>
      <c r="DI141" s="1" t="str">
        <f t="shared" si="767"/>
        <v>ND</v>
      </c>
      <c r="DJ141" s="1" t="str">
        <f t="shared" si="768"/>
        <v>ND</v>
      </c>
      <c r="DK141" s="1" t="str">
        <f t="shared" si="769"/>
        <v>ND</v>
      </c>
      <c r="DL141" s="1" t="str">
        <f t="shared" si="770"/>
        <v>ND</v>
      </c>
      <c r="DM141" s="1" t="str">
        <f t="shared" si="771"/>
        <v>ND</v>
      </c>
      <c r="DN141" s="1" t="str">
        <f t="shared" si="772"/>
        <v>ND</v>
      </c>
      <c r="DO141" s="1" t="str">
        <f t="shared" si="773"/>
        <v>ND</v>
      </c>
      <c r="DP141" s="1" t="str">
        <f t="shared" si="774"/>
        <v>ND</v>
      </c>
      <c r="DQ141" s="1" t="str">
        <f t="shared" si="775"/>
        <v>ND</v>
      </c>
      <c r="DR141" s="1" t="str">
        <f t="shared" si="776"/>
        <v>ND</v>
      </c>
      <c r="DS141" s="1" t="str">
        <f t="shared" si="777"/>
        <v>ND</v>
      </c>
      <c r="DT141" s="1" t="str">
        <f t="shared" si="778"/>
        <v>ND</v>
      </c>
      <c r="DU141" s="1" t="str">
        <f t="shared" si="779"/>
        <v>ND</v>
      </c>
      <c r="DV141" s="1" t="str">
        <f t="shared" si="780"/>
        <v>ND</v>
      </c>
      <c r="DW141" s="1" t="str">
        <f t="shared" si="781"/>
        <v>ND</v>
      </c>
      <c r="DX141" s="1" t="str">
        <f t="shared" si="782"/>
        <v>ND</v>
      </c>
      <c r="DY141" s="1" t="str">
        <f t="shared" si="783"/>
        <v>ND</v>
      </c>
      <c r="DZ141" s="1" t="str">
        <f t="shared" si="784"/>
        <v>ND</v>
      </c>
      <c r="EA141" s="1" t="str">
        <f t="shared" si="785"/>
        <v>ND</v>
      </c>
      <c r="EB141" s="1" t="str">
        <f t="shared" si="786"/>
        <v>ND</v>
      </c>
      <c r="EC141" s="1" t="str">
        <f t="shared" si="787"/>
        <v>ND</v>
      </c>
      <c r="ED141" s="1" t="str">
        <f t="shared" si="788"/>
        <v>ND</v>
      </c>
      <c r="EE141" s="1" t="str">
        <f t="shared" si="789"/>
        <v>ND</v>
      </c>
      <c r="EF141" s="1" t="str">
        <f t="shared" si="790"/>
        <v>ND</v>
      </c>
      <c r="EG141" s="1" t="str">
        <f t="shared" si="791"/>
        <v>ND</v>
      </c>
      <c r="EH141" s="1" t="str">
        <f t="shared" si="792"/>
        <v>ND</v>
      </c>
      <c r="EI141" s="1" t="str">
        <f t="shared" si="793"/>
        <v>ND</v>
      </c>
      <c r="EJ141" s="1" t="str">
        <f t="shared" si="794"/>
        <v>ND</v>
      </c>
      <c r="EK141" s="1" t="str">
        <f t="shared" si="795"/>
        <v>ND</v>
      </c>
      <c r="EL141" s="1" t="str">
        <f t="shared" si="796"/>
        <v>ND</v>
      </c>
      <c r="EM141" s="1" t="str">
        <f t="shared" si="797"/>
        <v>ND</v>
      </c>
      <c r="EN141" s="1" t="str">
        <f t="shared" si="798"/>
        <v>ND</v>
      </c>
      <c r="EO141" s="1" t="str">
        <f t="shared" ref="EO141:EY150" si="868">IFERROR(IF(EO$9="ND","ND",VLOOKUP($C141,PAR,EO$9,0)),"ND")</f>
        <v>ND</v>
      </c>
      <c r="EP141" s="1" t="str">
        <f t="shared" si="868"/>
        <v>ND</v>
      </c>
      <c r="EQ141" s="1" t="str">
        <f t="shared" si="868"/>
        <v>ND</v>
      </c>
      <c r="ER141" s="1" t="str">
        <f t="shared" si="868"/>
        <v>ND</v>
      </c>
      <c r="ES141" s="1" t="str">
        <f t="shared" si="868"/>
        <v>ND</v>
      </c>
      <c r="ET141" s="1" t="str">
        <f t="shared" si="868"/>
        <v>ND</v>
      </c>
      <c r="EU141" s="1" t="str">
        <f t="shared" si="868"/>
        <v>ND</v>
      </c>
      <c r="EV141" s="1" t="str">
        <f t="shared" si="868"/>
        <v>ND</v>
      </c>
      <c r="EW141" s="1" t="str">
        <f t="shared" si="868"/>
        <v>ND</v>
      </c>
      <c r="EX141" s="1" t="str">
        <f t="shared" si="868"/>
        <v>ND</v>
      </c>
      <c r="EY141" s="1" t="str">
        <f t="shared" si="868"/>
        <v>ND</v>
      </c>
      <c r="EZ141" s="1" t="str">
        <f t="shared" ref="EZ141:FJ150" si="869">IFERROR(IF(EZ$9="ND","ND",VLOOKUP($C141,PE,EZ$9,0)),"ND")</f>
        <v>ND</v>
      </c>
      <c r="FA141" s="1" t="str">
        <f t="shared" si="869"/>
        <v>ND</v>
      </c>
      <c r="FB141" s="1" t="str">
        <f t="shared" si="869"/>
        <v>ND</v>
      </c>
      <c r="FC141" s="1" t="str">
        <f t="shared" si="869"/>
        <v>ND</v>
      </c>
      <c r="FD141" s="1" t="str">
        <f t="shared" si="869"/>
        <v>ND</v>
      </c>
      <c r="FE141" s="1" t="str">
        <f t="shared" si="869"/>
        <v>ND</v>
      </c>
      <c r="FF141" s="1" t="str">
        <f t="shared" si="869"/>
        <v>ND</v>
      </c>
      <c r="FG141" s="1" t="str">
        <f t="shared" si="869"/>
        <v>ND</v>
      </c>
      <c r="FH141" s="1" t="str">
        <f t="shared" si="869"/>
        <v>ND</v>
      </c>
      <c r="FI141" s="1" t="str">
        <f t="shared" si="869"/>
        <v>ND</v>
      </c>
      <c r="FJ141" s="1" t="str">
        <f t="shared" si="869"/>
        <v>ND</v>
      </c>
      <c r="FK141" s="1" t="str">
        <f t="shared" ref="FK141:FU150" si="870">IFERROR(IF(FK$9="ND","ND",VLOOKUP($C141,RE,FK$9,0)),"ND")</f>
        <v>ND</v>
      </c>
      <c r="FL141" s="1" t="str">
        <f t="shared" si="870"/>
        <v>ND</v>
      </c>
      <c r="FM141" s="1" t="str">
        <f t="shared" si="870"/>
        <v>ND</v>
      </c>
      <c r="FN141" s="1" t="str">
        <f t="shared" si="870"/>
        <v>ND</v>
      </c>
      <c r="FO141" s="1" t="str">
        <f t="shared" si="870"/>
        <v>ND</v>
      </c>
      <c r="FP141" s="1" t="str">
        <f t="shared" si="870"/>
        <v>ND</v>
      </c>
      <c r="FQ141" s="1" t="str">
        <f t="shared" si="870"/>
        <v>ND</v>
      </c>
      <c r="FR141" s="1" t="str">
        <f t="shared" si="870"/>
        <v>ND</v>
      </c>
      <c r="FS141" s="1" t="str">
        <f t="shared" si="870"/>
        <v>ND</v>
      </c>
      <c r="FT141" s="1" t="str">
        <f t="shared" si="870"/>
        <v>ND</v>
      </c>
      <c r="FU141" s="1" t="str">
        <f t="shared" si="870"/>
        <v>ND</v>
      </c>
      <c r="FV141" s="1" t="str">
        <f t="shared" si="799"/>
        <v>ND</v>
      </c>
      <c r="FW141" s="1" t="str">
        <f t="shared" si="800"/>
        <v>ND</v>
      </c>
      <c r="FX141" s="1" t="str">
        <f t="shared" si="801"/>
        <v>ND</v>
      </c>
      <c r="FY141" s="1" t="str">
        <f t="shared" si="802"/>
        <v>ND</v>
      </c>
      <c r="FZ141" s="1" t="str">
        <f t="shared" si="803"/>
        <v>ND</v>
      </c>
      <c r="GA141" s="1" t="str">
        <f t="shared" si="804"/>
        <v>ND</v>
      </c>
      <c r="GB141" s="1" t="str">
        <f t="shared" si="805"/>
        <v>ND</v>
      </c>
      <c r="GC141" s="1" t="str">
        <f t="shared" si="806"/>
        <v>ND</v>
      </c>
      <c r="GD141" s="1" t="str">
        <f t="shared" si="807"/>
        <v>ND</v>
      </c>
      <c r="GE141" s="1" t="str">
        <f t="shared" si="808"/>
        <v>ND</v>
      </c>
      <c r="GF141" s="1" t="str">
        <f t="shared" si="809"/>
        <v>ND</v>
      </c>
      <c r="GG141" s="1" t="str">
        <f t="shared" si="810"/>
        <v>ND</v>
      </c>
      <c r="GH141" s="1" t="str">
        <f t="shared" si="811"/>
        <v>ND</v>
      </c>
      <c r="GI141" s="1" t="str">
        <f t="shared" si="812"/>
        <v>ND</v>
      </c>
      <c r="GJ141" s="1" t="str">
        <f t="shared" si="813"/>
        <v>ND</v>
      </c>
      <c r="GK141" s="1" t="str">
        <f t="shared" si="814"/>
        <v>ND</v>
      </c>
      <c r="GL141" s="1" t="str">
        <f t="shared" si="815"/>
        <v>ND</v>
      </c>
      <c r="GM141" s="1" t="str">
        <f t="shared" si="816"/>
        <v>ND</v>
      </c>
      <c r="GN141" s="1" t="str">
        <f t="shared" si="817"/>
        <v>ND</v>
      </c>
      <c r="GO141" s="1" t="str">
        <f t="shared" si="818"/>
        <v>ND</v>
      </c>
      <c r="GP141" s="1" t="str">
        <f t="shared" si="819"/>
        <v>ND</v>
      </c>
      <c r="GQ141" s="1" t="str">
        <f t="shared" si="820"/>
        <v>ND</v>
      </c>
      <c r="GR141" s="1" t="str">
        <f t="shared" si="821"/>
        <v>ND</v>
      </c>
      <c r="GS141" s="1" t="str">
        <f t="shared" si="822"/>
        <v>ND</v>
      </c>
      <c r="GT141" s="1" t="str">
        <f t="shared" si="823"/>
        <v>ND</v>
      </c>
      <c r="GU141" s="1" t="str">
        <f t="shared" si="824"/>
        <v>ND</v>
      </c>
      <c r="GV141" s="1" t="str">
        <f t="shared" si="825"/>
        <v>ND</v>
      </c>
      <c r="GW141" s="1" t="str">
        <f t="shared" si="826"/>
        <v>ND</v>
      </c>
      <c r="GX141" s="1" t="str">
        <f t="shared" si="827"/>
        <v>ND</v>
      </c>
      <c r="GY141" s="1" t="str">
        <f t="shared" si="828"/>
        <v>ND</v>
      </c>
      <c r="GZ141" s="1" t="str">
        <f t="shared" si="829"/>
        <v>ND</v>
      </c>
      <c r="HA141" s="1" t="str">
        <f t="shared" si="830"/>
        <v>ND</v>
      </c>
      <c r="HB141" s="1" t="str">
        <f t="shared" si="831"/>
        <v>ND</v>
      </c>
      <c r="HC141" s="1" t="str">
        <f t="shared" si="832"/>
        <v>ND</v>
      </c>
      <c r="HD141" s="1" t="str">
        <f t="shared" si="833"/>
        <v>ND</v>
      </c>
      <c r="HE141" s="1" t="str">
        <f t="shared" si="834"/>
        <v>ND</v>
      </c>
      <c r="HF141" s="1" t="str">
        <f t="shared" si="835"/>
        <v>ND</v>
      </c>
      <c r="HG141" s="1" t="str">
        <f t="shared" si="836"/>
        <v>ND</v>
      </c>
      <c r="HH141" s="1" t="str">
        <f t="shared" si="837"/>
        <v>ND</v>
      </c>
      <c r="HI141" s="1" t="str">
        <f t="shared" si="838"/>
        <v>ND</v>
      </c>
      <c r="HJ141" s="1" t="str">
        <f t="shared" si="839"/>
        <v>ND</v>
      </c>
      <c r="HK141" s="1" t="str">
        <f t="shared" si="840"/>
        <v>ND</v>
      </c>
      <c r="HL141" s="1" t="str">
        <f t="shared" si="841"/>
        <v>ND</v>
      </c>
      <c r="HM141" s="1" t="str">
        <f t="shared" si="842"/>
        <v>ND</v>
      </c>
      <c r="HN141" s="1" t="str">
        <f t="shared" si="843"/>
        <v>ND</v>
      </c>
      <c r="HO141" s="1" t="str">
        <f t="shared" si="844"/>
        <v>ND</v>
      </c>
      <c r="HP141" s="1" t="str">
        <f t="shared" si="845"/>
        <v>ND</v>
      </c>
      <c r="HQ141" s="1" t="str">
        <f t="shared" si="846"/>
        <v>ND</v>
      </c>
      <c r="HR141" s="1" t="str">
        <f t="shared" si="847"/>
        <v>ND</v>
      </c>
      <c r="HS141" s="1" t="str">
        <f t="shared" si="848"/>
        <v>ND</v>
      </c>
      <c r="HT141" s="1" t="str">
        <f t="shared" si="849"/>
        <v>ND</v>
      </c>
      <c r="HU141" s="1" t="str">
        <f t="shared" si="850"/>
        <v>ND</v>
      </c>
      <c r="HV141" s="1" t="str">
        <f t="shared" si="851"/>
        <v>ND</v>
      </c>
      <c r="HW141" s="1" t="str">
        <f t="shared" si="852"/>
        <v>ND</v>
      </c>
      <c r="HX141" s="1" t="str">
        <f t="shared" si="853"/>
        <v>ND</v>
      </c>
      <c r="HY141" s="1" t="str">
        <f t="shared" si="854"/>
        <v>ND</v>
      </c>
      <c r="HZ141" s="1" t="str">
        <f t="shared" si="855"/>
        <v>ND</v>
      </c>
      <c r="IA141" s="1" t="str">
        <f t="shared" si="856"/>
        <v>ND</v>
      </c>
      <c r="IB141" s="1" t="str">
        <f t="shared" si="857"/>
        <v>ND</v>
      </c>
      <c r="IC141" s="1" t="str">
        <f t="shared" si="858"/>
        <v>ND</v>
      </c>
      <c r="ID141" s="1" t="str">
        <f t="shared" si="859"/>
        <v>ND</v>
      </c>
      <c r="IE141" s="1" t="str">
        <f t="shared" si="860"/>
        <v>ND</v>
      </c>
      <c r="IF141" s="1" t="str">
        <f t="shared" si="861"/>
        <v>ND</v>
      </c>
      <c r="IG141" s="1" t="str">
        <f t="shared" si="862"/>
        <v>ND</v>
      </c>
      <c r="IH141" s="1" t="str">
        <f t="shared" si="863"/>
        <v>ND</v>
      </c>
      <c r="II141" s="1" t="str">
        <f t="shared" si="864"/>
        <v>ND</v>
      </c>
    </row>
    <row r="142" spans="3:243" x14ac:dyDescent="0.25">
      <c r="C142" t="s">
        <v>1201</v>
      </c>
      <c r="D142">
        <f>SUMIFS(DICCIONARIO[Cantidad],DICCIONARIO[Modelo],UNIFICADA[[#This Row],[Equipo]])</f>
        <v>0</v>
      </c>
      <c r="E142" s="1">
        <f>IFERROR(VLOOKUP($C142,EQUIPOS[],UNIFICADO!E$9,0),"")</f>
        <v>13</v>
      </c>
      <c r="F142" s="1">
        <f>IFERROR(VLOOKUP($C142,EQUIPOS[],UNIFICADO!F$9,0),"")</f>
        <v>6.43</v>
      </c>
      <c r="G142" s="1">
        <f>IFERROR(VLOOKUP($C142,EQUIPOS[],UNIFICADO!G$9,0),"")</f>
        <v>108</v>
      </c>
      <c r="H142" s="1">
        <f>IFERROR(VLOOKUP($C142,EQUIPOS[],UNIFICADO!H$9,0),"")</f>
        <v>3</v>
      </c>
      <c r="I142" s="1">
        <f>IFERROR(VLOOKUP($C142,EQUIPOS[],UNIFICADO!I$9,0),"")</f>
        <v>16</v>
      </c>
      <c r="J142" s="1" t="str">
        <f>IFERROR(VLOOKUP($C142,EQUIPOS[],UNIFICADO!J$9,0),"")</f>
        <v>256GB</v>
      </c>
      <c r="K142" s="1">
        <f>IFERROR(VLOOKUP($C142,EQUIPOS[],UNIFICADO!K$9,0),"")</f>
        <v>0</v>
      </c>
      <c r="L142" s="1">
        <f>IFERROR(VLOOKUP($C142,EQUIPOS[],UNIFICADO!L$9,0),"")</f>
        <v>8</v>
      </c>
      <c r="M142" s="1" t="str">
        <f>IFERROR(VLOOKUP($C142,EQUIPOS[],UNIFICADO!M$9,0),"")</f>
        <v>MdTk Helio G96</v>
      </c>
      <c r="N142" s="1">
        <f>IFERROR(VLOOKUP($C142,EQUIPOS[],UNIFICADO!N$9,0),"")</f>
        <v>8</v>
      </c>
      <c r="O142" s="1">
        <f>IFERROR(VLOOKUP($C142,EQUIPOS[],UNIFICADO!O$9,0),"")</f>
        <v>179</v>
      </c>
      <c r="P142" s="1">
        <f>IFERROR(VLOOKUP($C142,EQUIPOS[],UNIFICADO!P$9,0),"")</f>
        <v>16</v>
      </c>
      <c r="Q142" s="1">
        <f>IFERROR(VLOOKUP($C142,EQUIPOS[],UNIFICADO!Q$9,0),"")</f>
        <v>7.34</v>
      </c>
      <c r="R142" s="1">
        <f>IFERROR(VLOOKUP($C142,EQUIPOS[],UNIFICADO!R$9,0),"")</f>
        <v>0.81</v>
      </c>
      <c r="S142" s="1" t="str">
        <f>IFERROR(VLOOKUP($C142,EQUIPOS[],UNIFICADO!S$9,0),"")</f>
        <v>5000 33W</v>
      </c>
      <c r="T142" s="1">
        <f>IFERROR(VLOOKUP($C142,EQUIPOS[],UNIFICADO!T$9,0),"")</f>
        <v>4</v>
      </c>
      <c r="U142" s="1">
        <f>VLOOKUP(UNIFICADA[[#This Row],[Equipo]],EQUIPOS[],19,0)</f>
        <v>132</v>
      </c>
      <c r="V142" s="1" t="str">
        <f t="shared" si="709"/>
        <v>ND</v>
      </c>
      <c r="W142" s="1" t="str">
        <f t="shared" si="710"/>
        <v>ND</v>
      </c>
      <c r="X142" s="1" t="str">
        <f t="shared" si="702"/>
        <v>ND</v>
      </c>
      <c r="Y142" s="1" t="str">
        <f t="shared" si="702"/>
        <v>ND</v>
      </c>
      <c r="Z142" s="1" t="str">
        <f t="shared" si="865"/>
        <v>ND</v>
      </c>
      <c r="AA142" s="1" t="str">
        <f t="shared" si="865"/>
        <v>ND</v>
      </c>
      <c r="AB142" s="1" t="str">
        <f t="shared" si="865"/>
        <v>ND</v>
      </c>
      <c r="AC142" s="1" t="str">
        <f t="shared" si="865"/>
        <v>ND</v>
      </c>
      <c r="AD142" s="1" t="str">
        <f t="shared" si="865"/>
        <v>ND</v>
      </c>
      <c r="AE142" s="1" t="str">
        <f t="shared" si="865"/>
        <v>ND</v>
      </c>
      <c r="AF142" s="1" t="str">
        <f t="shared" si="865"/>
        <v>ND</v>
      </c>
      <c r="AG142" s="1" t="str">
        <f t="shared" si="865"/>
        <v>ND</v>
      </c>
      <c r="AH142" s="1" t="str">
        <f t="shared" si="865"/>
        <v>ND</v>
      </c>
      <c r="AI142" s="1" t="str">
        <f t="shared" si="711"/>
        <v>ND</v>
      </c>
      <c r="AJ142" s="1" t="str">
        <f t="shared" si="712"/>
        <v>ND</v>
      </c>
      <c r="AK142" s="1" t="str">
        <f t="shared" si="713"/>
        <v>ND</v>
      </c>
      <c r="AL142" s="1" t="str">
        <f t="shared" si="714"/>
        <v>ND</v>
      </c>
      <c r="AM142" s="1" t="str">
        <f t="shared" si="715"/>
        <v>ND</v>
      </c>
      <c r="AN142" s="1" t="str">
        <f t="shared" si="716"/>
        <v>ND</v>
      </c>
      <c r="AO142" s="1" t="str">
        <f t="shared" si="717"/>
        <v>ND</v>
      </c>
      <c r="AP142" s="1" t="str">
        <f t="shared" si="718"/>
        <v>ND</v>
      </c>
      <c r="AQ142" s="1" t="str">
        <f t="shared" si="719"/>
        <v>ND</v>
      </c>
      <c r="AR142" s="1" t="str">
        <f t="shared" si="720"/>
        <v>ND</v>
      </c>
      <c r="AS142" s="1" t="str">
        <f t="shared" si="721"/>
        <v>ND</v>
      </c>
      <c r="AT142" s="1" t="str">
        <f t="shared" si="722"/>
        <v>ND</v>
      </c>
      <c r="AU142" s="1" t="str">
        <f t="shared" si="723"/>
        <v>ND</v>
      </c>
      <c r="AV142" s="1" t="str">
        <f t="shared" si="724"/>
        <v>ND</v>
      </c>
      <c r="AW142" s="1" t="str">
        <f t="shared" si="725"/>
        <v>ND</v>
      </c>
      <c r="AX142" s="1" t="str">
        <f t="shared" si="726"/>
        <v>ND</v>
      </c>
      <c r="AY142" s="1" t="str">
        <f t="shared" si="727"/>
        <v>ND</v>
      </c>
      <c r="AZ142" s="1" t="str">
        <f t="shared" si="728"/>
        <v>ND</v>
      </c>
      <c r="BA142" s="1" t="str">
        <f t="shared" si="729"/>
        <v>ND</v>
      </c>
      <c r="BB142" s="1" t="str">
        <f t="shared" si="730"/>
        <v>ND</v>
      </c>
      <c r="BC142" s="1" t="str">
        <f t="shared" si="731"/>
        <v>ND</v>
      </c>
      <c r="BD142" s="1" t="str">
        <f t="shared" si="732"/>
        <v>ND</v>
      </c>
      <c r="BE142" s="1" t="str">
        <f t="shared" si="733"/>
        <v>ND</v>
      </c>
      <c r="BF142" s="1" t="str">
        <f t="shared" si="734"/>
        <v>ND</v>
      </c>
      <c r="BG142" s="1" t="str">
        <f t="shared" si="735"/>
        <v>ND</v>
      </c>
      <c r="BH142" s="1" t="str">
        <f t="shared" si="736"/>
        <v>ND</v>
      </c>
      <c r="BI142" s="1" t="str">
        <f t="shared" si="737"/>
        <v>ND</v>
      </c>
      <c r="BJ142" s="1" t="str">
        <f t="shared" si="738"/>
        <v>ND</v>
      </c>
      <c r="BK142" s="1" t="str">
        <f t="shared" si="739"/>
        <v>ND</v>
      </c>
      <c r="BL142" s="1" t="str">
        <f t="shared" si="740"/>
        <v>ND</v>
      </c>
      <c r="BM142" s="1" t="str">
        <f t="shared" si="741"/>
        <v>ND</v>
      </c>
      <c r="BN142" s="1" t="str">
        <f t="shared" si="742"/>
        <v>ND</v>
      </c>
      <c r="BO142" s="1" t="str">
        <f t="shared" si="743"/>
        <v>ND</v>
      </c>
      <c r="BP142" s="1" t="str">
        <f t="shared" si="744"/>
        <v>ND</v>
      </c>
      <c r="BQ142" s="1" t="str">
        <f t="shared" si="745"/>
        <v>ND</v>
      </c>
      <c r="BR142" s="1" t="str">
        <f t="shared" si="746"/>
        <v>ND</v>
      </c>
      <c r="BS142" s="1" t="str">
        <f t="shared" si="747"/>
        <v>ND</v>
      </c>
      <c r="BT142" s="1" t="str">
        <f t="shared" si="748"/>
        <v>ND</v>
      </c>
      <c r="BU142" s="1" t="str">
        <f t="shared" si="749"/>
        <v>ND</v>
      </c>
      <c r="BV142" s="1" t="str">
        <f t="shared" si="750"/>
        <v>ND</v>
      </c>
      <c r="BW142" s="1" t="str">
        <f t="shared" si="751"/>
        <v>ND</v>
      </c>
      <c r="BX142" s="1" t="str">
        <f t="shared" si="752"/>
        <v>ND</v>
      </c>
      <c r="BY142" s="1" t="str">
        <f t="shared" si="753"/>
        <v>ND</v>
      </c>
      <c r="BZ142" s="1" t="str">
        <f t="shared" si="754"/>
        <v>ND</v>
      </c>
      <c r="CA142" s="1" t="str">
        <f t="shared" si="866"/>
        <v>ND</v>
      </c>
      <c r="CB142" s="1" t="str">
        <f t="shared" si="866"/>
        <v>ND</v>
      </c>
      <c r="CC142" s="1" t="str">
        <f t="shared" si="866"/>
        <v>ND</v>
      </c>
      <c r="CD142" s="1" t="str">
        <f t="shared" si="866"/>
        <v>ND</v>
      </c>
      <c r="CE142" s="1" t="str">
        <f t="shared" si="866"/>
        <v>ND</v>
      </c>
      <c r="CF142" s="1" t="str">
        <f t="shared" si="866"/>
        <v>ND</v>
      </c>
      <c r="CG142" s="1" t="str">
        <f t="shared" si="866"/>
        <v>ND</v>
      </c>
      <c r="CH142" s="1" t="str">
        <f t="shared" si="866"/>
        <v>ND</v>
      </c>
      <c r="CI142" s="1" t="str">
        <f t="shared" si="866"/>
        <v>ND</v>
      </c>
      <c r="CJ142" s="1" t="str">
        <f t="shared" si="866"/>
        <v>ND</v>
      </c>
      <c r="CK142" s="1" t="str">
        <f t="shared" si="866"/>
        <v>ND</v>
      </c>
      <c r="CL142" s="1" t="str">
        <f t="shared" si="867"/>
        <v>ND</v>
      </c>
      <c r="CM142" s="1" t="str">
        <f t="shared" si="867"/>
        <v>ND</v>
      </c>
      <c r="CN142" s="1" t="str">
        <f t="shared" si="867"/>
        <v>ND</v>
      </c>
      <c r="CO142" s="1" t="str">
        <f t="shared" si="867"/>
        <v>ND</v>
      </c>
      <c r="CP142" s="1" t="str">
        <f t="shared" si="867"/>
        <v>ND</v>
      </c>
      <c r="CQ142" s="1" t="str">
        <f t="shared" si="867"/>
        <v>ND</v>
      </c>
      <c r="CR142" s="1" t="str">
        <f t="shared" si="867"/>
        <v>ND</v>
      </c>
      <c r="CS142" s="1" t="str">
        <f t="shared" si="867"/>
        <v>ND</v>
      </c>
      <c r="CT142" s="1" t="str">
        <f t="shared" si="867"/>
        <v>ND</v>
      </c>
      <c r="CU142" s="1" t="str">
        <f t="shared" si="867"/>
        <v>ND</v>
      </c>
      <c r="CV142" s="1" t="str">
        <f t="shared" si="867"/>
        <v>ND</v>
      </c>
      <c r="CW142" s="1" t="str">
        <f t="shared" si="755"/>
        <v>ND</v>
      </c>
      <c r="CX142" s="1" t="str">
        <f t="shared" si="756"/>
        <v>ND</v>
      </c>
      <c r="CY142" s="1" t="str">
        <f t="shared" si="757"/>
        <v>ND</v>
      </c>
      <c r="CZ142" s="1" t="str">
        <f t="shared" si="758"/>
        <v>ND</v>
      </c>
      <c r="DA142" s="1" t="str">
        <f t="shared" si="759"/>
        <v>ND</v>
      </c>
      <c r="DB142" s="1" t="str">
        <f t="shared" si="760"/>
        <v>ND</v>
      </c>
      <c r="DC142" s="1" t="str">
        <f t="shared" si="761"/>
        <v>ND</v>
      </c>
      <c r="DD142" s="1" t="str">
        <f t="shared" si="762"/>
        <v>ND</v>
      </c>
      <c r="DE142" s="1" t="str">
        <f t="shared" si="763"/>
        <v>ND</v>
      </c>
      <c r="DF142" s="1" t="str">
        <f t="shared" si="764"/>
        <v>ND</v>
      </c>
      <c r="DG142" s="1" t="str">
        <f t="shared" si="765"/>
        <v>ND</v>
      </c>
      <c r="DH142" s="1" t="str">
        <f t="shared" si="766"/>
        <v>ND</v>
      </c>
      <c r="DI142" s="1" t="str">
        <f t="shared" si="767"/>
        <v>ND</v>
      </c>
      <c r="DJ142" s="1" t="str">
        <f t="shared" si="768"/>
        <v>ND</v>
      </c>
      <c r="DK142" s="1" t="str">
        <f t="shared" si="769"/>
        <v>ND</v>
      </c>
      <c r="DL142" s="1" t="str">
        <f t="shared" si="770"/>
        <v>ND</v>
      </c>
      <c r="DM142" s="1" t="str">
        <f t="shared" si="771"/>
        <v>ND</v>
      </c>
      <c r="DN142" s="1" t="str">
        <f t="shared" si="772"/>
        <v>ND</v>
      </c>
      <c r="DO142" s="1" t="str">
        <f t="shared" si="773"/>
        <v>ND</v>
      </c>
      <c r="DP142" s="1" t="str">
        <f t="shared" si="774"/>
        <v>ND</v>
      </c>
      <c r="DQ142" s="1" t="str">
        <f t="shared" si="775"/>
        <v>ND</v>
      </c>
      <c r="DR142" s="1" t="str">
        <f t="shared" si="776"/>
        <v>ND</v>
      </c>
      <c r="DS142" s="1" t="str">
        <f t="shared" si="777"/>
        <v>ND</v>
      </c>
      <c r="DT142" s="1" t="str">
        <f t="shared" si="778"/>
        <v>ND</v>
      </c>
      <c r="DU142" s="1" t="str">
        <f t="shared" si="779"/>
        <v>ND</v>
      </c>
      <c r="DV142" s="1" t="str">
        <f t="shared" si="780"/>
        <v>ND</v>
      </c>
      <c r="DW142" s="1" t="str">
        <f t="shared" si="781"/>
        <v>ND</v>
      </c>
      <c r="DX142" s="1" t="str">
        <f t="shared" si="782"/>
        <v>ND</v>
      </c>
      <c r="DY142" s="1" t="str">
        <f t="shared" si="783"/>
        <v>ND</v>
      </c>
      <c r="DZ142" s="1" t="str">
        <f t="shared" si="784"/>
        <v>ND</v>
      </c>
      <c r="EA142" s="1" t="str">
        <f t="shared" si="785"/>
        <v>ND</v>
      </c>
      <c r="EB142" s="1" t="str">
        <f t="shared" si="786"/>
        <v>ND</v>
      </c>
      <c r="EC142" s="1" t="str">
        <f t="shared" si="787"/>
        <v>ND</v>
      </c>
      <c r="ED142" s="1" t="str">
        <f t="shared" si="788"/>
        <v>ND</v>
      </c>
      <c r="EE142" s="1" t="str">
        <f t="shared" si="789"/>
        <v>ND</v>
      </c>
      <c r="EF142" s="1" t="str">
        <f t="shared" si="790"/>
        <v>ND</v>
      </c>
      <c r="EG142" s="1" t="str">
        <f t="shared" si="791"/>
        <v>ND</v>
      </c>
      <c r="EH142" s="1" t="str">
        <f t="shared" si="792"/>
        <v>ND</v>
      </c>
      <c r="EI142" s="1" t="str">
        <f t="shared" si="793"/>
        <v>ND</v>
      </c>
      <c r="EJ142" s="1" t="str">
        <f t="shared" si="794"/>
        <v>ND</v>
      </c>
      <c r="EK142" s="1" t="str">
        <f t="shared" si="795"/>
        <v>ND</v>
      </c>
      <c r="EL142" s="1" t="str">
        <f t="shared" si="796"/>
        <v>ND</v>
      </c>
      <c r="EM142" s="1" t="str">
        <f t="shared" si="797"/>
        <v>ND</v>
      </c>
      <c r="EN142" s="1" t="str">
        <f t="shared" si="798"/>
        <v>ND</v>
      </c>
      <c r="EO142" s="1" t="str">
        <f t="shared" si="868"/>
        <v>ND</v>
      </c>
      <c r="EP142" s="1" t="str">
        <f t="shared" si="868"/>
        <v>ND</v>
      </c>
      <c r="EQ142" s="1" t="str">
        <f t="shared" si="868"/>
        <v>ND</v>
      </c>
      <c r="ER142" s="1" t="str">
        <f t="shared" si="868"/>
        <v>ND</v>
      </c>
      <c r="ES142" s="1" t="str">
        <f t="shared" si="868"/>
        <v>ND</v>
      </c>
      <c r="ET142" s="1" t="str">
        <f t="shared" si="868"/>
        <v>ND</v>
      </c>
      <c r="EU142" s="1" t="str">
        <f t="shared" si="868"/>
        <v>ND</v>
      </c>
      <c r="EV142" s="1" t="str">
        <f t="shared" si="868"/>
        <v>ND</v>
      </c>
      <c r="EW142" s="1" t="str">
        <f t="shared" si="868"/>
        <v>ND</v>
      </c>
      <c r="EX142" s="1" t="str">
        <f t="shared" si="868"/>
        <v>ND</v>
      </c>
      <c r="EY142" s="1" t="str">
        <f t="shared" si="868"/>
        <v>ND</v>
      </c>
      <c r="EZ142" s="1" t="str">
        <f t="shared" si="869"/>
        <v>ND</v>
      </c>
      <c r="FA142" s="1" t="str">
        <f t="shared" si="869"/>
        <v>ND</v>
      </c>
      <c r="FB142" s="1" t="str">
        <f t="shared" si="869"/>
        <v>ND</v>
      </c>
      <c r="FC142" s="1" t="str">
        <f t="shared" si="869"/>
        <v>ND</v>
      </c>
      <c r="FD142" s="1" t="str">
        <f t="shared" si="869"/>
        <v>ND</v>
      </c>
      <c r="FE142" s="1" t="str">
        <f t="shared" si="869"/>
        <v>ND</v>
      </c>
      <c r="FF142" s="1" t="str">
        <f t="shared" si="869"/>
        <v>ND</v>
      </c>
      <c r="FG142" s="1" t="str">
        <f t="shared" si="869"/>
        <v>ND</v>
      </c>
      <c r="FH142" s="1" t="str">
        <f t="shared" si="869"/>
        <v>ND</v>
      </c>
      <c r="FI142" s="1" t="str">
        <f t="shared" si="869"/>
        <v>ND</v>
      </c>
      <c r="FJ142" s="1" t="str">
        <f t="shared" si="869"/>
        <v>ND</v>
      </c>
      <c r="FK142" s="1" t="str">
        <f t="shared" si="870"/>
        <v>ND</v>
      </c>
      <c r="FL142" s="1" t="str">
        <f t="shared" si="870"/>
        <v>ND</v>
      </c>
      <c r="FM142" s="1" t="str">
        <f t="shared" si="870"/>
        <v>ND</v>
      </c>
      <c r="FN142" s="1" t="str">
        <f t="shared" si="870"/>
        <v>ND</v>
      </c>
      <c r="FO142" s="1" t="str">
        <f t="shared" si="870"/>
        <v>ND</v>
      </c>
      <c r="FP142" s="1" t="str">
        <f t="shared" si="870"/>
        <v>ND</v>
      </c>
      <c r="FQ142" s="1" t="str">
        <f t="shared" si="870"/>
        <v>ND</v>
      </c>
      <c r="FR142" s="1" t="str">
        <f t="shared" si="870"/>
        <v>ND</v>
      </c>
      <c r="FS142" s="1" t="str">
        <f t="shared" si="870"/>
        <v>ND</v>
      </c>
      <c r="FT142" s="1" t="str">
        <f t="shared" si="870"/>
        <v>ND</v>
      </c>
      <c r="FU142" s="1" t="str">
        <f t="shared" si="870"/>
        <v>ND</v>
      </c>
      <c r="FV142" s="1" t="str">
        <f t="shared" si="799"/>
        <v>ND</v>
      </c>
      <c r="FW142" s="1" t="str">
        <f t="shared" si="800"/>
        <v>ND</v>
      </c>
      <c r="FX142" s="1" t="str">
        <f t="shared" si="801"/>
        <v>ND</v>
      </c>
      <c r="FY142" s="1" t="str">
        <f t="shared" si="802"/>
        <v>ND</v>
      </c>
      <c r="FZ142" s="1" t="str">
        <f t="shared" si="803"/>
        <v>ND</v>
      </c>
      <c r="GA142" s="1" t="str">
        <f t="shared" si="804"/>
        <v>ND</v>
      </c>
      <c r="GB142" s="1" t="str">
        <f t="shared" si="805"/>
        <v>ND</v>
      </c>
      <c r="GC142" s="1" t="str">
        <f t="shared" si="806"/>
        <v>ND</v>
      </c>
      <c r="GD142" s="1" t="str">
        <f t="shared" si="807"/>
        <v>ND</v>
      </c>
      <c r="GE142" s="1" t="str">
        <f t="shared" si="808"/>
        <v>ND</v>
      </c>
      <c r="GF142" s="1" t="str">
        <f t="shared" si="809"/>
        <v>ND</v>
      </c>
      <c r="GG142" s="1" t="str">
        <f t="shared" si="810"/>
        <v>ND</v>
      </c>
      <c r="GH142" s="1" t="str">
        <f t="shared" si="811"/>
        <v>ND</v>
      </c>
      <c r="GI142" s="1" t="str">
        <f t="shared" si="812"/>
        <v>ND</v>
      </c>
      <c r="GJ142" s="1" t="str">
        <f t="shared" si="813"/>
        <v>ND</v>
      </c>
      <c r="GK142" s="1" t="str">
        <f t="shared" si="814"/>
        <v>ND</v>
      </c>
      <c r="GL142" s="1" t="str">
        <f t="shared" si="815"/>
        <v>ND</v>
      </c>
      <c r="GM142" s="1" t="str">
        <f t="shared" si="816"/>
        <v>ND</v>
      </c>
      <c r="GN142" s="1" t="str">
        <f t="shared" si="817"/>
        <v>ND</v>
      </c>
      <c r="GO142" s="1" t="str">
        <f t="shared" si="818"/>
        <v>ND</v>
      </c>
      <c r="GP142" s="1" t="str">
        <f t="shared" si="819"/>
        <v>ND</v>
      </c>
      <c r="GQ142" s="1" t="str">
        <f t="shared" si="820"/>
        <v>ND</v>
      </c>
      <c r="GR142" s="1" t="str">
        <f t="shared" si="821"/>
        <v>ND</v>
      </c>
      <c r="GS142" s="1" t="str">
        <f t="shared" si="822"/>
        <v>ND</v>
      </c>
      <c r="GT142" s="1" t="str">
        <f t="shared" si="823"/>
        <v>ND</v>
      </c>
      <c r="GU142" s="1" t="str">
        <f t="shared" si="824"/>
        <v>ND</v>
      </c>
      <c r="GV142" s="1" t="str">
        <f t="shared" si="825"/>
        <v>ND</v>
      </c>
      <c r="GW142" s="1" t="str">
        <f t="shared" si="826"/>
        <v>ND</v>
      </c>
      <c r="GX142" s="1" t="str">
        <f t="shared" si="827"/>
        <v>ND</v>
      </c>
      <c r="GY142" s="1" t="str">
        <f t="shared" si="828"/>
        <v>ND</v>
      </c>
      <c r="GZ142" s="1" t="str">
        <f t="shared" si="829"/>
        <v>ND</v>
      </c>
      <c r="HA142" s="1" t="str">
        <f t="shared" si="830"/>
        <v>ND</v>
      </c>
      <c r="HB142" s="1" t="str">
        <f t="shared" si="831"/>
        <v>ND</v>
      </c>
      <c r="HC142" s="1" t="str">
        <f t="shared" si="832"/>
        <v>ND</v>
      </c>
      <c r="HD142" s="1" t="str">
        <f t="shared" si="833"/>
        <v>ND</v>
      </c>
      <c r="HE142" s="1" t="str">
        <f t="shared" si="834"/>
        <v>ND</v>
      </c>
      <c r="HF142" s="1" t="str">
        <f t="shared" si="835"/>
        <v>ND</v>
      </c>
      <c r="HG142" s="1" t="str">
        <f t="shared" si="836"/>
        <v>ND</v>
      </c>
      <c r="HH142" s="1" t="str">
        <f t="shared" si="837"/>
        <v>ND</v>
      </c>
      <c r="HI142" s="1" t="str">
        <f t="shared" si="838"/>
        <v>ND</v>
      </c>
      <c r="HJ142" s="1" t="str">
        <f t="shared" si="839"/>
        <v>ND</v>
      </c>
      <c r="HK142" s="1" t="str">
        <f t="shared" si="840"/>
        <v>ND</v>
      </c>
      <c r="HL142" s="1" t="str">
        <f t="shared" si="841"/>
        <v>ND</v>
      </c>
      <c r="HM142" s="1" t="str">
        <f t="shared" si="842"/>
        <v>ND</v>
      </c>
      <c r="HN142" s="1" t="str">
        <f t="shared" si="843"/>
        <v>ND</v>
      </c>
      <c r="HO142" s="1" t="str">
        <f t="shared" si="844"/>
        <v>ND</v>
      </c>
      <c r="HP142" s="1" t="str">
        <f t="shared" si="845"/>
        <v>ND</v>
      </c>
      <c r="HQ142" s="1" t="str">
        <f t="shared" si="846"/>
        <v>ND</v>
      </c>
      <c r="HR142" s="1" t="str">
        <f t="shared" si="847"/>
        <v>ND</v>
      </c>
      <c r="HS142" s="1" t="str">
        <f t="shared" si="848"/>
        <v>ND</v>
      </c>
      <c r="HT142" s="1" t="str">
        <f t="shared" si="849"/>
        <v>ND</v>
      </c>
      <c r="HU142" s="1" t="str">
        <f t="shared" si="850"/>
        <v>ND</v>
      </c>
      <c r="HV142" s="1" t="str">
        <f t="shared" si="851"/>
        <v>ND</v>
      </c>
      <c r="HW142" s="1" t="str">
        <f t="shared" si="852"/>
        <v>ND</v>
      </c>
      <c r="HX142" s="1" t="str">
        <f t="shared" si="853"/>
        <v>ND</v>
      </c>
      <c r="HY142" s="1" t="str">
        <f t="shared" si="854"/>
        <v>ND</v>
      </c>
      <c r="HZ142" s="1" t="str">
        <f t="shared" si="855"/>
        <v>ND</v>
      </c>
      <c r="IA142" s="1" t="str">
        <f t="shared" si="856"/>
        <v>ND</v>
      </c>
      <c r="IB142" s="1" t="str">
        <f t="shared" si="857"/>
        <v>ND</v>
      </c>
      <c r="IC142" s="1" t="str">
        <f t="shared" si="858"/>
        <v>ND</v>
      </c>
      <c r="ID142" s="1" t="str">
        <f t="shared" si="859"/>
        <v>ND</v>
      </c>
      <c r="IE142" s="1" t="str">
        <f t="shared" si="860"/>
        <v>ND</v>
      </c>
      <c r="IF142" s="1" t="str">
        <f t="shared" si="861"/>
        <v>ND</v>
      </c>
      <c r="IG142" s="1" t="str">
        <f t="shared" si="862"/>
        <v>ND</v>
      </c>
      <c r="IH142" s="1" t="str">
        <f t="shared" si="863"/>
        <v>ND</v>
      </c>
      <c r="II142" s="1" t="str">
        <f t="shared" si="864"/>
        <v>ND</v>
      </c>
    </row>
    <row r="143" spans="3:243" x14ac:dyDescent="0.25">
      <c r="C143" t="s">
        <v>0</v>
      </c>
      <c r="D143">
        <f>SUMIFS(DICCIONARIO[Cantidad],DICCIONARIO[Modelo],UNIFICADA[[#This Row],[Equipo]])</f>
        <v>0</v>
      </c>
      <c r="E143" s="1">
        <f>IFERROR(VLOOKUP($C143,EQUIPOS[],UNIFICADO!E$9,0),"")</f>
        <v>13</v>
      </c>
      <c r="F143" s="1">
        <f>IFERROR(VLOOKUP($C143,EQUIPOS[],UNIFICADO!F$9,0),"")</f>
        <v>6.1</v>
      </c>
      <c r="G143" s="1">
        <f>IFERROR(VLOOKUP($C143,EQUIPOS[],UNIFICADO!G$9,0),"")</f>
        <v>13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256GB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2.65/1.8</v>
      </c>
      <c r="N143" s="1">
        <f>IFERROR(VLOOKUP($C143,EQUIPOS[],UNIFICADO!N$9,0),"")</f>
        <v>4</v>
      </c>
      <c r="O143" s="1">
        <f>IFERROR(VLOOKUP($C143,EQUIPOS[],UNIFICADO!O$9,0),"")</f>
        <v>194</v>
      </c>
      <c r="P143" s="1">
        <f>IFERROR(VLOOKUP($C143,EQUIPOS[],UNIFICADO!P$9,0),"")</f>
        <v>15</v>
      </c>
      <c r="Q143" s="1">
        <f>IFERROR(VLOOKUP($C143,EQUIPOS[],UNIFICADO!Q$9,0),"")</f>
        <v>7.57</v>
      </c>
      <c r="R143" s="1">
        <f>IFERROR(VLOOKUP($C143,EQUIPOS[],UNIFICADO!R$9,0),"")</f>
        <v>0.83</v>
      </c>
      <c r="S143" s="1">
        <f>IFERROR(VLOOKUP($C143,EQUIPOS[],UNIFICADO!S$9,0),"")</f>
        <v>3110</v>
      </c>
      <c r="T143" s="1">
        <f>IFERROR(VLOOKUP($C143,EQUIPOS[],UNIFICADO!T$9,0),"")</f>
        <v>4.5</v>
      </c>
      <c r="U143" s="1">
        <f>VLOOKUP(UNIFICADA[[#This Row],[Equipo]],EQUIPOS[],19,0)</f>
        <v>133</v>
      </c>
      <c r="V143" s="1" t="str">
        <f t="shared" si="709"/>
        <v>ND</v>
      </c>
      <c r="W143" s="1" t="str">
        <f t="shared" si="710"/>
        <v>ND</v>
      </c>
      <c r="X143" s="1" t="str">
        <f t="shared" si="702"/>
        <v>ND</v>
      </c>
      <c r="Y143" s="1" t="str">
        <f t="shared" si="702"/>
        <v>ND</v>
      </c>
      <c r="Z143" s="1" t="str">
        <f t="shared" si="865"/>
        <v>ND</v>
      </c>
      <c r="AA143" s="1" t="str">
        <f t="shared" si="865"/>
        <v>ND</v>
      </c>
      <c r="AB143" s="1" t="str">
        <f t="shared" si="865"/>
        <v>ND</v>
      </c>
      <c r="AC143" s="1" t="str">
        <f t="shared" si="865"/>
        <v>ND</v>
      </c>
      <c r="AD143" s="1" t="str">
        <f t="shared" si="865"/>
        <v>ND</v>
      </c>
      <c r="AE143" s="1" t="str">
        <f t="shared" si="865"/>
        <v>ND</v>
      </c>
      <c r="AF143" s="1" t="str">
        <f t="shared" si="865"/>
        <v>ND</v>
      </c>
      <c r="AG143" s="1" t="str">
        <f t="shared" si="865"/>
        <v>ND</v>
      </c>
      <c r="AH143" s="1" t="str">
        <f t="shared" si="865"/>
        <v>ND</v>
      </c>
      <c r="AI143" s="1" t="str">
        <f t="shared" si="711"/>
        <v>ND</v>
      </c>
      <c r="AJ143" s="1" t="str">
        <f t="shared" si="712"/>
        <v>ND</v>
      </c>
      <c r="AK143" s="1" t="str">
        <f t="shared" si="713"/>
        <v>ND</v>
      </c>
      <c r="AL143" s="1" t="str">
        <f t="shared" si="714"/>
        <v>ND</v>
      </c>
      <c r="AM143" s="1" t="str">
        <f t="shared" si="715"/>
        <v>ND</v>
      </c>
      <c r="AN143" s="1" t="str">
        <f t="shared" si="716"/>
        <v>ND</v>
      </c>
      <c r="AO143" s="1" t="str">
        <f t="shared" si="717"/>
        <v>ND</v>
      </c>
      <c r="AP143" s="1" t="str">
        <f t="shared" si="718"/>
        <v>ND</v>
      </c>
      <c r="AQ143" s="1" t="str">
        <f t="shared" si="719"/>
        <v>ND</v>
      </c>
      <c r="AR143" s="1" t="str">
        <f t="shared" si="720"/>
        <v>ND</v>
      </c>
      <c r="AS143" s="1" t="str">
        <f t="shared" si="721"/>
        <v>ND</v>
      </c>
      <c r="AT143" s="1" t="str">
        <f t="shared" si="722"/>
        <v>ND</v>
      </c>
      <c r="AU143" s="1" t="str">
        <f t="shared" si="723"/>
        <v>ND</v>
      </c>
      <c r="AV143" s="1" t="str">
        <f t="shared" si="724"/>
        <v>ND</v>
      </c>
      <c r="AW143" s="1" t="str">
        <f t="shared" si="725"/>
        <v>ND</v>
      </c>
      <c r="AX143" s="1" t="str">
        <f t="shared" si="726"/>
        <v>ND</v>
      </c>
      <c r="AY143" s="1" t="str">
        <f t="shared" si="727"/>
        <v>ND</v>
      </c>
      <c r="AZ143" s="1" t="str">
        <f t="shared" si="728"/>
        <v>ND</v>
      </c>
      <c r="BA143" s="1" t="str">
        <f t="shared" si="729"/>
        <v>ND</v>
      </c>
      <c r="BB143" s="1" t="str">
        <f t="shared" si="730"/>
        <v>ND</v>
      </c>
      <c r="BC143" s="1" t="str">
        <f t="shared" si="731"/>
        <v>ND</v>
      </c>
      <c r="BD143" s="1" t="str">
        <f t="shared" si="732"/>
        <v>ND</v>
      </c>
      <c r="BE143" s="1" t="str">
        <f t="shared" si="733"/>
        <v>ND</v>
      </c>
      <c r="BF143" s="1" t="str">
        <f t="shared" si="734"/>
        <v>ND</v>
      </c>
      <c r="BG143" s="1" t="str">
        <f t="shared" si="735"/>
        <v>ND</v>
      </c>
      <c r="BH143" s="1" t="str">
        <f t="shared" si="736"/>
        <v>ND</v>
      </c>
      <c r="BI143" s="1" t="str">
        <f t="shared" si="737"/>
        <v>ND</v>
      </c>
      <c r="BJ143" s="1" t="str">
        <f t="shared" si="738"/>
        <v>ND</v>
      </c>
      <c r="BK143" s="1" t="str">
        <f t="shared" si="739"/>
        <v>ND</v>
      </c>
      <c r="BL143" s="1" t="str">
        <f t="shared" si="740"/>
        <v>ND</v>
      </c>
      <c r="BM143" s="1" t="str">
        <f t="shared" si="741"/>
        <v>ND</v>
      </c>
      <c r="BN143" s="1" t="str">
        <f t="shared" si="742"/>
        <v>ND</v>
      </c>
      <c r="BO143" s="1" t="str">
        <f t="shared" si="743"/>
        <v>ND</v>
      </c>
      <c r="BP143" s="1" t="str">
        <f t="shared" si="744"/>
        <v>ND</v>
      </c>
      <c r="BQ143" s="1" t="str">
        <f t="shared" si="745"/>
        <v>ND</v>
      </c>
      <c r="BR143" s="1" t="str">
        <f t="shared" si="746"/>
        <v>ND</v>
      </c>
      <c r="BS143" s="1" t="str">
        <f t="shared" si="747"/>
        <v>ND</v>
      </c>
      <c r="BT143" s="1" t="str">
        <f t="shared" si="748"/>
        <v>ND</v>
      </c>
      <c r="BU143" s="1" t="str">
        <f t="shared" si="749"/>
        <v>ND</v>
      </c>
      <c r="BV143" s="1" t="str">
        <f t="shared" si="750"/>
        <v>ND</v>
      </c>
      <c r="BW143" s="1" t="str">
        <f t="shared" si="751"/>
        <v>ND</v>
      </c>
      <c r="BX143" s="1" t="str">
        <f t="shared" si="752"/>
        <v>ND</v>
      </c>
      <c r="BY143" s="1" t="str">
        <f t="shared" si="753"/>
        <v>ND</v>
      </c>
      <c r="BZ143" s="1" t="str">
        <f t="shared" si="754"/>
        <v>ND</v>
      </c>
      <c r="CA143" s="1" t="str">
        <f t="shared" si="866"/>
        <v>ND</v>
      </c>
      <c r="CB143" s="1" t="str">
        <f t="shared" si="866"/>
        <v>ND</v>
      </c>
      <c r="CC143" s="1" t="str">
        <f t="shared" si="866"/>
        <v>ND</v>
      </c>
      <c r="CD143" s="1" t="str">
        <f t="shared" si="866"/>
        <v>ND</v>
      </c>
      <c r="CE143" s="1" t="str">
        <f t="shared" si="866"/>
        <v>ND</v>
      </c>
      <c r="CF143" s="1" t="str">
        <f t="shared" si="866"/>
        <v>ND</v>
      </c>
      <c r="CG143" s="1" t="str">
        <f t="shared" si="866"/>
        <v>ND</v>
      </c>
      <c r="CH143" s="1" t="str">
        <f t="shared" si="866"/>
        <v>ND</v>
      </c>
      <c r="CI143" s="1" t="str">
        <f t="shared" si="866"/>
        <v>ND</v>
      </c>
      <c r="CJ143" s="1" t="str">
        <f t="shared" si="866"/>
        <v>ND</v>
      </c>
      <c r="CK143" s="1" t="str">
        <f t="shared" si="866"/>
        <v>ND</v>
      </c>
      <c r="CL143" s="1" t="str">
        <f t="shared" si="867"/>
        <v>ND</v>
      </c>
      <c r="CM143" s="1" t="str">
        <f t="shared" si="867"/>
        <v>ND</v>
      </c>
      <c r="CN143" s="1" t="str">
        <f t="shared" si="867"/>
        <v>ND</v>
      </c>
      <c r="CO143" s="1" t="str">
        <f t="shared" si="867"/>
        <v>ND</v>
      </c>
      <c r="CP143" s="1" t="str">
        <f t="shared" si="867"/>
        <v>ND</v>
      </c>
      <c r="CQ143" s="1" t="str">
        <f t="shared" si="867"/>
        <v>ND</v>
      </c>
      <c r="CR143" s="1" t="str">
        <f t="shared" si="867"/>
        <v>ND</v>
      </c>
      <c r="CS143" s="1" t="str">
        <f t="shared" si="867"/>
        <v>ND</v>
      </c>
      <c r="CT143" s="1" t="str">
        <f t="shared" si="867"/>
        <v>ND</v>
      </c>
      <c r="CU143" s="1" t="str">
        <f t="shared" si="867"/>
        <v>ND</v>
      </c>
      <c r="CV143" s="1" t="str">
        <f t="shared" si="867"/>
        <v>ND</v>
      </c>
      <c r="CW143" s="1" t="str">
        <f t="shared" si="755"/>
        <v>ND</v>
      </c>
      <c r="CX143" s="1" t="str">
        <f t="shared" si="756"/>
        <v>ND</v>
      </c>
      <c r="CY143" s="1" t="str">
        <f t="shared" si="757"/>
        <v>ND</v>
      </c>
      <c r="CZ143" s="1" t="str">
        <f t="shared" si="758"/>
        <v>ND</v>
      </c>
      <c r="DA143" s="1" t="str">
        <f t="shared" si="759"/>
        <v>ND</v>
      </c>
      <c r="DB143" s="1" t="str">
        <f t="shared" si="760"/>
        <v>ND</v>
      </c>
      <c r="DC143" s="1" t="str">
        <f t="shared" si="761"/>
        <v>ND</v>
      </c>
      <c r="DD143" s="1" t="str">
        <f t="shared" si="762"/>
        <v>ND</v>
      </c>
      <c r="DE143" s="1" t="str">
        <f t="shared" si="763"/>
        <v>ND</v>
      </c>
      <c r="DF143" s="1" t="str">
        <f t="shared" si="764"/>
        <v>ND</v>
      </c>
      <c r="DG143" s="1" t="str">
        <f t="shared" si="765"/>
        <v>ND</v>
      </c>
      <c r="DH143" s="1" t="str">
        <f t="shared" si="766"/>
        <v>ND</v>
      </c>
      <c r="DI143" s="1" t="str">
        <f t="shared" si="767"/>
        <v>ND</v>
      </c>
      <c r="DJ143" s="1" t="str">
        <f t="shared" si="768"/>
        <v>ND</v>
      </c>
      <c r="DK143" s="1" t="str">
        <f t="shared" si="769"/>
        <v>ND</v>
      </c>
      <c r="DL143" s="1" t="str">
        <f t="shared" si="770"/>
        <v>ND</v>
      </c>
      <c r="DM143" s="1" t="str">
        <f t="shared" si="771"/>
        <v>ND</v>
      </c>
      <c r="DN143" s="1" t="str">
        <f t="shared" si="772"/>
        <v>ND</v>
      </c>
      <c r="DO143" s="1" t="str">
        <f t="shared" si="773"/>
        <v>ND</v>
      </c>
      <c r="DP143" s="1" t="str">
        <f t="shared" si="774"/>
        <v>ND</v>
      </c>
      <c r="DQ143" s="1" t="str">
        <f t="shared" si="775"/>
        <v>ND</v>
      </c>
      <c r="DR143" s="1" t="str">
        <f t="shared" si="776"/>
        <v>ND</v>
      </c>
      <c r="DS143" s="1" t="str">
        <f t="shared" si="777"/>
        <v>ND</v>
      </c>
      <c r="DT143" s="1" t="str">
        <f t="shared" si="778"/>
        <v>ND</v>
      </c>
      <c r="DU143" s="1" t="str">
        <f t="shared" si="779"/>
        <v>ND</v>
      </c>
      <c r="DV143" s="1" t="str">
        <f t="shared" si="780"/>
        <v>ND</v>
      </c>
      <c r="DW143" s="1" t="str">
        <f t="shared" si="781"/>
        <v>ND</v>
      </c>
      <c r="DX143" s="1" t="str">
        <f t="shared" si="782"/>
        <v>ND</v>
      </c>
      <c r="DY143" s="1" t="str">
        <f t="shared" si="783"/>
        <v>ND</v>
      </c>
      <c r="DZ143" s="1" t="str">
        <f t="shared" si="784"/>
        <v>ND</v>
      </c>
      <c r="EA143" s="1" t="str">
        <f t="shared" si="785"/>
        <v>ND</v>
      </c>
      <c r="EB143" s="1" t="str">
        <f t="shared" si="786"/>
        <v>ND</v>
      </c>
      <c r="EC143" s="1" t="str">
        <f t="shared" si="787"/>
        <v>ND</v>
      </c>
      <c r="ED143" s="1" t="str">
        <f t="shared" si="788"/>
        <v>ND</v>
      </c>
      <c r="EE143" s="1" t="str">
        <f t="shared" si="789"/>
        <v>ND</v>
      </c>
      <c r="EF143" s="1" t="str">
        <f t="shared" si="790"/>
        <v>ND</v>
      </c>
      <c r="EG143" s="1" t="str">
        <f t="shared" si="791"/>
        <v>ND</v>
      </c>
      <c r="EH143" s="1" t="str">
        <f t="shared" si="792"/>
        <v>ND</v>
      </c>
      <c r="EI143" s="1" t="str">
        <f t="shared" si="793"/>
        <v>ND</v>
      </c>
      <c r="EJ143" s="1" t="str">
        <f t="shared" si="794"/>
        <v>ND</v>
      </c>
      <c r="EK143" s="1" t="str">
        <f t="shared" si="795"/>
        <v>ND</v>
      </c>
      <c r="EL143" s="1" t="str">
        <f t="shared" si="796"/>
        <v>ND</v>
      </c>
      <c r="EM143" s="1" t="str">
        <f t="shared" si="797"/>
        <v>ND</v>
      </c>
      <c r="EN143" s="1" t="str">
        <f t="shared" si="798"/>
        <v>ND</v>
      </c>
      <c r="EO143" s="1" t="str">
        <f t="shared" si="868"/>
        <v>ND</v>
      </c>
      <c r="EP143" s="1" t="str">
        <f t="shared" si="868"/>
        <v>ND</v>
      </c>
      <c r="EQ143" s="1" t="str">
        <f t="shared" si="868"/>
        <v>ND</v>
      </c>
      <c r="ER143" s="1" t="str">
        <f t="shared" si="868"/>
        <v>ND</v>
      </c>
      <c r="ES143" s="1" t="str">
        <f t="shared" si="868"/>
        <v>ND</v>
      </c>
      <c r="ET143" s="1" t="str">
        <f t="shared" si="868"/>
        <v>ND</v>
      </c>
      <c r="EU143" s="1" t="str">
        <f t="shared" si="868"/>
        <v>ND</v>
      </c>
      <c r="EV143" s="1" t="str">
        <f t="shared" si="868"/>
        <v>ND</v>
      </c>
      <c r="EW143" s="1" t="str">
        <f t="shared" si="868"/>
        <v>ND</v>
      </c>
      <c r="EX143" s="1" t="str">
        <f t="shared" si="868"/>
        <v>ND</v>
      </c>
      <c r="EY143" s="1" t="str">
        <f t="shared" si="868"/>
        <v>ND</v>
      </c>
      <c r="EZ143" s="1" t="str">
        <f t="shared" si="869"/>
        <v>ND</v>
      </c>
      <c r="FA143" s="1" t="str">
        <f t="shared" si="869"/>
        <v>ND</v>
      </c>
      <c r="FB143" s="1" t="str">
        <f t="shared" si="869"/>
        <v>ND</v>
      </c>
      <c r="FC143" s="1" t="str">
        <f t="shared" si="869"/>
        <v>ND</v>
      </c>
      <c r="FD143" s="1" t="str">
        <f t="shared" si="869"/>
        <v>ND</v>
      </c>
      <c r="FE143" s="1" t="str">
        <f t="shared" si="869"/>
        <v>ND</v>
      </c>
      <c r="FF143" s="1" t="str">
        <f t="shared" si="869"/>
        <v>ND</v>
      </c>
      <c r="FG143" s="1" t="str">
        <f t="shared" si="869"/>
        <v>ND</v>
      </c>
      <c r="FH143" s="1" t="str">
        <f t="shared" si="869"/>
        <v>ND</v>
      </c>
      <c r="FI143" s="1" t="str">
        <f t="shared" si="869"/>
        <v>ND</v>
      </c>
      <c r="FJ143" s="1" t="str">
        <f t="shared" si="869"/>
        <v>ND</v>
      </c>
      <c r="FK143" s="1" t="str">
        <f t="shared" si="870"/>
        <v>ND</v>
      </c>
      <c r="FL143" s="1" t="str">
        <f t="shared" si="870"/>
        <v>ND</v>
      </c>
      <c r="FM143" s="1" t="str">
        <f t="shared" si="870"/>
        <v>ND</v>
      </c>
      <c r="FN143" s="1" t="str">
        <f t="shared" si="870"/>
        <v>ND</v>
      </c>
      <c r="FO143" s="1" t="str">
        <f t="shared" si="870"/>
        <v>ND</v>
      </c>
      <c r="FP143" s="1" t="str">
        <f t="shared" si="870"/>
        <v>ND</v>
      </c>
      <c r="FQ143" s="1" t="str">
        <f t="shared" si="870"/>
        <v>ND</v>
      </c>
      <c r="FR143" s="1" t="str">
        <f t="shared" si="870"/>
        <v>ND</v>
      </c>
      <c r="FS143" s="1" t="str">
        <f t="shared" si="870"/>
        <v>ND</v>
      </c>
      <c r="FT143" s="1" t="str">
        <f t="shared" si="870"/>
        <v>ND</v>
      </c>
      <c r="FU143" s="1" t="str">
        <f t="shared" si="870"/>
        <v>ND</v>
      </c>
      <c r="FV143" s="1" t="str">
        <f t="shared" si="799"/>
        <v>ND</v>
      </c>
      <c r="FW143" s="1" t="str">
        <f t="shared" si="800"/>
        <v>ND</v>
      </c>
      <c r="FX143" s="1" t="str">
        <f t="shared" si="801"/>
        <v>ND</v>
      </c>
      <c r="FY143" s="1" t="str">
        <f t="shared" si="802"/>
        <v>ND</v>
      </c>
      <c r="FZ143" s="1" t="str">
        <f t="shared" si="803"/>
        <v>ND</v>
      </c>
      <c r="GA143" s="1" t="str">
        <f t="shared" si="804"/>
        <v>ND</v>
      </c>
      <c r="GB143" s="1" t="str">
        <f t="shared" si="805"/>
        <v>ND</v>
      </c>
      <c r="GC143" s="1" t="str">
        <f t="shared" si="806"/>
        <v>ND</v>
      </c>
      <c r="GD143" s="1" t="str">
        <f t="shared" si="807"/>
        <v>ND</v>
      </c>
      <c r="GE143" s="1" t="str">
        <f t="shared" si="808"/>
        <v>ND</v>
      </c>
      <c r="GF143" s="1" t="str">
        <f t="shared" si="809"/>
        <v>ND</v>
      </c>
      <c r="GG143" s="1" t="str">
        <f t="shared" si="810"/>
        <v>ND</v>
      </c>
      <c r="GH143" s="1" t="str">
        <f t="shared" si="811"/>
        <v>ND</v>
      </c>
      <c r="GI143" s="1" t="str">
        <f t="shared" si="812"/>
        <v>ND</v>
      </c>
      <c r="GJ143" s="1" t="str">
        <f t="shared" si="813"/>
        <v>ND</v>
      </c>
      <c r="GK143" s="1" t="str">
        <f t="shared" si="814"/>
        <v>ND</v>
      </c>
      <c r="GL143" s="1" t="str">
        <f t="shared" si="815"/>
        <v>ND</v>
      </c>
      <c r="GM143" s="1" t="str">
        <f t="shared" si="816"/>
        <v>ND</v>
      </c>
      <c r="GN143" s="1" t="str">
        <f t="shared" si="817"/>
        <v>ND</v>
      </c>
      <c r="GO143" s="1" t="str">
        <f t="shared" si="818"/>
        <v>ND</v>
      </c>
      <c r="GP143" s="1" t="str">
        <f t="shared" si="819"/>
        <v>ND</v>
      </c>
      <c r="GQ143" s="1" t="str">
        <f t="shared" si="820"/>
        <v>ND</v>
      </c>
      <c r="GR143" s="1" t="str">
        <f t="shared" si="821"/>
        <v>ND</v>
      </c>
      <c r="GS143" s="1" t="str">
        <f t="shared" si="822"/>
        <v>ND</v>
      </c>
      <c r="GT143" s="1" t="str">
        <f t="shared" si="823"/>
        <v>ND</v>
      </c>
      <c r="GU143" s="1" t="str">
        <f t="shared" si="824"/>
        <v>ND</v>
      </c>
      <c r="GV143" s="1" t="str">
        <f t="shared" si="825"/>
        <v>ND</v>
      </c>
      <c r="GW143" s="1" t="str">
        <f t="shared" si="826"/>
        <v>ND</v>
      </c>
      <c r="GX143" s="1" t="str">
        <f t="shared" si="827"/>
        <v>ND</v>
      </c>
      <c r="GY143" s="1" t="str">
        <f t="shared" si="828"/>
        <v>ND</v>
      </c>
      <c r="GZ143" s="1" t="str">
        <f t="shared" si="829"/>
        <v>ND</v>
      </c>
      <c r="HA143" s="1" t="str">
        <f t="shared" si="830"/>
        <v>ND</v>
      </c>
      <c r="HB143" s="1" t="str">
        <f t="shared" si="831"/>
        <v>ND</v>
      </c>
      <c r="HC143" s="1" t="str">
        <f t="shared" si="832"/>
        <v>ND</v>
      </c>
      <c r="HD143" s="1" t="str">
        <f t="shared" si="833"/>
        <v>ND</v>
      </c>
      <c r="HE143" s="1" t="str">
        <f t="shared" si="834"/>
        <v>ND</v>
      </c>
      <c r="HF143" s="1" t="str">
        <f t="shared" si="835"/>
        <v>ND</v>
      </c>
      <c r="HG143" s="1" t="str">
        <f t="shared" si="836"/>
        <v>ND</v>
      </c>
      <c r="HH143" s="1" t="str">
        <f t="shared" si="837"/>
        <v>ND</v>
      </c>
      <c r="HI143" s="1" t="str">
        <f t="shared" si="838"/>
        <v>ND</v>
      </c>
      <c r="HJ143" s="1" t="str">
        <f t="shared" si="839"/>
        <v>ND</v>
      </c>
      <c r="HK143" s="1" t="str">
        <f t="shared" si="840"/>
        <v>ND</v>
      </c>
      <c r="HL143" s="1" t="str">
        <f t="shared" si="841"/>
        <v>ND</v>
      </c>
      <c r="HM143" s="1" t="str">
        <f t="shared" si="842"/>
        <v>ND</v>
      </c>
      <c r="HN143" s="1" t="str">
        <f t="shared" si="843"/>
        <v>ND</v>
      </c>
      <c r="HO143" s="1" t="str">
        <f t="shared" si="844"/>
        <v>ND</v>
      </c>
      <c r="HP143" s="1" t="str">
        <f t="shared" si="845"/>
        <v>ND</v>
      </c>
      <c r="HQ143" s="1" t="str">
        <f t="shared" si="846"/>
        <v>ND</v>
      </c>
      <c r="HR143" s="1" t="str">
        <f t="shared" si="847"/>
        <v>ND</v>
      </c>
      <c r="HS143" s="1" t="str">
        <f t="shared" si="848"/>
        <v>ND</v>
      </c>
      <c r="HT143" s="1" t="str">
        <f t="shared" si="849"/>
        <v>ND</v>
      </c>
      <c r="HU143" s="1" t="str">
        <f t="shared" si="850"/>
        <v>ND</v>
      </c>
      <c r="HV143" s="1" t="str">
        <f t="shared" si="851"/>
        <v>ND</v>
      </c>
      <c r="HW143" s="1" t="str">
        <f t="shared" si="852"/>
        <v>ND</v>
      </c>
      <c r="HX143" s="1" t="str">
        <f t="shared" si="853"/>
        <v>ND</v>
      </c>
      <c r="HY143" s="1" t="str">
        <f t="shared" si="854"/>
        <v>ND</v>
      </c>
      <c r="HZ143" s="1" t="str">
        <f t="shared" si="855"/>
        <v>ND</v>
      </c>
      <c r="IA143" s="1" t="str">
        <f t="shared" si="856"/>
        <v>ND</v>
      </c>
      <c r="IB143" s="1" t="str">
        <f t="shared" si="857"/>
        <v>ND</v>
      </c>
      <c r="IC143" s="1" t="str">
        <f t="shared" si="858"/>
        <v>ND</v>
      </c>
      <c r="ID143" s="1" t="str">
        <f t="shared" si="859"/>
        <v>ND</v>
      </c>
      <c r="IE143" s="1" t="str">
        <f t="shared" si="860"/>
        <v>ND</v>
      </c>
      <c r="IF143" s="1" t="str">
        <f t="shared" si="861"/>
        <v>ND</v>
      </c>
      <c r="IG143" s="1" t="str">
        <f t="shared" si="862"/>
        <v>ND</v>
      </c>
      <c r="IH143" s="1" t="str">
        <f t="shared" si="863"/>
        <v>ND</v>
      </c>
      <c r="II143" s="1" t="str">
        <f t="shared" si="864"/>
        <v>ND</v>
      </c>
    </row>
    <row r="144" spans="3:243" x14ac:dyDescent="0.25">
      <c r="C144" t="s">
        <v>1</v>
      </c>
      <c r="D144">
        <f>SUMIFS(DICCIONARIO[Cantidad],DICCIONARIO[Modelo],UNIFICADA[[#This Row],[Equipo]])</f>
        <v>18</v>
      </c>
      <c r="E144" s="1">
        <f>IFERROR(VLOOKUP($C144,EQUIPOS[],UNIFICADO!E$9,0),"")</f>
        <v>13</v>
      </c>
      <c r="F144" s="1">
        <f>IFERROR(VLOOKUP($C144,EQUIPOS[],UNIFICADO!F$9,0),"")</f>
        <v>6.1</v>
      </c>
      <c r="G144" s="1">
        <f>IFERROR(VLOOKUP($C144,EQUIPOS[],UNIFICADO!G$9,0),"")</f>
        <v>13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64GB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2.65/1.8</v>
      </c>
      <c r="N144" s="1">
        <f>IFERROR(VLOOKUP($C144,EQUIPOS[],UNIFICADO!N$9,0),"")</f>
        <v>4</v>
      </c>
      <c r="O144" s="1">
        <f>IFERROR(VLOOKUP($C144,EQUIPOS[],UNIFICADO!O$9,0),"")</f>
        <v>194</v>
      </c>
      <c r="P144" s="1">
        <f>IFERROR(VLOOKUP($C144,EQUIPOS[],UNIFICADO!P$9,0),"")</f>
        <v>15</v>
      </c>
      <c r="Q144" s="1">
        <f>IFERROR(VLOOKUP($C144,EQUIPOS[],UNIFICADO!Q$9,0),"")</f>
        <v>7.57</v>
      </c>
      <c r="R144" s="1">
        <f>IFERROR(VLOOKUP($C144,EQUIPOS[],UNIFICADO!R$9,0),"")</f>
        <v>0.83</v>
      </c>
      <c r="S144" s="1">
        <f>IFERROR(VLOOKUP($C144,EQUIPOS[],UNIFICADO!S$9,0),"")</f>
        <v>3110</v>
      </c>
      <c r="T144" s="1">
        <f>IFERROR(VLOOKUP($C144,EQUIPOS[],UNIFICADO!T$9,0),"")</f>
        <v>4.5</v>
      </c>
      <c r="U144" s="1">
        <f>VLOOKUP(UNIFICADA[[#This Row],[Equipo]],EQUIPOS[],19,0)</f>
        <v>134</v>
      </c>
      <c r="V144" s="1" t="str">
        <f t="shared" si="709"/>
        <v>ND</v>
      </c>
      <c r="W144" s="1" t="str">
        <f t="shared" si="710"/>
        <v>ND</v>
      </c>
      <c r="X144" s="1" t="str">
        <f t="shared" si="702"/>
        <v>ND</v>
      </c>
      <c r="Y144" s="1" t="str">
        <f t="shared" si="702"/>
        <v>ND</v>
      </c>
      <c r="Z144" s="1" t="str">
        <f t="shared" si="865"/>
        <v>ND</v>
      </c>
      <c r="AA144" s="1" t="str">
        <f t="shared" si="865"/>
        <v>ND</v>
      </c>
      <c r="AB144" s="1" t="str">
        <f t="shared" si="865"/>
        <v>ND</v>
      </c>
      <c r="AC144" s="1" t="str">
        <f t="shared" si="865"/>
        <v>ND</v>
      </c>
      <c r="AD144" s="1" t="str">
        <f t="shared" si="865"/>
        <v>ND</v>
      </c>
      <c r="AE144" s="1" t="str">
        <f t="shared" si="865"/>
        <v>ND</v>
      </c>
      <c r="AF144" s="1" t="str">
        <f t="shared" si="865"/>
        <v>ND</v>
      </c>
      <c r="AG144" s="1" t="str">
        <f t="shared" si="865"/>
        <v>ND</v>
      </c>
      <c r="AH144" s="1" t="str">
        <f t="shared" si="865"/>
        <v>ND</v>
      </c>
      <c r="AI144" s="1" t="str">
        <f t="shared" si="711"/>
        <v>ND</v>
      </c>
      <c r="AJ144" s="1" t="str">
        <f t="shared" si="712"/>
        <v>ND</v>
      </c>
      <c r="AK144" s="1" t="str">
        <f t="shared" si="713"/>
        <v>ND</v>
      </c>
      <c r="AL144" s="1" t="str">
        <f t="shared" si="714"/>
        <v>ND</v>
      </c>
      <c r="AM144" s="1" t="str">
        <f t="shared" si="715"/>
        <v>ND</v>
      </c>
      <c r="AN144" s="1" t="str">
        <f t="shared" si="716"/>
        <v>ND</v>
      </c>
      <c r="AO144" s="1" t="str">
        <f t="shared" si="717"/>
        <v>ND</v>
      </c>
      <c r="AP144" s="1" t="str">
        <f t="shared" si="718"/>
        <v>ND</v>
      </c>
      <c r="AQ144" s="1" t="str">
        <f t="shared" si="719"/>
        <v>ND</v>
      </c>
      <c r="AR144" s="1" t="str">
        <f t="shared" si="720"/>
        <v>ND</v>
      </c>
      <c r="AS144" s="1" t="str">
        <f t="shared" si="721"/>
        <v>ND</v>
      </c>
      <c r="AT144" s="1" t="str">
        <f t="shared" si="722"/>
        <v>ND</v>
      </c>
      <c r="AU144" s="1" t="str">
        <f t="shared" si="723"/>
        <v>ND</v>
      </c>
      <c r="AV144" s="1" t="str">
        <f t="shared" si="724"/>
        <v>ND</v>
      </c>
      <c r="AW144" s="1" t="str">
        <f t="shared" si="725"/>
        <v>ND</v>
      </c>
      <c r="AX144" s="1" t="str">
        <f t="shared" si="726"/>
        <v>ND</v>
      </c>
      <c r="AY144" s="1" t="str">
        <f t="shared" si="727"/>
        <v>ND</v>
      </c>
      <c r="AZ144" s="1" t="str">
        <f t="shared" si="728"/>
        <v>ND</v>
      </c>
      <c r="BA144" s="1" t="str">
        <f t="shared" si="729"/>
        <v>ND</v>
      </c>
      <c r="BB144" s="1" t="str">
        <f t="shared" si="730"/>
        <v>ND</v>
      </c>
      <c r="BC144" s="1" t="str">
        <f t="shared" si="731"/>
        <v>ND</v>
      </c>
      <c r="BD144" s="1" t="str">
        <f t="shared" si="732"/>
        <v>ND</v>
      </c>
      <c r="BE144" s="1" t="str">
        <f t="shared" si="733"/>
        <v>ND</v>
      </c>
      <c r="BF144" s="1" t="str">
        <f t="shared" si="734"/>
        <v>ND</v>
      </c>
      <c r="BG144" s="1" t="str">
        <f t="shared" si="735"/>
        <v>ND</v>
      </c>
      <c r="BH144" s="1" t="str">
        <f t="shared" si="736"/>
        <v>ND</v>
      </c>
      <c r="BI144" s="1" t="str">
        <f t="shared" si="737"/>
        <v>ND</v>
      </c>
      <c r="BJ144" s="1" t="str">
        <f t="shared" si="738"/>
        <v>ND</v>
      </c>
      <c r="BK144" s="1" t="str">
        <f t="shared" si="739"/>
        <v>ND</v>
      </c>
      <c r="BL144" s="1" t="str">
        <f t="shared" si="740"/>
        <v>ND</v>
      </c>
      <c r="BM144" s="1" t="str">
        <f t="shared" si="741"/>
        <v>ND</v>
      </c>
      <c r="BN144" s="1" t="str">
        <f t="shared" si="742"/>
        <v>ND</v>
      </c>
      <c r="BO144" s="1" t="str">
        <f t="shared" si="743"/>
        <v>ND</v>
      </c>
      <c r="BP144" s="1" t="str">
        <f t="shared" si="744"/>
        <v>ND</v>
      </c>
      <c r="BQ144" s="1" t="str">
        <f t="shared" si="745"/>
        <v>ND</v>
      </c>
      <c r="BR144" s="1" t="str">
        <f t="shared" si="746"/>
        <v>ND</v>
      </c>
      <c r="BS144" s="1" t="str">
        <f t="shared" si="747"/>
        <v>ND</v>
      </c>
      <c r="BT144" s="1" t="str">
        <f t="shared" si="748"/>
        <v>ND</v>
      </c>
      <c r="BU144" s="1" t="str">
        <f t="shared" si="749"/>
        <v>ND</v>
      </c>
      <c r="BV144" s="1" t="str">
        <f t="shared" si="750"/>
        <v>ND</v>
      </c>
      <c r="BW144" s="1" t="str">
        <f t="shared" si="751"/>
        <v>ND</v>
      </c>
      <c r="BX144" s="1" t="str">
        <f t="shared" si="752"/>
        <v>ND</v>
      </c>
      <c r="BY144" s="1" t="str">
        <f t="shared" si="753"/>
        <v>ND</v>
      </c>
      <c r="BZ144" s="1" t="str">
        <f t="shared" si="754"/>
        <v>ND</v>
      </c>
      <c r="CA144" s="1" t="str">
        <f t="shared" si="866"/>
        <v>ND</v>
      </c>
      <c r="CB144" s="1" t="str">
        <f t="shared" si="866"/>
        <v>ND</v>
      </c>
      <c r="CC144" s="1" t="str">
        <f t="shared" si="866"/>
        <v>ND</v>
      </c>
      <c r="CD144" s="1" t="str">
        <f t="shared" si="866"/>
        <v>ND</v>
      </c>
      <c r="CE144" s="1" t="str">
        <f t="shared" si="866"/>
        <v>ND</v>
      </c>
      <c r="CF144" s="1" t="str">
        <f t="shared" si="866"/>
        <v>ND</v>
      </c>
      <c r="CG144" s="1" t="str">
        <f t="shared" si="866"/>
        <v>ND</v>
      </c>
      <c r="CH144" s="1" t="str">
        <f t="shared" si="866"/>
        <v>ND</v>
      </c>
      <c r="CI144" s="1" t="str">
        <f t="shared" si="866"/>
        <v>ND</v>
      </c>
      <c r="CJ144" s="1" t="str">
        <f t="shared" si="866"/>
        <v>ND</v>
      </c>
      <c r="CK144" s="1" t="str">
        <f t="shared" si="866"/>
        <v>ND</v>
      </c>
      <c r="CL144" s="1" t="str">
        <f t="shared" si="867"/>
        <v>ND</v>
      </c>
      <c r="CM144" s="1" t="str">
        <f t="shared" si="867"/>
        <v>ND</v>
      </c>
      <c r="CN144" s="1" t="str">
        <f t="shared" si="867"/>
        <v>ND</v>
      </c>
      <c r="CO144" s="1" t="str">
        <f t="shared" si="867"/>
        <v>ND</v>
      </c>
      <c r="CP144" s="1" t="str">
        <f t="shared" si="867"/>
        <v>ND</v>
      </c>
      <c r="CQ144" s="1" t="str">
        <f t="shared" si="867"/>
        <v>ND</v>
      </c>
      <c r="CR144" s="1" t="str">
        <f t="shared" si="867"/>
        <v>ND</v>
      </c>
      <c r="CS144" s="1" t="str">
        <f t="shared" si="867"/>
        <v>ND</v>
      </c>
      <c r="CT144" s="1" t="str">
        <f t="shared" si="867"/>
        <v>ND</v>
      </c>
      <c r="CU144" s="1" t="str">
        <f t="shared" si="867"/>
        <v>ND</v>
      </c>
      <c r="CV144" s="1" t="str">
        <f t="shared" si="867"/>
        <v>ND</v>
      </c>
      <c r="CW144" s="1" t="str">
        <f t="shared" si="755"/>
        <v>ND</v>
      </c>
      <c r="CX144" s="1" t="str">
        <f t="shared" si="756"/>
        <v>ND</v>
      </c>
      <c r="CY144" s="1" t="str">
        <f t="shared" si="757"/>
        <v>ND</v>
      </c>
      <c r="CZ144" s="1" t="str">
        <f t="shared" si="758"/>
        <v>ND</v>
      </c>
      <c r="DA144" s="1" t="str">
        <f t="shared" si="759"/>
        <v>ND</v>
      </c>
      <c r="DB144" s="1" t="str">
        <f t="shared" si="760"/>
        <v>ND</v>
      </c>
      <c r="DC144" s="1" t="str">
        <f t="shared" si="761"/>
        <v>ND</v>
      </c>
      <c r="DD144" s="1" t="str">
        <f t="shared" si="762"/>
        <v>ND</v>
      </c>
      <c r="DE144" s="1" t="str">
        <f t="shared" si="763"/>
        <v>ND</v>
      </c>
      <c r="DF144" s="1" t="str">
        <f t="shared" si="764"/>
        <v>ND</v>
      </c>
      <c r="DG144" s="1" t="str">
        <f t="shared" si="765"/>
        <v>ND</v>
      </c>
      <c r="DH144" s="1" t="str">
        <f t="shared" si="766"/>
        <v>ND</v>
      </c>
      <c r="DI144" s="1" t="str">
        <f t="shared" si="767"/>
        <v>ND</v>
      </c>
      <c r="DJ144" s="1" t="str">
        <f t="shared" si="768"/>
        <v>ND</v>
      </c>
      <c r="DK144" s="1" t="str">
        <f t="shared" si="769"/>
        <v>ND</v>
      </c>
      <c r="DL144" s="1" t="str">
        <f t="shared" si="770"/>
        <v>ND</v>
      </c>
      <c r="DM144" s="1" t="str">
        <f t="shared" si="771"/>
        <v>ND</v>
      </c>
      <c r="DN144" s="1" t="str">
        <f t="shared" si="772"/>
        <v>ND</v>
      </c>
      <c r="DO144" s="1" t="str">
        <f t="shared" si="773"/>
        <v>ND</v>
      </c>
      <c r="DP144" s="1" t="str">
        <f t="shared" si="774"/>
        <v>ND</v>
      </c>
      <c r="DQ144" s="1" t="str">
        <f t="shared" si="775"/>
        <v>ND</v>
      </c>
      <c r="DR144" s="1" t="str">
        <f t="shared" si="776"/>
        <v>ND</v>
      </c>
      <c r="DS144" s="1" t="str">
        <f t="shared" si="777"/>
        <v>ND</v>
      </c>
      <c r="DT144" s="1" t="str">
        <f t="shared" si="778"/>
        <v>ND</v>
      </c>
      <c r="DU144" s="1" t="str">
        <f t="shared" si="779"/>
        <v>ND</v>
      </c>
      <c r="DV144" s="1" t="str">
        <f t="shared" si="780"/>
        <v>ND</v>
      </c>
      <c r="DW144" s="1" t="str">
        <f t="shared" si="781"/>
        <v>ND</v>
      </c>
      <c r="DX144" s="1" t="str">
        <f t="shared" si="782"/>
        <v>ND</v>
      </c>
      <c r="DY144" s="1" t="str">
        <f t="shared" si="783"/>
        <v>ND</v>
      </c>
      <c r="DZ144" s="1" t="str">
        <f t="shared" si="784"/>
        <v>ND</v>
      </c>
      <c r="EA144" s="1" t="str">
        <f t="shared" si="785"/>
        <v>ND</v>
      </c>
      <c r="EB144" s="1" t="str">
        <f t="shared" si="786"/>
        <v>ND</v>
      </c>
      <c r="EC144" s="1" t="str">
        <f t="shared" si="787"/>
        <v>ND</v>
      </c>
      <c r="ED144" s="1" t="str">
        <f t="shared" si="788"/>
        <v>ND</v>
      </c>
      <c r="EE144" s="1" t="str">
        <f t="shared" si="789"/>
        <v>ND</v>
      </c>
      <c r="EF144" s="1" t="str">
        <f t="shared" si="790"/>
        <v>ND</v>
      </c>
      <c r="EG144" s="1" t="str">
        <f t="shared" si="791"/>
        <v>ND</v>
      </c>
      <c r="EH144" s="1" t="str">
        <f t="shared" si="792"/>
        <v>ND</v>
      </c>
      <c r="EI144" s="1" t="str">
        <f t="shared" si="793"/>
        <v>ND</v>
      </c>
      <c r="EJ144" s="1" t="str">
        <f t="shared" si="794"/>
        <v>ND</v>
      </c>
      <c r="EK144" s="1" t="str">
        <f t="shared" si="795"/>
        <v>ND</v>
      </c>
      <c r="EL144" s="1" t="str">
        <f t="shared" si="796"/>
        <v>ND</v>
      </c>
      <c r="EM144" s="1" t="str">
        <f t="shared" si="797"/>
        <v>ND</v>
      </c>
      <c r="EN144" s="1" t="str">
        <f t="shared" si="798"/>
        <v>ND</v>
      </c>
      <c r="EO144" s="1" t="str">
        <f t="shared" si="868"/>
        <v>ND</v>
      </c>
      <c r="EP144" s="1" t="str">
        <f t="shared" si="868"/>
        <v>ND</v>
      </c>
      <c r="EQ144" s="1" t="str">
        <f t="shared" si="868"/>
        <v>ND</v>
      </c>
      <c r="ER144" s="1" t="str">
        <f t="shared" si="868"/>
        <v>ND</v>
      </c>
      <c r="ES144" s="1" t="str">
        <f t="shared" si="868"/>
        <v>ND</v>
      </c>
      <c r="ET144" s="1" t="str">
        <f t="shared" si="868"/>
        <v>ND</v>
      </c>
      <c r="EU144" s="1" t="str">
        <f t="shared" si="868"/>
        <v>ND</v>
      </c>
      <c r="EV144" s="1" t="str">
        <f t="shared" si="868"/>
        <v>ND</v>
      </c>
      <c r="EW144" s="1" t="str">
        <f t="shared" si="868"/>
        <v>ND</v>
      </c>
      <c r="EX144" s="1" t="str">
        <f t="shared" si="868"/>
        <v>ND</v>
      </c>
      <c r="EY144" s="1" t="str">
        <f t="shared" si="868"/>
        <v>ND</v>
      </c>
      <c r="EZ144" s="1" t="str">
        <f t="shared" si="869"/>
        <v>ND</v>
      </c>
      <c r="FA144" s="1" t="str">
        <f t="shared" si="869"/>
        <v>ND</v>
      </c>
      <c r="FB144" s="1" t="str">
        <f t="shared" si="869"/>
        <v>ND</v>
      </c>
      <c r="FC144" s="1" t="str">
        <f t="shared" si="869"/>
        <v>ND</v>
      </c>
      <c r="FD144" s="1" t="str">
        <f t="shared" si="869"/>
        <v>ND</v>
      </c>
      <c r="FE144" s="1" t="str">
        <f t="shared" si="869"/>
        <v>ND</v>
      </c>
      <c r="FF144" s="1" t="str">
        <f t="shared" si="869"/>
        <v>ND</v>
      </c>
      <c r="FG144" s="1" t="str">
        <f t="shared" si="869"/>
        <v>ND</v>
      </c>
      <c r="FH144" s="1" t="str">
        <f t="shared" si="869"/>
        <v>ND</v>
      </c>
      <c r="FI144" s="1" t="str">
        <f t="shared" si="869"/>
        <v>ND</v>
      </c>
      <c r="FJ144" s="1" t="str">
        <f t="shared" si="869"/>
        <v>ND</v>
      </c>
      <c r="FK144" s="1" t="str">
        <f t="shared" si="870"/>
        <v>ND</v>
      </c>
      <c r="FL144" s="1" t="str">
        <f t="shared" si="870"/>
        <v>ND</v>
      </c>
      <c r="FM144" s="1" t="str">
        <f t="shared" si="870"/>
        <v>ND</v>
      </c>
      <c r="FN144" s="1" t="str">
        <f t="shared" si="870"/>
        <v>ND</v>
      </c>
      <c r="FO144" s="1" t="str">
        <f t="shared" si="870"/>
        <v>ND</v>
      </c>
      <c r="FP144" s="1" t="str">
        <f t="shared" si="870"/>
        <v>ND</v>
      </c>
      <c r="FQ144" s="1" t="str">
        <f t="shared" si="870"/>
        <v>ND</v>
      </c>
      <c r="FR144" s="1" t="str">
        <f t="shared" si="870"/>
        <v>ND</v>
      </c>
      <c r="FS144" s="1" t="str">
        <f t="shared" si="870"/>
        <v>ND</v>
      </c>
      <c r="FT144" s="1" t="str">
        <f t="shared" si="870"/>
        <v>ND</v>
      </c>
      <c r="FU144" s="1" t="str">
        <f t="shared" si="870"/>
        <v>ND</v>
      </c>
      <c r="FV144" s="1" t="str">
        <f t="shared" si="799"/>
        <v>ND</v>
      </c>
      <c r="FW144" s="1" t="str">
        <f t="shared" si="800"/>
        <v>ND</v>
      </c>
      <c r="FX144" s="1" t="str">
        <f t="shared" si="801"/>
        <v>ND</v>
      </c>
      <c r="FY144" s="1" t="str">
        <f t="shared" si="802"/>
        <v>ND</v>
      </c>
      <c r="FZ144" s="1" t="str">
        <f t="shared" si="803"/>
        <v>ND</v>
      </c>
      <c r="GA144" s="1" t="str">
        <f t="shared" si="804"/>
        <v>ND</v>
      </c>
      <c r="GB144" s="1" t="str">
        <f t="shared" si="805"/>
        <v>ND</v>
      </c>
      <c r="GC144" s="1" t="str">
        <f t="shared" si="806"/>
        <v>ND</v>
      </c>
      <c r="GD144" s="1" t="str">
        <f t="shared" si="807"/>
        <v>ND</v>
      </c>
      <c r="GE144" s="1" t="str">
        <f t="shared" si="808"/>
        <v>ND</v>
      </c>
      <c r="GF144" s="1" t="str">
        <f t="shared" si="809"/>
        <v>ND</v>
      </c>
      <c r="GG144" s="1" t="str">
        <f t="shared" si="810"/>
        <v>ND</v>
      </c>
      <c r="GH144" s="1" t="str">
        <f t="shared" si="811"/>
        <v>ND</v>
      </c>
      <c r="GI144" s="1" t="str">
        <f t="shared" si="812"/>
        <v>ND</v>
      </c>
      <c r="GJ144" s="1" t="str">
        <f t="shared" si="813"/>
        <v>ND</v>
      </c>
      <c r="GK144" s="1" t="str">
        <f t="shared" si="814"/>
        <v>ND</v>
      </c>
      <c r="GL144" s="1" t="str">
        <f t="shared" si="815"/>
        <v>ND</v>
      </c>
      <c r="GM144" s="1" t="str">
        <f t="shared" si="816"/>
        <v>ND</v>
      </c>
      <c r="GN144" s="1" t="str">
        <f t="shared" si="817"/>
        <v>ND</v>
      </c>
      <c r="GO144" s="1" t="str">
        <f t="shared" si="818"/>
        <v>ND</v>
      </c>
      <c r="GP144" s="1" t="str">
        <f t="shared" si="819"/>
        <v>ND</v>
      </c>
      <c r="GQ144" s="1" t="str">
        <f t="shared" si="820"/>
        <v>ND</v>
      </c>
      <c r="GR144" s="1" t="str">
        <f t="shared" si="821"/>
        <v>ND</v>
      </c>
      <c r="GS144" s="1" t="str">
        <f t="shared" si="822"/>
        <v>ND</v>
      </c>
      <c r="GT144" s="1" t="str">
        <f t="shared" si="823"/>
        <v>ND</v>
      </c>
      <c r="GU144" s="1" t="str">
        <f t="shared" si="824"/>
        <v>ND</v>
      </c>
      <c r="GV144" s="1" t="str">
        <f t="shared" si="825"/>
        <v>ND</v>
      </c>
      <c r="GW144" s="1" t="str">
        <f t="shared" si="826"/>
        <v>ND</v>
      </c>
      <c r="GX144" s="1" t="str">
        <f t="shared" si="827"/>
        <v>ND</v>
      </c>
      <c r="GY144" s="1" t="str">
        <f t="shared" si="828"/>
        <v>ND</v>
      </c>
      <c r="GZ144" s="1" t="str">
        <f t="shared" si="829"/>
        <v>ND</v>
      </c>
      <c r="HA144" s="1" t="str">
        <f t="shared" si="830"/>
        <v>ND</v>
      </c>
      <c r="HB144" s="1" t="str">
        <f t="shared" si="831"/>
        <v>ND</v>
      </c>
      <c r="HC144" s="1" t="str">
        <f t="shared" si="832"/>
        <v>ND</v>
      </c>
      <c r="HD144" s="1" t="str">
        <f t="shared" si="833"/>
        <v>ND</v>
      </c>
      <c r="HE144" s="1" t="str">
        <f t="shared" si="834"/>
        <v>ND</v>
      </c>
      <c r="HF144" s="1" t="str">
        <f t="shared" si="835"/>
        <v>ND</v>
      </c>
      <c r="HG144" s="1" t="str">
        <f t="shared" si="836"/>
        <v>ND</v>
      </c>
      <c r="HH144" s="1" t="str">
        <f t="shared" si="837"/>
        <v>ND</v>
      </c>
      <c r="HI144" s="1" t="str">
        <f t="shared" si="838"/>
        <v>ND</v>
      </c>
      <c r="HJ144" s="1" t="str">
        <f t="shared" si="839"/>
        <v>ND</v>
      </c>
      <c r="HK144" s="1" t="str">
        <f t="shared" si="840"/>
        <v>ND</v>
      </c>
      <c r="HL144" s="1" t="str">
        <f t="shared" si="841"/>
        <v>ND</v>
      </c>
      <c r="HM144" s="1" t="str">
        <f t="shared" si="842"/>
        <v>ND</v>
      </c>
      <c r="HN144" s="1" t="str">
        <f t="shared" si="843"/>
        <v>ND</v>
      </c>
      <c r="HO144" s="1" t="str">
        <f t="shared" si="844"/>
        <v>ND</v>
      </c>
      <c r="HP144" s="1" t="str">
        <f t="shared" si="845"/>
        <v>ND</v>
      </c>
      <c r="HQ144" s="1" t="str">
        <f t="shared" si="846"/>
        <v>ND</v>
      </c>
      <c r="HR144" s="1" t="str">
        <f t="shared" si="847"/>
        <v>ND</v>
      </c>
      <c r="HS144" s="1" t="str">
        <f t="shared" si="848"/>
        <v>ND</v>
      </c>
      <c r="HT144" s="1" t="str">
        <f t="shared" si="849"/>
        <v>ND</v>
      </c>
      <c r="HU144" s="1" t="str">
        <f t="shared" si="850"/>
        <v>ND</v>
      </c>
      <c r="HV144" s="1" t="str">
        <f t="shared" si="851"/>
        <v>ND</v>
      </c>
      <c r="HW144" s="1" t="str">
        <f t="shared" si="852"/>
        <v>ND</v>
      </c>
      <c r="HX144" s="1" t="str">
        <f t="shared" si="853"/>
        <v>ND</v>
      </c>
      <c r="HY144" s="1" t="str">
        <f t="shared" si="854"/>
        <v>ND</v>
      </c>
      <c r="HZ144" s="1" t="str">
        <f t="shared" si="855"/>
        <v>ND</v>
      </c>
      <c r="IA144" s="1" t="str">
        <f t="shared" si="856"/>
        <v>ND</v>
      </c>
      <c r="IB144" s="1" t="str">
        <f t="shared" si="857"/>
        <v>ND</v>
      </c>
      <c r="IC144" s="1" t="str">
        <f t="shared" si="858"/>
        <v>ND</v>
      </c>
      <c r="ID144" s="1" t="str">
        <f t="shared" si="859"/>
        <v>ND</v>
      </c>
      <c r="IE144" s="1" t="str">
        <f t="shared" si="860"/>
        <v>ND</v>
      </c>
      <c r="IF144" s="1" t="str">
        <f t="shared" si="861"/>
        <v>ND</v>
      </c>
      <c r="IG144" s="1" t="str">
        <f t="shared" si="862"/>
        <v>ND</v>
      </c>
      <c r="IH144" s="1" t="str">
        <f t="shared" si="863"/>
        <v>ND</v>
      </c>
      <c r="II144" s="1" t="str">
        <f t="shared" si="864"/>
        <v>ND</v>
      </c>
    </row>
    <row r="145" spans="3:243" x14ac:dyDescent="0.25">
      <c r="C145" t="s">
        <v>2</v>
      </c>
      <c r="D145">
        <f>SUMIFS(DICCIONARIO[Cantidad],DICCIONARIO[Modelo],UNIFICADA[[#This Row],[Equipo]])</f>
        <v>0</v>
      </c>
      <c r="E145" s="1">
        <f>IFERROR(VLOOKUP($C145,EQUIPOS[],UNIFICADO!E$9,0),"")</f>
        <v>14</v>
      </c>
      <c r="F145" s="1">
        <f>IFERROR(VLOOKUP($C145,EQUIPOS[],UNIFICADO!F$9,0),"")</f>
        <v>6.1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128GB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3.1/1.8</v>
      </c>
      <c r="N145" s="1">
        <f>IFERROR(VLOOKUP($C145,EQUIPOS[],UNIFICADO!N$9,0),"")</f>
        <v>4</v>
      </c>
      <c r="O145" s="1">
        <f>IFERROR(VLOOKUP($C145,EQUIPOS[],UNIFICADO!O$9,0),"")</f>
        <v>164</v>
      </c>
      <c r="P145" s="1">
        <f>IFERROR(VLOOKUP($C145,EQUIPOS[],UNIFICADO!P$9,0),"")</f>
        <v>14.6</v>
      </c>
      <c r="Q145" s="1">
        <f>IFERROR(VLOOKUP($C145,EQUIPOS[],UNIFICADO!Q$9,0),"")</f>
        <v>7.15</v>
      </c>
      <c r="R145" s="1">
        <f>IFERROR(VLOOKUP($C145,EQUIPOS[],UNIFICADO!R$9,0),"")</f>
        <v>0.74</v>
      </c>
      <c r="S145" s="1">
        <f>IFERROR(VLOOKUP($C145,EQUIPOS[],UNIFICADO!S$9,0),"")</f>
        <v>2815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9"/>
        <v>ND</v>
      </c>
      <c r="W145" s="1" t="str">
        <f t="shared" si="710"/>
        <v>ND</v>
      </c>
      <c r="X145" s="1" t="str">
        <f t="shared" si="702"/>
        <v>ND</v>
      </c>
      <c r="Y145" s="1" t="str">
        <f t="shared" si="702"/>
        <v>ND</v>
      </c>
      <c r="Z145" s="1" t="str">
        <f t="shared" si="865"/>
        <v>ND</v>
      </c>
      <c r="AA145" s="1" t="str">
        <f t="shared" si="865"/>
        <v>ND</v>
      </c>
      <c r="AB145" s="1" t="str">
        <f t="shared" si="865"/>
        <v>ND</v>
      </c>
      <c r="AC145" s="1" t="str">
        <f t="shared" si="865"/>
        <v>ND</v>
      </c>
      <c r="AD145" s="1" t="str">
        <f t="shared" si="865"/>
        <v>ND</v>
      </c>
      <c r="AE145" s="1" t="str">
        <f t="shared" si="865"/>
        <v>ND</v>
      </c>
      <c r="AF145" s="1" t="str">
        <f t="shared" si="865"/>
        <v>ND</v>
      </c>
      <c r="AG145" s="1" t="str">
        <f t="shared" si="865"/>
        <v>ND</v>
      </c>
      <c r="AH145" s="1" t="str">
        <f t="shared" si="865"/>
        <v>ND</v>
      </c>
      <c r="AI145" s="1" t="str">
        <f t="shared" si="711"/>
        <v>ND</v>
      </c>
      <c r="AJ145" s="1" t="str">
        <f t="shared" si="712"/>
        <v>ND</v>
      </c>
      <c r="AK145" s="1" t="str">
        <f t="shared" si="713"/>
        <v>ND</v>
      </c>
      <c r="AL145" s="1" t="str">
        <f t="shared" si="714"/>
        <v>ND</v>
      </c>
      <c r="AM145" s="1" t="str">
        <f t="shared" si="715"/>
        <v>ND</v>
      </c>
      <c r="AN145" s="1" t="str">
        <f t="shared" si="716"/>
        <v>ND</v>
      </c>
      <c r="AO145" s="1" t="str">
        <f t="shared" si="717"/>
        <v>ND</v>
      </c>
      <c r="AP145" s="1" t="str">
        <f t="shared" si="718"/>
        <v>ND</v>
      </c>
      <c r="AQ145" s="1" t="str">
        <f t="shared" si="719"/>
        <v>ND</v>
      </c>
      <c r="AR145" s="1" t="str">
        <f t="shared" si="720"/>
        <v>ND</v>
      </c>
      <c r="AS145" s="1" t="str">
        <f t="shared" si="721"/>
        <v>ND</v>
      </c>
      <c r="AT145" s="1" t="str">
        <f t="shared" si="722"/>
        <v>ND</v>
      </c>
      <c r="AU145" s="1" t="str">
        <f t="shared" si="723"/>
        <v>ND</v>
      </c>
      <c r="AV145" s="1" t="str">
        <f t="shared" si="724"/>
        <v>ND</v>
      </c>
      <c r="AW145" s="1" t="str">
        <f t="shared" si="725"/>
        <v>ND</v>
      </c>
      <c r="AX145" s="1" t="str">
        <f t="shared" si="726"/>
        <v>ND</v>
      </c>
      <c r="AY145" s="1" t="str">
        <f t="shared" si="727"/>
        <v>ND</v>
      </c>
      <c r="AZ145" s="1" t="str">
        <f t="shared" si="728"/>
        <v>ND</v>
      </c>
      <c r="BA145" s="1" t="str">
        <f t="shared" si="729"/>
        <v>ND</v>
      </c>
      <c r="BB145" s="1" t="str">
        <f t="shared" si="730"/>
        <v>ND</v>
      </c>
      <c r="BC145" s="1" t="str">
        <f t="shared" si="731"/>
        <v>ND</v>
      </c>
      <c r="BD145" s="1" t="str">
        <f t="shared" si="732"/>
        <v>ND</v>
      </c>
      <c r="BE145" s="1" t="str">
        <f t="shared" si="733"/>
        <v>ND</v>
      </c>
      <c r="BF145" s="1" t="str">
        <f t="shared" si="734"/>
        <v>ND</v>
      </c>
      <c r="BG145" s="1" t="str">
        <f t="shared" si="735"/>
        <v>ND</v>
      </c>
      <c r="BH145" s="1" t="str">
        <f t="shared" si="736"/>
        <v>ND</v>
      </c>
      <c r="BI145" s="1" t="str">
        <f t="shared" si="737"/>
        <v>ND</v>
      </c>
      <c r="BJ145" s="1" t="str">
        <f t="shared" si="738"/>
        <v>ND</v>
      </c>
      <c r="BK145" s="1" t="str">
        <f t="shared" si="739"/>
        <v>ND</v>
      </c>
      <c r="BL145" s="1" t="str">
        <f t="shared" si="740"/>
        <v>ND</v>
      </c>
      <c r="BM145" s="1" t="str">
        <f t="shared" si="741"/>
        <v>ND</v>
      </c>
      <c r="BN145" s="1" t="str">
        <f t="shared" si="742"/>
        <v>ND</v>
      </c>
      <c r="BO145" s="1" t="str">
        <f t="shared" si="743"/>
        <v>ND</v>
      </c>
      <c r="BP145" s="1" t="str">
        <f t="shared" si="744"/>
        <v>ND</v>
      </c>
      <c r="BQ145" s="1" t="str">
        <f t="shared" si="745"/>
        <v>ND</v>
      </c>
      <c r="BR145" s="1" t="str">
        <f t="shared" si="746"/>
        <v>ND</v>
      </c>
      <c r="BS145" s="1" t="str">
        <f t="shared" si="747"/>
        <v>ND</v>
      </c>
      <c r="BT145" s="1" t="str">
        <f t="shared" si="748"/>
        <v>ND</v>
      </c>
      <c r="BU145" s="1" t="str">
        <f t="shared" si="749"/>
        <v>ND</v>
      </c>
      <c r="BV145" s="1" t="str">
        <f t="shared" si="750"/>
        <v>ND</v>
      </c>
      <c r="BW145" s="1" t="str">
        <f t="shared" si="751"/>
        <v>ND</v>
      </c>
      <c r="BX145" s="1" t="str">
        <f t="shared" si="752"/>
        <v>ND</v>
      </c>
      <c r="BY145" s="1" t="str">
        <f t="shared" si="753"/>
        <v>ND</v>
      </c>
      <c r="BZ145" s="1" t="str">
        <f t="shared" si="754"/>
        <v>ND</v>
      </c>
      <c r="CA145" s="1" t="str">
        <f t="shared" si="866"/>
        <v>ND</v>
      </c>
      <c r="CB145" s="1" t="str">
        <f t="shared" si="866"/>
        <v>ND</v>
      </c>
      <c r="CC145" s="1" t="str">
        <f t="shared" si="866"/>
        <v>ND</v>
      </c>
      <c r="CD145" s="1" t="str">
        <f t="shared" si="866"/>
        <v>ND</v>
      </c>
      <c r="CE145" s="1" t="str">
        <f t="shared" si="866"/>
        <v>ND</v>
      </c>
      <c r="CF145" s="1" t="str">
        <f t="shared" si="866"/>
        <v>ND</v>
      </c>
      <c r="CG145" s="1" t="str">
        <f t="shared" si="866"/>
        <v>ND</v>
      </c>
      <c r="CH145" s="1" t="str">
        <f t="shared" si="866"/>
        <v>ND</v>
      </c>
      <c r="CI145" s="1" t="str">
        <f t="shared" si="866"/>
        <v>ND</v>
      </c>
      <c r="CJ145" s="1" t="str">
        <f t="shared" si="866"/>
        <v>ND</v>
      </c>
      <c r="CK145" s="1" t="str">
        <f t="shared" si="866"/>
        <v>ND</v>
      </c>
      <c r="CL145" s="1" t="str">
        <f t="shared" si="867"/>
        <v>ND</v>
      </c>
      <c r="CM145" s="1" t="str">
        <f t="shared" si="867"/>
        <v>ND</v>
      </c>
      <c r="CN145" s="1" t="str">
        <f t="shared" si="867"/>
        <v>ND</v>
      </c>
      <c r="CO145" s="1" t="str">
        <f t="shared" si="867"/>
        <v>ND</v>
      </c>
      <c r="CP145" s="1" t="str">
        <f t="shared" si="867"/>
        <v>ND</v>
      </c>
      <c r="CQ145" s="1" t="str">
        <f t="shared" si="867"/>
        <v>ND</v>
      </c>
      <c r="CR145" s="1" t="str">
        <f t="shared" si="867"/>
        <v>ND</v>
      </c>
      <c r="CS145" s="1" t="str">
        <f t="shared" si="867"/>
        <v>ND</v>
      </c>
      <c r="CT145" s="1" t="str">
        <f t="shared" si="867"/>
        <v>ND</v>
      </c>
      <c r="CU145" s="1" t="str">
        <f t="shared" si="867"/>
        <v>ND</v>
      </c>
      <c r="CV145" s="1" t="str">
        <f t="shared" si="867"/>
        <v>ND</v>
      </c>
      <c r="CW145" s="1" t="str">
        <f t="shared" si="755"/>
        <v>ND</v>
      </c>
      <c r="CX145" s="1" t="str">
        <f t="shared" si="756"/>
        <v>ND</v>
      </c>
      <c r="CY145" s="1" t="str">
        <f t="shared" si="757"/>
        <v>ND</v>
      </c>
      <c r="CZ145" s="1" t="str">
        <f t="shared" si="758"/>
        <v>ND</v>
      </c>
      <c r="DA145" s="1" t="str">
        <f t="shared" si="759"/>
        <v>ND</v>
      </c>
      <c r="DB145" s="1" t="str">
        <f t="shared" si="760"/>
        <v>ND</v>
      </c>
      <c r="DC145" s="1" t="str">
        <f t="shared" si="761"/>
        <v>ND</v>
      </c>
      <c r="DD145" s="1" t="str">
        <f t="shared" si="762"/>
        <v>ND</v>
      </c>
      <c r="DE145" s="1" t="str">
        <f t="shared" si="763"/>
        <v>ND</v>
      </c>
      <c r="DF145" s="1" t="str">
        <f t="shared" si="764"/>
        <v>ND</v>
      </c>
      <c r="DG145" s="1" t="str">
        <f t="shared" si="765"/>
        <v>ND</v>
      </c>
      <c r="DH145" s="1" t="str">
        <f t="shared" si="766"/>
        <v>ND</v>
      </c>
      <c r="DI145" s="1" t="str">
        <f t="shared" si="767"/>
        <v>ND</v>
      </c>
      <c r="DJ145" s="1" t="str">
        <f t="shared" si="768"/>
        <v>ND</v>
      </c>
      <c r="DK145" s="1" t="str">
        <f t="shared" si="769"/>
        <v>ND</v>
      </c>
      <c r="DL145" s="1" t="str">
        <f t="shared" si="770"/>
        <v>ND</v>
      </c>
      <c r="DM145" s="1" t="str">
        <f t="shared" si="771"/>
        <v>ND</v>
      </c>
      <c r="DN145" s="1" t="str">
        <f t="shared" si="772"/>
        <v>ND</v>
      </c>
      <c r="DO145" s="1" t="str">
        <f t="shared" si="773"/>
        <v>ND</v>
      </c>
      <c r="DP145" s="1" t="str">
        <f t="shared" si="774"/>
        <v>ND</v>
      </c>
      <c r="DQ145" s="1" t="str">
        <f t="shared" si="775"/>
        <v>ND</v>
      </c>
      <c r="DR145" s="1" t="str">
        <f t="shared" si="776"/>
        <v>ND</v>
      </c>
      <c r="DS145" s="1" t="str">
        <f t="shared" si="777"/>
        <v>ND</v>
      </c>
      <c r="DT145" s="1" t="str">
        <f t="shared" si="778"/>
        <v>ND</v>
      </c>
      <c r="DU145" s="1" t="str">
        <f t="shared" si="779"/>
        <v>ND</v>
      </c>
      <c r="DV145" s="1" t="str">
        <f t="shared" si="780"/>
        <v>ND</v>
      </c>
      <c r="DW145" s="1" t="str">
        <f t="shared" si="781"/>
        <v>ND</v>
      </c>
      <c r="DX145" s="1" t="str">
        <f t="shared" si="782"/>
        <v>ND</v>
      </c>
      <c r="DY145" s="1" t="str">
        <f t="shared" si="783"/>
        <v>ND</v>
      </c>
      <c r="DZ145" s="1" t="str">
        <f t="shared" si="784"/>
        <v>ND</v>
      </c>
      <c r="EA145" s="1" t="str">
        <f t="shared" si="785"/>
        <v>ND</v>
      </c>
      <c r="EB145" s="1" t="str">
        <f t="shared" si="786"/>
        <v>ND</v>
      </c>
      <c r="EC145" s="1" t="str">
        <f t="shared" si="787"/>
        <v>ND</v>
      </c>
      <c r="ED145" s="1" t="str">
        <f t="shared" si="788"/>
        <v>ND</v>
      </c>
      <c r="EE145" s="1" t="str">
        <f t="shared" si="789"/>
        <v>ND</v>
      </c>
      <c r="EF145" s="1" t="str">
        <f t="shared" si="790"/>
        <v>ND</v>
      </c>
      <c r="EG145" s="1" t="str">
        <f t="shared" si="791"/>
        <v>ND</v>
      </c>
      <c r="EH145" s="1" t="str">
        <f t="shared" si="792"/>
        <v>ND</v>
      </c>
      <c r="EI145" s="1" t="str">
        <f t="shared" si="793"/>
        <v>ND</v>
      </c>
      <c r="EJ145" s="1" t="str">
        <f t="shared" si="794"/>
        <v>ND</v>
      </c>
      <c r="EK145" s="1" t="str">
        <f t="shared" si="795"/>
        <v>ND</v>
      </c>
      <c r="EL145" s="1" t="str">
        <f t="shared" si="796"/>
        <v>ND</v>
      </c>
      <c r="EM145" s="1" t="str">
        <f t="shared" si="797"/>
        <v>ND</v>
      </c>
      <c r="EN145" s="1" t="str">
        <f t="shared" si="798"/>
        <v>ND</v>
      </c>
      <c r="EO145" s="1" t="str">
        <f t="shared" si="868"/>
        <v>ND</v>
      </c>
      <c r="EP145" s="1" t="str">
        <f t="shared" si="868"/>
        <v>ND</v>
      </c>
      <c r="EQ145" s="1" t="str">
        <f t="shared" si="868"/>
        <v>ND</v>
      </c>
      <c r="ER145" s="1" t="str">
        <f t="shared" si="868"/>
        <v>ND</v>
      </c>
      <c r="ES145" s="1" t="str">
        <f t="shared" si="868"/>
        <v>ND</v>
      </c>
      <c r="ET145" s="1" t="str">
        <f t="shared" si="868"/>
        <v>ND</v>
      </c>
      <c r="EU145" s="1" t="str">
        <f t="shared" si="868"/>
        <v>ND</v>
      </c>
      <c r="EV145" s="1" t="str">
        <f t="shared" si="868"/>
        <v>ND</v>
      </c>
      <c r="EW145" s="1" t="str">
        <f t="shared" si="868"/>
        <v>ND</v>
      </c>
      <c r="EX145" s="1" t="str">
        <f t="shared" si="868"/>
        <v>ND</v>
      </c>
      <c r="EY145" s="1" t="str">
        <f t="shared" si="868"/>
        <v>ND</v>
      </c>
      <c r="EZ145" s="1" t="str">
        <f t="shared" si="869"/>
        <v>ND</v>
      </c>
      <c r="FA145" s="1" t="str">
        <f t="shared" si="869"/>
        <v>ND</v>
      </c>
      <c r="FB145" s="1" t="str">
        <f t="shared" si="869"/>
        <v>ND</v>
      </c>
      <c r="FC145" s="1" t="str">
        <f t="shared" si="869"/>
        <v>ND</v>
      </c>
      <c r="FD145" s="1" t="str">
        <f t="shared" si="869"/>
        <v>ND</v>
      </c>
      <c r="FE145" s="1" t="str">
        <f t="shared" si="869"/>
        <v>ND</v>
      </c>
      <c r="FF145" s="1" t="str">
        <f t="shared" si="869"/>
        <v>ND</v>
      </c>
      <c r="FG145" s="1" t="str">
        <f t="shared" si="869"/>
        <v>ND</v>
      </c>
      <c r="FH145" s="1" t="str">
        <f t="shared" si="869"/>
        <v>ND</v>
      </c>
      <c r="FI145" s="1" t="str">
        <f t="shared" si="869"/>
        <v>ND</v>
      </c>
      <c r="FJ145" s="1" t="str">
        <f t="shared" si="869"/>
        <v>ND</v>
      </c>
      <c r="FK145" s="1" t="str">
        <f t="shared" si="870"/>
        <v>ND</v>
      </c>
      <c r="FL145" s="1" t="str">
        <f t="shared" si="870"/>
        <v>ND</v>
      </c>
      <c r="FM145" s="1" t="str">
        <f t="shared" si="870"/>
        <v>ND</v>
      </c>
      <c r="FN145" s="1" t="str">
        <f t="shared" si="870"/>
        <v>ND</v>
      </c>
      <c r="FO145" s="1" t="str">
        <f t="shared" si="870"/>
        <v>ND</v>
      </c>
      <c r="FP145" s="1" t="str">
        <f t="shared" si="870"/>
        <v>ND</v>
      </c>
      <c r="FQ145" s="1" t="str">
        <f t="shared" si="870"/>
        <v>ND</v>
      </c>
      <c r="FR145" s="1" t="str">
        <f t="shared" si="870"/>
        <v>ND</v>
      </c>
      <c r="FS145" s="1" t="str">
        <f t="shared" si="870"/>
        <v>ND</v>
      </c>
      <c r="FT145" s="1" t="str">
        <f t="shared" si="870"/>
        <v>ND</v>
      </c>
      <c r="FU145" s="1" t="str">
        <f t="shared" si="870"/>
        <v>ND</v>
      </c>
      <c r="FV145" s="1" t="str">
        <f t="shared" si="799"/>
        <v>ND</v>
      </c>
      <c r="FW145" s="1" t="str">
        <f t="shared" si="800"/>
        <v>ND</v>
      </c>
      <c r="FX145" s="1" t="str">
        <f t="shared" si="801"/>
        <v>ND</v>
      </c>
      <c r="FY145" s="1" t="str">
        <f t="shared" si="802"/>
        <v>ND</v>
      </c>
      <c r="FZ145" s="1" t="str">
        <f t="shared" si="803"/>
        <v>ND</v>
      </c>
      <c r="GA145" s="1" t="str">
        <f t="shared" si="804"/>
        <v>ND</v>
      </c>
      <c r="GB145" s="1" t="str">
        <f t="shared" si="805"/>
        <v>ND</v>
      </c>
      <c r="GC145" s="1" t="str">
        <f t="shared" si="806"/>
        <v>ND</v>
      </c>
      <c r="GD145" s="1" t="str">
        <f t="shared" si="807"/>
        <v>ND</v>
      </c>
      <c r="GE145" s="1" t="str">
        <f t="shared" si="808"/>
        <v>ND</v>
      </c>
      <c r="GF145" s="1" t="str">
        <f t="shared" si="809"/>
        <v>ND</v>
      </c>
      <c r="GG145" s="1" t="str">
        <f t="shared" si="810"/>
        <v>ND</v>
      </c>
      <c r="GH145" s="1" t="str">
        <f t="shared" si="811"/>
        <v>ND</v>
      </c>
      <c r="GI145" s="1" t="str">
        <f t="shared" si="812"/>
        <v>ND</v>
      </c>
      <c r="GJ145" s="1" t="str">
        <f t="shared" si="813"/>
        <v>ND</v>
      </c>
      <c r="GK145" s="1" t="str">
        <f t="shared" si="814"/>
        <v>ND</v>
      </c>
      <c r="GL145" s="1" t="str">
        <f t="shared" si="815"/>
        <v>ND</v>
      </c>
      <c r="GM145" s="1" t="str">
        <f t="shared" si="816"/>
        <v>ND</v>
      </c>
      <c r="GN145" s="1" t="str">
        <f t="shared" si="817"/>
        <v>ND</v>
      </c>
      <c r="GO145" s="1" t="str">
        <f t="shared" si="818"/>
        <v>ND</v>
      </c>
      <c r="GP145" s="1" t="str">
        <f t="shared" si="819"/>
        <v>ND</v>
      </c>
      <c r="GQ145" s="1" t="str">
        <f t="shared" si="820"/>
        <v>ND</v>
      </c>
      <c r="GR145" s="1" t="str">
        <f t="shared" si="821"/>
        <v>ND</v>
      </c>
      <c r="GS145" s="1" t="str">
        <f t="shared" si="822"/>
        <v>ND</v>
      </c>
      <c r="GT145" s="1" t="str">
        <f t="shared" si="823"/>
        <v>ND</v>
      </c>
      <c r="GU145" s="1" t="str">
        <f t="shared" si="824"/>
        <v>ND</v>
      </c>
      <c r="GV145" s="1" t="str">
        <f t="shared" si="825"/>
        <v>ND</v>
      </c>
      <c r="GW145" s="1" t="str">
        <f t="shared" si="826"/>
        <v>ND</v>
      </c>
      <c r="GX145" s="1" t="str">
        <f t="shared" si="827"/>
        <v>ND</v>
      </c>
      <c r="GY145" s="1" t="str">
        <f t="shared" si="828"/>
        <v>ND</v>
      </c>
      <c r="GZ145" s="1" t="str">
        <f t="shared" si="829"/>
        <v>ND</v>
      </c>
      <c r="HA145" s="1" t="str">
        <f t="shared" si="830"/>
        <v>ND</v>
      </c>
      <c r="HB145" s="1" t="str">
        <f t="shared" si="831"/>
        <v>ND</v>
      </c>
      <c r="HC145" s="1" t="str">
        <f t="shared" si="832"/>
        <v>ND</v>
      </c>
      <c r="HD145" s="1" t="str">
        <f t="shared" si="833"/>
        <v>ND</v>
      </c>
      <c r="HE145" s="1" t="str">
        <f t="shared" si="834"/>
        <v>ND</v>
      </c>
      <c r="HF145" s="1" t="str">
        <f t="shared" si="835"/>
        <v>ND</v>
      </c>
      <c r="HG145" s="1" t="str">
        <f t="shared" si="836"/>
        <v>ND</v>
      </c>
      <c r="HH145" s="1" t="str">
        <f t="shared" si="837"/>
        <v>ND</v>
      </c>
      <c r="HI145" s="1" t="str">
        <f t="shared" si="838"/>
        <v>ND</v>
      </c>
      <c r="HJ145" s="1" t="str">
        <f t="shared" si="839"/>
        <v>ND</v>
      </c>
      <c r="HK145" s="1" t="str">
        <f t="shared" si="840"/>
        <v>ND</v>
      </c>
      <c r="HL145" s="1" t="str">
        <f t="shared" si="841"/>
        <v>ND</v>
      </c>
      <c r="HM145" s="1" t="str">
        <f t="shared" si="842"/>
        <v>ND</v>
      </c>
      <c r="HN145" s="1" t="str">
        <f t="shared" si="843"/>
        <v>ND</v>
      </c>
      <c r="HO145" s="1" t="str">
        <f t="shared" si="844"/>
        <v>ND</v>
      </c>
      <c r="HP145" s="1" t="str">
        <f t="shared" si="845"/>
        <v>ND</v>
      </c>
      <c r="HQ145" s="1" t="str">
        <f t="shared" si="846"/>
        <v>ND</v>
      </c>
      <c r="HR145" s="1" t="str">
        <f t="shared" si="847"/>
        <v>ND</v>
      </c>
      <c r="HS145" s="1" t="str">
        <f t="shared" si="848"/>
        <v>ND</v>
      </c>
      <c r="HT145" s="1" t="str">
        <f t="shared" si="849"/>
        <v>ND</v>
      </c>
      <c r="HU145" s="1" t="str">
        <f t="shared" si="850"/>
        <v>ND</v>
      </c>
      <c r="HV145" s="1" t="str">
        <f t="shared" si="851"/>
        <v>ND</v>
      </c>
      <c r="HW145" s="1" t="str">
        <f t="shared" si="852"/>
        <v>ND</v>
      </c>
      <c r="HX145" s="1" t="str">
        <f t="shared" si="853"/>
        <v>ND</v>
      </c>
      <c r="HY145" s="1" t="str">
        <f t="shared" si="854"/>
        <v>ND</v>
      </c>
      <c r="HZ145" s="1" t="str">
        <f t="shared" si="855"/>
        <v>ND</v>
      </c>
      <c r="IA145" s="1" t="str">
        <f t="shared" si="856"/>
        <v>ND</v>
      </c>
      <c r="IB145" s="1" t="str">
        <f t="shared" si="857"/>
        <v>ND</v>
      </c>
      <c r="IC145" s="1" t="str">
        <f t="shared" si="858"/>
        <v>ND</v>
      </c>
      <c r="ID145" s="1" t="str">
        <f t="shared" si="859"/>
        <v>ND</v>
      </c>
      <c r="IE145" s="1" t="str">
        <f t="shared" si="860"/>
        <v>ND</v>
      </c>
      <c r="IF145" s="1" t="str">
        <f t="shared" si="861"/>
        <v>ND</v>
      </c>
      <c r="IG145" s="1" t="str">
        <f t="shared" si="862"/>
        <v>ND</v>
      </c>
      <c r="IH145" s="1" t="str">
        <f t="shared" si="863"/>
        <v>ND</v>
      </c>
      <c r="II145" s="1" t="str">
        <f t="shared" si="864"/>
        <v>ND</v>
      </c>
    </row>
    <row r="146" spans="3:243" x14ac:dyDescent="0.25">
      <c r="C146" t="s">
        <v>3</v>
      </c>
      <c r="D146">
        <f>SUMIFS(DICCIONARIO[Cantidad],DICCIONARIO[Modelo],UNIFICADA[[#This Row],[Equipo]])</f>
        <v>6</v>
      </c>
      <c r="E146" s="1">
        <f>IFERROR(VLOOKUP($C146,EQUIPOS[],UNIFICADO!E$9,0),"")</f>
        <v>14</v>
      </c>
      <c r="F146" s="1">
        <f>IFERROR(VLOOKUP($C146,EQUIPOS[],UNIFICADO!F$9,0),"")</f>
        <v>6.1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64GB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3.1/1.8</v>
      </c>
      <c r="N146" s="1">
        <f>IFERROR(VLOOKUP($C146,EQUIPOS[],UNIFICADO!N$9,0),"")</f>
        <v>4</v>
      </c>
      <c r="O146" s="1">
        <f>IFERROR(VLOOKUP($C146,EQUIPOS[],UNIFICADO!O$9,0),"")</f>
        <v>164</v>
      </c>
      <c r="P146" s="1">
        <f>IFERROR(VLOOKUP($C146,EQUIPOS[],UNIFICADO!P$9,0),"")</f>
        <v>14.6</v>
      </c>
      <c r="Q146" s="1">
        <f>IFERROR(VLOOKUP($C146,EQUIPOS[],UNIFICADO!Q$9,0),"")</f>
        <v>7.15</v>
      </c>
      <c r="R146" s="1">
        <f>IFERROR(VLOOKUP($C146,EQUIPOS[],UNIFICADO!R$9,0),"")</f>
        <v>0.74</v>
      </c>
      <c r="S146" s="1">
        <f>IFERROR(VLOOKUP($C146,EQUIPOS[],UNIFICADO!S$9,0),"")</f>
        <v>2815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9"/>
        <v>ND</v>
      </c>
      <c r="W146" s="1" t="str">
        <f t="shared" si="710"/>
        <v>ND</v>
      </c>
      <c r="X146" s="1" t="str">
        <f t="shared" si="702"/>
        <v>ND</v>
      </c>
      <c r="Y146" s="1" t="str">
        <f t="shared" si="702"/>
        <v>ND</v>
      </c>
      <c r="Z146" s="1" t="str">
        <f t="shared" si="865"/>
        <v>ND</v>
      </c>
      <c r="AA146" s="1" t="str">
        <f t="shared" si="865"/>
        <v>ND</v>
      </c>
      <c r="AB146" s="1" t="str">
        <f t="shared" si="865"/>
        <v>ND</v>
      </c>
      <c r="AC146" s="1" t="str">
        <f t="shared" si="865"/>
        <v>ND</v>
      </c>
      <c r="AD146" s="1" t="str">
        <f t="shared" si="865"/>
        <v>ND</v>
      </c>
      <c r="AE146" s="1" t="str">
        <f t="shared" si="865"/>
        <v>ND</v>
      </c>
      <c r="AF146" s="1" t="str">
        <f t="shared" si="865"/>
        <v>ND</v>
      </c>
      <c r="AG146" s="1" t="str">
        <f t="shared" si="865"/>
        <v>ND</v>
      </c>
      <c r="AH146" s="1" t="str">
        <f t="shared" si="865"/>
        <v>ND</v>
      </c>
      <c r="AI146" s="1" t="str">
        <f t="shared" si="711"/>
        <v>ND</v>
      </c>
      <c r="AJ146" s="1" t="str">
        <f t="shared" si="712"/>
        <v>ND</v>
      </c>
      <c r="AK146" s="1" t="str">
        <f t="shared" si="713"/>
        <v>ND</v>
      </c>
      <c r="AL146" s="1" t="str">
        <f t="shared" si="714"/>
        <v>ND</v>
      </c>
      <c r="AM146" s="1" t="str">
        <f t="shared" si="715"/>
        <v>ND</v>
      </c>
      <c r="AN146" s="1" t="str">
        <f t="shared" si="716"/>
        <v>ND</v>
      </c>
      <c r="AO146" s="1" t="str">
        <f t="shared" si="717"/>
        <v>ND</v>
      </c>
      <c r="AP146" s="1" t="str">
        <f t="shared" si="718"/>
        <v>ND</v>
      </c>
      <c r="AQ146" s="1" t="str">
        <f t="shared" si="719"/>
        <v>ND</v>
      </c>
      <c r="AR146" s="1" t="str">
        <f t="shared" si="720"/>
        <v>ND</v>
      </c>
      <c r="AS146" s="1" t="str">
        <f t="shared" si="721"/>
        <v>ND</v>
      </c>
      <c r="AT146" s="1" t="str">
        <f t="shared" si="722"/>
        <v>ND</v>
      </c>
      <c r="AU146" s="1" t="str">
        <f t="shared" si="723"/>
        <v>ND</v>
      </c>
      <c r="AV146" s="1" t="str">
        <f t="shared" si="724"/>
        <v>ND</v>
      </c>
      <c r="AW146" s="1" t="str">
        <f t="shared" si="725"/>
        <v>ND</v>
      </c>
      <c r="AX146" s="1" t="str">
        <f t="shared" si="726"/>
        <v>ND</v>
      </c>
      <c r="AY146" s="1" t="str">
        <f t="shared" si="727"/>
        <v>ND</v>
      </c>
      <c r="AZ146" s="1" t="str">
        <f t="shared" si="728"/>
        <v>ND</v>
      </c>
      <c r="BA146" s="1" t="str">
        <f t="shared" si="729"/>
        <v>ND</v>
      </c>
      <c r="BB146" s="1" t="str">
        <f t="shared" si="730"/>
        <v>ND</v>
      </c>
      <c r="BC146" s="1" t="str">
        <f t="shared" si="731"/>
        <v>ND</v>
      </c>
      <c r="BD146" s="1" t="str">
        <f t="shared" si="732"/>
        <v>ND</v>
      </c>
      <c r="BE146" s="1" t="str">
        <f t="shared" si="733"/>
        <v>ND</v>
      </c>
      <c r="BF146" s="1" t="str">
        <f t="shared" si="734"/>
        <v>ND</v>
      </c>
      <c r="BG146" s="1" t="str">
        <f t="shared" si="735"/>
        <v>ND</v>
      </c>
      <c r="BH146" s="1" t="str">
        <f t="shared" si="736"/>
        <v>ND</v>
      </c>
      <c r="BI146" s="1" t="str">
        <f t="shared" si="737"/>
        <v>ND</v>
      </c>
      <c r="BJ146" s="1" t="str">
        <f t="shared" si="738"/>
        <v>ND</v>
      </c>
      <c r="BK146" s="1" t="str">
        <f t="shared" si="739"/>
        <v>ND</v>
      </c>
      <c r="BL146" s="1" t="str">
        <f t="shared" si="740"/>
        <v>ND</v>
      </c>
      <c r="BM146" s="1" t="str">
        <f t="shared" si="741"/>
        <v>ND</v>
      </c>
      <c r="BN146" s="1" t="str">
        <f t="shared" si="742"/>
        <v>ND</v>
      </c>
      <c r="BO146" s="1" t="str">
        <f t="shared" si="743"/>
        <v>ND</v>
      </c>
      <c r="BP146" s="1" t="str">
        <f t="shared" si="744"/>
        <v>ND</v>
      </c>
      <c r="BQ146" s="1" t="str">
        <f t="shared" si="745"/>
        <v>ND</v>
      </c>
      <c r="BR146" s="1" t="str">
        <f t="shared" si="746"/>
        <v>ND</v>
      </c>
      <c r="BS146" s="1" t="str">
        <f t="shared" si="747"/>
        <v>ND</v>
      </c>
      <c r="BT146" s="1" t="str">
        <f t="shared" si="748"/>
        <v>ND</v>
      </c>
      <c r="BU146" s="1" t="str">
        <f t="shared" si="749"/>
        <v>ND</v>
      </c>
      <c r="BV146" s="1" t="str">
        <f t="shared" si="750"/>
        <v>ND</v>
      </c>
      <c r="BW146" s="1" t="str">
        <f t="shared" si="751"/>
        <v>ND</v>
      </c>
      <c r="BX146" s="1" t="str">
        <f t="shared" si="752"/>
        <v>ND</v>
      </c>
      <c r="BY146" s="1" t="str">
        <f t="shared" si="753"/>
        <v>ND</v>
      </c>
      <c r="BZ146" s="1" t="str">
        <f t="shared" si="754"/>
        <v>ND</v>
      </c>
      <c r="CA146" s="1" t="str">
        <f t="shared" si="866"/>
        <v>ND</v>
      </c>
      <c r="CB146" s="1" t="str">
        <f t="shared" si="866"/>
        <v>ND</v>
      </c>
      <c r="CC146" s="1" t="str">
        <f t="shared" si="866"/>
        <v>ND</v>
      </c>
      <c r="CD146" s="1" t="str">
        <f t="shared" si="866"/>
        <v>ND</v>
      </c>
      <c r="CE146" s="1" t="str">
        <f t="shared" si="866"/>
        <v>ND</v>
      </c>
      <c r="CF146" s="1" t="str">
        <f t="shared" si="866"/>
        <v>ND</v>
      </c>
      <c r="CG146" s="1" t="str">
        <f t="shared" si="866"/>
        <v>ND</v>
      </c>
      <c r="CH146" s="1" t="str">
        <f t="shared" si="866"/>
        <v>ND</v>
      </c>
      <c r="CI146" s="1" t="str">
        <f t="shared" si="866"/>
        <v>ND</v>
      </c>
      <c r="CJ146" s="1" t="str">
        <f t="shared" si="866"/>
        <v>ND</v>
      </c>
      <c r="CK146" s="1" t="str">
        <f t="shared" si="866"/>
        <v>ND</v>
      </c>
      <c r="CL146" s="1" t="str">
        <f t="shared" si="867"/>
        <v>ND</v>
      </c>
      <c r="CM146" s="1" t="str">
        <f t="shared" si="867"/>
        <v>ND</v>
      </c>
      <c r="CN146" s="1" t="str">
        <f t="shared" si="867"/>
        <v>ND</v>
      </c>
      <c r="CO146" s="1" t="str">
        <f t="shared" si="867"/>
        <v>ND</v>
      </c>
      <c r="CP146" s="1" t="str">
        <f t="shared" si="867"/>
        <v>ND</v>
      </c>
      <c r="CQ146" s="1" t="str">
        <f t="shared" si="867"/>
        <v>ND</v>
      </c>
      <c r="CR146" s="1" t="str">
        <f t="shared" si="867"/>
        <v>ND</v>
      </c>
      <c r="CS146" s="1" t="str">
        <f t="shared" si="867"/>
        <v>ND</v>
      </c>
      <c r="CT146" s="1" t="str">
        <f t="shared" si="867"/>
        <v>ND</v>
      </c>
      <c r="CU146" s="1" t="str">
        <f t="shared" si="867"/>
        <v>ND</v>
      </c>
      <c r="CV146" s="1" t="str">
        <f t="shared" si="867"/>
        <v>ND</v>
      </c>
      <c r="CW146" s="1" t="str">
        <f t="shared" si="755"/>
        <v>ND</v>
      </c>
      <c r="CX146" s="1" t="str">
        <f t="shared" si="756"/>
        <v>ND</v>
      </c>
      <c r="CY146" s="1" t="str">
        <f t="shared" si="757"/>
        <v>ND</v>
      </c>
      <c r="CZ146" s="1" t="str">
        <f t="shared" si="758"/>
        <v>ND</v>
      </c>
      <c r="DA146" s="1" t="str">
        <f t="shared" si="759"/>
        <v>ND</v>
      </c>
      <c r="DB146" s="1" t="str">
        <f t="shared" si="760"/>
        <v>ND</v>
      </c>
      <c r="DC146" s="1" t="str">
        <f t="shared" si="761"/>
        <v>ND</v>
      </c>
      <c r="DD146" s="1" t="str">
        <f t="shared" si="762"/>
        <v>ND</v>
      </c>
      <c r="DE146" s="1" t="str">
        <f t="shared" si="763"/>
        <v>ND</v>
      </c>
      <c r="DF146" s="1" t="str">
        <f t="shared" si="764"/>
        <v>ND</v>
      </c>
      <c r="DG146" s="1" t="str">
        <f t="shared" si="765"/>
        <v>ND</v>
      </c>
      <c r="DH146" s="1" t="str">
        <f t="shared" si="766"/>
        <v>ND</v>
      </c>
      <c r="DI146" s="1" t="str">
        <f t="shared" si="767"/>
        <v>ND</v>
      </c>
      <c r="DJ146" s="1" t="str">
        <f t="shared" si="768"/>
        <v>ND</v>
      </c>
      <c r="DK146" s="1" t="str">
        <f t="shared" si="769"/>
        <v>ND</v>
      </c>
      <c r="DL146" s="1" t="str">
        <f t="shared" si="770"/>
        <v>ND</v>
      </c>
      <c r="DM146" s="1" t="str">
        <f t="shared" si="771"/>
        <v>ND</v>
      </c>
      <c r="DN146" s="1" t="str">
        <f t="shared" si="772"/>
        <v>ND</v>
      </c>
      <c r="DO146" s="1" t="str">
        <f t="shared" si="773"/>
        <v>ND</v>
      </c>
      <c r="DP146" s="1" t="str">
        <f t="shared" si="774"/>
        <v>ND</v>
      </c>
      <c r="DQ146" s="1" t="str">
        <f t="shared" si="775"/>
        <v>ND</v>
      </c>
      <c r="DR146" s="1" t="str">
        <f t="shared" si="776"/>
        <v>ND</v>
      </c>
      <c r="DS146" s="1" t="str">
        <f t="shared" si="777"/>
        <v>ND</v>
      </c>
      <c r="DT146" s="1" t="str">
        <f t="shared" si="778"/>
        <v>ND</v>
      </c>
      <c r="DU146" s="1" t="str">
        <f t="shared" si="779"/>
        <v>ND</v>
      </c>
      <c r="DV146" s="1" t="str">
        <f t="shared" si="780"/>
        <v>ND</v>
      </c>
      <c r="DW146" s="1" t="str">
        <f t="shared" si="781"/>
        <v>ND</v>
      </c>
      <c r="DX146" s="1" t="str">
        <f t="shared" si="782"/>
        <v>ND</v>
      </c>
      <c r="DY146" s="1" t="str">
        <f t="shared" si="783"/>
        <v>ND</v>
      </c>
      <c r="DZ146" s="1" t="str">
        <f t="shared" si="784"/>
        <v>ND</v>
      </c>
      <c r="EA146" s="1" t="str">
        <f t="shared" si="785"/>
        <v>ND</v>
      </c>
      <c r="EB146" s="1" t="str">
        <f t="shared" si="786"/>
        <v>ND</v>
      </c>
      <c r="EC146" s="1" t="str">
        <f t="shared" si="787"/>
        <v>ND</v>
      </c>
      <c r="ED146" s="1" t="str">
        <f t="shared" si="788"/>
        <v>ND</v>
      </c>
      <c r="EE146" s="1" t="str">
        <f t="shared" si="789"/>
        <v>ND</v>
      </c>
      <c r="EF146" s="1" t="str">
        <f t="shared" si="790"/>
        <v>ND</v>
      </c>
      <c r="EG146" s="1" t="str">
        <f t="shared" si="791"/>
        <v>ND</v>
      </c>
      <c r="EH146" s="1" t="str">
        <f t="shared" si="792"/>
        <v>ND</v>
      </c>
      <c r="EI146" s="1" t="str">
        <f t="shared" si="793"/>
        <v>ND</v>
      </c>
      <c r="EJ146" s="1" t="str">
        <f t="shared" si="794"/>
        <v>ND</v>
      </c>
      <c r="EK146" s="1" t="str">
        <f t="shared" si="795"/>
        <v>ND</v>
      </c>
      <c r="EL146" s="1" t="str">
        <f t="shared" si="796"/>
        <v>ND</v>
      </c>
      <c r="EM146" s="1" t="str">
        <f t="shared" si="797"/>
        <v>ND</v>
      </c>
      <c r="EN146" s="1" t="str">
        <f t="shared" si="798"/>
        <v>ND</v>
      </c>
      <c r="EO146" s="1" t="str">
        <f t="shared" si="868"/>
        <v>ND</v>
      </c>
      <c r="EP146" s="1" t="str">
        <f t="shared" si="868"/>
        <v>ND</v>
      </c>
      <c r="EQ146" s="1" t="str">
        <f t="shared" si="868"/>
        <v>ND</v>
      </c>
      <c r="ER146" s="1" t="str">
        <f t="shared" si="868"/>
        <v>ND</v>
      </c>
      <c r="ES146" s="1" t="str">
        <f t="shared" si="868"/>
        <v>ND</v>
      </c>
      <c r="ET146" s="1" t="str">
        <f t="shared" si="868"/>
        <v>ND</v>
      </c>
      <c r="EU146" s="1" t="str">
        <f t="shared" si="868"/>
        <v>ND</v>
      </c>
      <c r="EV146" s="1" t="str">
        <f t="shared" si="868"/>
        <v>ND</v>
      </c>
      <c r="EW146" s="1" t="str">
        <f t="shared" si="868"/>
        <v>ND</v>
      </c>
      <c r="EX146" s="1" t="str">
        <f t="shared" si="868"/>
        <v>ND</v>
      </c>
      <c r="EY146" s="1" t="str">
        <f t="shared" si="868"/>
        <v>ND</v>
      </c>
      <c r="EZ146" s="1" t="str">
        <f t="shared" si="869"/>
        <v>ND</v>
      </c>
      <c r="FA146" s="1" t="str">
        <f t="shared" si="869"/>
        <v>ND</v>
      </c>
      <c r="FB146" s="1" t="str">
        <f t="shared" si="869"/>
        <v>ND</v>
      </c>
      <c r="FC146" s="1" t="str">
        <f t="shared" si="869"/>
        <v>ND</v>
      </c>
      <c r="FD146" s="1" t="str">
        <f t="shared" si="869"/>
        <v>ND</v>
      </c>
      <c r="FE146" s="1" t="str">
        <f t="shared" si="869"/>
        <v>ND</v>
      </c>
      <c r="FF146" s="1" t="str">
        <f t="shared" si="869"/>
        <v>ND</v>
      </c>
      <c r="FG146" s="1" t="str">
        <f t="shared" si="869"/>
        <v>ND</v>
      </c>
      <c r="FH146" s="1" t="str">
        <f t="shared" si="869"/>
        <v>ND</v>
      </c>
      <c r="FI146" s="1" t="str">
        <f t="shared" si="869"/>
        <v>ND</v>
      </c>
      <c r="FJ146" s="1" t="str">
        <f t="shared" si="869"/>
        <v>ND</v>
      </c>
      <c r="FK146" s="1" t="str">
        <f t="shared" si="870"/>
        <v>ND</v>
      </c>
      <c r="FL146" s="1" t="str">
        <f t="shared" si="870"/>
        <v>ND</v>
      </c>
      <c r="FM146" s="1" t="str">
        <f t="shared" si="870"/>
        <v>ND</v>
      </c>
      <c r="FN146" s="1" t="str">
        <f t="shared" si="870"/>
        <v>ND</v>
      </c>
      <c r="FO146" s="1" t="str">
        <f t="shared" si="870"/>
        <v>ND</v>
      </c>
      <c r="FP146" s="1" t="str">
        <f t="shared" si="870"/>
        <v>ND</v>
      </c>
      <c r="FQ146" s="1" t="str">
        <f t="shared" si="870"/>
        <v>ND</v>
      </c>
      <c r="FR146" s="1" t="str">
        <f t="shared" si="870"/>
        <v>ND</v>
      </c>
      <c r="FS146" s="1" t="str">
        <f t="shared" si="870"/>
        <v>ND</v>
      </c>
      <c r="FT146" s="1" t="str">
        <f t="shared" si="870"/>
        <v>ND</v>
      </c>
      <c r="FU146" s="1" t="str">
        <f t="shared" si="870"/>
        <v>ND</v>
      </c>
      <c r="FV146" s="1" t="str">
        <f t="shared" si="799"/>
        <v>ND</v>
      </c>
      <c r="FW146" s="1" t="str">
        <f t="shared" si="800"/>
        <v>ND</v>
      </c>
      <c r="FX146" s="1" t="str">
        <f t="shared" si="801"/>
        <v>ND</v>
      </c>
      <c r="FY146" s="1" t="str">
        <f t="shared" si="802"/>
        <v>ND</v>
      </c>
      <c r="FZ146" s="1" t="str">
        <f t="shared" si="803"/>
        <v>ND</v>
      </c>
      <c r="GA146" s="1" t="str">
        <f t="shared" si="804"/>
        <v>ND</v>
      </c>
      <c r="GB146" s="1" t="str">
        <f t="shared" si="805"/>
        <v>ND</v>
      </c>
      <c r="GC146" s="1" t="str">
        <f t="shared" si="806"/>
        <v>ND</v>
      </c>
      <c r="GD146" s="1" t="str">
        <f t="shared" si="807"/>
        <v>ND</v>
      </c>
      <c r="GE146" s="1" t="str">
        <f t="shared" si="808"/>
        <v>ND</v>
      </c>
      <c r="GF146" s="1" t="str">
        <f t="shared" si="809"/>
        <v>ND</v>
      </c>
      <c r="GG146" s="1" t="str">
        <f t="shared" si="810"/>
        <v>ND</v>
      </c>
      <c r="GH146" s="1" t="str">
        <f t="shared" si="811"/>
        <v>ND</v>
      </c>
      <c r="GI146" s="1" t="str">
        <f t="shared" si="812"/>
        <v>ND</v>
      </c>
      <c r="GJ146" s="1" t="str">
        <f t="shared" si="813"/>
        <v>ND</v>
      </c>
      <c r="GK146" s="1" t="str">
        <f t="shared" si="814"/>
        <v>ND</v>
      </c>
      <c r="GL146" s="1" t="str">
        <f t="shared" si="815"/>
        <v>ND</v>
      </c>
      <c r="GM146" s="1" t="str">
        <f t="shared" si="816"/>
        <v>ND</v>
      </c>
      <c r="GN146" s="1" t="str">
        <f t="shared" si="817"/>
        <v>ND</v>
      </c>
      <c r="GO146" s="1" t="str">
        <f t="shared" si="818"/>
        <v>ND</v>
      </c>
      <c r="GP146" s="1" t="str">
        <f t="shared" si="819"/>
        <v>ND</v>
      </c>
      <c r="GQ146" s="1" t="str">
        <f t="shared" si="820"/>
        <v>ND</v>
      </c>
      <c r="GR146" s="1" t="str">
        <f t="shared" si="821"/>
        <v>ND</v>
      </c>
      <c r="GS146" s="1" t="str">
        <f t="shared" si="822"/>
        <v>ND</v>
      </c>
      <c r="GT146" s="1" t="str">
        <f t="shared" si="823"/>
        <v>ND</v>
      </c>
      <c r="GU146" s="1" t="str">
        <f t="shared" si="824"/>
        <v>ND</v>
      </c>
      <c r="GV146" s="1" t="str">
        <f t="shared" si="825"/>
        <v>ND</v>
      </c>
      <c r="GW146" s="1" t="str">
        <f t="shared" si="826"/>
        <v>ND</v>
      </c>
      <c r="GX146" s="1" t="str">
        <f t="shared" si="827"/>
        <v>ND</v>
      </c>
      <c r="GY146" s="1" t="str">
        <f t="shared" si="828"/>
        <v>ND</v>
      </c>
      <c r="GZ146" s="1" t="str">
        <f t="shared" si="829"/>
        <v>ND</v>
      </c>
      <c r="HA146" s="1" t="str">
        <f t="shared" si="830"/>
        <v>ND</v>
      </c>
      <c r="HB146" s="1" t="str">
        <f t="shared" si="831"/>
        <v>ND</v>
      </c>
      <c r="HC146" s="1" t="str">
        <f t="shared" si="832"/>
        <v>ND</v>
      </c>
      <c r="HD146" s="1" t="str">
        <f t="shared" si="833"/>
        <v>ND</v>
      </c>
      <c r="HE146" s="1" t="str">
        <f t="shared" si="834"/>
        <v>ND</v>
      </c>
      <c r="HF146" s="1" t="str">
        <f t="shared" si="835"/>
        <v>ND</v>
      </c>
      <c r="HG146" s="1" t="str">
        <f t="shared" si="836"/>
        <v>ND</v>
      </c>
      <c r="HH146" s="1" t="str">
        <f t="shared" si="837"/>
        <v>ND</v>
      </c>
      <c r="HI146" s="1" t="str">
        <f t="shared" si="838"/>
        <v>ND</v>
      </c>
      <c r="HJ146" s="1" t="str">
        <f t="shared" si="839"/>
        <v>ND</v>
      </c>
      <c r="HK146" s="1" t="str">
        <f t="shared" si="840"/>
        <v>ND</v>
      </c>
      <c r="HL146" s="1" t="str">
        <f t="shared" si="841"/>
        <v>ND</v>
      </c>
      <c r="HM146" s="1" t="str">
        <f t="shared" si="842"/>
        <v>ND</v>
      </c>
      <c r="HN146" s="1" t="str">
        <f t="shared" si="843"/>
        <v>ND</v>
      </c>
      <c r="HO146" s="1" t="str">
        <f t="shared" si="844"/>
        <v>ND</v>
      </c>
      <c r="HP146" s="1" t="str">
        <f t="shared" si="845"/>
        <v>ND</v>
      </c>
      <c r="HQ146" s="1" t="str">
        <f t="shared" si="846"/>
        <v>ND</v>
      </c>
      <c r="HR146" s="1" t="str">
        <f t="shared" si="847"/>
        <v>ND</v>
      </c>
      <c r="HS146" s="1" t="str">
        <f t="shared" si="848"/>
        <v>ND</v>
      </c>
      <c r="HT146" s="1" t="str">
        <f t="shared" si="849"/>
        <v>ND</v>
      </c>
      <c r="HU146" s="1" t="str">
        <f t="shared" si="850"/>
        <v>ND</v>
      </c>
      <c r="HV146" s="1" t="str">
        <f t="shared" si="851"/>
        <v>ND</v>
      </c>
      <c r="HW146" s="1" t="str">
        <f t="shared" si="852"/>
        <v>ND</v>
      </c>
      <c r="HX146" s="1" t="str">
        <f t="shared" si="853"/>
        <v>ND</v>
      </c>
      <c r="HY146" s="1" t="str">
        <f t="shared" si="854"/>
        <v>ND</v>
      </c>
      <c r="HZ146" s="1" t="str">
        <f t="shared" si="855"/>
        <v>ND</v>
      </c>
      <c r="IA146" s="1" t="str">
        <f t="shared" si="856"/>
        <v>ND</v>
      </c>
      <c r="IB146" s="1" t="str">
        <f t="shared" si="857"/>
        <v>ND</v>
      </c>
      <c r="IC146" s="1" t="str">
        <f t="shared" si="858"/>
        <v>ND</v>
      </c>
      <c r="ID146" s="1" t="str">
        <f t="shared" si="859"/>
        <v>ND</v>
      </c>
      <c r="IE146" s="1" t="str">
        <f t="shared" si="860"/>
        <v>ND</v>
      </c>
      <c r="IF146" s="1" t="str">
        <f t="shared" si="861"/>
        <v>ND</v>
      </c>
      <c r="IG146" s="1" t="str">
        <f t="shared" si="862"/>
        <v>ND</v>
      </c>
      <c r="IH146" s="1" t="str">
        <f t="shared" si="863"/>
        <v>ND</v>
      </c>
      <c r="II146" s="1" t="str">
        <f t="shared" si="864"/>
        <v>ND</v>
      </c>
    </row>
    <row r="147" spans="3:243" x14ac:dyDescent="0.25">
      <c r="C147" t="s">
        <v>53</v>
      </c>
      <c r="D147">
        <f>SUMIFS(DICCIONARIO[Cantidad],DICCIONARIO[Modelo],UNIFICADA[[#This Row],[Equipo]])</f>
        <v>0</v>
      </c>
      <c r="E147" s="1">
        <f>IFERROR(VLOOKUP($C147,EQUIPOS[],UNIFICADO!E$9,0),"")</f>
        <v>14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256GB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3.1/1.8</v>
      </c>
      <c r="N147" s="1">
        <f>IFERROR(VLOOKUP($C147,EQUIPOS[],UNIFICADO!N$9,0),"")</f>
        <v>4</v>
      </c>
      <c r="O147" s="1">
        <f>IFERROR(VLOOKUP($C147,EQUIPOS[],UNIFICADO!O$9,0),"")</f>
        <v>135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0.74</v>
      </c>
      <c r="S147" s="1">
        <f>IFERROR(VLOOKUP($C147,EQUIPOS[],UNIFICADO!S$9,0),"")</f>
        <v>2227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9"/>
        <v>ND</v>
      </c>
      <c r="W147" s="1" t="str">
        <f t="shared" si="710"/>
        <v>ND</v>
      </c>
      <c r="X147" s="1" t="str">
        <f t="shared" si="702"/>
        <v>ND</v>
      </c>
      <c r="Y147" s="1" t="str">
        <f t="shared" si="702"/>
        <v>ND</v>
      </c>
      <c r="Z147" s="1" t="str">
        <f t="shared" si="865"/>
        <v>ND</v>
      </c>
      <c r="AA147" s="1" t="str">
        <f t="shared" si="865"/>
        <v>ND</v>
      </c>
      <c r="AB147" s="1" t="str">
        <f t="shared" si="865"/>
        <v>ND</v>
      </c>
      <c r="AC147" s="1" t="str">
        <f t="shared" si="865"/>
        <v>ND</v>
      </c>
      <c r="AD147" s="1" t="str">
        <f t="shared" si="865"/>
        <v>ND</v>
      </c>
      <c r="AE147" s="1" t="str">
        <f t="shared" si="865"/>
        <v>ND</v>
      </c>
      <c r="AF147" s="1" t="str">
        <f t="shared" si="865"/>
        <v>ND</v>
      </c>
      <c r="AG147" s="1" t="str">
        <f t="shared" si="865"/>
        <v>ND</v>
      </c>
      <c r="AH147" s="1" t="str">
        <f t="shared" si="865"/>
        <v>ND</v>
      </c>
      <c r="AI147" s="1" t="str">
        <f t="shared" si="711"/>
        <v>ND</v>
      </c>
      <c r="AJ147" s="1" t="str">
        <f t="shared" si="712"/>
        <v>ND</v>
      </c>
      <c r="AK147" s="1" t="str">
        <f t="shared" si="713"/>
        <v>ND</v>
      </c>
      <c r="AL147" s="1" t="str">
        <f t="shared" si="714"/>
        <v>ND</v>
      </c>
      <c r="AM147" s="1" t="str">
        <f t="shared" si="715"/>
        <v>ND</v>
      </c>
      <c r="AN147" s="1" t="str">
        <f t="shared" si="716"/>
        <v>ND</v>
      </c>
      <c r="AO147" s="1" t="str">
        <f t="shared" si="717"/>
        <v>ND</v>
      </c>
      <c r="AP147" s="1" t="str">
        <f t="shared" si="718"/>
        <v>ND</v>
      </c>
      <c r="AQ147" s="1" t="str">
        <f t="shared" si="719"/>
        <v>ND</v>
      </c>
      <c r="AR147" s="1" t="str">
        <f t="shared" si="720"/>
        <v>ND</v>
      </c>
      <c r="AS147" s="1" t="str">
        <f t="shared" si="721"/>
        <v>ND</v>
      </c>
      <c r="AT147" s="1" t="str">
        <f t="shared" si="722"/>
        <v>ND</v>
      </c>
      <c r="AU147" s="1" t="str">
        <f t="shared" si="723"/>
        <v>ND</v>
      </c>
      <c r="AV147" s="1" t="str">
        <f t="shared" si="724"/>
        <v>ND</v>
      </c>
      <c r="AW147" s="1" t="str">
        <f t="shared" si="725"/>
        <v>ND</v>
      </c>
      <c r="AX147" s="1" t="str">
        <f t="shared" si="726"/>
        <v>ND</v>
      </c>
      <c r="AY147" s="1" t="str">
        <f t="shared" si="727"/>
        <v>ND</v>
      </c>
      <c r="AZ147" s="1" t="str">
        <f t="shared" si="728"/>
        <v>ND</v>
      </c>
      <c r="BA147" s="1" t="str">
        <f t="shared" si="729"/>
        <v>ND</v>
      </c>
      <c r="BB147" s="1" t="str">
        <f t="shared" si="730"/>
        <v>ND</v>
      </c>
      <c r="BC147" s="1" t="str">
        <f t="shared" si="731"/>
        <v>ND</v>
      </c>
      <c r="BD147" s="1" t="str">
        <f t="shared" si="732"/>
        <v>ND</v>
      </c>
      <c r="BE147" s="1" t="str">
        <f t="shared" si="733"/>
        <v>ND</v>
      </c>
      <c r="BF147" s="1" t="str">
        <f t="shared" si="734"/>
        <v>ND</v>
      </c>
      <c r="BG147" s="1" t="str">
        <f t="shared" si="735"/>
        <v>ND</v>
      </c>
      <c r="BH147" s="1" t="str">
        <f t="shared" si="736"/>
        <v>ND</v>
      </c>
      <c r="BI147" s="1" t="str">
        <f t="shared" si="737"/>
        <v>ND</v>
      </c>
      <c r="BJ147" s="1" t="str">
        <f t="shared" si="738"/>
        <v>ND</v>
      </c>
      <c r="BK147" s="1" t="str">
        <f t="shared" si="739"/>
        <v>ND</v>
      </c>
      <c r="BL147" s="1" t="str">
        <f t="shared" si="740"/>
        <v>ND</v>
      </c>
      <c r="BM147" s="1" t="str">
        <f t="shared" si="741"/>
        <v>ND</v>
      </c>
      <c r="BN147" s="1" t="str">
        <f t="shared" si="742"/>
        <v>ND</v>
      </c>
      <c r="BO147" s="1" t="str">
        <f t="shared" si="743"/>
        <v>ND</v>
      </c>
      <c r="BP147" s="1" t="str">
        <f t="shared" si="744"/>
        <v>ND</v>
      </c>
      <c r="BQ147" s="1" t="str">
        <f t="shared" si="745"/>
        <v>ND</v>
      </c>
      <c r="BR147" s="1" t="str">
        <f t="shared" si="746"/>
        <v>ND</v>
      </c>
      <c r="BS147" s="1" t="str">
        <f t="shared" si="747"/>
        <v>ND</v>
      </c>
      <c r="BT147" s="1" t="str">
        <f t="shared" si="748"/>
        <v>ND</v>
      </c>
      <c r="BU147" s="1" t="str">
        <f t="shared" si="749"/>
        <v>ND</v>
      </c>
      <c r="BV147" s="1" t="str">
        <f t="shared" si="750"/>
        <v>ND</v>
      </c>
      <c r="BW147" s="1" t="str">
        <f t="shared" si="751"/>
        <v>ND</v>
      </c>
      <c r="BX147" s="1" t="str">
        <f t="shared" si="752"/>
        <v>ND</v>
      </c>
      <c r="BY147" s="1" t="str">
        <f t="shared" si="753"/>
        <v>ND</v>
      </c>
      <c r="BZ147" s="1" t="str">
        <f t="shared" si="754"/>
        <v>ND</v>
      </c>
      <c r="CA147" s="1" t="str">
        <f t="shared" si="866"/>
        <v>ND</v>
      </c>
      <c r="CB147" s="1" t="str">
        <f t="shared" si="866"/>
        <v>ND</v>
      </c>
      <c r="CC147" s="1" t="str">
        <f t="shared" si="866"/>
        <v>ND</v>
      </c>
      <c r="CD147" s="1" t="str">
        <f t="shared" si="866"/>
        <v>ND</v>
      </c>
      <c r="CE147" s="1" t="str">
        <f t="shared" si="866"/>
        <v>ND</v>
      </c>
      <c r="CF147" s="1" t="str">
        <f t="shared" si="866"/>
        <v>ND</v>
      </c>
      <c r="CG147" s="1" t="str">
        <f t="shared" si="866"/>
        <v>ND</v>
      </c>
      <c r="CH147" s="1" t="str">
        <f t="shared" si="866"/>
        <v>ND</v>
      </c>
      <c r="CI147" s="1" t="str">
        <f t="shared" si="866"/>
        <v>ND</v>
      </c>
      <c r="CJ147" s="1" t="str">
        <f t="shared" si="866"/>
        <v>ND</v>
      </c>
      <c r="CK147" s="1" t="str">
        <f t="shared" si="866"/>
        <v>ND</v>
      </c>
      <c r="CL147" s="1" t="str">
        <f t="shared" si="867"/>
        <v>ND</v>
      </c>
      <c r="CM147" s="1" t="str">
        <f t="shared" si="867"/>
        <v>ND</v>
      </c>
      <c r="CN147" s="1" t="str">
        <f t="shared" si="867"/>
        <v>ND</v>
      </c>
      <c r="CO147" s="1" t="str">
        <f t="shared" si="867"/>
        <v>ND</v>
      </c>
      <c r="CP147" s="1" t="str">
        <f t="shared" si="867"/>
        <v>ND</v>
      </c>
      <c r="CQ147" s="1" t="str">
        <f t="shared" si="867"/>
        <v>ND</v>
      </c>
      <c r="CR147" s="1" t="str">
        <f t="shared" si="867"/>
        <v>ND</v>
      </c>
      <c r="CS147" s="1" t="str">
        <f t="shared" si="867"/>
        <v>ND</v>
      </c>
      <c r="CT147" s="1" t="str">
        <f t="shared" si="867"/>
        <v>ND</v>
      </c>
      <c r="CU147" s="1" t="str">
        <f t="shared" si="867"/>
        <v>ND</v>
      </c>
      <c r="CV147" s="1" t="str">
        <f t="shared" si="867"/>
        <v>ND</v>
      </c>
      <c r="CW147" s="1" t="str">
        <f t="shared" si="755"/>
        <v>ND</v>
      </c>
      <c r="CX147" s="1" t="str">
        <f t="shared" si="756"/>
        <v>ND</v>
      </c>
      <c r="CY147" s="1" t="str">
        <f t="shared" si="757"/>
        <v>ND</v>
      </c>
      <c r="CZ147" s="1" t="str">
        <f t="shared" si="758"/>
        <v>ND</v>
      </c>
      <c r="DA147" s="1" t="str">
        <f t="shared" si="759"/>
        <v>ND</v>
      </c>
      <c r="DB147" s="1" t="str">
        <f t="shared" si="760"/>
        <v>ND</v>
      </c>
      <c r="DC147" s="1" t="str">
        <f t="shared" si="761"/>
        <v>ND</v>
      </c>
      <c r="DD147" s="1" t="str">
        <f t="shared" si="762"/>
        <v>ND</v>
      </c>
      <c r="DE147" s="1" t="str">
        <f t="shared" si="763"/>
        <v>ND</v>
      </c>
      <c r="DF147" s="1" t="str">
        <f t="shared" si="764"/>
        <v>ND</v>
      </c>
      <c r="DG147" s="1" t="str">
        <f t="shared" si="765"/>
        <v>ND</v>
      </c>
      <c r="DH147" s="1" t="str">
        <f t="shared" si="766"/>
        <v>ND</v>
      </c>
      <c r="DI147" s="1" t="str">
        <f t="shared" si="767"/>
        <v>ND</v>
      </c>
      <c r="DJ147" s="1" t="str">
        <f t="shared" si="768"/>
        <v>ND</v>
      </c>
      <c r="DK147" s="1" t="str">
        <f t="shared" si="769"/>
        <v>ND</v>
      </c>
      <c r="DL147" s="1" t="str">
        <f t="shared" si="770"/>
        <v>ND</v>
      </c>
      <c r="DM147" s="1" t="str">
        <f t="shared" si="771"/>
        <v>ND</v>
      </c>
      <c r="DN147" s="1" t="str">
        <f t="shared" si="772"/>
        <v>ND</v>
      </c>
      <c r="DO147" s="1" t="str">
        <f t="shared" si="773"/>
        <v>ND</v>
      </c>
      <c r="DP147" s="1" t="str">
        <f t="shared" si="774"/>
        <v>ND</v>
      </c>
      <c r="DQ147" s="1" t="str">
        <f t="shared" si="775"/>
        <v>ND</v>
      </c>
      <c r="DR147" s="1" t="str">
        <f t="shared" si="776"/>
        <v>ND</v>
      </c>
      <c r="DS147" s="1" t="str">
        <f t="shared" si="777"/>
        <v>ND</v>
      </c>
      <c r="DT147" s="1" t="str">
        <f t="shared" si="778"/>
        <v>ND</v>
      </c>
      <c r="DU147" s="1" t="str">
        <f t="shared" si="779"/>
        <v>ND</v>
      </c>
      <c r="DV147" s="1" t="str">
        <f t="shared" si="780"/>
        <v>ND</v>
      </c>
      <c r="DW147" s="1" t="str">
        <f t="shared" si="781"/>
        <v>ND</v>
      </c>
      <c r="DX147" s="1" t="str">
        <f t="shared" si="782"/>
        <v>ND</v>
      </c>
      <c r="DY147" s="1" t="str">
        <f t="shared" si="783"/>
        <v>ND</v>
      </c>
      <c r="DZ147" s="1" t="str">
        <f t="shared" si="784"/>
        <v>ND</v>
      </c>
      <c r="EA147" s="1" t="str">
        <f t="shared" si="785"/>
        <v>ND</v>
      </c>
      <c r="EB147" s="1" t="str">
        <f t="shared" si="786"/>
        <v>ND</v>
      </c>
      <c r="EC147" s="1" t="str">
        <f t="shared" si="787"/>
        <v>ND</v>
      </c>
      <c r="ED147" s="1" t="str">
        <f t="shared" si="788"/>
        <v>ND</v>
      </c>
      <c r="EE147" s="1" t="str">
        <f t="shared" si="789"/>
        <v>ND</v>
      </c>
      <c r="EF147" s="1" t="str">
        <f t="shared" si="790"/>
        <v>ND</v>
      </c>
      <c r="EG147" s="1" t="str">
        <f t="shared" si="791"/>
        <v>ND</v>
      </c>
      <c r="EH147" s="1" t="str">
        <f t="shared" si="792"/>
        <v>ND</v>
      </c>
      <c r="EI147" s="1" t="str">
        <f t="shared" si="793"/>
        <v>ND</v>
      </c>
      <c r="EJ147" s="1" t="str">
        <f t="shared" si="794"/>
        <v>ND</v>
      </c>
      <c r="EK147" s="1" t="str">
        <f t="shared" si="795"/>
        <v>ND</v>
      </c>
      <c r="EL147" s="1" t="str">
        <f t="shared" si="796"/>
        <v>ND</v>
      </c>
      <c r="EM147" s="1" t="str">
        <f t="shared" si="797"/>
        <v>ND</v>
      </c>
      <c r="EN147" s="1" t="str">
        <f t="shared" si="798"/>
        <v>ND</v>
      </c>
      <c r="EO147" s="1" t="str">
        <f t="shared" si="868"/>
        <v>ND</v>
      </c>
      <c r="EP147" s="1" t="str">
        <f t="shared" si="868"/>
        <v>ND</v>
      </c>
      <c r="EQ147" s="1" t="str">
        <f t="shared" si="868"/>
        <v>ND</v>
      </c>
      <c r="ER147" s="1" t="str">
        <f t="shared" si="868"/>
        <v>ND</v>
      </c>
      <c r="ES147" s="1" t="str">
        <f t="shared" si="868"/>
        <v>ND</v>
      </c>
      <c r="ET147" s="1" t="str">
        <f t="shared" si="868"/>
        <v>ND</v>
      </c>
      <c r="EU147" s="1" t="str">
        <f t="shared" si="868"/>
        <v>ND</v>
      </c>
      <c r="EV147" s="1" t="str">
        <f t="shared" si="868"/>
        <v>ND</v>
      </c>
      <c r="EW147" s="1" t="str">
        <f t="shared" si="868"/>
        <v>ND</v>
      </c>
      <c r="EX147" s="1" t="str">
        <f t="shared" si="868"/>
        <v>ND</v>
      </c>
      <c r="EY147" s="1" t="str">
        <f t="shared" si="868"/>
        <v>ND</v>
      </c>
      <c r="EZ147" s="1" t="str">
        <f t="shared" si="869"/>
        <v>ND</v>
      </c>
      <c r="FA147" s="1" t="str">
        <f t="shared" si="869"/>
        <v>ND</v>
      </c>
      <c r="FB147" s="1" t="str">
        <f t="shared" si="869"/>
        <v>ND</v>
      </c>
      <c r="FC147" s="1" t="str">
        <f t="shared" si="869"/>
        <v>ND</v>
      </c>
      <c r="FD147" s="1" t="str">
        <f t="shared" si="869"/>
        <v>ND</v>
      </c>
      <c r="FE147" s="1" t="str">
        <f t="shared" si="869"/>
        <v>ND</v>
      </c>
      <c r="FF147" s="1" t="str">
        <f t="shared" si="869"/>
        <v>ND</v>
      </c>
      <c r="FG147" s="1" t="str">
        <f t="shared" si="869"/>
        <v>ND</v>
      </c>
      <c r="FH147" s="1" t="str">
        <f t="shared" si="869"/>
        <v>ND</v>
      </c>
      <c r="FI147" s="1" t="str">
        <f t="shared" si="869"/>
        <v>ND</v>
      </c>
      <c r="FJ147" s="1" t="str">
        <f t="shared" si="869"/>
        <v>ND</v>
      </c>
      <c r="FK147" s="1" t="str">
        <f t="shared" si="870"/>
        <v>ND</v>
      </c>
      <c r="FL147" s="1" t="str">
        <f t="shared" si="870"/>
        <v>ND</v>
      </c>
      <c r="FM147" s="1" t="str">
        <f t="shared" si="870"/>
        <v>ND</v>
      </c>
      <c r="FN147" s="1" t="str">
        <f t="shared" si="870"/>
        <v>ND</v>
      </c>
      <c r="FO147" s="1" t="str">
        <f t="shared" si="870"/>
        <v>ND</v>
      </c>
      <c r="FP147" s="1" t="str">
        <f t="shared" si="870"/>
        <v>ND</v>
      </c>
      <c r="FQ147" s="1" t="str">
        <f t="shared" si="870"/>
        <v>ND</v>
      </c>
      <c r="FR147" s="1" t="str">
        <f t="shared" si="870"/>
        <v>ND</v>
      </c>
      <c r="FS147" s="1" t="str">
        <f t="shared" si="870"/>
        <v>ND</v>
      </c>
      <c r="FT147" s="1" t="str">
        <f t="shared" si="870"/>
        <v>ND</v>
      </c>
      <c r="FU147" s="1" t="str">
        <f t="shared" si="870"/>
        <v>ND</v>
      </c>
      <c r="FV147" s="1" t="str">
        <f t="shared" si="799"/>
        <v>ND</v>
      </c>
      <c r="FW147" s="1" t="str">
        <f t="shared" si="800"/>
        <v>ND</v>
      </c>
      <c r="FX147" s="1" t="str">
        <f t="shared" si="801"/>
        <v>ND</v>
      </c>
      <c r="FY147" s="1" t="str">
        <f t="shared" si="802"/>
        <v>ND</v>
      </c>
      <c r="FZ147" s="1" t="str">
        <f t="shared" si="803"/>
        <v>ND</v>
      </c>
      <c r="GA147" s="1" t="str">
        <f t="shared" si="804"/>
        <v>ND</v>
      </c>
      <c r="GB147" s="1" t="str">
        <f t="shared" si="805"/>
        <v>ND</v>
      </c>
      <c r="GC147" s="1" t="str">
        <f t="shared" si="806"/>
        <v>ND</v>
      </c>
      <c r="GD147" s="1" t="str">
        <f t="shared" si="807"/>
        <v>ND</v>
      </c>
      <c r="GE147" s="1" t="str">
        <f t="shared" si="808"/>
        <v>ND</v>
      </c>
      <c r="GF147" s="1" t="str">
        <f t="shared" si="809"/>
        <v>ND</v>
      </c>
      <c r="GG147" s="1" t="str">
        <f t="shared" si="810"/>
        <v>ND</v>
      </c>
      <c r="GH147" s="1" t="str">
        <f t="shared" si="811"/>
        <v>ND</v>
      </c>
      <c r="GI147" s="1" t="str">
        <f t="shared" si="812"/>
        <v>ND</v>
      </c>
      <c r="GJ147" s="1" t="str">
        <f t="shared" si="813"/>
        <v>ND</v>
      </c>
      <c r="GK147" s="1" t="str">
        <f t="shared" si="814"/>
        <v>ND</v>
      </c>
      <c r="GL147" s="1" t="str">
        <f t="shared" si="815"/>
        <v>ND</v>
      </c>
      <c r="GM147" s="1" t="str">
        <f t="shared" si="816"/>
        <v>ND</v>
      </c>
      <c r="GN147" s="1" t="str">
        <f t="shared" si="817"/>
        <v>ND</v>
      </c>
      <c r="GO147" s="1" t="str">
        <f t="shared" si="818"/>
        <v>ND</v>
      </c>
      <c r="GP147" s="1" t="str">
        <f t="shared" si="819"/>
        <v>ND</v>
      </c>
      <c r="GQ147" s="1" t="str">
        <f t="shared" si="820"/>
        <v>ND</v>
      </c>
      <c r="GR147" s="1" t="str">
        <f t="shared" si="821"/>
        <v>ND</v>
      </c>
      <c r="GS147" s="1" t="str">
        <f t="shared" si="822"/>
        <v>ND</v>
      </c>
      <c r="GT147" s="1" t="str">
        <f t="shared" si="823"/>
        <v>ND</v>
      </c>
      <c r="GU147" s="1" t="str">
        <f t="shared" si="824"/>
        <v>ND</v>
      </c>
      <c r="GV147" s="1" t="str">
        <f t="shared" si="825"/>
        <v>ND</v>
      </c>
      <c r="GW147" s="1" t="str">
        <f t="shared" si="826"/>
        <v>ND</v>
      </c>
      <c r="GX147" s="1" t="str">
        <f t="shared" si="827"/>
        <v>ND</v>
      </c>
      <c r="GY147" s="1" t="str">
        <f t="shared" si="828"/>
        <v>ND</v>
      </c>
      <c r="GZ147" s="1" t="str">
        <f t="shared" si="829"/>
        <v>ND</v>
      </c>
      <c r="HA147" s="1" t="str">
        <f t="shared" si="830"/>
        <v>ND</v>
      </c>
      <c r="HB147" s="1" t="str">
        <f t="shared" si="831"/>
        <v>ND</v>
      </c>
      <c r="HC147" s="1" t="str">
        <f t="shared" si="832"/>
        <v>ND</v>
      </c>
      <c r="HD147" s="1" t="str">
        <f t="shared" si="833"/>
        <v>ND</v>
      </c>
      <c r="HE147" s="1" t="str">
        <f t="shared" si="834"/>
        <v>ND</v>
      </c>
      <c r="HF147" s="1" t="str">
        <f t="shared" si="835"/>
        <v>ND</v>
      </c>
      <c r="HG147" s="1" t="str">
        <f t="shared" si="836"/>
        <v>ND</v>
      </c>
      <c r="HH147" s="1" t="str">
        <f t="shared" si="837"/>
        <v>ND</v>
      </c>
      <c r="HI147" s="1" t="str">
        <f t="shared" si="838"/>
        <v>ND</v>
      </c>
      <c r="HJ147" s="1" t="str">
        <f t="shared" si="839"/>
        <v>ND</v>
      </c>
      <c r="HK147" s="1" t="str">
        <f t="shared" si="840"/>
        <v>ND</v>
      </c>
      <c r="HL147" s="1" t="str">
        <f t="shared" si="841"/>
        <v>ND</v>
      </c>
      <c r="HM147" s="1" t="str">
        <f t="shared" si="842"/>
        <v>ND</v>
      </c>
      <c r="HN147" s="1" t="str">
        <f t="shared" si="843"/>
        <v>ND</v>
      </c>
      <c r="HO147" s="1" t="str">
        <f t="shared" si="844"/>
        <v>ND</v>
      </c>
      <c r="HP147" s="1" t="str">
        <f t="shared" si="845"/>
        <v>ND</v>
      </c>
      <c r="HQ147" s="1" t="str">
        <f t="shared" si="846"/>
        <v>ND</v>
      </c>
      <c r="HR147" s="1" t="str">
        <f t="shared" si="847"/>
        <v>ND</v>
      </c>
      <c r="HS147" s="1" t="str">
        <f t="shared" si="848"/>
        <v>ND</v>
      </c>
      <c r="HT147" s="1" t="str">
        <f t="shared" si="849"/>
        <v>ND</v>
      </c>
      <c r="HU147" s="1" t="str">
        <f t="shared" si="850"/>
        <v>ND</v>
      </c>
      <c r="HV147" s="1" t="str">
        <f t="shared" si="851"/>
        <v>ND</v>
      </c>
      <c r="HW147" s="1" t="str">
        <f t="shared" si="852"/>
        <v>ND</v>
      </c>
      <c r="HX147" s="1" t="str">
        <f t="shared" si="853"/>
        <v>ND</v>
      </c>
      <c r="HY147" s="1" t="str">
        <f t="shared" si="854"/>
        <v>ND</v>
      </c>
      <c r="HZ147" s="1" t="str">
        <f t="shared" si="855"/>
        <v>ND</v>
      </c>
      <c r="IA147" s="1" t="str">
        <f t="shared" si="856"/>
        <v>ND</v>
      </c>
      <c r="IB147" s="1" t="str">
        <f t="shared" si="857"/>
        <v>ND</v>
      </c>
      <c r="IC147" s="1" t="str">
        <f t="shared" si="858"/>
        <v>ND</v>
      </c>
      <c r="ID147" s="1" t="str">
        <f t="shared" si="859"/>
        <v>ND</v>
      </c>
      <c r="IE147" s="1" t="str">
        <f t="shared" si="860"/>
        <v>ND</v>
      </c>
      <c r="IF147" s="1" t="str">
        <f t="shared" si="861"/>
        <v>ND</v>
      </c>
      <c r="IG147" s="1" t="str">
        <f t="shared" si="862"/>
        <v>ND</v>
      </c>
      <c r="IH147" s="1" t="str">
        <f t="shared" si="863"/>
        <v>ND</v>
      </c>
      <c r="II147" s="1" t="str">
        <f t="shared" si="864"/>
        <v>ND</v>
      </c>
    </row>
    <row r="148" spans="3:243" x14ac:dyDescent="0.25">
      <c r="C148" t="s">
        <v>4</v>
      </c>
      <c r="D148">
        <f>SUMIFS(DICCIONARIO[Cantidad],DICCIONARIO[Modelo],UNIFICADA[[#This Row],[Equipo]])</f>
        <v>47</v>
      </c>
      <c r="E148" s="1">
        <f>IFERROR(VLOOKUP($C148,EQUIPOS[],UNIFICADO!E$9,0),"")</f>
        <v>15</v>
      </c>
      <c r="F148" s="1">
        <f>IFERROR(VLOOKUP($C148,EQUIPOS[],UNIFICADO!F$9,0),"")</f>
        <v>6.1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128GB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174</v>
      </c>
      <c r="P148" s="1">
        <f>IFERROR(VLOOKUP($C148,EQUIPOS[],UNIFICADO!P$9,0),"")</f>
        <v>14.6</v>
      </c>
      <c r="Q148" s="1">
        <f>IFERROR(VLOOKUP($C148,EQUIPOS[],UNIFICADO!Q$9,0),"")</f>
        <v>7.15</v>
      </c>
      <c r="R148" s="1">
        <f>IFERROR(VLOOKUP($C148,EQUIPOS[],UNIFICADO!R$9,0),"")</f>
        <v>0.77</v>
      </c>
      <c r="S148" s="1">
        <f>IFERROR(VLOOKUP($C148,EQUIPOS[],UNIFICADO!S$9,0),"")</f>
        <v>3227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9"/>
        <v>ND</v>
      </c>
      <c r="W148" s="1" t="str">
        <f t="shared" si="710"/>
        <v>ND</v>
      </c>
      <c r="X148" s="1" t="str">
        <f t="shared" si="702"/>
        <v>ND</v>
      </c>
      <c r="Y148" s="1" t="str">
        <f t="shared" si="702"/>
        <v>ND</v>
      </c>
      <c r="Z148" s="1" t="str">
        <f t="shared" si="865"/>
        <v>ND</v>
      </c>
      <c r="AA148" s="1" t="str">
        <f t="shared" si="865"/>
        <v>ND</v>
      </c>
      <c r="AB148" s="1" t="str">
        <f t="shared" si="865"/>
        <v>ND</v>
      </c>
      <c r="AC148" s="1" t="str">
        <f t="shared" si="865"/>
        <v>ND</v>
      </c>
      <c r="AD148" s="1" t="str">
        <f t="shared" si="865"/>
        <v>ND</v>
      </c>
      <c r="AE148" s="1" t="str">
        <f t="shared" si="865"/>
        <v>ND</v>
      </c>
      <c r="AF148" s="1" t="str">
        <f t="shared" si="865"/>
        <v>ND</v>
      </c>
      <c r="AG148" s="1" t="str">
        <f t="shared" si="865"/>
        <v>ND</v>
      </c>
      <c r="AH148" s="1" t="str">
        <f t="shared" si="865"/>
        <v>ND</v>
      </c>
      <c r="AI148" s="1" t="str">
        <f t="shared" si="711"/>
        <v>ND</v>
      </c>
      <c r="AJ148" s="1" t="str">
        <f t="shared" si="712"/>
        <v>ND</v>
      </c>
      <c r="AK148" s="1" t="str">
        <f t="shared" si="713"/>
        <v>ND</v>
      </c>
      <c r="AL148" s="1" t="str">
        <f t="shared" si="714"/>
        <v>ND</v>
      </c>
      <c r="AM148" s="1" t="str">
        <f t="shared" si="715"/>
        <v>ND</v>
      </c>
      <c r="AN148" s="1" t="str">
        <f t="shared" si="716"/>
        <v>ND</v>
      </c>
      <c r="AO148" s="1" t="str">
        <f t="shared" si="717"/>
        <v>ND</v>
      </c>
      <c r="AP148" s="1" t="str">
        <f t="shared" si="718"/>
        <v>ND</v>
      </c>
      <c r="AQ148" s="1" t="str">
        <f t="shared" si="719"/>
        <v>ND</v>
      </c>
      <c r="AR148" s="1" t="str">
        <f t="shared" si="720"/>
        <v>ND</v>
      </c>
      <c r="AS148" s="1" t="str">
        <f t="shared" si="721"/>
        <v>ND</v>
      </c>
      <c r="AT148" s="1" t="str">
        <f t="shared" si="722"/>
        <v>ND</v>
      </c>
      <c r="AU148" s="1" t="str">
        <f t="shared" si="723"/>
        <v>ND</v>
      </c>
      <c r="AV148" s="1" t="str">
        <f t="shared" si="724"/>
        <v>ND</v>
      </c>
      <c r="AW148" s="1" t="str">
        <f t="shared" si="725"/>
        <v>ND</v>
      </c>
      <c r="AX148" s="1" t="str">
        <f t="shared" si="726"/>
        <v>ND</v>
      </c>
      <c r="AY148" s="1" t="str">
        <f t="shared" si="727"/>
        <v>ND</v>
      </c>
      <c r="AZ148" s="1" t="str">
        <f t="shared" si="728"/>
        <v>ND</v>
      </c>
      <c r="BA148" s="1" t="str">
        <f t="shared" si="729"/>
        <v>ND</v>
      </c>
      <c r="BB148" s="1" t="str">
        <f t="shared" si="730"/>
        <v>ND</v>
      </c>
      <c r="BC148" s="1" t="str">
        <f t="shared" si="731"/>
        <v>ND</v>
      </c>
      <c r="BD148" s="1" t="str">
        <f t="shared" si="732"/>
        <v>ND</v>
      </c>
      <c r="BE148" s="1" t="str">
        <f t="shared" si="733"/>
        <v>ND</v>
      </c>
      <c r="BF148" s="1" t="str">
        <f t="shared" si="734"/>
        <v>ND</v>
      </c>
      <c r="BG148" s="1" t="str">
        <f t="shared" si="735"/>
        <v>ND</v>
      </c>
      <c r="BH148" s="1" t="str">
        <f t="shared" si="736"/>
        <v>ND</v>
      </c>
      <c r="BI148" s="1" t="str">
        <f t="shared" si="737"/>
        <v>ND</v>
      </c>
      <c r="BJ148" s="1" t="str">
        <f t="shared" si="738"/>
        <v>ND</v>
      </c>
      <c r="BK148" s="1" t="str">
        <f t="shared" si="739"/>
        <v>ND</v>
      </c>
      <c r="BL148" s="1" t="str">
        <f t="shared" si="740"/>
        <v>ND</v>
      </c>
      <c r="BM148" s="1" t="str">
        <f t="shared" si="741"/>
        <v>ND</v>
      </c>
      <c r="BN148" s="1" t="str">
        <f t="shared" si="742"/>
        <v>ND</v>
      </c>
      <c r="BO148" s="1" t="str">
        <f t="shared" si="743"/>
        <v>ND</v>
      </c>
      <c r="BP148" s="1" t="str">
        <f t="shared" si="744"/>
        <v>ND</v>
      </c>
      <c r="BQ148" s="1" t="str">
        <f t="shared" si="745"/>
        <v>ND</v>
      </c>
      <c r="BR148" s="1" t="str">
        <f t="shared" si="746"/>
        <v>ND</v>
      </c>
      <c r="BS148" s="1" t="str">
        <f t="shared" si="747"/>
        <v>ND</v>
      </c>
      <c r="BT148" s="1" t="str">
        <f t="shared" si="748"/>
        <v>ND</v>
      </c>
      <c r="BU148" s="1" t="str">
        <f t="shared" si="749"/>
        <v>ND</v>
      </c>
      <c r="BV148" s="1" t="str">
        <f t="shared" si="750"/>
        <v>ND</v>
      </c>
      <c r="BW148" s="1" t="str">
        <f t="shared" si="751"/>
        <v>ND</v>
      </c>
      <c r="BX148" s="1" t="str">
        <f t="shared" si="752"/>
        <v>ND</v>
      </c>
      <c r="BY148" s="1" t="str">
        <f t="shared" si="753"/>
        <v>ND</v>
      </c>
      <c r="BZ148" s="1" t="str">
        <f t="shared" si="754"/>
        <v>ND</v>
      </c>
      <c r="CA148" s="1" t="str">
        <f t="shared" si="866"/>
        <v>ND</v>
      </c>
      <c r="CB148" s="1" t="str">
        <f t="shared" si="866"/>
        <v>ND</v>
      </c>
      <c r="CC148" s="1" t="str">
        <f t="shared" si="866"/>
        <v>ND</v>
      </c>
      <c r="CD148" s="1" t="str">
        <f t="shared" si="866"/>
        <v>ND</v>
      </c>
      <c r="CE148" s="1" t="str">
        <f t="shared" si="866"/>
        <v>ND</v>
      </c>
      <c r="CF148" s="1" t="str">
        <f t="shared" si="866"/>
        <v>ND</v>
      </c>
      <c r="CG148" s="1" t="str">
        <f t="shared" si="866"/>
        <v>ND</v>
      </c>
      <c r="CH148" s="1" t="str">
        <f t="shared" si="866"/>
        <v>ND</v>
      </c>
      <c r="CI148" s="1" t="str">
        <f t="shared" si="866"/>
        <v>ND</v>
      </c>
      <c r="CJ148" s="1" t="str">
        <f t="shared" si="866"/>
        <v>ND</v>
      </c>
      <c r="CK148" s="1" t="str">
        <f t="shared" si="866"/>
        <v>ND</v>
      </c>
      <c r="CL148" s="1" t="str">
        <f t="shared" si="867"/>
        <v>ND</v>
      </c>
      <c r="CM148" s="1" t="str">
        <f t="shared" si="867"/>
        <v>ND</v>
      </c>
      <c r="CN148" s="1" t="str">
        <f t="shared" si="867"/>
        <v>ND</v>
      </c>
      <c r="CO148" s="1" t="str">
        <f t="shared" si="867"/>
        <v>ND</v>
      </c>
      <c r="CP148" s="1" t="str">
        <f t="shared" si="867"/>
        <v>ND</v>
      </c>
      <c r="CQ148" s="1" t="str">
        <f t="shared" si="867"/>
        <v>ND</v>
      </c>
      <c r="CR148" s="1" t="str">
        <f t="shared" si="867"/>
        <v>ND</v>
      </c>
      <c r="CS148" s="1" t="str">
        <f t="shared" si="867"/>
        <v>ND</v>
      </c>
      <c r="CT148" s="1" t="str">
        <f t="shared" si="867"/>
        <v>ND</v>
      </c>
      <c r="CU148" s="1" t="str">
        <f t="shared" si="867"/>
        <v>ND</v>
      </c>
      <c r="CV148" s="1" t="str">
        <f t="shared" si="867"/>
        <v>ND</v>
      </c>
      <c r="CW148" s="1" t="str">
        <f t="shared" si="755"/>
        <v>ND</v>
      </c>
      <c r="CX148" s="1" t="str">
        <f t="shared" si="756"/>
        <v>ND</v>
      </c>
      <c r="CY148" s="1" t="str">
        <f t="shared" si="757"/>
        <v>ND</v>
      </c>
      <c r="CZ148" s="1" t="str">
        <f t="shared" si="758"/>
        <v>ND</v>
      </c>
      <c r="DA148" s="1" t="str">
        <f t="shared" si="759"/>
        <v>ND</v>
      </c>
      <c r="DB148" s="1" t="str">
        <f t="shared" si="760"/>
        <v>ND</v>
      </c>
      <c r="DC148" s="1" t="str">
        <f t="shared" si="761"/>
        <v>ND</v>
      </c>
      <c r="DD148" s="1" t="str">
        <f t="shared" si="762"/>
        <v>ND</v>
      </c>
      <c r="DE148" s="1" t="str">
        <f t="shared" si="763"/>
        <v>ND</v>
      </c>
      <c r="DF148" s="1" t="str">
        <f t="shared" si="764"/>
        <v>ND</v>
      </c>
      <c r="DG148" s="1" t="str">
        <f t="shared" si="765"/>
        <v>ND</v>
      </c>
      <c r="DH148" s="1" t="str">
        <f t="shared" si="766"/>
        <v>ND</v>
      </c>
      <c r="DI148" s="1" t="str">
        <f t="shared" si="767"/>
        <v>ND</v>
      </c>
      <c r="DJ148" s="1" t="str">
        <f t="shared" si="768"/>
        <v>ND</v>
      </c>
      <c r="DK148" s="1" t="str">
        <f t="shared" si="769"/>
        <v>ND</v>
      </c>
      <c r="DL148" s="1" t="str">
        <f t="shared" si="770"/>
        <v>ND</v>
      </c>
      <c r="DM148" s="1" t="str">
        <f t="shared" si="771"/>
        <v>ND</v>
      </c>
      <c r="DN148" s="1" t="str">
        <f t="shared" si="772"/>
        <v>ND</v>
      </c>
      <c r="DO148" s="1" t="str">
        <f t="shared" si="773"/>
        <v>ND</v>
      </c>
      <c r="DP148" s="1" t="str">
        <f t="shared" si="774"/>
        <v>ND</v>
      </c>
      <c r="DQ148" s="1" t="str">
        <f t="shared" si="775"/>
        <v>ND</v>
      </c>
      <c r="DR148" s="1" t="str">
        <f t="shared" si="776"/>
        <v>ND</v>
      </c>
      <c r="DS148" s="1" t="str">
        <f t="shared" si="777"/>
        <v>ND</v>
      </c>
      <c r="DT148" s="1" t="str">
        <f t="shared" si="778"/>
        <v>ND</v>
      </c>
      <c r="DU148" s="1" t="str">
        <f t="shared" si="779"/>
        <v>ND</v>
      </c>
      <c r="DV148" s="1" t="str">
        <f t="shared" si="780"/>
        <v>ND</v>
      </c>
      <c r="DW148" s="1" t="str">
        <f t="shared" si="781"/>
        <v>ND</v>
      </c>
      <c r="DX148" s="1" t="str">
        <f t="shared" si="782"/>
        <v>ND</v>
      </c>
      <c r="DY148" s="1" t="str">
        <f t="shared" si="783"/>
        <v>ND</v>
      </c>
      <c r="DZ148" s="1" t="str">
        <f t="shared" si="784"/>
        <v>ND</v>
      </c>
      <c r="EA148" s="1" t="str">
        <f t="shared" si="785"/>
        <v>ND</v>
      </c>
      <c r="EB148" s="1" t="str">
        <f t="shared" si="786"/>
        <v>ND</v>
      </c>
      <c r="EC148" s="1" t="str">
        <f t="shared" si="787"/>
        <v>ND</v>
      </c>
      <c r="ED148" s="1" t="str">
        <f t="shared" si="788"/>
        <v>ND</v>
      </c>
      <c r="EE148" s="1" t="str">
        <f t="shared" si="789"/>
        <v>ND</v>
      </c>
      <c r="EF148" s="1" t="str">
        <f t="shared" si="790"/>
        <v>ND</v>
      </c>
      <c r="EG148" s="1" t="str">
        <f t="shared" si="791"/>
        <v>ND</v>
      </c>
      <c r="EH148" s="1" t="str">
        <f t="shared" si="792"/>
        <v>ND</v>
      </c>
      <c r="EI148" s="1" t="str">
        <f t="shared" si="793"/>
        <v>ND</v>
      </c>
      <c r="EJ148" s="1" t="str">
        <f t="shared" si="794"/>
        <v>ND</v>
      </c>
      <c r="EK148" s="1" t="str">
        <f t="shared" si="795"/>
        <v>ND</v>
      </c>
      <c r="EL148" s="1" t="str">
        <f t="shared" si="796"/>
        <v>ND</v>
      </c>
      <c r="EM148" s="1" t="str">
        <f t="shared" si="797"/>
        <v>ND</v>
      </c>
      <c r="EN148" s="1" t="str">
        <f t="shared" si="798"/>
        <v>ND</v>
      </c>
      <c r="EO148" s="1" t="str">
        <f t="shared" si="868"/>
        <v>ND</v>
      </c>
      <c r="EP148" s="1" t="str">
        <f t="shared" si="868"/>
        <v>ND</v>
      </c>
      <c r="EQ148" s="1" t="str">
        <f t="shared" si="868"/>
        <v>ND</v>
      </c>
      <c r="ER148" s="1" t="str">
        <f t="shared" si="868"/>
        <v>ND</v>
      </c>
      <c r="ES148" s="1" t="str">
        <f t="shared" si="868"/>
        <v>ND</v>
      </c>
      <c r="ET148" s="1" t="str">
        <f t="shared" si="868"/>
        <v>ND</v>
      </c>
      <c r="EU148" s="1" t="str">
        <f t="shared" si="868"/>
        <v>ND</v>
      </c>
      <c r="EV148" s="1" t="str">
        <f t="shared" si="868"/>
        <v>ND</v>
      </c>
      <c r="EW148" s="1" t="str">
        <f t="shared" si="868"/>
        <v>ND</v>
      </c>
      <c r="EX148" s="1" t="str">
        <f t="shared" si="868"/>
        <v>ND</v>
      </c>
      <c r="EY148" s="1" t="str">
        <f t="shared" si="868"/>
        <v>ND</v>
      </c>
      <c r="EZ148" s="1" t="str">
        <f t="shared" si="869"/>
        <v>ND</v>
      </c>
      <c r="FA148" s="1" t="str">
        <f t="shared" si="869"/>
        <v>ND</v>
      </c>
      <c r="FB148" s="1" t="str">
        <f t="shared" si="869"/>
        <v>ND</v>
      </c>
      <c r="FC148" s="1" t="str">
        <f t="shared" si="869"/>
        <v>ND</v>
      </c>
      <c r="FD148" s="1" t="str">
        <f t="shared" si="869"/>
        <v>ND</v>
      </c>
      <c r="FE148" s="1" t="str">
        <f t="shared" si="869"/>
        <v>ND</v>
      </c>
      <c r="FF148" s="1" t="str">
        <f t="shared" si="869"/>
        <v>ND</v>
      </c>
      <c r="FG148" s="1" t="str">
        <f t="shared" si="869"/>
        <v>ND</v>
      </c>
      <c r="FH148" s="1" t="str">
        <f t="shared" si="869"/>
        <v>ND</v>
      </c>
      <c r="FI148" s="1" t="str">
        <f t="shared" si="869"/>
        <v>ND</v>
      </c>
      <c r="FJ148" s="1" t="str">
        <f t="shared" si="869"/>
        <v>ND</v>
      </c>
      <c r="FK148" s="1" t="str">
        <f t="shared" si="870"/>
        <v>ND</v>
      </c>
      <c r="FL148" s="1" t="str">
        <f t="shared" si="870"/>
        <v>ND</v>
      </c>
      <c r="FM148" s="1" t="str">
        <f t="shared" si="870"/>
        <v>ND</v>
      </c>
      <c r="FN148" s="1" t="str">
        <f t="shared" si="870"/>
        <v>ND</v>
      </c>
      <c r="FO148" s="1" t="str">
        <f t="shared" si="870"/>
        <v>ND</v>
      </c>
      <c r="FP148" s="1" t="str">
        <f t="shared" si="870"/>
        <v>ND</v>
      </c>
      <c r="FQ148" s="1" t="str">
        <f t="shared" si="870"/>
        <v>ND</v>
      </c>
      <c r="FR148" s="1" t="str">
        <f t="shared" si="870"/>
        <v>ND</v>
      </c>
      <c r="FS148" s="1" t="str">
        <f t="shared" si="870"/>
        <v>ND</v>
      </c>
      <c r="FT148" s="1" t="str">
        <f t="shared" si="870"/>
        <v>ND</v>
      </c>
      <c r="FU148" s="1" t="str">
        <f t="shared" si="870"/>
        <v>ND</v>
      </c>
      <c r="FV148" s="1" t="str">
        <f t="shared" si="799"/>
        <v>ND</v>
      </c>
      <c r="FW148" s="1" t="str">
        <f t="shared" si="800"/>
        <v>ND</v>
      </c>
      <c r="FX148" s="1" t="str">
        <f t="shared" si="801"/>
        <v>ND</v>
      </c>
      <c r="FY148" s="1" t="str">
        <f t="shared" si="802"/>
        <v>ND</v>
      </c>
      <c r="FZ148" s="1" t="str">
        <f t="shared" si="803"/>
        <v>ND</v>
      </c>
      <c r="GA148" s="1" t="str">
        <f t="shared" si="804"/>
        <v>ND</v>
      </c>
      <c r="GB148" s="1" t="str">
        <f t="shared" si="805"/>
        <v>ND</v>
      </c>
      <c r="GC148" s="1" t="str">
        <f t="shared" si="806"/>
        <v>ND</v>
      </c>
      <c r="GD148" s="1" t="str">
        <f t="shared" si="807"/>
        <v>ND</v>
      </c>
      <c r="GE148" s="1" t="str">
        <f t="shared" si="808"/>
        <v>ND</v>
      </c>
      <c r="GF148" s="1" t="str">
        <f t="shared" si="809"/>
        <v>ND</v>
      </c>
      <c r="GG148" s="1" t="str">
        <f t="shared" si="810"/>
        <v>ND</v>
      </c>
      <c r="GH148" s="1" t="str">
        <f t="shared" si="811"/>
        <v>ND</v>
      </c>
      <c r="GI148" s="1" t="str">
        <f t="shared" si="812"/>
        <v>ND</v>
      </c>
      <c r="GJ148" s="1" t="str">
        <f t="shared" si="813"/>
        <v>ND</v>
      </c>
      <c r="GK148" s="1" t="str">
        <f t="shared" si="814"/>
        <v>ND</v>
      </c>
      <c r="GL148" s="1" t="str">
        <f t="shared" si="815"/>
        <v>ND</v>
      </c>
      <c r="GM148" s="1" t="str">
        <f t="shared" si="816"/>
        <v>ND</v>
      </c>
      <c r="GN148" s="1" t="str">
        <f t="shared" si="817"/>
        <v>ND</v>
      </c>
      <c r="GO148" s="1" t="str">
        <f t="shared" si="818"/>
        <v>ND</v>
      </c>
      <c r="GP148" s="1" t="str">
        <f t="shared" si="819"/>
        <v>ND</v>
      </c>
      <c r="GQ148" s="1" t="str">
        <f t="shared" si="820"/>
        <v>ND</v>
      </c>
      <c r="GR148" s="1" t="str">
        <f t="shared" si="821"/>
        <v>ND</v>
      </c>
      <c r="GS148" s="1" t="str">
        <f t="shared" si="822"/>
        <v>ND</v>
      </c>
      <c r="GT148" s="1" t="str">
        <f t="shared" si="823"/>
        <v>ND</v>
      </c>
      <c r="GU148" s="1" t="str">
        <f t="shared" si="824"/>
        <v>ND</v>
      </c>
      <c r="GV148" s="1" t="str">
        <f t="shared" si="825"/>
        <v>ND</v>
      </c>
      <c r="GW148" s="1" t="str">
        <f t="shared" si="826"/>
        <v>ND</v>
      </c>
      <c r="GX148" s="1" t="str">
        <f t="shared" si="827"/>
        <v>ND</v>
      </c>
      <c r="GY148" s="1" t="str">
        <f t="shared" si="828"/>
        <v>ND</v>
      </c>
      <c r="GZ148" s="1" t="str">
        <f t="shared" si="829"/>
        <v>ND</v>
      </c>
      <c r="HA148" s="1" t="str">
        <f t="shared" si="830"/>
        <v>ND</v>
      </c>
      <c r="HB148" s="1" t="str">
        <f t="shared" si="831"/>
        <v>ND</v>
      </c>
      <c r="HC148" s="1" t="str">
        <f t="shared" si="832"/>
        <v>ND</v>
      </c>
      <c r="HD148" s="1" t="str">
        <f t="shared" si="833"/>
        <v>ND</v>
      </c>
      <c r="HE148" s="1" t="str">
        <f t="shared" si="834"/>
        <v>ND</v>
      </c>
      <c r="HF148" s="1" t="str">
        <f t="shared" si="835"/>
        <v>ND</v>
      </c>
      <c r="HG148" s="1" t="str">
        <f t="shared" si="836"/>
        <v>ND</v>
      </c>
      <c r="HH148" s="1" t="str">
        <f t="shared" si="837"/>
        <v>ND</v>
      </c>
      <c r="HI148" s="1" t="str">
        <f t="shared" si="838"/>
        <v>ND</v>
      </c>
      <c r="HJ148" s="1" t="str">
        <f t="shared" si="839"/>
        <v>ND</v>
      </c>
      <c r="HK148" s="1" t="str">
        <f t="shared" si="840"/>
        <v>ND</v>
      </c>
      <c r="HL148" s="1" t="str">
        <f t="shared" si="841"/>
        <v>ND</v>
      </c>
      <c r="HM148" s="1" t="str">
        <f t="shared" si="842"/>
        <v>ND</v>
      </c>
      <c r="HN148" s="1" t="str">
        <f t="shared" si="843"/>
        <v>ND</v>
      </c>
      <c r="HO148" s="1" t="str">
        <f t="shared" si="844"/>
        <v>ND</v>
      </c>
      <c r="HP148" s="1" t="str">
        <f t="shared" si="845"/>
        <v>ND</v>
      </c>
      <c r="HQ148" s="1" t="str">
        <f t="shared" si="846"/>
        <v>ND</v>
      </c>
      <c r="HR148" s="1" t="str">
        <f t="shared" si="847"/>
        <v>ND</v>
      </c>
      <c r="HS148" s="1" t="str">
        <f t="shared" si="848"/>
        <v>ND</v>
      </c>
      <c r="HT148" s="1" t="str">
        <f t="shared" si="849"/>
        <v>ND</v>
      </c>
      <c r="HU148" s="1" t="str">
        <f t="shared" si="850"/>
        <v>ND</v>
      </c>
      <c r="HV148" s="1" t="str">
        <f t="shared" si="851"/>
        <v>ND</v>
      </c>
      <c r="HW148" s="1" t="str">
        <f t="shared" si="852"/>
        <v>ND</v>
      </c>
      <c r="HX148" s="1" t="str">
        <f t="shared" si="853"/>
        <v>ND</v>
      </c>
      <c r="HY148" s="1" t="str">
        <f t="shared" si="854"/>
        <v>ND</v>
      </c>
      <c r="HZ148" s="1" t="str">
        <f t="shared" si="855"/>
        <v>ND</v>
      </c>
      <c r="IA148" s="1" t="str">
        <f t="shared" si="856"/>
        <v>ND</v>
      </c>
      <c r="IB148" s="1" t="str">
        <f t="shared" si="857"/>
        <v>ND</v>
      </c>
      <c r="IC148" s="1" t="str">
        <f t="shared" si="858"/>
        <v>ND</v>
      </c>
      <c r="ID148" s="1" t="str">
        <f t="shared" si="859"/>
        <v>ND</v>
      </c>
      <c r="IE148" s="1" t="str">
        <f t="shared" si="860"/>
        <v>ND</v>
      </c>
      <c r="IF148" s="1" t="str">
        <f t="shared" si="861"/>
        <v>ND</v>
      </c>
      <c r="IG148" s="1" t="str">
        <f t="shared" si="862"/>
        <v>ND</v>
      </c>
      <c r="IH148" s="1" t="str">
        <f t="shared" si="863"/>
        <v>ND</v>
      </c>
      <c r="II148" s="1" t="str">
        <f t="shared" si="864"/>
        <v>ND</v>
      </c>
    </row>
    <row r="149" spans="3:243" x14ac:dyDescent="0.25">
      <c r="C149" t="s">
        <v>5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6.1</v>
      </c>
      <c r="G149" s="1">
        <f>IFERROR(VLOOKUP($C149,EQUIPOS[],UNIFICADO!G$9,0),"")</f>
        <v>12</v>
      </c>
      <c r="H149" s="1">
        <f>IFERROR(VLOOKUP($C149,EQUIPOS[],UNIFICADO!H$9,0),"")</f>
        <v>2</v>
      </c>
      <c r="I149" s="1">
        <f>IFERROR(VLOOKUP($C149,EQUIPOS[],UNIFICADO!I$9,0),"")</f>
        <v>12</v>
      </c>
      <c r="J149" s="1" t="str">
        <f>IFERROR(VLOOKUP($C149,EQUIPOS[],UNIFICADO!J$9,0),"")</f>
        <v>256GB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4</v>
      </c>
      <c r="O149" s="1">
        <f>IFERROR(VLOOKUP($C149,EQUIPOS[],UNIFICADO!O$9,0),"")</f>
        <v>174</v>
      </c>
      <c r="P149" s="1">
        <f>IFERROR(VLOOKUP($C149,EQUIPOS[],UNIFICADO!P$9,0),"")</f>
        <v>14.6</v>
      </c>
      <c r="Q149" s="1">
        <f>IFERROR(VLOOKUP($C149,EQUIPOS[],UNIFICADO!Q$9,0),"")</f>
        <v>7.15</v>
      </c>
      <c r="R149" s="1">
        <f>IFERROR(VLOOKUP($C149,EQUIPOS[],UNIFICADO!R$9,0),"")</f>
        <v>0.77</v>
      </c>
      <c r="S149" s="1">
        <f>IFERROR(VLOOKUP($C149,EQUIPOS[],UNIFICADO!S$9,0),"")</f>
        <v>3227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9"/>
        <v>ND</v>
      </c>
      <c r="W149" s="1" t="str">
        <f t="shared" si="710"/>
        <v>ND</v>
      </c>
      <c r="X149" s="1" t="str">
        <f t="shared" si="702"/>
        <v>ND</v>
      </c>
      <c r="Y149" s="1" t="str">
        <f t="shared" si="702"/>
        <v>ND</v>
      </c>
      <c r="Z149" s="1" t="str">
        <f t="shared" si="865"/>
        <v>ND</v>
      </c>
      <c r="AA149" s="1" t="str">
        <f t="shared" si="865"/>
        <v>ND</v>
      </c>
      <c r="AB149" s="1" t="str">
        <f t="shared" si="865"/>
        <v>ND</v>
      </c>
      <c r="AC149" s="1" t="str">
        <f t="shared" si="865"/>
        <v>ND</v>
      </c>
      <c r="AD149" s="1" t="str">
        <f t="shared" si="865"/>
        <v>ND</v>
      </c>
      <c r="AE149" s="1" t="str">
        <f t="shared" si="865"/>
        <v>ND</v>
      </c>
      <c r="AF149" s="1" t="str">
        <f t="shared" si="865"/>
        <v>ND</v>
      </c>
      <c r="AG149" s="1" t="str">
        <f t="shared" si="865"/>
        <v>ND</v>
      </c>
      <c r="AH149" s="1" t="str">
        <f t="shared" si="865"/>
        <v>ND</v>
      </c>
      <c r="AI149" s="1" t="str">
        <f t="shared" si="711"/>
        <v>ND</v>
      </c>
      <c r="AJ149" s="1" t="str">
        <f t="shared" si="712"/>
        <v>ND</v>
      </c>
      <c r="AK149" s="1" t="str">
        <f t="shared" si="713"/>
        <v>ND</v>
      </c>
      <c r="AL149" s="1" t="str">
        <f t="shared" si="714"/>
        <v>ND</v>
      </c>
      <c r="AM149" s="1" t="str">
        <f t="shared" si="715"/>
        <v>ND</v>
      </c>
      <c r="AN149" s="1" t="str">
        <f t="shared" si="716"/>
        <v>ND</v>
      </c>
      <c r="AO149" s="1" t="str">
        <f t="shared" si="717"/>
        <v>ND</v>
      </c>
      <c r="AP149" s="1" t="str">
        <f t="shared" si="718"/>
        <v>ND</v>
      </c>
      <c r="AQ149" s="1" t="str">
        <f t="shared" si="719"/>
        <v>ND</v>
      </c>
      <c r="AR149" s="1" t="str">
        <f t="shared" si="720"/>
        <v>ND</v>
      </c>
      <c r="AS149" s="1" t="str">
        <f t="shared" si="721"/>
        <v>ND</v>
      </c>
      <c r="AT149" s="1" t="str">
        <f t="shared" si="722"/>
        <v>ND</v>
      </c>
      <c r="AU149" s="1" t="str">
        <f t="shared" si="723"/>
        <v>ND</v>
      </c>
      <c r="AV149" s="1" t="str">
        <f t="shared" si="724"/>
        <v>ND</v>
      </c>
      <c r="AW149" s="1" t="str">
        <f t="shared" si="725"/>
        <v>ND</v>
      </c>
      <c r="AX149" s="1" t="str">
        <f t="shared" si="726"/>
        <v>ND</v>
      </c>
      <c r="AY149" s="1" t="str">
        <f t="shared" si="727"/>
        <v>ND</v>
      </c>
      <c r="AZ149" s="1" t="str">
        <f t="shared" si="728"/>
        <v>ND</v>
      </c>
      <c r="BA149" s="1" t="str">
        <f t="shared" si="729"/>
        <v>ND</v>
      </c>
      <c r="BB149" s="1" t="str">
        <f t="shared" si="730"/>
        <v>ND</v>
      </c>
      <c r="BC149" s="1" t="str">
        <f t="shared" si="731"/>
        <v>ND</v>
      </c>
      <c r="BD149" s="1" t="str">
        <f t="shared" si="732"/>
        <v>ND</v>
      </c>
      <c r="BE149" s="1" t="str">
        <f t="shared" si="733"/>
        <v>ND</v>
      </c>
      <c r="BF149" s="1" t="str">
        <f t="shared" si="734"/>
        <v>ND</v>
      </c>
      <c r="BG149" s="1" t="str">
        <f t="shared" si="735"/>
        <v>ND</v>
      </c>
      <c r="BH149" s="1" t="str">
        <f t="shared" si="736"/>
        <v>ND</v>
      </c>
      <c r="BI149" s="1" t="str">
        <f t="shared" si="737"/>
        <v>ND</v>
      </c>
      <c r="BJ149" s="1" t="str">
        <f t="shared" si="738"/>
        <v>ND</v>
      </c>
      <c r="BK149" s="1" t="str">
        <f t="shared" si="739"/>
        <v>ND</v>
      </c>
      <c r="BL149" s="1" t="str">
        <f t="shared" si="740"/>
        <v>ND</v>
      </c>
      <c r="BM149" s="1" t="str">
        <f t="shared" si="741"/>
        <v>ND</v>
      </c>
      <c r="BN149" s="1" t="str">
        <f t="shared" si="742"/>
        <v>ND</v>
      </c>
      <c r="BO149" s="1" t="str">
        <f t="shared" si="743"/>
        <v>ND</v>
      </c>
      <c r="BP149" s="1" t="str">
        <f t="shared" si="744"/>
        <v>ND</v>
      </c>
      <c r="BQ149" s="1" t="str">
        <f t="shared" si="745"/>
        <v>ND</v>
      </c>
      <c r="BR149" s="1" t="str">
        <f t="shared" si="746"/>
        <v>ND</v>
      </c>
      <c r="BS149" s="1" t="str">
        <f t="shared" si="747"/>
        <v>ND</v>
      </c>
      <c r="BT149" s="1" t="str">
        <f t="shared" si="748"/>
        <v>ND</v>
      </c>
      <c r="BU149" s="1" t="str">
        <f t="shared" si="749"/>
        <v>ND</v>
      </c>
      <c r="BV149" s="1" t="str">
        <f t="shared" si="750"/>
        <v>ND</v>
      </c>
      <c r="BW149" s="1" t="str">
        <f t="shared" si="751"/>
        <v>ND</v>
      </c>
      <c r="BX149" s="1" t="str">
        <f t="shared" si="752"/>
        <v>ND</v>
      </c>
      <c r="BY149" s="1" t="str">
        <f t="shared" si="753"/>
        <v>ND</v>
      </c>
      <c r="BZ149" s="1" t="str">
        <f t="shared" si="754"/>
        <v>ND</v>
      </c>
      <c r="CA149" s="1" t="str">
        <f t="shared" si="866"/>
        <v>ND</v>
      </c>
      <c r="CB149" s="1" t="str">
        <f t="shared" si="866"/>
        <v>ND</v>
      </c>
      <c r="CC149" s="1" t="str">
        <f t="shared" si="866"/>
        <v>ND</v>
      </c>
      <c r="CD149" s="1" t="str">
        <f t="shared" si="866"/>
        <v>ND</v>
      </c>
      <c r="CE149" s="1" t="str">
        <f t="shared" si="866"/>
        <v>ND</v>
      </c>
      <c r="CF149" s="1" t="str">
        <f t="shared" si="866"/>
        <v>ND</v>
      </c>
      <c r="CG149" s="1" t="str">
        <f t="shared" si="866"/>
        <v>ND</v>
      </c>
      <c r="CH149" s="1" t="str">
        <f t="shared" si="866"/>
        <v>ND</v>
      </c>
      <c r="CI149" s="1" t="str">
        <f t="shared" si="866"/>
        <v>ND</v>
      </c>
      <c r="CJ149" s="1" t="str">
        <f t="shared" si="866"/>
        <v>ND</v>
      </c>
      <c r="CK149" s="1" t="str">
        <f t="shared" si="866"/>
        <v>ND</v>
      </c>
      <c r="CL149" s="1" t="str">
        <f t="shared" si="867"/>
        <v>ND</v>
      </c>
      <c r="CM149" s="1" t="str">
        <f t="shared" si="867"/>
        <v>ND</v>
      </c>
      <c r="CN149" s="1" t="str">
        <f t="shared" si="867"/>
        <v>ND</v>
      </c>
      <c r="CO149" s="1" t="str">
        <f t="shared" si="867"/>
        <v>ND</v>
      </c>
      <c r="CP149" s="1" t="str">
        <f t="shared" si="867"/>
        <v>ND</v>
      </c>
      <c r="CQ149" s="1" t="str">
        <f t="shared" si="867"/>
        <v>ND</v>
      </c>
      <c r="CR149" s="1" t="str">
        <f t="shared" si="867"/>
        <v>ND</v>
      </c>
      <c r="CS149" s="1" t="str">
        <f t="shared" si="867"/>
        <v>ND</v>
      </c>
      <c r="CT149" s="1" t="str">
        <f t="shared" si="867"/>
        <v>ND</v>
      </c>
      <c r="CU149" s="1" t="str">
        <f t="shared" si="867"/>
        <v>ND</v>
      </c>
      <c r="CV149" s="1" t="str">
        <f t="shared" si="867"/>
        <v>ND</v>
      </c>
      <c r="CW149" s="1" t="str">
        <f t="shared" si="755"/>
        <v>ND</v>
      </c>
      <c r="CX149" s="1" t="str">
        <f t="shared" si="756"/>
        <v>ND</v>
      </c>
      <c r="CY149" s="1" t="str">
        <f t="shared" si="757"/>
        <v>ND</v>
      </c>
      <c r="CZ149" s="1" t="str">
        <f t="shared" si="758"/>
        <v>ND</v>
      </c>
      <c r="DA149" s="1" t="str">
        <f t="shared" si="759"/>
        <v>ND</v>
      </c>
      <c r="DB149" s="1" t="str">
        <f t="shared" si="760"/>
        <v>ND</v>
      </c>
      <c r="DC149" s="1" t="str">
        <f t="shared" si="761"/>
        <v>ND</v>
      </c>
      <c r="DD149" s="1" t="str">
        <f t="shared" si="762"/>
        <v>ND</v>
      </c>
      <c r="DE149" s="1" t="str">
        <f t="shared" si="763"/>
        <v>ND</v>
      </c>
      <c r="DF149" s="1" t="str">
        <f t="shared" si="764"/>
        <v>ND</v>
      </c>
      <c r="DG149" s="1" t="str">
        <f t="shared" si="765"/>
        <v>ND</v>
      </c>
      <c r="DH149" s="1" t="str">
        <f t="shared" si="766"/>
        <v>ND</v>
      </c>
      <c r="DI149" s="1" t="str">
        <f t="shared" si="767"/>
        <v>ND</v>
      </c>
      <c r="DJ149" s="1" t="str">
        <f t="shared" si="768"/>
        <v>ND</v>
      </c>
      <c r="DK149" s="1" t="str">
        <f t="shared" si="769"/>
        <v>ND</v>
      </c>
      <c r="DL149" s="1" t="str">
        <f t="shared" si="770"/>
        <v>ND</v>
      </c>
      <c r="DM149" s="1" t="str">
        <f t="shared" si="771"/>
        <v>ND</v>
      </c>
      <c r="DN149" s="1" t="str">
        <f t="shared" si="772"/>
        <v>ND</v>
      </c>
      <c r="DO149" s="1" t="str">
        <f t="shared" si="773"/>
        <v>ND</v>
      </c>
      <c r="DP149" s="1" t="str">
        <f t="shared" si="774"/>
        <v>ND</v>
      </c>
      <c r="DQ149" s="1" t="str">
        <f t="shared" si="775"/>
        <v>ND</v>
      </c>
      <c r="DR149" s="1" t="str">
        <f t="shared" si="776"/>
        <v>ND</v>
      </c>
      <c r="DS149" s="1" t="str">
        <f t="shared" si="777"/>
        <v>ND</v>
      </c>
      <c r="DT149" s="1" t="str">
        <f t="shared" si="778"/>
        <v>ND</v>
      </c>
      <c r="DU149" s="1" t="str">
        <f t="shared" si="779"/>
        <v>ND</v>
      </c>
      <c r="DV149" s="1" t="str">
        <f t="shared" si="780"/>
        <v>ND</v>
      </c>
      <c r="DW149" s="1" t="str">
        <f t="shared" si="781"/>
        <v>ND</v>
      </c>
      <c r="DX149" s="1" t="str">
        <f t="shared" si="782"/>
        <v>ND</v>
      </c>
      <c r="DY149" s="1" t="str">
        <f t="shared" si="783"/>
        <v>ND</v>
      </c>
      <c r="DZ149" s="1" t="str">
        <f t="shared" si="784"/>
        <v>ND</v>
      </c>
      <c r="EA149" s="1" t="str">
        <f t="shared" si="785"/>
        <v>ND</v>
      </c>
      <c r="EB149" s="1" t="str">
        <f t="shared" si="786"/>
        <v>ND</v>
      </c>
      <c r="EC149" s="1" t="str">
        <f t="shared" si="787"/>
        <v>ND</v>
      </c>
      <c r="ED149" s="1" t="str">
        <f t="shared" si="788"/>
        <v>ND</v>
      </c>
      <c r="EE149" s="1" t="str">
        <f t="shared" si="789"/>
        <v>ND</v>
      </c>
      <c r="EF149" s="1" t="str">
        <f t="shared" si="790"/>
        <v>ND</v>
      </c>
      <c r="EG149" s="1" t="str">
        <f t="shared" si="791"/>
        <v>ND</v>
      </c>
      <c r="EH149" s="1" t="str">
        <f t="shared" si="792"/>
        <v>ND</v>
      </c>
      <c r="EI149" s="1" t="str">
        <f t="shared" si="793"/>
        <v>ND</v>
      </c>
      <c r="EJ149" s="1" t="str">
        <f t="shared" si="794"/>
        <v>ND</v>
      </c>
      <c r="EK149" s="1" t="str">
        <f t="shared" si="795"/>
        <v>ND</v>
      </c>
      <c r="EL149" s="1" t="str">
        <f t="shared" si="796"/>
        <v>ND</v>
      </c>
      <c r="EM149" s="1" t="str">
        <f t="shared" si="797"/>
        <v>ND</v>
      </c>
      <c r="EN149" s="1" t="str">
        <f t="shared" si="798"/>
        <v>ND</v>
      </c>
      <c r="EO149" s="1" t="str">
        <f t="shared" si="868"/>
        <v>ND</v>
      </c>
      <c r="EP149" s="1" t="str">
        <f t="shared" si="868"/>
        <v>ND</v>
      </c>
      <c r="EQ149" s="1" t="str">
        <f t="shared" si="868"/>
        <v>ND</v>
      </c>
      <c r="ER149" s="1" t="str">
        <f t="shared" si="868"/>
        <v>ND</v>
      </c>
      <c r="ES149" s="1" t="str">
        <f t="shared" si="868"/>
        <v>ND</v>
      </c>
      <c r="ET149" s="1" t="str">
        <f t="shared" si="868"/>
        <v>ND</v>
      </c>
      <c r="EU149" s="1" t="str">
        <f t="shared" si="868"/>
        <v>ND</v>
      </c>
      <c r="EV149" s="1" t="str">
        <f t="shared" si="868"/>
        <v>ND</v>
      </c>
      <c r="EW149" s="1" t="str">
        <f t="shared" si="868"/>
        <v>ND</v>
      </c>
      <c r="EX149" s="1" t="str">
        <f t="shared" si="868"/>
        <v>ND</v>
      </c>
      <c r="EY149" s="1" t="str">
        <f t="shared" si="868"/>
        <v>ND</v>
      </c>
      <c r="EZ149" s="1" t="str">
        <f t="shared" si="869"/>
        <v>ND</v>
      </c>
      <c r="FA149" s="1" t="str">
        <f t="shared" si="869"/>
        <v>ND</v>
      </c>
      <c r="FB149" s="1" t="str">
        <f t="shared" si="869"/>
        <v>ND</v>
      </c>
      <c r="FC149" s="1" t="str">
        <f t="shared" si="869"/>
        <v>ND</v>
      </c>
      <c r="FD149" s="1" t="str">
        <f t="shared" si="869"/>
        <v>ND</v>
      </c>
      <c r="FE149" s="1" t="str">
        <f t="shared" si="869"/>
        <v>ND</v>
      </c>
      <c r="FF149" s="1" t="str">
        <f t="shared" si="869"/>
        <v>ND</v>
      </c>
      <c r="FG149" s="1" t="str">
        <f t="shared" si="869"/>
        <v>ND</v>
      </c>
      <c r="FH149" s="1" t="str">
        <f t="shared" si="869"/>
        <v>ND</v>
      </c>
      <c r="FI149" s="1" t="str">
        <f t="shared" si="869"/>
        <v>ND</v>
      </c>
      <c r="FJ149" s="1" t="str">
        <f t="shared" si="869"/>
        <v>ND</v>
      </c>
      <c r="FK149" s="1" t="str">
        <f t="shared" si="870"/>
        <v>ND</v>
      </c>
      <c r="FL149" s="1" t="str">
        <f t="shared" si="870"/>
        <v>ND</v>
      </c>
      <c r="FM149" s="1" t="str">
        <f t="shared" si="870"/>
        <v>ND</v>
      </c>
      <c r="FN149" s="1" t="str">
        <f t="shared" si="870"/>
        <v>ND</v>
      </c>
      <c r="FO149" s="1" t="str">
        <f t="shared" si="870"/>
        <v>ND</v>
      </c>
      <c r="FP149" s="1" t="str">
        <f t="shared" si="870"/>
        <v>ND</v>
      </c>
      <c r="FQ149" s="1" t="str">
        <f t="shared" si="870"/>
        <v>ND</v>
      </c>
      <c r="FR149" s="1" t="str">
        <f t="shared" si="870"/>
        <v>ND</v>
      </c>
      <c r="FS149" s="1" t="str">
        <f t="shared" si="870"/>
        <v>ND</v>
      </c>
      <c r="FT149" s="1" t="str">
        <f t="shared" si="870"/>
        <v>ND</v>
      </c>
      <c r="FU149" s="1" t="str">
        <f t="shared" si="870"/>
        <v>ND</v>
      </c>
      <c r="FV149" s="1" t="str">
        <f t="shared" si="799"/>
        <v>ND</v>
      </c>
      <c r="FW149" s="1" t="str">
        <f t="shared" si="800"/>
        <v>ND</v>
      </c>
      <c r="FX149" s="1" t="str">
        <f t="shared" si="801"/>
        <v>ND</v>
      </c>
      <c r="FY149" s="1" t="str">
        <f t="shared" si="802"/>
        <v>ND</v>
      </c>
      <c r="FZ149" s="1" t="str">
        <f t="shared" si="803"/>
        <v>ND</v>
      </c>
      <c r="GA149" s="1" t="str">
        <f t="shared" si="804"/>
        <v>ND</v>
      </c>
      <c r="GB149" s="1" t="str">
        <f t="shared" si="805"/>
        <v>ND</v>
      </c>
      <c r="GC149" s="1" t="str">
        <f t="shared" si="806"/>
        <v>ND</v>
      </c>
      <c r="GD149" s="1" t="str">
        <f t="shared" si="807"/>
        <v>ND</v>
      </c>
      <c r="GE149" s="1" t="str">
        <f t="shared" si="808"/>
        <v>ND</v>
      </c>
      <c r="GF149" s="1" t="str">
        <f t="shared" si="809"/>
        <v>ND</v>
      </c>
      <c r="GG149" s="1" t="str">
        <f t="shared" si="810"/>
        <v>ND</v>
      </c>
      <c r="GH149" s="1" t="str">
        <f t="shared" si="811"/>
        <v>ND</v>
      </c>
      <c r="GI149" s="1" t="str">
        <f t="shared" si="812"/>
        <v>ND</v>
      </c>
      <c r="GJ149" s="1" t="str">
        <f t="shared" si="813"/>
        <v>ND</v>
      </c>
      <c r="GK149" s="1" t="str">
        <f t="shared" si="814"/>
        <v>ND</v>
      </c>
      <c r="GL149" s="1" t="str">
        <f t="shared" si="815"/>
        <v>ND</v>
      </c>
      <c r="GM149" s="1" t="str">
        <f t="shared" si="816"/>
        <v>ND</v>
      </c>
      <c r="GN149" s="1" t="str">
        <f t="shared" si="817"/>
        <v>ND</v>
      </c>
      <c r="GO149" s="1" t="str">
        <f t="shared" si="818"/>
        <v>ND</v>
      </c>
      <c r="GP149" s="1" t="str">
        <f t="shared" si="819"/>
        <v>ND</v>
      </c>
      <c r="GQ149" s="1" t="str">
        <f t="shared" si="820"/>
        <v>ND</v>
      </c>
      <c r="GR149" s="1" t="str">
        <f t="shared" si="821"/>
        <v>ND</v>
      </c>
      <c r="GS149" s="1" t="str">
        <f t="shared" si="822"/>
        <v>ND</v>
      </c>
      <c r="GT149" s="1" t="str">
        <f t="shared" si="823"/>
        <v>ND</v>
      </c>
      <c r="GU149" s="1" t="str">
        <f t="shared" si="824"/>
        <v>ND</v>
      </c>
      <c r="GV149" s="1" t="str">
        <f t="shared" si="825"/>
        <v>ND</v>
      </c>
      <c r="GW149" s="1" t="str">
        <f t="shared" si="826"/>
        <v>ND</v>
      </c>
      <c r="GX149" s="1" t="str">
        <f t="shared" si="827"/>
        <v>ND</v>
      </c>
      <c r="GY149" s="1" t="str">
        <f t="shared" si="828"/>
        <v>ND</v>
      </c>
      <c r="GZ149" s="1" t="str">
        <f t="shared" si="829"/>
        <v>ND</v>
      </c>
      <c r="HA149" s="1" t="str">
        <f t="shared" si="830"/>
        <v>ND</v>
      </c>
      <c r="HB149" s="1" t="str">
        <f t="shared" si="831"/>
        <v>ND</v>
      </c>
      <c r="HC149" s="1" t="str">
        <f t="shared" si="832"/>
        <v>ND</v>
      </c>
      <c r="HD149" s="1" t="str">
        <f t="shared" si="833"/>
        <v>ND</v>
      </c>
      <c r="HE149" s="1" t="str">
        <f t="shared" si="834"/>
        <v>ND</v>
      </c>
      <c r="HF149" s="1" t="str">
        <f t="shared" si="835"/>
        <v>ND</v>
      </c>
      <c r="HG149" s="1" t="str">
        <f t="shared" si="836"/>
        <v>ND</v>
      </c>
      <c r="HH149" s="1" t="str">
        <f t="shared" si="837"/>
        <v>ND</v>
      </c>
      <c r="HI149" s="1" t="str">
        <f t="shared" si="838"/>
        <v>ND</v>
      </c>
      <c r="HJ149" s="1" t="str">
        <f t="shared" si="839"/>
        <v>ND</v>
      </c>
      <c r="HK149" s="1" t="str">
        <f t="shared" si="840"/>
        <v>ND</v>
      </c>
      <c r="HL149" s="1" t="str">
        <f t="shared" si="841"/>
        <v>ND</v>
      </c>
      <c r="HM149" s="1" t="str">
        <f t="shared" si="842"/>
        <v>ND</v>
      </c>
      <c r="HN149" s="1" t="str">
        <f t="shared" si="843"/>
        <v>ND</v>
      </c>
      <c r="HO149" s="1" t="str">
        <f t="shared" si="844"/>
        <v>ND</v>
      </c>
      <c r="HP149" s="1" t="str">
        <f t="shared" si="845"/>
        <v>ND</v>
      </c>
      <c r="HQ149" s="1" t="str">
        <f t="shared" si="846"/>
        <v>ND</v>
      </c>
      <c r="HR149" s="1" t="str">
        <f t="shared" si="847"/>
        <v>ND</v>
      </c>
      <c r="HS149" s="1" t="str">
        <f t="shared" si="848"/>
        <v>ND</v>
      </c>
      <c r="HT149" s="1" t="str">
        <f t="shared" si="849"/>
        <v>ND</v>
      </c>
      <c r="HU149" s="1" t="str">
        <f t="shared" si="850"/>
        <v>ND</v>
      </c>
      <c r="HV149" s="1" t="str">
        <f t="shared" si="851"/>
        <v>ND</v>
      </c>
      <c r="HW149" s="1" t="str">
        <f t="shared" si="852"/>
        <v>ND</v>
      </c>
      <c r="HX149" s="1" t="str">
        <f t="shared" si="853"/>
        <v>ND</v>
      </c>
      <c r="HY149" s="1" t="str">
        <f t="shared" si="854"/>
        <v>ND</v>
      </c>
      <c r="HZ149" s="1" t="str">
        <f t="shared" si="855"/>
        <v>ND</v>
      </c>
      <c r="IA149" s="1" t="str">
        <f t="shared" si="856"/>
        <v>ND</v>
      </c>
      <c r="IB149" s="1" t="str">
        <f t="shared" si="857"/>
        <v>ND</v>
      </c>
      <c r="IC149" s="1" t="str">
        <f t="shared" si="858"/>
        <v>ND</v>
      </c>
      <c r="ID149" s="1" t="str">
        <f t="shared" si="859"/>
        <v>ND</v>
      </c>
      <c r="IE149" s="1" t="str">
        <f t="shared" si="860"/>
        <v>ND</v>
      </c>
      <c r="IF149" s="1" t="str">
        <f t="shared" si="861"/>
        <v>ND</v>
      </c>
      <c r="IG149" s="1" t="str">
        <f t="shared" si="862"/>
        <v>ND</v>
      </c>
      <c r="IH149" s="1" t="str">
        <f t="shared" si="863"/>
        <v>ND</v>
      </c>
      <c r="II149" s="1" t="str">
        <f t="shared" si="864"/>
        <v>ND</v>
      </c>
    </row>
    <row r="150" spans="3:243" x14ac:dyDescent="0.25">
      <c r="C150" t="s">
        <v>6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2</v>
      </c>
      <c r="I150" s="1">
        <f>IFERROR(VLOOKUP($C150,EQUIPOS[],UNIFICADO!I$9,0),"")</f>
        <v>12</v>
      </c>
      <c r="J150" s="1" t="str">
        <f>IFERROR(VLOOKUP($C150,EQUIPOS[],UNIFICADO!J$9,0),"")</f>
        <v>512GB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4</v>
      </c>
      <c r="O150" s="1">
        <f>IFERROR(VLOOKUP($C150,EQUIPOS[],UNIFICADO!O$9,0),"")</f>
        <v>174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3227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9"/>
        <v>ND</v>
      </c>
      <c r="W150" s="1" t="str">
        <f t="shared" si="710"/>
        <v>ND</v>
      </c>
      <c r="X150" s="1" t="str">
        <f t="shared" si="702"/>
        <v>ND</v>
      </c>
      <c r="Y150" s="1" t="str">
        <f t="shared" si="702"/>
        <v>ND</v>
      </c>
      <c r="Z150" s="1" t="str">
        <f t="shared" si="865"/>
        <v>ND</v>
      </c>
      <c r="AA150" s="1" t="str">
        <f t="shared" si="865"/>
        <v>ND</v>
      </c>
      <c r="AB150" s="1" t="str">
        <f t="shared" si="865"/>
        <v>ND</v>
      </c>
      <c r="AC150" s="1" t="str">
        <f t="shared" si="865"/>
        <v>ND</v>
      </c>
      <c r="AD150" s="1" t="str">
        <f t="shared" si="865"/>
        <v>ND</v>
      </c>
      <c r="AE150" s="1" t="str">
        <f t="shared" si="865"/>
        <v>ND</v>
      </c>
      <c r="AF150" s="1" t="str">
        <f t="shared" si="865"/>
        <v>ND</v>
      </c>
      <c r="AG150" s="1" t="str">
        <f t="shared" si="865"/>
        <v>ND</v>
      </c>
      <c r="AH150" s="1" t="str">
        <f t="shared" si="865"/>
        <v>ND</v>
      </c>
      <c r="AI150" s="1" t="str">
        <f t="shared" si="711"/>
        <v>ND</v>
      </c>
      <c r="AJ150" s="1" t="str">
        <f t="shared" si="712"/>
        <v>ND</v>
      </c>
      <c r="AK150" s="1" t="str">
        <f t="shared" si="713"/>
        <v>ND</v>
      </c>
      <c r="AL150" s="1" t="str">
        <f t="shared" si="714"/>
        <v>ND</v>
      </c>
      <c r="AM150" s="1" t="str">
        <f t="shared" si="715"/>
        <v>ND</v>
      </c>
      <c r="AN150" s="1" t="str">
        <f t="shared" si="716"/>
        <v>ND</v>
      </c>
      <c r="AO150" s="1" t="str">
        <f t="shared" si="717"/>
        <v>ND</v>
      </c>
      <c r="AP150" s="1" t="str">
        <f t="shared" si="718"/>
        <v>ND</v>
      </c>
      <c r="AQ150" s="1" t="str">
        <f t="shared" si="719"/>
        <v>ND</v>
      </c>
      <c r="AR150" s="1" t="str">
        <f t="shared" si="720"/>
        <v>ND</v>
      </c>
      <c r="AS150" s="1" t="str">
        <f t="shared" si="721"/>
        <v>ND</v>
      </c>
      <c r="AT150" s="1" t="str">
        <f t="shared" si="722"/>
        <v>ND</v>
      </c>
      <c r="AU150" s="1" t="str">
        <f t="shared" si="723"/>
        <v>ND</v>
      </c>
      <c r="AV150" s="1" t="str">
        <f t="shared" si="724"/>
        <v>ND</v>
      </c>
      <c r="AW150" s="1" t="str">
        <f t="shared" si="725"/>
        <v>ND</v>
      </c>
      <c r="AX150" s="1" t="str">
        <f t="shared" si="726"/>
        <v>ND</v>
      </c>
      <c r="AY150" s="1" t="str">
        <f t="shared" si="727"/>
        <v>ND</v>
      </c>
      <c r="AZ150" s="1" t="str">
        <f t="shared" si="728"/>
        <v>ND</v>
      </c>
      <c r="BA150" s="1" t="str">
        <f t="shared" si="729"/>
        <v>ND</v>
      </c>
      <c r="BB150" s="1" t="str">
        <f t="shared" si="730"/>
        <v>ND</v>
      </c>
      <c r="BC150" s="1" t="str">
        <f t="shared" si="731"/>
        <v>ND</v>
      </c>
      <c r="BD150" s="1" t="str">
        <f t="shared" si="732"/>
        <v>ND</v>
      </c>
      <c r="BE150" s="1" t="str">
        <f t="shared" si="733"/>
        <v>ND</v>
      </c>
      <c r="BF150" s="1" t="str">
        <f t="shared" si="734"/>
        <v>ND</v>
      </c>
      <c r="BG150" s="1" t="str">
        <f t="shared" si="735"/>
        <v>ND</v>
      </c>
      <c r="BH150" s="1" t="str">
        <f t="shared" si="736"/>
        <v>ND</v>
      </c>
      <c r="BI150" s="1" t="str">
        <f t="shared" si="737"/>
        <v>ND</v>
      </c>
      <c r="BJ150" s="1" t="str">
        <f t="shared" si="738"/>
        <v>ND</v>
      </c>
      <c r="BK150" s="1" t="str">
        <f t="shared" si="739"/>
        <v>ND</v>
      </c>
      <c r="BL150" s="1" t="str">
        <f t="shared" si="740"/>
        <v>ND</v>
      </c>
      <c r="BM150" s="1" t="str">
        <f t="shared" si="741"/>
        <v>ND</v>
      </c>
      <c r="BN150" s="1" t="str">
        <f t="shared" si="742"/>
        <v>ND</v>
      </c>
      <c r="BO150" s="1" t="str">
        <f t="shared" si="743"/>
        <v>ND</v>
      </c>
      <c r="BP150" s="1" t="str">
        <f t="shared" si="744"/>
        <v>ND</v>
      </c>
      <c r="BQ150" s="1" t="str">
        <f t="shared" si="745"/>
        <v>ND</v>
      </c>
      <c r="BR150" s="1" t="str">
        <f t="shared" si="746"/>
        <v>ND</v>
      </c>
      <c r="BS150" s="1" t="str">
        <f t="shared" si="747"/>
        <v>ND</v>
      </c>
      <c r="BT150" s="1" t="str">
        <f t="shared" si="748"/>
        <v>ND</v>
      </c>
      <c r="BU150" s="1" t="str">
        <f t="shared" si="749"/>
        <v>ND</v>
      </c>
      <c r="BV150" s="1" t="str">
        <f t="shared" si="750"/>
        <v>ND</v>
      </c>
      <c r="BW150" s="1" t="str">
        <f t="shared" si="751"/>
        <v>ND</v>
      </c>
      <c r="BX150" s="1" t="str">
        <f t="shared" si="752"/>
        <v>ND</v>
      </c>
      <c r="BY150" s="1" t="str">
        <f t="shared" si="753"/>
        <v>ND</v>
      </c>
      <c r="BZ150" s="1" t="str">
        <f t="shared" si="754"/>
        <v>ND</v>
      </c>
      <c r="CA150" s="1" t="str">
        <f t="shared" si="866"/>
        <v>ND</v>
      </c>
      <c r="CB150" s="1" t="str">
        <f t="shared" si="866"/>
        <v>ND</v>
      </c>
      <c r="CC150" s="1" t="str">
        <f t="shared" si="866"/>
        <v>ND</v>
      </c>
      <c r="CD150" s="1" t="str">
        <f t="shared" si="866"/>
        <v>ND</v>
      </c>
      <c r="CE150" s="1" t="str">
        <f t="shared" si="866"/>
        <v>ND</v>
      </c>
      <c r="CF150" s="1" t="str">
        <f t="shared" si="866"/>
        <v>ND</v>
      </c>
      <c r="CG150" s="1" t="str">
        <f t="shared" si="866"/>
        <v>ND</v>
      </c>
      <c r="CH150" s="1" t="str">
        <f t="shared" si="866"/>
        <v>ND</v>
      </c>
      <c r="CI150" s="1" t="str">
        <f t="shared" si="866"/>
        <v>ND</v>
      </c>
      <c r="CJ150" s="1" t="str">
        <f t="shared" si="866"/>
        <v>ND</v>
      </c>
      <c r="CK150" s="1" t="str">
        <f t="shared" si="866"/>
        <v>ND</v>
      </c>
      <c r="CL150" s="1" t="str">
        <f t="shared" si="867"/>
        <v>ND</v>
      </c>
      <c r="CM150" s="1" t="str">
        <f t="shared" si="867"/>
        <v>ND</v>
      </c>
      <c r="CN150" s="1" t="str">
        <f t="shared" si="867"/>
        <v>ND</v>
      </c>
      <c r="CO150" s="1" t="str">
        <f t="shared" si="867"/>
        <v>ND</v>
      </c>
      <c r="CP150" s="1" t="str">
        <f t="shared" si="867"/>
        <v>ND</v>
      </c>
      <c r="CQ150" s="1" t="str">
        <f t="shared" si="867"/>
        <v>ND</v>
      </c>
      <c r="CR150" s="1" t="str">
        <f t="shared" si="867"/>
        <v>ND</v>
      </c>
      <c r="CS150" s="1" t="str">
        <f t="shared" si="867"/>
        <v>ND</v>
      </c>
      <c r="CT150" s="1" t="str">
        <f t="shared" si="867"/>
        <v>ND</v>
      </c>
      <c r="CU150" s="1" t="str">
        <f t="shared" si="867"/>
        <v>ND</v>
      </c>
      <c r="CV150" s="1" t="str">
        <f t="shared" si="867"/>
        <v>ND</v>
      </c>
      <c r="CW150" s="1" t="str">
        <f t="shared" si="755"/>
        <v>ND</v>
      </c>
      <c r="CX150" s="1" t="str">
        <f t="shared" si="756"/>
        <v>ND</v>
      </c>
      <c r="CY150" s="1" t="str">
        <f t="shared" si="757"/>
        <v>ND</v>
      </c>
      <c r="CZ150" s="1" t="str">
        <f t="shared" si="758"/>
        <v>ND</v>
      </c>
      <c r="DA150" s="1" t="str">
        <f t="shared" si="759"/>
        <v>ND</v>
      </c>
      <c r="DB150" s="1" t="str">
        <f t="shared" si="760"/>
        <v>ND</v>
      </c>
      <c r="DC150" s="1" t="str">
        <f t="shared" si="761"/>
        <v>ND</v>
      </c>
      <c r="DD150" s="1" t="str">
        <f t="shared" si="762"/>
        <v>ND</v>
      </c>
      <c r="DE150" s="1" t="str">
        <f t="shared" si="763"/>
        <v>ND</v>
      </c>
      <c r="DF150" s="1" t="str">
        <f t="shared" si="764"/>
        <v>ND</v>
      </c>
      <c r="DG150" s="1" t="str">
        <f t="shared" si="765"/>
        <v>ND</v>
      </c>
      <c r="DH150" s="1" t="str">
        <f t="shared" si="766"/>
        <v>ND</v>
      </c>
      <c r="DI150" s="1" t="str">
        <f t="shared" si="767"/>
        <v>ND</v>
      </c>
      <c r="DJ150" s="1" t="str">
        <f t="shared" si="768"/>
        <v>ND</v>
      </c>
      <c r="DK150" s="1" t="str">
        <f t="shared" si="769"/>
        <v>ND</v>
      </c>
      <c r="DL150" s="1" t="str">
        <f t="shared" si="770"/>
        <v>ND</v>
      </c>
      <c r="DM150" s="1" t="str">
        <f t="shared" si="771"/>
        <v>ND</v>
      </c>
      <c r="DN150" s="1" t="str">
        <f t="shared" si="772"/>
        <v>ND</v>
      </c>
      <c r="DO150" s="1" t="str">
        <f t="shared" si="773"/>
        <v>ND</v>
      </c>
      <c r="DP150" s="1" t="str">
        <f t="shared" si="774"/>
        <v>ND</v>
      </c>
      <c r="DQ150" s="1" t="str">
        <f t="shared" si="775"/>
        <v>ND</v>
      </c>
      <c r="DR150" s="1" t="str">
        <f t="shared" si="776"/>
        <v>ND</v>
      </c>
      <c r="DS150" s="1" t="str">
        <f t="shared" si="777"/>
        <v>ND</v>
      </c>
      <c r="DT150" s="1" t="str">
        <f t="shared" si="778"/>
        <v>ND</v>
      </c>
      <c r="DU150" s="1" t="str">
        <f t="shared" si="779"/>
        <v>ND</v>
      </c>
      <c r="DV150" s="1" t="str">
        <f t="shared" si="780"/>
        <v>ND</v>
      </c>
      <c r="DW150" s="1" t="str">
        <f t="shared" si="781"/>
        <v>ND</v>
      </c>
      <c r="DX150" s="1" t="str">
        <f t="shared" si="782"/>
        <v>ND</v>
      </c>
      <c r="DY150" s="1" t="str">
        <f t="shared" si="783"/>
        <v>ND</v>
      </c>
      <c r="DZ150" s="1" t="str">
        <f t="shared" si="784"/>
        <v>ND</v>
      </c>
      <c r="EA150" s="1" t="str">
        <f t="shared" si="785"/>
        <v>ND</v>
      </c>
      <c r="EB150" s="1" t="str">
        <f t="shared" si="786"/>
        <v>ND</v>
      </c>
      <c r="EC150" s="1" t="str">
        <f t="shared" si="787"/>
        <v>ND</v>
      </c>
      <c r="ED150" s="1" t="str">
        <f t="shared" si="788"/>
        <v>ND</v>
      </c>
      <c r="EE150" s="1" t="str">
        <f t="shared" si="789"/>
        <v>ND</v>
      </c>
      <c r="EF150" s="1" t="str">
        <f t="shared" si="790"/>
        <v>ND</v>
      </c>
      <c r="EG150" s="1" t="str">
        <f t="shared" si="791"/>
        <v>ND</v>
      </c>
      <c r="EH150" s="1" t="str">
        <f t="shared" si="792"/>
        <v>ND</v>
      </c>
      <c r="EI150" s="1" t="str">
        <f t="shared" si="793"/>
        <v>ND</v>
      </c>
      <c r="EJ150" s="1" t="str">
        <f t="shared" si="794"/>
        <v>ND</v>
      </c>
      <c r="EK150" s="1" t="str">
        <f t="shared" si="795"/>
        <v>ND</v>
      </c>
      <c r="EL150" s="1" t="str">
        <f t="shared" si="796"/>
        <v>ND</v>
      </c>
      <c r="EM150" s="1" t="str">
        <f t="shared" si="797"/>
        <v>ND</v>
      </c>
      <c r="EN150" s="1" t="str">
        <f t="shared" si="798"/>
        <v>ND</v>
      </c>
      <c r="EO150" s="1" t="str">
        <f t="shared" si="868"/>
        <v>ND</v>
      </c>
      <c r="EP150" s="1" t="str">
        <f t="shared" si="868"/>
        <v>ND</v>
      </c>
      <c r="EQ150" s="1" t="str">
        <f t="shared" si="868"/>
        <v>ND</v>
      </c>
      <c r="ER150" s="1" t="str">
        <f t="shared" si="868"/>
        <v>ND</v>
      </c>
      <c r="ES150" s="1" t="str">
        <f t="shared" si="868"/>
        <v>ND</v>
      </c>
      <c r="ET150" s="1" t="str">
        <f t="shared" si="868"/>
        <v>ND</v>
      </c>
      <c r="EU150" s="1" t="str">
        <f t="shared" si="868"/>
        <v>ND</v>
      </c>
      <c r="EV150" s="1" t="str">
        <f t="shared" si="868"/>
        <v>ND</v>
      </c>
      <c r="EW150" s="1" t="str">
        <f t="shared" si="868"/>
        <v>ND</v>
      </c>
      <c r="EX150" s="1" t="str">
        <f t="shared" si="868"/>
        <v>ND</v>
      </c>
      <c r="EY150" s="1" t="str">
        <f t="shared" si="868"/>
        <v>ND</v>
      </c>
      <c r="EZ150" s="1" t="str">
        <f t="shared" si="869"/>
        <v>ND</v>
      </c>
      <c r="FA150" s="1" t="str">
        <f t="shared" si="869"/>
        <v>ND</v>
      </c>
      <c r="FB150" s="1" t="str">
        <f t="shared" si="869"/>
        <v>ND</v>
      </c>
      <c r="FC150" s="1" t="str">
        <f t="shared" si="869"/>
        <v>ND</v>
      </c>
      <c r="FD150" s="1" t="str">
        <f t="shared" si="869"/>
        <v>ND</v>
      </c>
      <c r="FE150" s="1" t="str">
        <f t="shared" si="869"/>
        <v>ND</v>
      </c>
      <c r="FF150" s="1" t="str">
        <f t="shared" si="869"/>
        <v>ND</v>
      </c>
      <c r="FG150" s="1" t="str">
        <f t="shared" si="869"/>
        <v>ND</v>
      </c>
      <c r="FH150" s="1" t="str">
        <f t="shared" si="869"/>
        <v>ND</v>
      </c>
      <c r="FI150" s="1" t="str">
        <f t="shared" si="869"/>
        <v>ND</v>
      </c>
      <c r="FJ150" s="1" t="str">
        <f t="shared" si="869"/>
        <v>ND</v>
      </c>
      <c r="FK150" s="1" t="str">
        <f t="shared" si="870"/>
        <v>ND</v>
      </c>
      <c r="FL150" s="1" t="str">
        <f t="shared" si="870"/>
        <v>ND</v>
      </c>
      <c r="FM150" s="1" t="str">
        <f t="shared" si="870"/>
        <v>ND</v>
      </c>
      <c r="FN150" s="1" t="str">
        <f t="shared" si="870"/>
        <v>ND</v>
      </c>
      <c r="FO150" s="1" t="str">
        <f t="shared" si="870"/>
        <v>ND</v>
      </c>
      <c r="FP150" s="1" t="str">
        <f t="shared" si="870"/>
        <v>ND</v>
      </c>
      <c r="FQ150" s="1" t="str">
        <f t="shared" si="870"/>
        <v>ND</v>
      </c>
      <c r="FR150" s="1" t="str">
        <f t="shared" si="870"/>
        <v>ND</v>
      </c>
      <c r="FS150" s="1" t="str">
        <f t="shared" si="870"/>
        <v>ND</v>
      </c>
      <c r="FT150" s="1" t="str">
        <f t="shared" si="870"/>
        <v>ND</v>
      </c>
      <c r="FU150" s="1" t="str">
        <f t="shared" si="870"/>
        <v>ND</v>
      </c>
      <c r="FV150" s="1" t="str">
        <f t="shared" si="799"/>
        <v>ND</v>
      </c>
      <c r="FW150" s="1" t="str">
        <f t="shared" si="800"/>
        <v>ND</v>
      </c>
      <c r="FX150" s="1" t="str">
        <f t="shared" si="801"/>
        <v>ND</v>
      </c>
      <c r="FY150" s="1" t="str">
        <f t="shared" si="802"/>
        <v>ND</v>
      </c>
      <c r="FZ150" s="1" t="str">
        <f t="shared" si="803"/>
        <v>ND</v>
      </c>
      <c r="GA150" s="1" t="str">
        <f t="shared" si="804"/>
        <v>ND</v>
      </c>
      <c r="GB150" s="1" t="str">
        <f t="shared" si="805"/>
        <v>ND</v>
      </c>
      <c r="GC150" s="1" t="str">
        <f t="shared" si="806"/>
        <v>ND</v>
      </c>
      <c r="GD150" s="1" t="str">
        <f t="shared" si="807"/>
        <v>ND</v>
      </c>
      <c r="GE150" s="1" t="str">
        <f t="shared" si="808"/>
        <v>ND</v>
      </c>
      <c r="GF150" s="1" t="str">
        <f t="shared" si="809"/>
        <v>ND</v>
      </c>
      <c r="GG150" s="1" t="str">
        <f t="shared" si="810"/>
        <v>ND</v>
      </c>
      <c r="GH150" s="1" t="str">
        <f t="shared" si="811"/>
        <v>ND</v>
      </c>
      <c r="GI150" s="1" t="str">
        <f t="shared" si="812"/>
        <v>ND</v>
      </c>
      <c r="GJ150" s="1" t="str">
        <f t="shared" si="813"/>
        <v>ND</v>
      </c>
      <c r="GK150" s="1" t="str">
        <f t="shared" si="814"/>
        <v>ND</v>
      </c>
      <c r="GL150" s="1" t="str">
        <f t="shared" si="815"/>
        <v>ND</v>
      </c>
      <c r="GM150" s="1" t="str">
        <f t="shared" si="816"/>
        <v>ND</v>
      </c>
      <c r="GN150" s="1" t="str">
        <f t="shared" si="817"/>
        <v>ND</v>
      </c>
      <c r="GO150" s="1" t="str">
        <f t="shared" si="818"/>
        <v>ND</v>
      </c>
      <c r="GP150" s="1" t="str">
        <f t="shared" si="819"/>
        <v>ND</v>
      </c>
      <c r="GQ150" s="1" t="str">
        <f t="shared" si="820"/>
        <v>ND</v>
      </c>
      <c r="GR150" s="1" t="str">
        <f t="shared" si="821"/>
        <v>ND</v>
      </c>
      <c r="GS150" s="1" t="str">
        <f t="shared" si="822"/>
        <v>ND</v>
      </c>
      <c r="GT150" s="1" t="str">
        <f t="shared" si="823"/>
        <v>ND</v>
      </c>
      <c r="GU150" s="1" t="str">
        <f t="shared" si="824"/>
        <v>ND</v>
      </c>
      <c r="GV150" s="1" t="str">
        <f t="shared" si="825"/>
        <v>ND</v>
      </c>
      <c r="GW150" s="1" t="str">
        <f t="shared" si="826"/>
        <v>ND</v>
      </c>
      <c r="GX150" s="1" t="str">
        <f t="shared" si="827"/>
        <v>ND</v>
      </c>
      <c r="GY150" s="1" t="str">
        <f t="shared" si="828"/>
        <v>ND</v>
      </c>
      <c r="GZ150" s="1" t="str">
        <f t="shared" si="829"/>
        <v>ND</v>
      </c>
      <c r="HA150" s="1" t="str">
        <f t="shared" si="830"/>
        <v>ND</v>
      </c>
      <c r="HB150" s="1" t="str">
        <f t="shared" si="831"/>
        <v>ND</v>
      </c>
      <c r="HC150" s="1" t="str">
        <f t="shared" si="832"/>
        <v>ND</v>
      </c>
      <c r="HD150" s="1" t="str">
        <f t="shared" si="833"/>
        <v>ND</v>
      </c>
      <c r="HE150" s="1" t="str">
        <f t="shared" si="834"/>
        <v>ND</v>
      </c>
      <c r="HF150" s="1" t="str">
        <f t="shared" si="835"/>
        <v>ND</v>
      </c>
      <c r="HG150" s="1" t="str">
        <f t="shared" si="836"/>
        <v>ND</v>
      </c>
      <c r="HH150" s="1" t="str">
        <f t="shared" si="837"/>
        <v>ND</v>
      </c>
      <c r="HI150" s="1" t="str">
        <f t="shared" si="838"/>
        <v>ND</v>
      </c>
      <c r="HJ150" s="1" t="str">
        <f t="shared" si="839"/>
        <v>ND</v>
      </c>
      <c r="HK150" s="1" t="str">
        <f t="shared" si="840"/>
        <v>ND</v>
      </c>
      <c r="HL150" s="1" t="str">
        <f t="shared" si="841"/>
        <v>ND</v>
      </c>
      <c r="HM150" s="1" t="str">
        <f t="shared" si="842"/>
        <v>ND</v>
      </c>
      <c r="HN150" s="1" t="str">
        <f t="shared" si="843"/>
        <v>ND</v>
      </c>
      <c r="HO150" s="1" t="str">
        <f t="shared" si="844"/>
        <v>ND</v>
      </c>
      <c r="HP150" s="1" t="str">
        <f t="shared" si="845"/>
        <v>ND</v>
      </c>
      <c r="HQ150" s="1" t="str">
        <f t="shared" si="846"/>
        <v>ND</v>
      </c>
      <c r="HR150" s="1" t="str">
        <f t="shared" si="847"/>
        <v>ND</v>
      </c>
      <c r="HS150" s="1" t="str">
        <f t="shared" si="848"/>
        <v>ND</v>
      </c>
      <c r="HT150" s="1" t="str">
        <f t="shared" si="849"/>
        <v>ND</v>
      </c>
      <c r="HU150" s="1" t="str">
        <f t="shared" si="850"/>
        <v>ND</v>
      </c>
      <c r="HV150" s="1" t="str">
        <f t="shared" si="851"/>
        <v>ND</v>
      </c>
      <c r="HW150" s="1" t="str">
        <f t="shared" si="852"/>
        <v>ND</v>
      </c>
      <c r="HX150" s="1" t="str">
        <f t="shared" si="853"/>
        <v>ND</v>
      </c>
      <c r="HY150" s="1" t="str">
        <f t="shared" si="854"/>
        <v>ND</v>
      </c>
      <c r="HZ150" s="1" t="str">
        <f t="shared" si="855"/>
        <v>ND</v>
      </c>
      <c r="IA150" s="1" t="str">
        <f t="shared" si="856"/>
        <v>ND</v>
      </c>
      <c r="IB150" s="1" t="str">
        <f t="shared" si="857"/>
        <v>ND</v>
      </c>
      <c r="IC150" s="1" t="str">
        <f t="shared" si="858"/>
        <v>ND</v>
      </c>
      <c r="ID150" s="1" t="str">
        <f t="shared" si="859"/>
        <v>ND</v>
      </c>
      <c r="IE150" s="1" t="str">
        <f t="shared" si="860"/>
        <v>ND</v>
      </c>
      <c r="IF150" s="1" t="str">
        <f t="shared" si="861"/>
        <v>ND</v>
      </c>
      <c r="IG150" s="1" t="str">
        <f t="shared" si="862"/>
        <v>ND</v>
      </c>
      <c r="IH150" s="1" t="str">
        <f t="shared" si="863"/>
        <v>ND</v>
      </c>
      <c r="II150" s="1" t="str">
        <f t="shared" si="864"/>
        <v>ND</v>
      </c>
    </row>
    <row r="151" spans="3:243" x14ac:dyDescent="0.25">
      <c r="C151" t="s">
        <v>7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5.4</v>
      </c>
      <c r="G151" s="1">
        <f>IFERROR(VLOOKUP($C151,EQUIPOS[],UNIFICADO!G$9,0),"")</f>
        <v>12</v>
      </c>
      <c r="H151" s="1">
        <f>IFERROR(VLOOKUP($C151,EQUIPOS[],UNIFICADO!H$9,0),"")</f>
        <v>2</v>
      </c>
      <c r="I151" s="1">
        <f>IFERROR(VLOOKUP($C151,EQUIPOS[],UNIFICADO!I$9,0),"")</f>
        <v>12</v>
      </c>
      <c r="J151" s="1" t="str">
        <f>IFERROR(VLOOKUP($C151,EQUIPOS[],UNIFICADO!J$9,0),"")</f>
        <v>128GB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4</v>
      </c>
      <c r="O151" s="1">
        <f>IFERROR(VLOOKUP($C151,EQUIPOS[],UNIFICADO!O$9,0),"")</f>
        <v>141</v>
      </c>
      <c r="P151" s="1">
        <f>IFERROR(VLOOKUP($C151,EQUIPOS[],UNIFICADO!P$9,0),"")</f>
        <v>13.1</v>
      </c>
      <c r="Q151" s="1">
        <f>IFERROR(VLOOKUP($C151,EQUIPOS[],UNIFICADO!Q$9,0),"")</f>
        <v>6.42</v>
      </c>
      <c r="R151" s="1">
        <f>IFERROR(VLOOKUP($C151,EQUIPOS[],UNIFICADO!R$9,0),"")</f>
        <v>0.77</v>
      </c>
      <c r="S151" s="1">
        <f>IFERROR(VLOOKUP($C151,EQUIPOS[],UNIFICADO!S$9,0),"")</f>
        <v>2406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9"/>
        <v>ND</v>
      </c>
      <c r="W151" s="1" t="str">
        <f t="shared" si="710"/>
        <v>ND</v>
      </c>
      <c r="X151" s="1" t="str">
        <f t="shared" ref="X151:Y170" si="871">IF(X$9="ND","ND",VLOOKUP($C151,AC,X$9,0))</f>
        <v>ND</v>
      </c>
      <c r="Y151" s="1" t="str">
        <f t="shared" si="871"/>
        <v>ND</v>
      </c>
      <c r="Z151" s="1" t="str">
        <f t="shared" ref="Z151:AH160" si="872">IFERROR(IF(Z$9="ND","ND",VLOOKUP($C151,AC,Z$9,0)),"ND")</f>
        <v>ND</v>
      </c>
      <c r="AA151" s="1" t="str">
        <f t="shared" si="872"/>
        <v>ND</v>
      </c>
      <c r="AB151" s="1" t="str">
        <f t="shared" si="872"/>
        <v>ND</v>
      </c>
      <c r="AC151" s="1" t="str">
        <f t="shared" si="872"/>
        <v>ND</v>
      </c>
      <c r="AD151" s="1" t="str">
        <f t="shared" si="872"/>
        <v>ND</v>
      </c>
      <c r="AE151" s="1" t="str">
        <f t="shared" si="872"/>
        <v>ND</v>
      </c>
      <c r="AF151" s="1" t="str">
        <f t="shared" si="872"/>
        <v>ND</v>
      </c>
      <c r="AG151" s="1" t="str">
        <f t="shared" si="872"/>
        <v>ND</v>
      </c>
      <c r="AH151" s="1" t="str">
        <f t="shared" si="872"/>
        <v>ND</v>
      </c>
      <c r="AI151" s="1" t="str">
        <f t="shared" si="711"/>
        <v>ND</v>
      </c>
      <c r="AJ151" s="1" t="str">
        <f t="shared" si="712"/>
        <v>ND</v>
      </c>
      <c r="AK151" s="1" t="str">
        <f t="shared" si="713"/>
        <v>ND</v>
      </c>
      <c r="AL151" s="1" t="str">
        <f t="shared" si="714"/>
        <v>ND</v>
      </c>
      <c r="AM151" s="1" t="str">
        <f t="shared" si="715"/>
        <v>ND</v>
      </c>
      <c r="AN151" s="1" t="str">
        <f t="shared" si="716"/>
        <v>ND</v>
      </c>
      <c r="AO151" s="1" t="str">
        <f t="shared" si="717"/>
        <v>ND</v>
      </c>
      <c r="AP151" s="1" t="str">
        <f t="shared" si="718"/>
        <v>ND</v>
      </c>
      <c r="AQ151" s="1" t="str">
        <f t="shared" si="719"/>
        <v>ND</v>
      </c>
      <c r="AR151" s="1" t="str">
        <f t="shared" si="720"/>
        <v>ND</v>
      </c>
      <c r="AS151" s="1" t="str">
        <f t="shared" si="721"/>
        <v>ND</v>
      </c>
      <c r="AT151" s="1" t="str">
        <f t="shared" si="722"/>
        <v>ND</v>
      </c>
      <c r="AU151" s="1" t="str">
        <f t="shared" si="723"/>
        <v>ND</v>
      </c>
      <c r="AV151" s="1" t="str">
        <f t="shared" si="724"/>
        <v>ND</v>
      </c>
      <c r="AW151" s="1" t="str">
        <f t="shared" si="725"/>
        <v>ND</v>
      </c>
      <c r="AX151" s="1" t="str">
        <f t="shared" si="726"/>
        <v>ND</v>
      </c>
      <c r="AY151" s="1" t="str">
        <f t="shared" si="727"/>
        <v>ND</v>
      </c>
      <c r="AZ151" s="1" t="str">
        <f t="shared" si="728"/>
        <v>ND</v>
      </c>
      <c r="BA151" s="1" t="str">
        <f t="shared" si="729"/>
        <v>ND</v>
      </c>
      <c r="BB151" s="1" t="str">
        <f t="shared" si="730"/>
        <v>ND</v>
      </c>
      <c r="BC151" s="1" t="str">
        <f t="shared" si="731"/>
        <v>ND</v>
      </c>
      <c r="BD151" s="1" t="str">
        <f t="shared" si="732"/>
        <v>ND</v>
      </c>
      <c r="BE151" s="1" t="str">
        <f t="shared" si="733"/>
        <v>ND</v>
      </c>
      <c r="BF151" s="1" t="str">
        <f t="shared" si="734"/>
        <v>ND</v>
      </c>
      <c r="BG151" s="1" t="str">
        <f t="shared" si="735"/>
        <v>ND</v>
      </c>
      <c r="BH151" s="1" t="str">
        <f t="shared" si="736"/>
        <v>ND</v>
      </c>
      <c r="BI151" s="1" t="str">
        <f t="shared" si="737"/>
        <v>ND</v>
      </c>
      <c r="BJ151" s="1" t="str">
        <f t="shared" si="738"/>
        <v>ND</v>
      </c>
      <c r="BK151" s="1" t="str">
        <f t="shared" si="739"/>
        <v>ND</v>
      </c>
      <c r="BL151" s="1" t="str">
        <f t="shared" si="740"/>
        <v>ND</v>
      </c>
      <c r="BM151" s="1" t="str">
        <f t="shared" si="741"/>
        <v>ND</v>
      </c>
      <c r="BN151" s="1" t="str">
        <f t="shared" si="742"/>
        <v>ND</v>
      </c>
      <c r="BO151" s="1" t="str">
        <f t="shared" si="743"/>
        <v>ND</v>
      </c>
      <c r="BP151" s="1" t="str">
        <f t="shared" si="744"/>
        <v>ND</v>
      </c>
      <c r="BQ151" s="1" t="str">
        <f t="shared" si="745"/>
        <v>ND</v>
      </c>
      <c r="BR151" s="1" t="str">
        <f t="shared" si="746"/>
        <v>ND</v>
      </c>
      <c r="BS151" s="1" t="str">
        <f t="shared" si="747"/>
        <v>ND</v>
      </c>
      <c r="BT151" s="1" t="str">
        <f t="shared" si="748"/>
        <v>ND</v>
      </c>
      <c r="BU151" s="1" t="str">
        <f t="shared" si="749"/>
        <v>ND</v>
      </c>
      <c r="BV151" s="1" t="str">
        <f t="shared" si="750"/>
        <v>ND</v>
      </c>
      <c r="BW151" s="1" t="str">
        <f t="shared" si="751"/>
        <v>ND</v>
      </c>
      <c r="BX151" s="1" t="str">
        <f t="shared" si="752"/>
        <v>ND</v>
      </c>
      <c r="BY151" s="1" t="str">
        <f t="shared" si="753"/>
        <v>ND</v>
      </c>
      <c r="BZ151" s="1" t="str">
        <f t="shared" si="754"/>
        <v>ND</v>
      </c>
      <c r="CA151" s="1" t="str">
        <f t="shared" ref="CA151:CK160" si="873">IFERROR(IF(CA$9="ND","ND",VLOOKUP($C151,FULLC,CA$9,0)),"ND")</f>
        <v>ND</v>
      </c>
      <c r="CB151" s="1" t="str">
        <f t="shared" si="873"/>
        <v>ND</v>
      </c>
      <c r="CC151" s="1" t="str">
        <f t="shared" si="873"/>
        <v>ND</v>
      </c>
      <c r="CD151" s="1" t="str">
        <f t="shared" si="873"/>
        <v>ND</v>
      </c>
      <c r="CE151" s="1" t="str">
        <f t="shared" si="873"/>
        <v>ND</v>
      </c>
      <c r="CF151" s="1" t="str">
        <f t="shared" si="873"/>
        <v>ND</v>
      </c>
      <c r="CG151" s="1" t="str">
        <f t="shared" si="873"/>
        <v>ND</v>
      </c>
      <c r="CH151" s="1" t="str">
        <f t="shared" si="873"/>
        <v>ND</v>
      </c>
      <c r="CI151" s="1" t="str">
        <f t="shared" si="873"/>
        <v>ND</v>
      </c>
      <c r="CJ151" s="1" t="str">
        <f t="shared" si="873"/>
        <v>ND</v>
      </c>
      <c r="CK151" s="1" t="str">
        <f t="shared" si="873"/>
        <v>ND</v>
      </c>
      <c r="CL151" s="1" t="str">
        <f t="shared" ref="CL151:CV160" si="874">IFERROR(IF(CL$9="ND","ND",VLOOKUP($C151,LINA,CL$9,0)),"ND")</f>
        <v>ND</v>
      </c>
      <c r="CM151" s="1" t="str">
        <f t="shared" si="874"/>
        <v>ND</v>
      </c>
      <c r="CN151" s="1" t="str">
        <f t="shared" si="874"/>
        <v>ND</v>
      </c>
      <c r="CO151" s="1" t="str">
        <f t="shared" si="874"/>
        <v>ND</v>
      </c>
      <c r="CP151" s="1" t="str">
        <f t="shared" si="874"/>
        <v>ND</v>
      </c>
      <c r="CQ151" s="1" t="str">
        <f t="shared" si="874"/>
        <v>ND</v>
      </c>
      <c r="CR151" s="1" t="str">
        <f t="shared" si="874"/>
        <v>ND</v>
      </c>
      <c r="CS151" s="1" t="str">
        <f t="shared" si="874"/>
        <v>ND</v>
      </c>
      <c r="CT151" s="1" t="str">
        <f t="shared" si="874"/>
        <v>ND</v>
      </c>
      <c r="CU151" s="1" t="str">
        <f t="shared" si="874"/>
        <v>ND</v>
      </c>
      <c r="CV151" s="1" t="str">
        <f t="shared" si="874"/>
        <v>ND</v>
      </c>
      <c r="CW151" s="1" t="str">
        <f t="shared" si="755"/>
        <v>ND</v>
      </c>
      <c r="CX151" s="1" t="str">
        <f t="shared" si="756"/>
        <v>ND</v>
      </c>
      <c r="CY151" s="1" t="str">
        <f t="shared" si="757"/>
        <v>ND</v>
      </c>
      <c r="CZ151" s="1" t="str">
        <f t="shared" si="758"/>
        <v>ND</v>
      </c>
      <c r="DA151" s="1" t="str">
        <f t="shared" si="759"/>
        <v>ND</v>
      </c>
      <c r="DB151" s="1" t="str">
        <f t="shared" si="760"/>
        <v>ND</v>
      </c>
      <c r="DC151" s="1" t="str">
        <f t="shared" si="761"/>
        <v>ND</v>
      </c>
      <c r="DD151" s="1" t="str">
        <f t="shared" si="762"/>
        <v>ND</v>
      </c>
      <c r="DE151" s="1" t="str">
        <f t="shared" si="763"/>
        <v>ND</v>
      </c>
      <c r="DF151" s="1" t="str">
        <f t="shared" si="764"/>
        <v>ND</v>
      </c>
      <c r="DG151" s="1" t="str">
        <f t="shared" si="765"/>
        <v>ND</v>
      </c>
      <c r="DH151" s="1" t="str">
        <f t="shared" si="766"/>
        <v>ND</v>
      </c>
      <c r="DI151" s="1" t="str">
        <f t="shared" si="767"/>
        <v>ND</v>
      </c>
      <c r="DJ151" s="1" t="str">
        <f t="shared" si="768"/>
        <v>ND</v>
      </c>
      <c r="DK151" s="1" t="str">
        <f t="shared" si="769"/>
        <v>ND</v>
      </c>
      <c r="DL151" s="1" t="str">
        <f t="shared" si="770"/>
        <v>ND</v>
      </c>
      <c r="DM151" s="1" t="str">
        <f t="shared" si="771"/>
        <v>ND</v>
      </c>
      <c r="DN151" s="1" t="str">
        <f t="shared" si="772"/>
        <v>ND</v>
      </c>
      <c r="DO151" s="1" t="str">
        <f t="shared" si="773"/>
        <v>ND</v>
      </c>
      <c r="DP151" s="1" t="str">
        <f t="shared" si="774"/>
        <v>ND</v>
      </c>
      <c r="DQ151" s="1" t="str">
        <f t="shared" si="775"/>
        <v>ND</v>
      </c>
      <c r="DR151" s="1" t="str">
        <f t="shared" si="776"/>
        <v>ND</v>
      </c>
      <c r="DS151" s="1" t="str">
        <f t="shared" si="777"/>
        <v>ND</v>
      </c>
      <c r="DT151" s="1" t="str">
        <f t="shared" si="778"/>
        <v>ND</v>
      </c>
      <c r="DU151" s="1" t="str">
        <f t="shared" si="779"/>
        <v>ND</v>
      </c>
      <c r="DV151" s="1" t="str">
        <f t="shared" si="780"/>
        <v>ND</v>
      </c>
      <c r="DW151" s="1" t="str">
        <f t="shared" si="781"/>
        <v>ND</v>
      </c>
      <c r="DX151" s="1" t="str">
        <f t="shared" si="782"/>
        <v>ND</v>
      </c>
      <c r="DY151" s="1" t="str">
        <f t="shared" si="783"/>
        <v>ND</v>
      </c>
      <c r="DZ151" s="1" t="str">
        <f t="shared" si="784"/>
        <v>ND</v>
      </c>
      <c r="EA151" s="1" t="str">
        <f t="shared" si="785"/>
        <v>ND</v>
      </c>
      <c r="EB151" s="1" t="str">
        <f t="shared" si="786"/>
        <v>ND</v>
      </c>
      <c r="EC151" s="1" t="str">
        <f t="shared" si="787"/>
        <v>ND</v>
      </c>
      <c r="ED151" s="1" t="str">
        <f t="shared" si="788"/>
        <v>ND</v>
      </c>
      <c r="EE151" s="1" t="str">
        <f t="shared" si="789"/>
        <v>ND</v>
      </c>
      <c r="EF151" s="1" t="str">
        <f t="shared" si="790"/>
        <v>ND</v>
      </c>
      <c r="EG151" s="1" t="str">
        <f t="shared" si="791"/>
        <v>ND</v>
      </c>
      <c r="EH151" s="1" t="str">
        <f t="shared" si="792"/>
        <v>ND</v>
      </c>
      <c r="EI151" s="1" t="str">
        <f t="shared" si="793"/>
        <v>ND</v>
      </c>
      <c r="EJ151" s="1" t="str">
        <f t="shared" si="794"/>
        <v>ND</v>
      </c>
      <c r="EK151" s="1" t="str">
        <f t="shared" si="795"/>
        <v>ND</v>
      </c>
      <c r="EL151" s="1" t="str">
        <f t="shared" si="796"/>
        <v>ND</v>
      </c>
      <c r="EM151" s="1" t="str">
        <f t="shared" si="797"/>
        <v>ND</v>
      </c>
      <c r="EN151" s="1" t="str">
        <f t="shared" si="798"/>
        <v>ND</v>
      </c>
      <c r="EO151" s="1" t="str">
        <f t="shared" ref="EO151:EY160" si="875">IFERROR(IF(EO$9="ND","ND",VLOOKUP($C151,PAR,EO$9,0)),"ND")</f>
        <v>ND</v>
      </c>
      <c r="EP151" s="1" t="str">
        <f t="shared" si="875"/>
        <v>ND</v>
      </c>
      <c r="EQ151" s="1" t="str">
        <f t="shared" si="875"/>
        <v>ND</v>
      </c>
      <c r="ER151" s="1" t="str">
        <f t="shared" si="875"/>
        <v>ND</v>
      </c>
      <c r="ES151" s="1" t="str">
        <f t="shared" si="875"/>
        <v>ND</v>
      </c>
      <c r="ET151" s="1" t="str">
        <f t="shared" si="875"/>
        <v>ND</v>
      </c>
      <c r="EU151" s="1" t="str">
        <f t="shared" si="875"/>
        <v>ND</v>
      </c>
      <c r="EV151" s="1" t="str">
        <f t="shared" si="875"/>
        <v>ND</v>
      </c>
      <c r="EW151" s="1" t="str">
        <f t="shared" si="875"/>
        <v>ND</v>
      </c>
      <c r="EX151" s="1" t="str">
        <f t="shared" si="875"/>
        <v>ND</v>
      </c>
      <c r="EY151" s="1" t="str">
        <f t="shared" si="875"/>
        <v>ND</v>
      </c>
      <c r="EZ151" s="1" t="str">
        <f t="shared" ref="EZ151:FJ160" si="876">IFERROR(IF(EZ$9="ND","ND",VLOOKUP($C151,PE,EZ$9,0)),"ND")</f>
        <v>ND</v>
      </c>
      <c r="FA151" s="1" t="str">
        <f t="shared" si="876"/>
        <v>ND</v>
      </c>
      <c r="FB151" s="1" t="str">
        <f t="shared" si="876"/>
        <v>ND</v>
      </c>
      <c r="FC151" s="1" t="str">
        <f t="shared" si="876"/>
        <v>ND</v>
      </c>
      <c r="FD151" s="1" t="str">
        <f t="shared" si="876"/>
        <v>ND</v>
      </c>
      <c r="FE151" s="1" t="str">
        <f t="shared" si="876"/>
        <v>ND</v>
      </c>
      <c r="FF151" s="1" t="str">
        <f t="shared" si="876"/>
        <v>ND</v>
      </c>
      <c r="FG151" s="1" t="str">
        <f t="shared" si="876"/>
        <v>ND</v>
      </c>
      <c r="FH151" s="1" t="str">
        <f t="shared" si="876"/>
        <v>ND</v>
      </c>
      <c r="FI151" s="1" t="str">
        <f t="shared" si="876"/>
        <v>ND</v>
      </c>
      <c r="FJ151" s="1" t="str">
        <f t="shared" si="876"/>
        <v>ND</v>
      </c>
      <c r="FK151" s="1" t="str">
        <f t="shared" ref="FK151:FU160" si="877">IFERROR(IF(FK$9="ND","ND",VLOOKUP($C151,RE,FK$9,0)),"ND")</f>
        <v>ND</v>
      </c>
      <c r="FL151" s="1" t="str">
        <f t="shared" si="877"/>
        <v>ND</v>
      </c>
      <c r="FM151" s="1" t="str">
        <f t="shared" si="877"/>
        <v>ND</v>
      </c>
      <c r="FN151" s="1" t="str">
        <f t="shared" si="877"/>
        <v>ND</v>
      </c>
      <c r="FO151" s="1" t="str">
        <f t="shared" si="877"/>
        <v>ND</v>
      </c>
      <c r="FP151" s="1" t="str">
        <f t="shared" si="877"/>
        <v>ND</v>
      </c>
      <c r="FQ151" s="1" t="str">
        <f t="shared" si="877"/>
        <v>ND</v>
      </c>
      <c r="FR151" s="1" t="str">
        <f t="shared" si="877"/>
        <v>ND</v>
      </c>
      <c r="FS151" s="1" t="str">
        <f t="shared" si="877"/>
        <v>ND</v>
      </c>
      <c r="FT151" s="1" t="str">
        <f t="shared" si="877"/>
        <v>ND</v>
      </c>
      <c r="FU151" s="1" t="str">
        <f t="shared" si="877"/>
        <v>ND</v>
      </c>
      <c r="FV151" s="1" t="str">
        <f t="shared" si="799"/>
        <v>ND</v>
      </c>
      <c r="FW151" s="1" t="str">
        <f t="shared" si="800"/>
        <v>ND</v>
      </c>
      <c r="FX151" s="1" t="str">
        <f t="shared" si="801"/>
        <v>ND</v>
      </c>
      <c r="FY151" s="1" t="str">
        <f t="shared" si="802"/>
        <v>ND</v>
      </c>
      <c r="FZ151" s="1" t="str">
        <f t="shared" si="803"/>
        <v>ND</v>
      </c>
      <c r="GA151" s="1" t="str">
        <f t="shared" si="804"/>
        <v>ND</v>
      </c>
      <c r="GB151" s="1" t="str">
        <f t="shared" si="805"/>
        <v>ND</v>
      </c>
      <c r="GC151" s="1" t="str">
        <f t="shared" si="806"/>
        <v>ND</v>
      </c>
      <c r="GD151" s="1" t="str">
        <f t="shared" si="807"/>
        <v>ND</v>
      </c>
      <c r="GE151" s="1" t="str">
        <f t="shared" si="808"/>
        <v>ND</v>
      </c>
      <c r="GF151" s="1" t="str">
        <f t="shared" si="809"/>
        <v>ND</v>
      </c>
      <c r="GG151" s="1" t="str">
        <f t="shared" si="810"/>
        <v>ND</v>
      </c>
      <c r="GH151" s="1" t="str">
        <f t="shared" si="811"/>
        <v>ND</v>
      </c>
      <c r="GI151" s="1" t="str">
        <f t="shared" si="812"/>
        <v>ND</v>
      </c>
      <c r="GJ151" s="1" t="str">
        <f t="shared" si="813"/>
        <v>ND</v>
      </c>
      <c r="GK151" s="1" t="str">
        <f t="shared" si="814"/>
        <v>ND</v>
      </c>
      <c r="GL151" s="1" t="str">
        <f t="shared" si="815"/>
        <v>ND</v>
      </c>
      <c r="GM151" s="1" t="str">
        <f t="shared" si="816"/>
        <v>ND</v>
      </c>
      <c r="GN151" s="1" t="str">
        <f t="shared" si="817"/>
        <v>ND</v>
      </c>
      <c r="GO151" s="1" t="str">
        <f t="shared" si="818"/>
        <v>ND</v>
      </c>
      <c r="GP151" s="1" t="str">
        <f t="shared" si="819"/>
        <v>ND</v>
      </c>
      <c r="GQ151" s="1" t="str">
        <f t="shared" si="820"/>
        <v>ND</v>
      </c>
      <c r="GR151" s="1" t="str">
        <f t="shared" si="821"/>
        <v>ND</v>
      </c>
      <c r="GS151" s="1" t="str">
        <f t="shared" si="822"/>
        <v>ND</v>
      </c>
      <c r="GT151" s="1" t="str">
        <f t="shared" si="823"/>
        <v>ND</v>
      </c>
      <c r="GU151" s="1" t="str">
        <f t="shared" si="824"/>
        <v>ND</v>
      </c>
      <c r="GV151" s="1" t="str">
        <f t="shared" si="825"/>
        <v>ND</v>
      </c>
      <c r="GW151" s="1" t="str">
        <f t="shared" si="826"/>
        <v>ND</v>
      </c>
      <c r="GX151" s="1" t="str">
        <f t="shared" si="827"/>
        <v>ND</v>
      </c>
      <c r="GY151" s="1" t="str">
        <f t="shared" si="828"/>
        <v>ND</v>
      </c>
      <c r="GZ151" s="1" t="str">
        <f t="shared" si="829"/>
        <v>ND</v>
      </c>
      <c r="HA151" s="1" t="str">
        <f t="shared" si="830"/>
        <v>ND</v>
      </c>
      <c r="HB151" s="1" t="str">
        <f t="shared" si="831"/>
        <v>ND</v>
      </c>
      <c r="HC151" s="1" t="str">
        <f t="shared" si="832"/>
        <v>ND</v>
      </c>
      <c r="HD151" s="1" t="str">
        <f t="shared" si="833"/>
        <v>ND</v>
      </c>
      <c r="HE151" s="1" t="str">
        <f t="shared" si="834"/>
        <v>ND</v>
      </c>
      <c r="HF151" s="1" t="str">
        <f t="shared" si="835"/>
        <v>ND</v>
      </c>
      <c r="HG151" s="1" t="str">
        <f t="shared" si="836"/>
        <v>ND</v>
      </c>
      <c r="HH151" s="1" t="str">
        <f t="shared" si="837"/>
        <v>ND</v>
      </c>
      <c r="HI151" s="1" t="str">
        <f t="shared" si="838"/>
        <v>ND</v>
      </c>
      <c r="HJ151" s="1" t="str">
        <f t="shared" si="839"/>
        <v>ND</v>
      </c>
      <c r="HK151" s="1" t="str">
        <f t="shared" si="840"/>
        <v>ND</v>
      </c>
      <c r="HL151" s="1" t="str">
        <f t="shared" si="841"/>
        <v>ND</v>
      </c>
      <c r="HM151" s="1" t="str">
        <f t="shared" si="842"/>
        <v>ND</v>
      </c>
      <c r="HN151" s="1" t="str">
        <f t="shared" si="843"/>
        <v>ND</v>
      </c>
      <c r="HO151" s="1" t="str">
        <f t="shared" si="844"/>
        <v>ND</v>
      </c>
      <c r="HP151" s="1" t="str">
        <f t="shared" si="845"/>
        <v>ND</v>
      </c>
      <c r="HQ151" s="1" t="str">
        <f t="shared" si="846"/>
        <v>ND</v>
      </c>
      <c r="HR151" s="1" t="str">
        <f t="shared" si="847"/>
        <v>ND</v>
      </c>
      <c r="HS151" s="1" t="str">
        <f t="shared" si="848"/>
        <v>ND</v>
      </c>
      <c r="HT151" s="1" t="str">
        <f t="shared" si="849"/>
        <v>ND</v>
      </c>
      <c r="HU151" s="1" t="str">
        <f t="shared" si="850"/>
        <v>ND</v>
      </c>
      <c r="HV151" s="1" t="str">
        <f t="shared" si="851"/>
        <v>ND</v>
      </c>
      <c r="HW151" s="1" t="str">
        <f t="shared" si="852"/>
        <v>ND</v>
      </c>
      <c r="HX151" s="1" t="str">
        <f t="shared" si="853"/>
        <v>ND</v>
      </c>
      <c r="HY151" s="1" t="str">
        <f t="shared" si="854"/>
        <v>ND</v>
      </c>
      <c r="HZ151" s="1" t="str">
        <f t="shared" si="855"/>
        <v>ND</v>
      </c>
      <c r="IA151" s="1" t="str">
        <f t="shared" si="856"/>
        <v>ND</v>
      </c>
      <c r="IB151" s="1" t="str">
        <f t="shared" si="857"/>
        <v>ND</v>
      </c>
      <c r="IC151" s="1" t="str">
        <f t="shared" si="858"/>
        <v>ND</v>
      </c>
      <c r="ID151" s="1" t="str">
        <f t="shared" si="859"/>
        <v>ND</v>
      </c>
      <c r="IE151" s="1" t="str">
        <f t="shared" si="860"/>
        <v>ND</v>
      </c>
      <c r="IF151" s="1" t="str">
        <f t="shared" si="861"/>
        <v>ND</v>
      </c>
      <c r="IG151" s="1" t="str">
        <f t="shared" si="862"/>
        <v>ND</v>
      </c>
      <c r="IH151" s="1" t="str">
        <f t="shared" si="863"/>
        <v>ND</v>
      </c>
      <c r="II151" s="1" t="str">
        <f t="shared" si="864"/>
        <v>ND</v>
      </c>
    </row>
    <row r="152" spans="3:243" x14ac:dyDescent="0.25">
      <c r="C152" t="s">
        <v>8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5.4</v>
      </c>
      <c r="G152" s="1">
        <f>IFERROR(VLOOKUP($C152,EQUIPOS[],UNIFICADO!G$9,0),"")</f>
        <v>12</v>
      </c>
      <c r="H152" s="1">
        <f>IFERROR(VLOOKUP($C152,EQUIPOS[],UNIFICADO!H$9,0),"")</f>
        <v>2</v>
      </c>
      <c r="I152" s="1">
        <f>IFERROR(VLOOKUP($C152,EQUIPOS[],UNIFICADO!I$9,0),"")</f>
        <v>12</v>
      </c>
      <c r="J152" s="1" t="str">
        <f>IFERROR(VLOOKUP($C152,EQUIPOS[],UNIFICADO!J$9,0),"")</f>
        <v>256GB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4</v>
      </c>
      <c r="O152" s="1">
        <f>IFERROR(VLOOKUP($C152,EQUIPOS[],UNIFICADO!O$9,0),"")</f>
        <v>141</v>
      </c>
      <c r="P152" s="1">
        <f>IFERROR(VLOOKUP($C152,EQUIPOS[],UNIFICADO!P$9,0),"")</f>
        <v>13.1</v>
      </c>
      <c r="Q152" s="1">
        <f>IFERROR(VLOOKUP($C152,EQUIPOS[],UNIFICADO!Q$9,0),"")</f>
        <v>6.42</v>
      </c>
      <c r="R152" s="1">
        <f>IFERROR(VLOOKUP($C152,EQUIPOS[],UNIFICADO!R$9,0),"")</f>
        <v>0.77</v>
      </c>
      <c r="S152" s="1">
        <f>IFERROR(VLOOKUP($C152,EQUIPOS[],UNIFICADO!S$9,0),"")</f>
        <v>2406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9"/>
        <v>ND</v>
      </c>
      <c r="W152" s="1" t="str">
        <f t="shared" si="710"/>
        <v>ND</v>
      </c>
      <c r="X152" s="1" t="str">
        <f t="shared" si="871"/>
        <v>ND</v>
      </c>
      <c r="Y152" s="1" t="str">
        <f t="shared" si="871"/>
        <v>ND</v>
      </c>
      <c r="Z152" s="1" t="str">
        <f t="shared" si="872"/>
        <v>ND</v>
      </c>
      <c r="AA152" s="1" t="str">
        <f t="shared" si="872"/>
        <v>ND</v>
      </c>
      <c r="AB152" s="1" t="str">
        <f t="shared" si="872"/>
        <v>ND</v>
      </c>
      <c r="AC152" s="1" t="str">
        <f t="shared" si="872"/>
        <v>ND</v>
      </c>
      <c r="AD152" s="1" t="str">
        <f t="shared" si="872"/>
        <v>ND</v>
      </c>
      <c r="AE152" s="1" t="str">
        <f t="shared" si="872"/>
        <v>ND</v>
      </c>
      <c r="AF152" s="1" t="str">
        <f t="shared" si="872"/>
        <v>ND</v>
      </c>
      <c r="AG152" s="1" t="str">
        <f t="shared" si="872"/>
        <v>ND</v>
      </c>
      <c r="AH152" s="1" t="str">
        <f t="shared" si="872"/>
        <v>ND</v>
      </c>
      <c r="AI152" s="1" t="str">
        <f t="shared" si="711"/>
        <v>ND</v>
      </c>
      <c r="AJ152" s="1" t="str">
        <f t="shared" si="712"/>
        <v>ND</v>
      </c>
      <c r="AK152" s="1" t="str">
        <f t="shared" si="713"/>
        <v>ND</v>
      </c>
      <c r="AL152" s="1" t="str">
        <f t="shared" si="714"/>
        <v>ND</v>
      </c>
      <c r="AM152" s="1" t="str">
        <f t="shared" si="715"/>
        <v>ND</v>
      </c>
      <c r="AN152" s="1" t="str">
        <f t="shared" si="716"/>
        <v>ND</v>
      </c>
      <c r="AO152" s="1" t="str">
        <f t="shared" si="717"/>
        <v>ND</v>
      </c>
      <c r="AP152" s="1" t="str">
        <f t="shared" si="718"/>
        <v>ND</v>
      </c>
      <c r="AQ152" s="1" t="str">
        <f t="shared" si="719"/>
        <v>ND</v>
      </c>
      <c r="AR152" s="1" t="str">
        <f t="shared" si="720"/>
        <v>ND</v>
      </c>
      <c r="AS152" s="1" t="str">
        <f t="shared" si="721"/>
        <v>ND</v>
      </c>
      <c r="AT152" s="1" t="str">
        <f t="shared" si="722"/>
        <v>ND</v>
      </c>
      <c r="AU152" s="1" t="str">
        <f t="shared" si="723"/>
        <v>ND</v>
      </c>
      <c r="AV152" s="1" t="str">
        <f t="shared" si="724"/>
        <v>ND</v>
      </c>
      <c r="AW152" s="1" t="str">
        <f t="shared" si="725"/>
        <v>ND</v>
      </c>
      <c r="AX152" s="1" t="str">
        <f t="shared" si="726"/>
        <v>ND</v>
      </c>
      <c r="AY152" s="1" t="str">
        <f t="shared" si="727"/>
        <v>ND</v>
      </c>
      <c r="AZ152" s="1" t="str">
        <f t="shared" si="728"/>
        <v>ND</v>
      </c>
      <c r="BA152" s="1" t="str">
        <f t="shared" si="729"/>
        <v>ND</v>
      </c>
      <c r="BB152" s="1" t="str">
        <f t="shared" si="730"/>
        <v>ND</v>
      </c>
      <c r="BC152" s="1" t="str">
        <f t="shared" si="731"/>
        <v>ND</v>
      </c>
      <c r="BD152" s="1" t="str">
        <f t="shared" si="732"/>
        <v>ND</v>
      </c>
      <c r="BE152" s="1" t="str">
        <f t="shared" si="733"/>
        <v>ND</v>
      </c>
      <c r="BF152" s="1" t="str">
        <f t="shared" si="734"/>
        <v>ND</v>
      </c>
      <c r="BG152" s="1" t="str">
        <f t="shared" si="735"/>
        <v>ND</v>
      </c>
      <c r="BH152" s="1" t="str">
        <f t="shared" si="736"/>
        <v>ND</v>
      </c>
      <c r="BI152" s="1" t="str">
        <f t="shared" si="737"/>
        <v>ND</v>
      </c>
      <c r="BJ152" s="1" t="str">
        <f t="shared" si="738"/>
        <v>ND</v>
      </c>
      <c r="BK152" s="1" t="str">
        <f t="shared" si="739"/>
        <v>ND</v>
      </c>
      <c r="BL152" s="1" t="str">
        <f t="shared" si="740"/>
        <v>ND</v>
      </c>
      <c r="BM152" s="1" t="str">
        <f t="shared" si="741"/>
        <v>ND</v>
      </c>
      <c r="BN152" s="1" t="str">
        <f t="shared" si="742"/>
        <v>ND</v>
      </c>
      <c r="BO152" s="1" t="str">
        <f t="shared" si="743"/>
        <v>ND</v>
      </c>
      <c r="BP152" s="1" t="str">
        <f t="shared" si="744"/>
        <v>ND</v>
      </c>
      <c r="BQ152" s="1" t="str">
        <f t="shared" si="745"/>
        <v>ND</v>
      </c>
      <c r="BR152" s="1" t="str">
        <f t="shared" si="746"/>
        <v>ND</v>
      </c>
      <c r="BS152" s="1" t="str">
        <f t="shared" si="747"/>
        <v>ND</v>
      </c>
      <c r="BT152" s="1" t="str">
        <f t="shared" si="748"/>
        <v>ND</v>
      </c>
      <c r="BU152" s="1" t="str">
        <f t="shared" si="749"/>
        <v>ND</v>
      </c>
      <c r="BV152" s="1" t="str">
        <f t="shared" si="750"/>
        <v>ND</v>
      </c>
      <c r="BW152" s="1" t="str">
        <f t="shared" si="751"/>
        <v>ND</v>
      </c>
      <c r="BX152" s="1" t="str">
        <f t="shared" si="752"/>
        <v>ND</v>
      </c>
      <c r="BY152" s="1" t="str">
        <f t="shared" si="753"/>
        <v>ND</v>
      </c>
      <c r="BZ152" s="1" t="str">
        <f t="shared" si="754"/>
        <v>ND</v>
      </c>
      <c r="CA152" s="1" t="str">
        <f t="shared" si="873"/>
        <v>ND</v>
      </c>
      <c r="CB152" s="1" t="str">
        <f t="shared" si="873"/>
        <v>ND</v>
      </c>
      <c r="CC152" s="1" t="str">
        <f t="shared" si="873"/>
        <v>ND</v>
      </c>
      <c r="CD152" s="1" t="str">
        <f t="shared" si="873"/>
        <v>ND</v>
      </c>
      <c r="CE152" s="1" t="str">
        <f t="shared" si="873"/>
        <v>ND</v>
      </c>
      <c r="CF152" s="1" t="str">
        <f t="shared" si="873"/>
        <v>ND</v>
      </c>
      <c r="CG152" s="1" t="str">
        <f t="shared" si="873"/>
        <v>ND</v>
      </c>
      <c r="CH152" s="1" t="str">
        <f t="shared" si="873"/>
        <v>ND</v>
      </c>
      <c r="CI152" s="1" t="str">
        <f t="shared" si="873"/>
        <v>ND</v>
      </c>
      <c r="CJ152" s="1" t="str">
        <f t="shared" si="873"/>
        <v>ND</v>
      </c>
      <c r="CK152" s="1" t="str">
        <f t="shared" si="873"/>
        <v>ND</v>
      </c>
      <c r="CL152" s="1" t="str">
        <f t="shared" si="874"/>
        <v>ND</v>
      </c>
      <c r="CM152" s="1" t="str">
        <f t="shared" si="874"/>
        <v>ND</v>
      </c>
      <c r="CN152" s="1" t="str">
        <f t="shared" si="874"/>
        <v>ND</v>
      </c>
      <c r="CO152" s="1" t="str">
        <f t="shared" si="874"/>
        <v>ND</v>
      </c>
      <c r="CP152" s="1" t="str">
        <f t="shared" si="874"/>
        <v>ND</v>
      </c>
      <c r="CQ152" s="1" t="str">
        <f t="shared" si="874"/>
        <v>ND</v>
      </c>
      <c r="CR152" s="1" t="str">
        <f t="shared" si="874"/>
        <v>ND</v>
      </c>
      <c r="CS152" s="1" t="str">
        <f t="shared" si="874"/>
        <v>ND</v>
      </c>
      <c r="CT152" s="1" t="str">
        <f t="shared" si="874"/>
        <v>ND</v>
      </c>
      <c r="CU152" s="1" t="str">
        <f t="shared" si="874"/>
        <v>ND</v>
      </c>
      <c r="CV152" s="1" t="str">
        <f t="shared" si="874"/>
        <v>ND</v>
      </c>
      <c r="CW152" s="1" t="str">
        <f t="shared" si="755"/>
        <v>ND</v>
      </c>
      <c r="CX152" s="1" t="str">
        <f t="shared" si="756"/>
        <v>ND</v>
      </c>
      <c r="CY152" s="1" t="str">
        <f t="shared" si="757"/>
        <v>ND</v>
      </c>
      <c r="CZ152" s="1" t="str">
        <f t="shared" si="758"/>
        <v>ND</v>
      </c>
      <c r="DA152" s="1" t="str">
        <f t="shared" si="759"/>
        <v>ND</v>
      </c>
      <c r="DB152" s="1" t="str">
        <f t="shared" si="760"/>
        <v>ND</v>
      </c>
      <c r="DC152" s="1" t="str">
        <f t="shared" si="761"/>
        <v>ND</v>
      </c>
      <c r="DD152" s="1" t="str">
        <f t="shared" si="762"/>
        <v>ND</v>
      </c>
      <c r="DE152" s="1" t="str">
        <f t="shared" si="763"/>
        <v>ND</v>
      </c>
      <c r="DF152" s="1" t="str">
        <f t="shared" si="764"/>
        <v>ND</v>
      </c>
      <c r="DG152" s="1" t="str">
        <f t="shared" si="765"/>
        <v>ND</v>
      </c>
      <c r="DH152" s="1" t="str">
        <f t="shared" si="766"/>
        <v>ND</v>
      </c>
      <c r="DI152" s="1" t="str">
        <f t="shared" si="767"/>
        <v>ND</v>
      </c>
      <c r="DJ152" s="1" t="str">
        <f t="shared" si="768"/>
        <v>ND</v>
      </c>
      <c r="DK152" s="1" t="str">
        <f t="shared" si="769"/>
        <v>ND</v>
      </c>
      <c r="DL152" s="1" t="str">
        <f t="shared" si="770"/>
        <v>ND</v>
      </c>
      <c r="DM152" s="1" t="str">
        <f t="shared" si="771"/>
        <v>ND</v>
      </c>
      <c r="DN152" s="1" t="str">
        <f t="shared" si="772"/>
        <v>ND</v>
      </c>
      <c r="DO152" s="1" t="str">
        <f t="shared" si="773"/>
        <v>ND</v>
      </c>
      <c r="DP152" s="1" t="str">
        <f t="shared" si="774"/>
        <v>ND</v>
      </c>
      <c r="DQ152" s="1" t="str">
        <f t="shared" si="775"/>
        <v>ND</v>
      </c>
      <c r="DR152" s="1" t="str">
        <f t="shared" si="776"/>
        <v>ND</v>
      </c>
      <c r="DS152" s="1" t="str">
        <f t="shared" si="777"/>
        <v>ND</v>
      </c>
      <c r="DT152" s="1" t="str">
        <f t="shared" si="778"/>
        <v>ND</v>
      </c>
      <c r="DU152" s="1" t="str">
        <f t="shared" si="779"/>
        <v>ND</v>
      </c>
      <c r="DV152" s="1" t="str">
        <f t="shared" si="780"/>
        <v>ND</v>
      </c>
      <c r="DW152" s="1" t="str">
        <f t="shared" si="781"/>
        <v>ND</v>
      </c>
      <c r="DX152" s="1" t="str">
        <f t="shared" si="782"/>
        <v>ND</v>
      </c>
      <c r="DY152" s="1" t="str">
        <f t="shared" si="783"/>
        <v>ND</v>
      </c>
      <c r="DZ152" s="1" t="str">
        <f t="shared" si="784"/>
        <v>ND</v>
      </c>
      <c r="EA152" s="1" t="str">
        <f t="shared" si="785"/>
        <v>ND</v>
      </c>
      <c r="EB152" s="1" t="str">
        <f t="shared" si="786"/>
        <v>ND</v>
      </c>
      <c r="EC152" s="1" t="str">
        <f t="shared" si="787"/>
        <v>ND</v>
      </c>
      <c r="ED152" s="1" t="str">
        <f t="shared" si="788"/>
        <v>ND</v>
      </c>
      <c r="EE152" s="1" t="str">
        <f t="shared" si="789"/>
        <v>ND</v>
      </c>
      <c r="EF152" s="1" t="str">
        <f t="shared" si="790"/>
        <v>ND</v>
      </c>
      <c r="EG152" s="1" t="str">
        <f t="shared" si="791"/>
        <v>ND</v>
      </c>
      <c r="EH152" s="1" t="str">
        <f t="shared" si="792"/>
        <v>ND</v>
      </c>
      <c r="EI152" s="1" t="str">
        <f t="shared" si="793"/>
        <v>ND</v>
      </c>
      <c r="EJ152" s="1" t="str">
        <f t="shared" si="794"/>
        <v>ND</v>
      </c>
      <c r="EK152" s="1" t="str">
        <f t="shared" si="795"/>
        <v>ND</v>
      </c>
      <c r="EL152" s="1" t="str">
        <f t="shared" si="796"/>
        <v>ND</v>
      </c>
      <c r="EM152" s="1" t="str">
        <f t="shared" si="797"/>
        <v>ND</v>
      </c>
      <c r="EN152" s="1" t="str">
        <f t="shared" si="798"/>
        <v>ND</v>
      </c>
      <c r="EO152" s="1" t="str">
        <f t="shared" si="875"/>
        <v>ND</v>
      </c>
      <c r="EP152" s="1" t="str">
        <f t="shared" si="875"/>
        <v>ND</v>
      </c>
      <c r="EQ152" s="1" t="str">
        <f t="shared" si="875"/>
        <v>ND</v>
      </c>
      <c r="ER152" s="1" t="str">
        <f t="shared" si="875"/>
        <v>ND</v>
      </c>
      <c r="ES152" s="1" t="str">
        <f t="shared" si="875"/>
        <v>ND</v>
      </c>
      <c r="ET152" s="1" t="str">
        <f t="shared" si="875"/>
        <v>ND</v>
      </c>
      <c r="EU152" s="1" t="str">
        <f t="shared" si="875"/>
        <v>ND</v>
      </c>
      <c r="EV152" s="1" t="str">
        <f t="shared" si="875"/>
        <v>ND</v>
      </c>
      <c r="EW152" s="1" t="str">
        <f t="shared" si="875"/>
        <v>ND</v>
      </c>
      <c r="EX152" s="1" t="str">
        <f t="shared" si="875"/>
        <v>ND</v>
      </c>
      <c r="EY152" s="1" t="str">
        <f t="shared" si="875"/>
        <v>ND</v>
      </c>
      <c r="EZ152" s="1" t="str">
        <f t="shared" si="876"/>
        <v>ND</v>
      </c>
      <c r="FA152" s="1" t="str">
        <f t="shared" si="876"/>
        <v>ND</v>
      </c>
      <c r="FB152" s="1" t="str">
        <f t="shared" si="876"/>
        <v>ND</v>
      </c>
      <c r="FC152" s="1" t="str">
        <f t="shared" si="876"/>
        <v>ND</v>
      </c>
      <c r="FD152" s="1" t="str">
        <f t="shared" si="876"/>
        <v>ND</v>
      </c>
      <c r="FE152" s="1" t="str">
        <f t="shared" si="876"/>
        <v>ND</v>
      </c>
      <c r="FF152" s="1" t="str">
        <f t="shared" si="876"/>
        <v>ND</v>
      </c>
      <c r="FG152" s="1" t="str">
        <f t="shared" si="876"/>
        <v>ND</v>
      </c>
      <c r="FH152" s="1" t="str">
        <f t="shared" si="876"/>
        <v>ND</v>
      </c>
      <c r="FI152" s="1" t="str">
        <f t="shared" si="876"/>
        <v>ND</v>
      </c>
      <c r="FJ152" s="1" t="str">
        <f t="shared" si="876"/>
        <v>ND</v>
      </c>
      <c r="FK152" s="1" t="str">
        <f t="shared" si="877"/>
        <v>ND</v>
      </c>
      <c r="FL152" s="1" t="str">
        <f t="shared" si="877"/>
        <v>ND</v>
      </c>
      <c r="FM152" s="1" t="str">
        <f t="shared" si="877"/>
        <v>ND</v>
      </c>
      <c r="FN152" s="1" t="str">
        <f t="shared" si="877"/>
        <v>ND</v>
      </c>
      <c r="FO152" s="1" t="str">
        <f t="shared" si="877"/>
        <v>ND</v>
      </c>
      <c r="FP152" s="1" t="str">
        <f t="shared" si="877"/>
        <v>ND</v>
      </c>
      <c r="FQ152" s="1" t="str">
        <f t="shared" si="877"/>
        <v>ND</v>
      </c>
      <c r="FR152" s="1" t="str">
        <f t="shared" si="877"/>
        <v>ND</v>
      </c>
      <c r="FS152" s="1" t="str">
        <f t="shared" si="877"/>
        <v>ND</v>
      </c>
      <c r="FT152" s="1" t="str">
        <f t="shared" si="877"/>
        <v>ND</v>
      </c>
      <c r="FU152" s="1" t="str">
        <f t="shared" si="877"/>
        <v>ND</v>
      </c>
      <c r="FV152" s="1" t="str">
        <f t="shared" si="799"/>
        <v>ND</v>
      </c>
      <c r="FW152" s="1" t="str">
        <f t="shared" si="800"/>
        <v>ND</v>
      </c>
      <c r="FX152" s="1" t="str">
        <f t="shared" si="801"/>
        <v>ND</v>
      </c>
      <c r="FY152" s="1" t="str">
        <f t="shared" si="802"/>
        <v>ND</v>
      </c>
      <c r="FZ152" s="1" t="str">
        <f t="shared" si="803"/>
        <v>ND</v>
      </c>
      <c r="GA152" s="1" t="str">
        <f t="shared" si="804"/>
        <v>ND</v>
      </c>
      <c r="GB152" s="1" t="str">
        <f t="shared" si="805"/>
        <v>ND</v>
      </c>
      <c r="GC152" s="1" t="str">
        <f t="shared" si="806"/>
        <v>ND</v>
      </c>
      <c r="GD152" s="1" t="str">
        <f t="shared" si="807"/>
        <v>ND</v>
      </c>
      <c r="GE152" s="1" t="str">
        <f t="shared" si="808"/>
        <v>ND</v>
      </c>
      <c r="GF152" s="1" t="str">
        <f t="shared" si="809"/>
        <v>ND</v>
      </c>
      <c r="GG152" s="1" t="str">
        <f t="shared" si="810"/>
        <v>ND</v>
      </c>
      <c r="GH152" s="1" t="str">
        <f t="shared" si="811"/>
        <v>ND</v>
      </c>
      <c r="GI152" s="1" t="str">
        <f t="shared" si="812"/>
        <v>ND</v>
      </c>
      <c r="GJ152" s="1" t="str">
        <f t="shared" si="813"/>
        <v>ND</v>
      </c>
      <c r="GK152" s="1" t="str">
        <f t="shared" si="814"/>
        <v>ND</v>
      </c>
      <c r="GL152" s="1" t="str">
        <f t="shared" si="815"/>
        <v>ND</v>
      </c>
      <c r="GM152" s="1" t="str">
        <f t="shared" si="816"/>
        <v>ND</v>
      </c>
      <c r="GN152" s="1" t="str">
        <f t="shared" si="817"/>
        <v>ND</v>
      </c>
      <c r="GO152" s="1" t="str">
        <f t="shared" si="818"/>
        <v>ND</v>
      </c>
      <c r="GP152" s="1" t="str">
        <f t="shared" si="819"/>
        <v>ND</v>
      </c>
      <c r="GQ152" s="1" t="str">
        <f t="shared" si="820"/>
        <v>ND</v>
      </c>
      <c r="GR152" s="1" t="str">
        <f t="shared" si="821"/>
        <v>ND</v>
      </c>
      <c r="GS152" s="1" t="str">
        <f t="shared" si="822"/>
        <v>ND</v>
      </c>
      <c r="GT152" s="1" t="str">
        <f t="shared" si="823"/>
        <v>ND</v>
      </c>
      <c r="GU152" s="1" t="str">
        <f t="shared" si="824"/>
        <v>ND</v>
      </c>
      <c r="GV152" s="1" t="str">
        <f t="shared" si="825"/>
        <v>ND</v>
      </c>
      <c r="GW152" s="1" t="str">
        <f t="shared" si="826"/>
        <v>ND</v>
      </c>
      <c r="GX152" s="1" t="str">
        <f t="shared" si="827"/>
        <v>ND</v>
      </c>
      <c r="GY152" s="1" t="str">
        <f t="shared" si="828"/>
        <v>ND</v>
      </c>
      <c r="GZ152" s="1" t="str">
        <f t="shared" si="829"/>
        <v>ND</v>
      </c>
      <c r="HA152" s="1" t="str">
        <f t="shared" si="830"/>
        <v>ND</v>
      </c>
      <c r="HB152" s="1" t="str">
        <f t="shared" si="831"/>
        <v>ND</v>
      </c>
      <c r="HC152" s="1" t="str">
        <f t="shared" si="832"/>
        <v>ND</v>
      </c>
      <c r="HD152" s="1" t="str">
        <f t="shared" si="833"/>
        <v>ND</v>
      </c>
      <c r="HE152" s="1" t="str">
        <f t="shared" si="834"/>
        <v>ND</v>
      </c>
      <c r="HF152" s="1" t="str">
        <f t="shared" si="835"/>
        <v>ND</v>
      </c>
      <c r="HG152" s="1" t="str">
        <f t="shared" si="836"/>
        <v>ND</v>
      </c>
      <c r="HH152" s="1" t="str">
        <f t="shared" si="837"/>
        <v>ND</v>
      </c>
      <c r="HI152" s="1" t="str">
        <f t="shared" si="838"/>
        <v>ND</v>
      </c>
      <c r="HJ152" s="1" t="str">
        <f t="shared" si="839"/>
        <v>ND</v>
      </c>
      <c r="HK152" s="1" t="str">
        <f t="shared" si="840"/>
        <v>ND</v>
      </c>
      <c r="HL152" s="1" t="str">
        <f t="shared" si="841"/>
        <v>ND</v>
      </c>
      <c r="HM152" s="1" t="str">
        <f t="shared" si="842"/>
        <v>ND</v>
      </c>
      <c r="HN152" s="1" t="str">
        <f t="shared" si="843"/>
        <v>ND</v>
      </c>
      <c r="HO152" s="1" t="str">
        <f t="shared" si="844"/>
        <v>ND</v>
      </c>
      <c r="HP152" s="1" t="str">
        <f t="shared" si="845"/>
        <v>ND</v>
      </c>
      <c r="HQ152" s="1" t="str">
        <f t="shared" si="846"/>
        <v>ND</v>
      </c>
      <c r="HR152" s="1" t="str">
        <f t="shared" si="847"/>
        <v>ND</v>
      </c>
      <c r="HS152" s="1" t="str">
        <f t="shared" si="848"/>
        <v>ND</v>
      </c>
      <c r="HT152" s="1" t="str">
        <f t="shared" si="849"/>
        <v>ND</v>
      </c>
      <c r="HU152" s="1" t="str">
        <f t="shared" si="850"/>
        <v>ND</v>
      </c>
      <c r="HV152" s="1" t="str">
        <f t="shared" si="851"/>
        <v>ND</v>
      </c>
      <c r="HW152" s="1" t="str">
        <f t="shared" si="852"/>
        <v>ND</v>
      </c>
      <c r="HX152" s="1" t="str">
        <f t="shared" si="853"/>
        <v>ND</v>
      </c>
      <c r="HY152" s="1" t="str">
        <f t="shared" si="854"/>
        <v>ND</v>
      </c>
      <c r="HZ152" s="1" t="str">
        <f t="shared" si="855"/>
        <v>ND</v>
      </c>
      <c r="IA152" s="1" t="str">
        <f t="shared" si="856"/>
        <v>ND</v>
      </c>
      <c r="IB152" s="1" t="str">
        <f t="shared" si="857"/>
        <v>ND</v>
      </c>
      <c r="IC152" s="1" t="str">
        <f t="shared" si="858"/>
        <v>ND</v>
      </c>
      <c r="ID152" s="1" t="str">
        <f t="shared" si="859"/>
        <v>ND</v>
      </c>
      <c r="IE152" s="1" t="str">
        <f t="shared" si="860"/>
        <v>ND</v>
      </c>
      <c r="IF152" s="1" t="str">
        <f t="shared" si="861"/>
        <v>ND</v>
      </c>
      <c r="IG152" s="1" t="str">
        <f t="shared" si="862"/>
        <v>ND</v>
      </c>
      <c r="IH152" s="1" t="str">
        <f t="shared" si="863"/>
        <v>ND</v>
      </c>
      <c r="II152" s="1" t="str">
        <f t="shared" si="864"/>
        <v>ND</v>
      </c>
    </row>
    <row r="153" spans="3:243" x14ac:dyDescent="0.25">
      <c r="C153" t="s">
        <v>9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5.4</v>
      </c>
      <c r="G153" s="1">
        <f>IFERROR(VLOOKUP($C153,EQUIPOS[],UNIFICADO!G$9,0),"")</f>
        <v>12</v>
      </c>
      <c r="H153" s="1">
        <f>IFERROR(VLOOKUP($C153,EQUIPOS[],UNIFICADO!H$9,0),"")</f>
        <v>2</v>
      </c>
      <c r="I153" s="1">
        <f>IFERROR(VLOOKUP($C153,EQUIPOS[],UNIFICADO!I$9,0),"")</f>
        <v>12</v>
      </c>
      <c r="J153" s="1" t="str">
        <f>IFERROR(VLOOKUP($C153,EQUIPOS[],UNIFICADO!J$9,0),"")</f>
        <v>512GB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4</v>
      </c>
      <c r="O153" s="1">
        <f>IFERROR(VLOOKUP($C153,EQUIPOS[],UNIFICADO!O$9,0),"")</f>
        <v>141</v>
      </c>
      <c r="P153" s="1">
        <f>IFERROR(VLOOKUP($C153,EQUIPOS[],UNIFICADO!P$9,0),"")</f>
        <v>13.1</v>
      </c>
      <c r="Q153" s="1">
        <f>IFERROR(VLOOKUP($C153,EQUIPOS[],UNIFICADO!Q$9,0),"")</f>
        <v>6.42</v>
      </c>
      <c r="R153" s="1">
        <f>IFERROR(VLOOKUP($C153,EQUIPOS[],UNIFICADO!R$9,0),"")</f>
        <v>0.77</v>
      </c>
      <c r="S153" s="1">
        <f>IFERROR(VLOOKUP($C153,EQUIPOS[],UNIFICADO!S$9,0),"")</f>
        <v>2406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9"/>
        <v>ND</v>
      </c>
      <c r="W153" s="1" t="str">
        <f t="shared" si="710"/>
        <v>ND</v>
      </c>
      <c r="X153" s="1" t="str">
        <f t="shared" si="871"/>
        <v>ND</v>
      </c>
      <c r="Y153" s="1" t="str">
        <f t="shared" si="871"/>
        <v>ND</v>
      </c>
      <c r="Z153" s="1" t="str">
        <f t="shared" si="872"/>
        <v>ND</v>
      </c>
      <c r="AA153" s="1" t="str">
        <f t="shared" si="872"/>
        <v>ND</v>
      </c>
      <c r="AB153" s="1" t="str">
        <f t="shared" si="872"/>
        <v>ND</v>
      </c>
      <c r="AC153" s="1" t="str">
        <f t="shared" si="872"/>
        <v>ND</v>
      </c>
      <c r="AD153" s="1" t="str">
        <f t="shared" si="872"/>
        <v>ND</v>
      </c>
      <c r="AE153" s="1" t="str">
        <f t="shared" si="872"/>
        <v>ND</v>
      </c>
      <c r="AF153" s="1" t="str">
        <f t="shared" si="872"/>
        <v>ND</v>
      </c>
      <c r="AG153" s="1" t="str">
        <f t="shared" si="872"/>
        <v>ND</v>
      </c>
      <c r="AH153" s="1" t="str">
        <f t="shared" si="872"/>
        <v>ND</v>
      </c>
      <c r="AI153" s="1" t="str">
        <f t="shared" si="711"/>
        <v>ND</v>
      </c>
      <c r="AJ153" s="1" t="str">
        <f t="shared" si="712"/>
        <v>ND</v>
      </c>
      <c r="AK153" s="1" t="str">
        <f t="shared" si="713"/>
        <v>ND</v>
      </c>
      <c r="AL153" s="1" t="str">
        <f t="shared" si="714"/>
        <v>ND</v>
      </c>
      <c r="AM153" s="1" t="str">
        <f t="shared" si="715"/>
        <v>ND</v>
      </c>
      <c r="AN153" s="1" t="str">
        <f t="shared" si="716"/>
        <v>ND</v>
      </c>
      <c r="AO153" s="1" t="str">
        <f t="shared" si="717"/>
        <v>ND</v>
      </c>
      <c r="AP153" s="1" t="str">
        <f t="shared" si="718"/>
        <v>ND</v>
      </c>
      <c r="AQ153" s="1" t="str">
        <f t="shared" si="719"/>
        <v>ND</v>
      </c>
      <c r="AR153" s="1" t="str">
        <f t="shared" si="720"/>
        <v>ND</v>
      </c>
      <c r="AS153" s="1" t="str">
        <f t="shared" si="721"/>
        <v>ND</v>
      </c>
      <c r="AT153" s="1" t="str">
        <f t="shared" si="722"/>
        <v>ND</v>
      </c>
      <c r="AU153" s="1" t="str">
        <f t="shared" si="723"/>
        <v>ND</v>
      </c>
      <c r="AV153" s="1" t="str">
        <f t="shared" si="724"/>
        <v>ND</v>
      </c>
      <c r="AW153" s="1" t="str">
        <f t="shared" si="725"/>
        <v>ND</v>
      </c>
      <c r="AX153" s="1" t="str">
        <f t="shared" si="726"/>
        <v>ND</v>
      </c>
      <c r="AY153" s="1" t="str">
        <f t="shared" si="727"/>
        <v>ND</v>
      </c>
      <c r="AZ153" s="1" t="str">
        <f t="shared" si="728"/>
        <v>ND</v>
      </c>
      <c r="BA153" s="1" t="str">
        <f t="shared" si="729"/>
        <v>ND</v>
      </c>
      <c r="BB153" s="1" t="str">
        <f t="shared" si="730"/>
        <v>ND</v>
      </c>
      <c r="BC153" s="1" t="str">
        <f t="shared" si="731"/>
        <v>ND</v>
      </c>
      <c r="BD153" s="1" t="str">
        <f t="shared" si="732"/>
        <v>ND</v>
      </c>
      <c r="BE153" s="1" t="str">
        <f t="shared" si="733"/>
        <v>ND</v>
      </c>
      <c r="BF153" s="1" t="str">
        <f t="shared" si="734"/>
        <v>ND</v>
      </c>
      <c r="BG153" s="1" t="str">
        <f t="shared" si="735"/>
        <v>ND</v>
      </c>
      <c r="BH153" s="1" t="str">
        <f t="shared" si="736"/>
        <v>ND</v>
      </c>
      <c r="BI153" s="1" t="str">
        <f t="shared" si="737"/>
        <v>ND</v>
      </c>
      <c r="BJ153" s="1" t="str">
        <f t="shared" si="738"/>
        <v>ND</v>
      </c>
      <c r="BK153" s="1" t="str">
        <f t="shared" si="739"/>
        <v>ND</v>
      </c>
      <c r="BL153" s="1" t="str">
        <f t="shared" si="740"/>
        <v>ND</v>
      </c>
      <c r="BM153" s="1" t="str">
        <f t="shared" si="741"/>
        <v>ND</v>
      </c>
      <c r="BN153" s="1" t="str">
        <f t="shared" si="742"/>
        <v>ND</v>
      </c>
      <c r="BO153" s="1" t="str">
        <f t="shared" si="743"/>
        <v>ND</v>
      </c>
      <c r="BP153" s="1" t="str">
        <f t="shared" si="744"/>
        <v>ND</v>
      </c>
      <c r="BQ153" s="1" t="str">
        <f t="shared" si="745"/>
        <v>ND</v>
      </c>
      <c r="BR153" s="1" t="str">
        <f t="shared" si="746"/>
        <v>ND</v>
      </c>
      <c r="BS153" s="1" t="str">
        <f t="shared" si="747"/>
        <v>ND</v>
      </c>
      <c r="BT153" s="1" t="str">
        <f t="shared" si="748"/>
        <v>ND</v>
      </c>
      <c r="BU153" s="1" t="str">
        <f t="shared" si="749"/>
        <v>ND</v>
      </c>
      <c r="BV153" s="1" t="str">
        <f t="shared" si="750"/>
        <v>ND</v>
      </c>
      <c r="BW153" s="1" t="str">
        <f t="shared" si="751"/>
        <v>ND</v>
      </c>
      <c r="BX153" s="1" t="str">
        <f t="shared" si="752"/>
        <v>ND</v>
      </c>
      <c r="BY153" s="1" t="str">
        <f t="shared" si="753"/>
        <v>ND</v>
      </c>
      <c r="BZ153" s="1" t="str">
        <f t="shared" si="754"/>
        <v>ND</v>
      </c>
      <c r="CA153" s="1" t="str">
        <f t="shared" si="873"/>
        <v>ND</v>
      </c>
      <c r="CB153" s="1" t="str">
        <f t="shared" si="873"/>
        <v>ND</v>
      </c>
      <c r="CC153" s="1" t="str">
        <f t="shared" si="873"/>
        <v>ND</v>
      </c>
      <c r="CD153" s="1" t="str">
        <f t="shared" si="873"/>
        <v>ND</v>
      </c>
      <c r="CE153" s="1" t="str">
        <f t="shared" si="873"/>
        <v>ND</v>
      </c>
      <c r="CF153" s="1" t="str">
        <f t="shared" si="873"/>
        <v>ND</v>
      </c>
      <c r="CG153" s="1" t="str">
        <f t="shared" si="873"/>
        <v>ND</v>
      </c>
      <c r="CH153" s="1" t="str">
        <f t="shared" si="873"/>
        <v>ND</v>
      </c>
      <c r="CI153" s="1" t="str">
        <f t="shared" si="873"/>
        <v>ND</v>
      </c>
      <c r="CJ153" s="1" t="str">
        <f t="shared" si="873"/>
        <v>ND</v>
      </c>
      <c r="CK153" s="1" t="str">
        <f t="shared" si="873"/>
        <v>ND</v>
      </c>
      <c r="CL153" s="1" t="str">
        <f t="shared" si="874"/>
        <v>ND</v>
      </c>
      <c r="CM153" s="1" t="str">
        <f t="shared" si="874"/>
        <v>ND</v>
      </c>
      <c r="CN153" s="1" t="str">
        <f t="shared" si="874"/>
        <v>ND</v>
      </c>
      <c r="CO153" s="1" t="str">
        <f t="shared" si="874"/>
        <v>ND</v>
      </c>
      <c r="CP153" s="1" t="str">
        <f t="shared" si="874"/>
        <v>ND</v>
      </c>
      <c r="CQ153" s="1" t="str">
        <f t="shared" si="874"/>
        <v>ND</v>
      </c>
      <c r="CR153" s="1" t="str">
        <f t="shared" si="874"/>
        <v>ND</v>
      </c>
      <c r="CS153" s="1" t="str">
        <f t="shared" si="874"/>
        <v>ND</v>
      </c>
      <c r="CT153" s="1" t="str">
        <f t="shared" si="874"/>
        <v>ND</v>
      </c>
      <c r="CU153" s="1" t="str">
        <f t="shared" si="874"/>
        <v>ND</v>
      </c>
      <c r="CV153" s="1" t="str">
        <f t="shared" si="874"/>
        <v>ND</v>
      </c>
      <c r="CW153" s="1" t="str">
        <f t="shared" si="755"/>
        <v>ND</v>
      </c>
      <c r="CX153" s="1" t="str">
        <f t="shared" si="756"/>
        <v>ND</v>
      </c>
      <c r="CY153" s="1" t="str">
        <f t="shared" si="757"/>
        <v>ND</v>
      </c>
      <c r="CZ153" s="1" t="str">
        <f t="shared" si="758"/>
        <v>ND</v>
      </c>
      <c r="DA153" s="1" t="str">
        <f t="shared" si="759"/>
        <v>ND</v>
      </c>
      <c r="DB153" s="1" t="str">
        <f t="shared" si="760"/>
        <v>ND</v>
      </c>
      <c r="DC153" s="1" t="str">
        <f t="shared" si="761"/>
        <v>ND</v>
      </c>
      <c r="DD153" s="1" t="str">
        <f t="shared" si="762"/>
        <v>ND</v>
      </c>
      <c r="DE153" s="1" t="str">
        <f t="shared" si="763"/>
        <v>ND</v>
      </c>
      <c r="DF153" s="1" t="str">
        <f t="shared" si="764"/>
        <v>ND</v>
      </c>
      <c r="DG153" s="1" t="str">
        <f t="shared" si="765"/>
        <v>ND</v>
      </c>
      <c r="DH153" s="1" t="str">
        <f t="shared" si="766"/>
        <v>ND</v>
      </c>
      <c r="DI153" s="1" t="str">
        <f t="shared" si="767"/>
        <v>ND</v>
      </c>
      <c r="DJ153" s="1" t="str">
        <f t="shared" si="768"/>
        <v>ND</v>
      </c>
      <c r="DK153" s="1" t="str">
        <f t="shared" si="769"/>
        <v>ND</v>
      </c>
      <c r="DL153" s="1" t="str">
        <f t="shared" si="770"/>
        <v>ND</v>
      </c>
      <c r="DM153" s="1" t="str">
        <f t="shared" si="771"/>
        <v>ND</v>
      </c>
      <c r="DN153" s="1" t="str">
        <f t="shared" si="772"/>
        <v>ND</v>
      </c>
      <c r="DO153" s="1" t="str">
        <f t="shared" si="773"/>
        <v>ND</v>
      </c>
      <c r="DP153" s="1" t="str">
        <f t="shared" si="774"/>
        <v>ND</v>
      </c>
      <c r="DQ153" s="1" t="str">
        <f t="shared" si="775"/>
        <v>ND</v>
      </c>
      <c r="DR153" s="1" t="str">
        <f t="shared" si="776"/>
        <v>ND</v>
      </c>
      <c r="DS153" s="1" t="str">
        <f t="shared" si="777"/>
        <v>ND</v>
      </c>
      <c r="DT153" s="1" t="str">
        <f t="shared" si="778"/>
        <v>ND</v>
      </c>
      <c r="DU153" s="1" t="str">
        <f t="shared" si="779"/>
        <v>ND</v>
      </c>
      <c r="DV153" s="1" t="str">
        <f t="shared" si="780"/>
        <v>ND</v>
      </c>
      <c r="DW153" s="1" t="str">
        <f t="shared" si="781"/>
        <v>ND</v>
      </c>
      <c r="DX153" s="1" t="str">
        <f t="shared" si="782"/>
        <v>ND</v>
      </c>
      <c r="DY153" s="1" t="str">
        <f t="shared" si="783"/>
        <v>ND</v>
      </c>
      <c r="DZ153" s="1" t="str">
        <f t="shared" si="784"/>
        <v>ND</v>
      </c>
      <c r="EA153" s="1" t="str">
        <f t="shared" si="785"/>
        <v>ND</v>
      </c>
      <c r="EB153" s="1" t="str">
        <f t="shared" si="786"/>
        <v>ND</v>
      </c>
      <c r="EC153" s="1" t="str">
        <f t="shared" si="787"/>
        <v>ND</v>
      </c>
      <c r="ED153" s="1" t="str">
        <f t="shared" si="788"/>
        <v>ND</v>
      </c>
      <c r="EE153" s="1" t="str">
        <f t="shared" si="789"/>
        <v>ND</v>
      </c>
      <c r="EF153" s="1" t="str">
        <f t="shared" si="790"/>
        <v>ND</v>
      </c>
      <c r="EG153" s="1" t="str">
        <f t="shared" si="791"/>
        <v>ND</v>
      </c>
      <c r="EH153" s="1" t="str">
        <f t="shared" si="792"/>
        <v>ND</v>
      </c>
      <c r="EI153" s="1" t="str">
        <f t="shared" si="793"/>
        <v>ND</v>
      </c>
      <c r="EJ153" s="1" t="str">
        <f t="shared" si="794"/>
        <v>ND</v>
      </c>
      <c r="EK153" s="1" t="str">
        <f t="shared" si="795"/>
        <v>ND</v>
      </c>
      <c r="EL153" s="1" t="str">
        <f t="shared" si="796"/>
        <v>ND</v>
      </c>
      <c r="EM153" s="1" t="str">
        <f t="shared" si="797"/>
        <v>ND</v>
      </c>
      <c r="EN153" s="1" t="str">
        <f t="shared" si="798"/>
        <v>ND</v>
      </c>
      <c r="EO153" s="1" t="str">
        <f t="shared" si="875"/>
        <v>ND</v>
      </c>
      <c r="EP153" s="1" t="str">
        <f t="shared" si="875"/>
        <v>ND</v>
      </c>
      <c r="EQ153" s="1" t="str">
        <f t="shared" si="875"/>
        <v>ND</v>
      </c>
      <c r="ER153" s="1" t="str">
        <f t="shared" si="875"/>
        <v>ND</v>
      </c>
      <c r="ES153" s="1" t="str">
        <f t="shared" si="875"/>
        <v>ND</v>
      </c>
      <c r="ET153" s="1" t="str">
        <f t="shared" si="875"/>
        <v>ND</v>
      </c>
      <c r="EU153" s="1" t="str">
        <f t="shared" si="875"/>
        <v>ND</v>
      </c>
      <c r="EV153" s="1" t="str">
        <f t="shared" si="875"/>
        <v>ND</v>
      </c>
      <c r="EW153" s="1" t="str">
        <f t="shared" si="875"/>
        <v>ND</v>
      </c>
      <c r="EX153" s="1" t="str">
        <f t="shared" si="875"/>
        <v>ND</v>
      </c>
      <c r="EY153" s="1" t="str">
        <f t="shared" si="875"/>
        <v>ND</v>
      </c>
      <c r="EZ153" s="1" t="str">
        <f t="shared" si="876"/>
        <v>ND</v>
      </c>
      <c r="FA153" s="1" t="str">
        <f t="shared" si="876"/>
        <v>ND</v>
      </c>
      <c r="FB153" s="1" t="str">
        <f t="shared" si="876"/>
        <v>ND</v>
      </c>
      <c r="FC153" s="1" t="str">
        <f t="shared" si="876"/>
        <v>ND</v>
      </c>
      <c r="FD153" s="1" t="str">
        <f t="shared" si="876"/>
        <v>ND</v>
      </c>
      <c r="FE153" s="1" t="str">
        <f t="shared" si="876"/>
        <v>ND</v>
      </c>
      <c r="FF153" s="1" t="str">
        <f t="shared" si="876"/>
        <v>ND</v>
      </c>
      <c r="FG153" s="1" t="str">
        <f t="shared" si="876"/>
        <v>ND</v>
      </c>
      <c r="FH153" s="1" t="str">
        <f t="shared" si="876"/>
        <v>ND</v>
      </c>
      <c r="FI153" s="1" t="str">
        <f t="shared" si="876"/>
        <v>ND</v>
      </c>
      <c r="FJ153" s="1" t="str">
        <f t="shared" si="876"/>
        <v>ND</v>
      </c>
      <c r="FK153" s="1" t="str">
        <f t="shared" si="877"/>
        <v>ND</v>
      </c>
      <c r="FL153" s="1" t="str">
        <f t="shared" si="877"/>
        <v>ND</v>
      </c>
      <c r="FM153" s="1" t="str">
        <f t="shared" si="877"/>
        <v>ND</v>
      </c>
      <c r="FN153" s="1" t="str">
        <f t="shared" si="877"/>
        <v>ND</v>
      </c>
      <c r="FO153" s="1" t="str">
        <f t="shared" si="877"/>
        <v>ND</v>
      </c>
      <c r="FP153" s="1" t="str">
        <f t="shared" si="877"/>
        <v>ND</v>
      </c>
      <c r="FQ153" s="1" t="str">
        <f t="shared" si="877"/>
        <v>ND</v>
      </c>
      <c r="FR153" s="1" t="str">
        <f t="shared" si="877"/>
        <v>ND</v>
      </c>
      <c r="FS153" s="1" t="str">
        <f t="shared" si="877"/>
        <v>ND</v>
      </c>
      <c r="FT153" s="1" t="str">
        <f t="shared" si="877"/>
        <v>ND</v>
      </c>
      <c r="FU153" s="1" t="str">
        <f t="shared" si="877"/>
        <v>ND</v>
      </c>
      <c r="FV153" s="1" t="str">
        <f t="shared" si="799"/>
        <v>ND</v>
      </c>
      <c r="FW153" s="1" t="str">
        <f t="shared" si="800"/>
        <v>ND</v>
      </c>
      <c r="FX153" s="1" t="str">
        <f t="shared" si="801"/>
        <v>ND</v>
      </c>
      <c r="FY153" s="1" t="str">
        <f t="shared" si="802"/>
        <v>ND</v>
      </c>
      <c r="FZ153" s="1" t="str">
        <f t="shared" si="803"/>
        <v>ND</v>
      </c>
      <c r="GA153" s="1" t="str">
        <f t="shared" si="804"/>
        <v>ND</v>
      </c>
      <c r="GB153" s="1" t="str">
        <f t="shared" si="805"/>
        <v>ND</v>
      </c>
      <c r="GC153" s="1" t="str">
        <f t="shared" si="806"/>
        <v>ND</v>
      </c>
      <c r="GD153" s="1" t="str">
        <f t="shared" si="807"/>
        <v>ND</v>
      </c>
      <c r="GE153" s="1" t="str">
        <f t="shared" si="808"/>
        <v>ND</v>
      </c>
      <c r="GF153" s="1" t="str">
        <f t="shared" si="809"/>
        <v>ND</v>
      </c>
      <c r="GG153" s="1" t="str">
        <f t="shared" si="810"/>
        <v>ND</v>
      </c>
      <c r="GH153" s="1" t="str">
        <f t="shared" si="811"/>
        <v>ND</v>
      </c>
      <c r="GI153" s="1" t="str">
        <f t="shared" si="812"/>
        <v>ND</v>
      </c>
      <c r="GJ153" s="1" t="str">
        <f t="shared" si="813"/>
        <v>ND</v>
      </c>
      <c r="GK153" s="1" t="str">
        <f t="shared" si="814"/>
        <v>ND</v>
      </c>
      <c r="GL153" s="1" t="str">
        <f t="shared" si="815"/>
        <v>ND</v>
      </c>
      <c r="GM153" s="1" t="str">
        <f t="shared" si="816"/>
        <v>ND</v>
      </c>
      <c r="GN153" s="1" t="str">
        <f t="shared" si="817"/>
        <v>ND</v>
      </c>
      <c r="GO153" s="1" t="str">
        <f t="shared" si="818"/>
        <v>ND</v>
      </c>
      <c r="GP153" s="1" t="str">
        <f t="shared" si="819"/>
        <v>ND</v>
      </c>
      <c r="GQ153" s="1" t="str">
        <f t="shared" si="820"/>
        <v>ND</v>
      </c>
      <c r="GR153" s="1" t="str">
        <f t="shared" si="821"/>
        <v>ND</v>
      </c>
      <c r="GS153" s="1" t="str">
        <f t="shared" si="822"/>
        <v>ND</v>
      </c>
      <c r="GT153" s="1" t="str">
        <f t="shared" si="823"/>
        <v>ND</v>
      </c>
      <c r="GU153" s="1" t="str">
        <f t="shared" si="824"/>
        <v>ND</v>
      </c>
      <c r="GV153" s="1" t="str">
        <f t="shared" si="825"/>
        <v>ND</v>
      </c>
      <c r="GW153" s="1" t="str">
        <f t="shared" si="826"/>
        <v>ND</v>
      </c>
      <c r="GX153" s="1" t="str">
        <f t="shared" si="827"/>
        <v>ND</v>
      </c>
      <c r="GY153" s="1" t="str">
        <f t="shared" si="828"/>
        <v>ND</v>
      </c>
      <c r="GZ153" s="1" t="str">
        <f t="shared" si="829"/>
        <v>ND</v>
      </c>
      <c r="HA153" s="1" t="str">
        <f t="shared" si="830"/>
        <v>ND</v>
      </c>
      <c r="HB153" s="1" t="str">
        <f t="shared" si="831"/>
        <v>ND</v>
      </c>
      <c r="HC153" s="1" t="str">
        <f t="shared" si="832"/>
        <v>ND</v>
      </c>
      <c r="HD153" s="1" t="str">
        <f t="shared" si="833"/>
        <v>ND</v>
      </c>
      <c r="HE153" s="1" t="str">
        <f t="shared" si="834"/>
        <v>ND</v>
      </c>
      <c r="HF153" s="1" t="str">
        <f t="shared" si="835"/>
        <v>ND</v>
      </c>
      <c r="HG153" s="1" t="str">
        <f t="shared" si="836"/>
        <v>ND</v>
      </c>
      <c r="HH153" s="1" t="str">
        <f t="shared" si="837"/>
        <v>ND</v>
      </c>
      <c r="HI153" s="1" t="str">
        <f t="shared" si="838"/>
        <v>ND</v>
      </c>
      <c r="HJ153" s="1" t="str">
        <f t="shared" si="839"/>
        <v>ND</v>
      </c>
      <c r="HK153" s="1" t="str">
        <f t="shared" si="840"/>
        <v>ND</v>
      </c>
      <c r="HL153" s="1" t="str">
        <f t="shared" si="841"/>
        <v>ND</v>
      </c>
      <c r="HM153" s="1" t="str">
        <f t="shared" si="842"/>
        <v>ND</v>
      </c>
      <c r="HN153" s="1" t="str">
        <f t="shared" si="843"/>
        <v>ND</v>
      </c>
      <c r="HO153" s="1" t="str">
        <f t="shared" si="844"/>
        <v>ND</v>
      </c>
      <c r="HP153" s="1" t="str">
        <f t="shared" si="845"/>
        <v>ND</v>
      </c>
      <c r="HQ153" s="1" t="str">
        <f t="shared" si="846"/>
        <v>ND</v>
      </c>
      <c r="HR153" s="1" t="str">
        <f t="shared" si="847"/>
        <v>ND</v>
      </c>
      <c r="HS153" s="1" t="str">
        <f t="shared" si="848"/>
        <v>ND</v>
      </c>
      <c r="HT153" s="1" t="str">
        <f t="shared" si="849"/>
        <v>ND</v>
      </c>
      <c r="HU153" s="1" t="str">
        <f t="shared" si="850"/>
        <v>ND</v>
      </c>
      <c r="HV153" s="1" t="str">
        <f t="shared" si="851"/>
        <v>ND</v>
      </c>
      <c r="HW153" s="1" t="str">
        <f t="shared" si="852"/>
        <v>ND</v>
      </c>
      <c r="HX153" s="1" t="str">
        <f t="shared" si="853"/>
        <v>ND</v>
      </c>
      <c r="HY153" s="1" t="str">
        <f t="shared" si="854"/>
        <v>ND</v>
      </c>
      <c r="HZ153" s="1" t="str">
        <f t="shared" si="855"/>
        <v>ND</v>
      </c>
      <c r="IA153" s="1" t="str">
        <f t="shared" si="856"/>
        <v>ND</v>
      </c>
      <c r="IB153" s="1" t="str">
        <f t="shared" si="857"/>
        <v>ND</v>
      </c>
      <c r="IC153" s="1" t="str">
        <f t="shared" si="858"/>
        <v>ND</v>
      </c>
      <c r="ID153" s="1" t="str">
        <f t="shared" si="859"/>
        <v>ND</v>
      </c>
      <c r="IE153" s="1" t="str">
        <f t="shared" si="860"/>
        <v>ND</v>
      </c>
      <c r="IF153" s="1" t="str">
        <f t="shared" si="861"/>
        <v>ND</v>
      </c>
      <c r="IG153" s="1" t="str">
        <f t="shared" si="862"/>
        <v>ND</v>
      </c>
      <c r="IH153" s="1" t="str">
        <f t="shared" si="863"/>
        <v>ND</v>
      </c>
      <c r="II153" s="1" t="str">
        <f t="shared" si="864"/>
        <v>ND</v>
      </c>
    </row>
    <row r="154" spans="3:243" x14ac:dyDescent="0.25">
      <c r="C154" t="s">
        <v>10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6.1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128GB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3</v>
      </c>
      <c r="O154" s="1">
        <f>IFERROR(VLOOKUP($C154,EQUIPOS[],UNIFICADO!O$9,0),"")</f>
        <v>204</v>
      </c>
      <c r="P154" s="1">
        <f>IFERROR(VLOOKUP($C154,EQUIPOS[],UNIFICADO!P$9,0),"")</f>
        <v>14.6</v>
      </c>
      <c r="Q154" s="1">
        <f>IFERROR(VLOOKUP($C154,EQUIPOS[],UNIFICADO!Q$9,0),"")</f>
        <v>7.15</v>
      </c>
      <c r="R154" s="1">
        <f>IFERROR(VLOOKUP($C154,EQUIPOS[],UNIFICADO!R$9,0),"")</f>
        <v>0.77</v>
      </c>
      <c r="S154" s="1">
        <f>IFERROR(VLOOKUP($C154,EQUIPOS[],UNIFICADO!S$9,0),"")</f>
        <v>3095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9"/>
        <v>ND</v>
      </c>
      <c r="W154" s="1" t="str">
        <f t="shared" si="710"/>
        <v>ND</v>
      </c>
      <c r="X154" s="1" t="str">
        <f t="shared" si="871"/>
        <v>ND</v>
      </c>
      <c r="Y154" s="1" t="str">
        <f t="shared" si="871"/>
        <v>ND</v>
      </c>
      <c r="Z154" s="1" t="str">
        <f t="shared" si="872"/>
        <v>ND</v>
      </c>
      <c r="AA154" s="1" t="str">
        <f t="shared" si="872"/>
        <v>ND</v>
      </c>
      <c r="AB154" s="1" t="str">
        <f t="shared" si="872"/>
        <v>ND</v>
      </c>
      <c r="AC154" s="1" t="str">
        <f t="shared" si="872"/>
        <v>ND</v>
      </c>
      <c r="AD154" s="1" t="str">
        <f t="shared" si="872"/>
        <v>ND</v>
      </c>
      <c r="AE154" s="1" t="str">
        <f t="shared" si="872"/>
        <v>ND</v>
      </c>
      <c r="AF154" s="1" t="str">
        <f t="shared" si="872"/>
        <v>ND</v>
      </c>
      <c r="AG154" s="1" t="str">
        <f t="shared" si="872"/>
        <v>ND</v>
      </c>
      <c r="AH154" s="1" t="str">
        <f t="shared" si="872"/>
        <v>ND</v>
      </c>
      <c r="AI154" s="1" t="str">
        <f t="shared" si="711"/>
        <v>ND</v>
      </c>
      <c r="AJ154" s="1" t="str">
        <f t="shared" si="712"/>
        <v>ND</v>
      </c>
      <c r="AK154" s="1" t="str">
        <f t="shared" si="713"/>
        <v>ND</v>
      </c>
      <c r="AL154" s="1" t="str">
        <f t="shared" si="714"/>
        <v>ND</v>
      </c>
      <c r="AM154" s="1" t="str">
        <f t="shared" si="715"/>
        <v>ND</v>
      </c>
      <c r="AN154" s="1" t="str">
        <f t="shared" si="716"/>
        <v>ND</v>
      </c>
      <c r="AO154" s="1" t="str">
        <f t="shared" si="717"/>
        <v>ND</v>
      </c>
      <c r="AP154" s="1" t="str">
        <f t="shared" si="718"/>
        <v>ND</v>
      </c>
      <c r="AQ154" s="1" t="str">
        <f t="shared" si="719"/>
        <v>ND</v>
      </c>
      <c r="AR154" s="1" t="str">
        <f t="shared" si="720"/>
        <v>ND</v>
      </c>
      <c r="AS154" s="1" t="str">
        <f t="shared" si="721"/>
        <v>ND</v>
      </c>
      <c r="AT154" s="1" t="str">
        <f t="shared" si="722"/>
        <v>ND</v>
      </c>
      <c r="AU154" s="1" t="str">
        <f t="shared" si="723"/>
        <v>ND</v>
      </c>
      <c r="AV154" s="1" t="str">
        <f t="shared" si="724"/>
        <v>ND</v>
      </c>
      <c r="AW154" s="1" t="str">
        <f t="shared" si="725"/>
        <v>ND</v>
      </c>
      <c r="AX154" s="1" t="str">
        <f t="shared" si="726"/>
        <v>ND</v>
      </c>
      <c r="AY154" s="1" t="str">
        <f t="shared" si="727"/>
        <v>ND</v>
      </c>
      <c r="AZ154" s="1" t="str">
        <f t="shared" si="728"/>
        <v>ND</v>
      </c>
      <c r="BA154" s="1" t="str">
        <f t="shared" si="729"/>
        <v>ND</v>
      </c>
      <c r="BB154" s="1" t="str">
        <f t="shared" si="730"/>
        <v>ND</v>
      </c>
      <c r="BC154" s="1" t="str">
        <f t="shared" si="731"/>
        <v>ND</v>
      </c>
      <c r="BD154" s="1" t="str">
        <f t="shared" si="732"/>
        <v>ND</v>
      </c>
      <c r="BE154" s="1" t="str">
        <f t="shared" si="733"/>
        <v>ND</v>
      </c>
      <c r="BF154" s="1" t="str">
        <f t="shared" si="734"/>
        <v>ND</v>
      </c>
      <c r="BG154" s="1" t="str">
        <f t="shared" si="735"/>
        <v>ND</v>
      </c>
      <c r="BH154" s="1" t="str">
        <f t="shared" si="736"/>
        <v>ND</v>
      </c>
      <c r="BI154" s="1" t="str">
        <f t="shared" si="737"/>
        <v>ND</v>
      </c>
      <c r="BJ154" s="1" t="str">
        <f t="shared" si="738"/>
        <v>ND</v>
      </c>
      <c r="BK154" s="1" t="str">
        <f t="shared" si="739"/>
        <v>ND</v>
      </c>
      <c r="BL154" s="1" t="str">
        <f t="shared" si="740"/>
        <v>ND</v>
      </c>
      <c r="BM154" s="1" t="str">
        <f t="shared" si="741"/>
        <v>ND</v>
      </c>
      <c r="BN154" s="1" t="str">
        <f t="shared" si="742"/>
        <v>ND</v>
      </c>
      <c r="BO154" s="1" t="str">
        <f t="shared" si="743"/>
        <v>ND</v>
      </c>
      <c r="BP154" s="1" t="str">
        <f t="shared" si="744"/>
        <v>ND</v>
      </c>
      <c r="BQ154" s="1" t="str">
        <f t="shared" si="745"/>
        <v>ND</v>
      </c>
      <c r="BR154" s="1" t="str">
        <f t="shared" si="746"/>
        <v>ND</v>
      </c>
      <c r="BS154" s="1" t="str">
        <f t="shared" si="747"/>
        <v>ND</v>
      </c>
      <c r="BT154" s="1" t="str">
        <f t="shared" si="748"/>
        <v>ND</v>
      </c>
      <c r="BU154" s="1" t="str">
        <f t="shared" si="749"/>
        <v>ND</v>
      </c>
      <c r="BV154" s="1" t="str">
        <f t="shared" si="750"/>
        <v>ND</v>
      </c>
      <c r="BW154" s="1" t="str">
        <f t="shared" si="751"/>
        <v>ND</v>
      </c>
      <c r="BX154" s="1" t="str">
        <f t="shared" si="752"/>
        <v>ND</v>
      </c>
      <c r="BY154" s="1" t="str">
        <f t="shared" si="753"/>
        <v>ND</v>
      </c>
      <c r="BZ154" s="1" t="str">
        <f t="shared" si="754"/>
        <v>ND</v>
      </c>
      <c r="CA154" s="1" t="str">
        <f t="shared" si="873"/>
        <v>ND</v>
      </c>
      <c r="CB154" s="1" t="str">
        <f t="shared" si="873"/>
        <v>ND</v>
      </c>
      <c r="CC154" s="1" t="str">
        <f t="shared" si="873"/>
        <v>ND</v>
      </c>
      <c r="CD154" s="1" t="str">
        <f t="shared" si="873"/>
        <v>ND</v>
      </c>
      <c r="CE154" s="1" t="str">
        <f t="shared" si="873"/>
        <v>ND</v>
      </c>
      <c r="CF154" s="1" t="str">
        <f t="shared" si="873"/>
        <v>ND</v>
      </c>
      <c r="CG154" s="1" t="str">
        <f t="shared" si="873"/>
        <v>ND</v>
      </c>
      <c r="CH154" s="1" t="str">
        <f t="shared" si="873"/>
        <v>ND</v>
      </c>
      <c r="CI154" s="1" t="str">
        <f t="shared" si="873"/>
        <v>ND</v>
      </c>
      <c r="CJ154" s="1" t="str">
        <f t="shared" si="873"/>
        <v>ND</v>
      </c>
      <c r="CK154" s="1" t="str">
        <f t="shared" si="873"/>
        <v>ND</v>
      </c>
      <c r="CL154" s="1" t="str">
        <f t="shared" si="874"/>
        <v>ND</v>
      </c>
      <c r="CM154" s="1" t="str">
        <f t="shared" si="874"/>
        <v>ND</v>
      </c>
      <c r="CN154" s="1" t="str">
        <f t="shared" si="874"/>
        <v>ND</v>
      </c>
      <c r="CO154" s="1" t="str">
        <f t="shared" si="874"/>
        <v>ND</v>
      </c>
      <c r="CP154" s="1" t="str">
        <f t="shared" si="874"/>
        <v>ND</v>
      </c>
      <c r="CQ154" s="1" t="str">
        <f t="shared" si="874"/>
        <v>ND</v>
      </c>
      <c r="CR154" s="1" t="str">
        <f t="shared" si="874"/>
        <v>ND</v>
      </c>
      <c r="CS154" s="1" t="str">
        <f t="shared" si="874"/>
        <v>ND</v>
      </c>
      <c r="CT154" s="1" t="str">
        <f t="shared" si="874"/>
        <v>ND</v>
      </c>
      <c r="CU154" s="1" t="str">
        <f t="shared" si="874"/>
        <v>ND</v>
      </c>
      <c r="CV154" s="1" t="str">
        <f t="shared" si="874"/>
        <v>ND</v>
      </c>
      <c r="CW154" s="1" t="str">
        <f t="shared" si="755"/>
        <v>ND</v>
      </c>
      <c r="CX154" s="1" t="str">
        <f t="shared" si="756"/>
        <v>ND</v>
      </c>
      <c r="CY154" s="1" t="str">
        <f t="shared" si="757"/>
        <v>ND</v>
      </c>
      <c r="CZ154" s="1" t="str">
        <f t="shared" si="758"/>
        <v>ND</v>
      </c>
      <c r="DA154" s="1" t="str">
        <f t="shared" si="759"/>
        <v>ND</v>
      </c>
      <c r="DB154" s="1" t="str">
        <f t="shared" si="760"/>
        <v>ND</v>
      </c>
      <c r="DC154" s="1" t="str">
        <f t="shared" si="761"/>
        <v>ND</v>
      </c>
      <c r="DD154" s="1" t="str">
        <f t="shared" si="762"/>
        <v>ND</v>
      </c>
      <c r="DE154" s="1" t="str">
        <f t="shared" si="763"/>
        <v>ND</v>
      </c>
      <c r="DF154" s="1" t="str">
        <f t="shared" si="764"/>
        <v>ND</v>
      </c>
      <c r="DG154" s="1" t="str">
        <f t="shared" si="765"/>
        <v>ND</v>
      </c>
      <c r="DH154" s="1" t="str">
        <f t="shared" si="766"/>
        <v>ND</v>
      </c>
      <c r="DI154" s="1" t="str">
        <f t="shared" si="767"/>
        <v>ND</v>
      </c>
      <c r="DJ154" s="1" t="str">
        <f t="shared" si="768"/>
        <v>ND</v>
      </c>
      <c r="DK154" s="1" t="str">
        <f t="shared" si="769"/>
        <v>ND</v>
      </c>
      <c r="DL154" s="1" t="str">
        <f t="shared" si="770"/>
        <v>ND</v>
      </c>
      <c r="DM154" s="1" t="str">
        <f t="shared" si="771"/>
        <v>ND</v>
      </c>
      <c r="DN154" s="1" t="str">
        <f t="shared" si="772"/>
        <v>ND</v>
      </c>
      <c r="DO154" s="1" t="str">
        <f t="shared" si="773"/>
        <v>ND</v>
      </c>
      <c r="DP154" s="1" t="str">
        <f t="shared" si="774"/>
        <v>ND</v>
      </c>
      <c r="DQ154" s="1" t="str">
        <f t="shared" si="775"/>
        <v>ND</v>
      </c>
      <c r="DR154" s="1" t="str">
        <f t="shared" si="776"/>
        <v>ND</v>
      </c>
      <c r="DS154" s="1" t="str">
        <f t="shared" si="777"/>
        <v>ND</v>
      </c>
      <c r="DT154" s="1" t="str">
        <f t="shared" si="778"/>
        <v>ND</v>
      </c>
      <c r="DU154" s="1" t="str">
        <f t="shared" si="779"/>
        <v>ND</v>
      </c>
      <c r="DV154" s="1" t="str">
        <f t="shared" si="780"/>
        <v>ND</v>
      </c>
      <c r="DW154" s="1" t="str">
        <f t="shared" si="781"/>
        <v>ND</v>
      </c>
      <c r="DX154" s="1" t="str">
        <f t="shared" si="782"/>
        <v>ND</v>
      </c>
      <c r="DY154" s="1" t="str">
        <f t="shared" si="783"/>
        <v>ND</v>
      </c>
      <c r="DZ154" s="1" t="str">
        <f t="shared" si="784"/>
        <v>ND</v>
      </c>
      <c r="EA154" s="1" t="str">
        <f t="shared" si="785"/>
        <v>ND</v>
      </c>
      <c r="EB154" s="1" t="str">
        <f t="shared" si="786"/>
        <v>ND</v>
      </c>
      <c r="EC154" s="1" t="str">
        <f t="shared" si="787"/>
        <v>ND</v>
      </c>
      <c r="ED154" s="1" t="str">
        <f t="shared" si="788"/>
        <v>ND</v>
      </c>
      <c r="EE154" s="1" t="str">
        <f t="shared" si="789"/>
        <v>ND</v>
      </c>
      <c r="EF154" s="1" t="str">
        <f t="shared" si="790"/>
        <v>ND</v>
      </c>
      <c r="EG154" s="1" t="str">
        <f t="shared" si="791"/>
        <v>ND</v>
      </c>
      <c r="EH154" s="1" t="str">
        <f t="shared" si="792"/>
        <v>ND</v>
      </c>
      <c r="EI154" s="1" t="str">
        <f t="shared" si="793"/>
        <v>ND</v>
      </c>
      <c r="EJ154" s="1" t="str">
        <f t="shared" si="794"/>
        <v>ND</v>
      </c>
      <c r="EK154" s="1" t="str">
        <f t="shared" si="795"/>
        <v>ND</v>
      </c>
      <c r="EL154" s="1" t="str">
        <f t="shared" si="796"/>
        <v>ND</v>
      </c>
      <c r="EM154" s="1" t="str">
        <f t="shared" si="797"/>
        <v>ND</v>
      </c>
      <c r="EN154" s="1" t="str">
        <f t="shared" si="798"/>
        <v>ND</v>
      </c>
      <c r="EO154" s="1" t="str">
        <f t="shared" si="875"/>
        <v>ND</v>
      </c>
      <c r="EP154" s="1" t="str">
        <f t="shared" si="875"/>
        <v>ND</v>
      </c>
      <c r="EQ154" s="1" t="str">
        <f t="shared" si="875"/>
        <v>ND</v>
      </c>
      <c r="ER154" s="1" t="str">
        <f t="shared" si="875"/>
        <v>ND</v>
      </c>
      <c r="ES154" s="1" t="str">
        <f t="shared" si="875"/>
        <v>ND</v>
      </c>
      <c r="ET154" s="1" t="str">
        <f t="shared" si="875"/>
        <v>ND</v>
      </c>
      <c r="EU154" s="1" t="str">
        <f t="shared" si="875"/>
        <v>ND</v>
      </c>
      <c r="EV154" s="1" t="str">
        <f t="shared" si="875"/>
        <v>ND</v>
      </c>
      <c r="EW154" s="1" t="str">
        <f t="shared" si="875"/>
        <v>ND</v>
      </c>
      <c r="EX154" s="1" t="str">
        <f t="shared" si="875"/>
        <v>ND</v>
      </c>
      <c r="EY154" s="1" t="str">
        <f t="shared" si="875"/>
        <v>ND</v>
      </c>
      <c r="EZ154" s="1" t="str">
        <f t="shared" si="876"/>
        <v>ND</v>
      </c>
      <c r="FA154" s="1" t="str">
        <f t="shared" si="876"/>
        <v>ND</v>
      </c>
      <c r="FB154" s="1" t="str">
        <f t="shared" si="876"/>
        <v>ND</v>
      </c>
      <c r="FC154" s="1" t="str">
        <f t="shared" si="876"/>
        <v>ND</v>
      </c>
      <c r="FD154" s="1" t="str">
        <f t="shared" si="876"/>
        <v>ND</v>
      </c>
      <c r="FE154" s="1" t="str">
        <f t="shared" si="876"/>
        <v>ND</v>
      </c>
      <c r="FF154" s="1" t="str">
        <f t="shared" si="876"/>
        <v>ND</v>
      </c>
      <c r="FG154" s="1" t="str">
        <f t="shared" si="876"/>
        <v>ND</v>
      </c>
      <c r="FH154" s="1" t="str">
        <f t="shared" si="876"/>
        <v>ND</v>
      </c>
      <c r="FI154" s="1" t="str">
        <f t="shared" si="876"/>
        <v>ND</v>
      </c>
      <c r="FJ154" s="1" t="str">
        <f t="shared" si="876"/>
        <v>ND</v>
      </c>
      <c r="FK154" s="1" t="str">
        <f t="shared" si="877"/>
        <v>ND</v>
      </c>
      <c r="FL154" s="1" t="str">
        <f t="shared" si="877"/>
        <v>ND</v>
      </c>
      <c r="FM154" s="1" t="str">
        <f t="shared" si="877"/>
        <v>ND</v>
      </c>
      <c r="FN154" s="1" t="str">
        <f t="shared" si="877"/>
        <v>ND</v>
      </c>
      <c r="FO154" s="1" t="str">
        <f t="shared" si="877"/>
        <v>ND</v>
      </c>
      <c r="FP154" s="1" t="str">
        <f t="shared" si="877"/>
        <v>ND</v>
      </c>
      <c r="FQ154" s="1" t="str">
        <f t="shared" si="877"/>
        <v>ND</v>
      </c>
      <c r="FR154" s="1" t="str">
        <f t="shared" si="877"/>
        <v>ND</v>
      </c>
      <c r="FS154" s="1" t="str">
        <f t="shared" si="877"/>
        <v>ND</v>
      </c>
      <c r="FT154" s="1" t="str">
        <f t="shared" si="877"/>
        <v>ND</v>
      </c>
      <c r="FU154" s="1" t="str">
        <f t="shared" si="877"/>
        <v>ND</v>
      </c>
      <c r="FV154" s="1" t="str">
        <f t="shared" si="799"/>
        <v>ND</v>
      </c>
      <c r="FW154" s="1" t="str">
        <f t="shared" si="800"/>
        <v>ND</v>
      </c>
      <c r="FX154" s="1" t="str">
        <f t="shared" si="801"/>
        <v>ND</v>
      </c>
      <c r="FY154" s="1" t="str">
        <f t="shared" si="802"/>
        <v>ND</v>
      </c>
      <c r="FZ154" s="1" t="str">
        <f t="shared" si="803"/>
        <v>ND</v>
      </c>
      <c r="GA154" s="1" t="str">
        <f t="shared" si="804"/>
        <v>ND</v>
      </c>
      <c r="GB154" s="1" t="str">
        <f t="shared" si="805"/>
        <v>ND</v>
      </c>
      <c r="GC154" s="1" t="str">
        <f t="shared" si="806"/>
        <v>ND</v>
      </c>
      <c r="GD154" s="1" t="str">
        <f t="shared" si="807"/>
        <v>ND</v>
      </c>
      <c r="GE154" s="1" t="str">
        <f t="shared" si="808"/>
        <v>ND</v>
      </c>
      <c r="GF154" s="1" t="str">
        <f t="shared" si="809"/>
        <v>ND</v>
      </c>
      <c r="GG154" s="1" t="str">
        <f t="shared" si="810"/>
        <v>ND</v>
      </c>
      <c r="GH154" s="1" t="str">
        <f t="shared" si="811"/>
        <v>ND</v>
      </c>
      <c r="GI154" s="1" t="str">
        <f t="shared" si="812"/>
        <v>ND</v>
      </c>
      <c r="GJ154" s="1" t="str">
        <f t="shared" si="813"/>
        <v>ND</v>
      </c>
      <c r="GK154" s="1" t="str">
        <f t="shared" si="814"/>
        <v>ND</v>
      </c>
      <c r="GL154" s="1" t="str">
        <f t="shared" si="815"/>
        <v>ND</v>
      </c>
      <c r="GM154" s="1" t="str">
        <f t="shared" si="816"/>
        <v>ND</v>
      </c>
      <c r="GN154" s="1" t="str">
        <f t="shared" si="817"/>
        <v>ND</v>
      </c>
      <c r="GO154" s="1" t="str">
        <f t="shared" si="818"/>
        <v>ND</v>
      </c>
      <c r="GP154" s="1" t="str">
        <f t="shared" si="819"/>
        <v>ND</v>
      </c>
      <c r="GQ154" s="1" t="str">
        <f t="shared" si="820"/>
        <v>ND</v>
      </c>
      <c r="GR154" s="1" t="str">
        <f t="shared" si="821"/>
        <v>ND</v>
      </c>
      <c r="GS154" s="1" t="str">
        <f t="shared" si="822"/>
        <v>ND</v>
      </c>
      <c r="GT154" s="1" t="str">
        <f t="shared" si="823"/>
        <v>ND</v>
      </c>
      <c r="GU154" s="1" t="str">
        <f t="shared" si="824"/>
        <v>ND</v>
      </c>
      <c r="GV154" s="1" t="str">
        <f t="shared" si="825"/>
        <v>ND</v>
      </c>
      <c r="GW154" s="1" t="str">
        <f t="shared" si="826"/>
        <v>ND</v>
      </c>
      <c r="GX154" s="1" t="str">
        <f t="shared" si="827"/>
        <v>ND</v>
      </c>
      <c r="GY154" s="1" t="str">
        <f t="shared" si="828"/>
        <v>ND</v>
      </c>
      <c r="GZ154" s="1" t="str">
        <f t="shared" si="829"/>
        <v>ND</v>
      </c>
      <c r="HA154" s="1" t="str">
        <f t="shared" si="830"/>
        <v>ND</v>
      </c>
      <c r="HB154" s="1" t="str">
        <f t="shared" si="831"/>
        <v>ND</v>
      </c>
      <c r="HC154" s="1" t="str">
        <f t="shared" si="832"/>
        <v>ND</v>
      </c>
      <c r="HD154" s="1" t="str">
        <f t="shared" si="833"/>
        <v>ND</v>
      </c>
      <c r="HE154" s="1" t="str">
        <f t="shared" si="834"/>
        <v>ND</v>
      </c>
      <c r="HF154" s="1" t="str">
        <f t="shared" si="835"/>
        <v>ND</v>
      </c>
      <c r="HG154" s="1" t="str">
        <f t="shared" si="836"/>
        <v>ND</v>
      </c>
      <c r="HH154" s="1" t="str">
        <f t="shared" si="837"/>
        <v>ND</v>
      </c>
      <c r="HI154" s="1" t="str">
        <f t="shared" si="838"/>
        <v>ND</v>
      </c>
      <c r="HJ154" s="1" t="str">
        <f t="shared" si="839"/>
        <v>ND</v>
      </c>
      <c r="HK154" s="1" t="str">
        <f t="shared" si="840"/>
        <v>ND</v>
      </c>
      <c r="HL154" s="1" t="str">
        <f t="shared" si="841"/>
        <v>ND</v>
      </c>
      <c r="HM154" s="1" t="str">
        <f t="shared" si="842"/>
        <v>ND</v>
      </c>
      <c r="HN154" s="1" t="str">
        <f t="shared" si="843"/>
        <v>ND</v>
      </c>
      <c r="HO154" s="1" t="str">
        <f t="shared" si="844"/>
        <v>ND</v>
      </c>
      <c r="HP154" s="1" t="str">
        <f t="shared" si="845"/>
        <v>ND</v>
      </c>
      <c r="HQ154" s="1" t="str">
        <f t="shared" si="846"/>
        <v>ND</v>
      </c>
      <c r="HR154" s="1" t="str">
        <f t="shared" si="847"/>
        <v>ND</v>
      </c>
      <c r="HS154" s="1" t="str">
        <f t="shared" si="848"/>
        <v>ND</v>
      </c>
      <c r="HT154" s="1" t="str">
        <f t="shared" si="849"/>
        <v>ND</v>
      </c>
      <c r="HU154" s="1" t="str">
        <f t="shared" si="850"/>
        <v>ND</v>
      </c>
      <c r="HV154" s="1" t="str">
        <f t="shared" si="851"/>
        <v>ND</v>
      </c>
      <c r="HW154" s="1" t="str">
        <f t="shared" si="852"/>
        <v>ND</v>
      </c>
      <c r="HX154" s="1" t="str">
        <f t="shared" si="853"/>
        <v>ND</v>
      </c>
      <c r="HY154" s="1" t="str">
        <f t="shared" si="854"/>
        <v>ND</v>
      </c>
      <c r="HZ154" s="1" t="str">
        <f t="shared" si="855"/>
        <v>ND</v>
      </c>
      <c r="IA154" s="1" t="str">
        <f t="shared" si="856"/>
        <v>ND</v>
      </c>
      <c r="IB154" s="1" t="str">
        <f t="shared" si="857"/>
        <v>ND</v>
      </c>
      <c r="IC154" s="1" t="str">
        <f t="shared" si="858"/>
        <v>ND</v>
      </c>
      <c r="ID154" s="1" t="str">
        <f t="shared" si="859"/>
        <v>ND</v>
      </c>
      <c r="IE154" s="1" t="str">
        <f t="shared" si="860"/>
        <v>ND</v>
      </c>
      <c r="IF154" s="1" t="str">
        <f t="shared" si="861"/>
        <v>ND</v>
      </c>
      <c r="IG154" s="1" t="str">
        <f t="shared" si="862"/>
        <v>ND</v>
      </c>
      <c r="IH154" s="1" t="str">
        <f t="shared" si="863"/>
        <v>ND</v>
      </c>
      <c r="II154" s="1" t="str">
        <f t="shared" si="864"/>
        <v>ND</v>
      </c>
    </row>
    <row r="155" spans="3:243" x14ac:dyDescent="0.25">
      <c r="C155" t="s">
        <v>11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6.1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1TB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3</v>
      </c>
      <c r="O155" s="1">
        <f>IFERROR(VLOOKUP($C155,EQUIPOS[],UNIFICADO!O$9,0),"")</f>
        <v>204</v>
      </c>
      <c r="P155" s="1">
        <f>IFERROR(VLOOKUP($C155,EQUIPOS[],UNIFICADO!P$9,0),"")</f>
        <v>14.6</v>
      </c>
      <c r="Q155" s="1">
        <f>IFERROR(VLOOKUP($C155,EQUIPOS[],UNIFICADO!Q$9,0),"")</f>
        <v>7.15</v>
      </c>
      <c r="R155" s="1">
        <f>IFERROR(VLOOKUP($C155,EQUIPOS[],UNIFICADO!R$9,0),"")</f>
        <v>0.77</v>
      </c>
      <c r="S155" s="1">
        <f>IFERROR(VLOOKUP($C155,EQUIPOS[],UNIFICADO!S$9,0),"")</f>
        <v>3095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9"/>
        <v>ND</v>
      </c>
      <c r="W155" s="1" t="str">
        <f t="shared" si="710"/>
        <v>ND</v>
      </c>
      <c r="X155" s="1" t="str">
        <f t="shared" si="871"/>
        <v>ND</v>
      </c>
      <c r="Y155" s="1" t="str">
        <f t="shared" si="871"/>
        <v>ND</v>
      </c>
      <c r="Z155" s="1" t="str">
        <f t="shared" si="872"/>
        <v>ND</v>
      </c>
      <c r="AA155" s="1" t="str">
        <f t="shared" si="872"/>
        <v>ND</v>
      </c>
      <c r="AB155" s="1" t="str">
        <f t="shared" si="872"/>
        <v>ND</v>
      </c>
      <c r="AC155" s="1" t="str">
        <f t="shared" si="872"/>
        <v>ND</v>
      </c>
      <c r="AD155" s="1" t="str">
        <f t="shared" si="872"/>
        <v>ND</v>
      </c>
      <c r="AE155" s="1" t="str">
        <f t="shared" si="872"/>
        <v>ND</v>
      </c>
      <c r="AF155" s="1" t="str">
        <f t="shared" si="872"/>
        <v>ND</v>
      </c>
      <c r="AG155" s="1" t="str">
        <f t="shared" si="872"/>
        <v>ND</v>
      </c>
      <c r="AH155" s="1" t="str">
        <f t="shared" si="872"/>
        <v>ND</v>
      </c>
      <c r="AI155" s="1" t="str">
        <f t="shared" si="711"/>
        <v>ND</v>
      </c>
      <c r="AJ155" s="1" t="str">
        <f t="shared" si="712"/>
        <v>ND</v>
      </c>
      <c r="AK155" s="1" t="str">
        <f t="shared" si="713"/>
        <v>ND</v>
      </c>
      <c r="AL155" s="1" t="str">
        <f t="shared" si="714"/>
        <v>ND</v>
      </c>
      <c r="AM155" s="1" t="str">
        <f t="shared" si="715"/>
        <v>ND</v>
      </c>
      <c r="AN155" s="1" t="str">
        <f t="shared" si="716"/>
        <v>ND</v>
      </c>
      <c r="AO155" s="1" t="str">
        <f t="shared" si="717"/>
        <v>ND</v>
      </c>
      <c r="AP155" s="1" t="str">
        <f t="shared" si="718"/>
        <v>ND</v>
      </c>
      <c r="AQ155" s="1" t="str">
        <f t="shared" si="719"/>
        <v>ND</v>
      </c>
      <c r="AR155" s="1" t="str">
        <f t="shared" si="720"/>
        <v>ND</v>
      </c>
      <c r="AS155" s="1" t="str">
        <f t="shared" si="721"/>
        <v>ND</v>
      </c>
      <c r="AT155" s="1" t="str">
        <f t="shared" si="722"/>
        <v>ND</v>
      </c>
      <c r="AU155" s="1" t="str">
        <f t="shared" si="723"/>
        <v>ND</v>
      </c>
      <c r="AV155" s="1" t="str">
        <f t="shared" si="724"/>
        <v>ND</v>
      </c>
      <c r="AW155" s="1" t="str">
        <f t="shared" si="725"/>
        <v>ND</v>
      </c>
      <c r="AX155" s="1" t="str">
        <f t="shared" si="726"/>
        <v>ND</v>
      </c>
      <c r="AY155" s="1" t="str">
        <f t="shared" si="727"/>
        <v>ND</v>
      </c>
      <c r="AZ155" s="1" t="str">
        <f t="shared" si="728"/>
        <v>ND</v>
      </c>
      <c r="BA155" s="1" t="str">
        <f t="shared" si="729"/>
        <v>ND</v>
      </c>
      <c r="BB155" s="1" t="str">
        <f t="shared" si="730"/>
        <v>ND</v>
      </c>
      <c r="BC155" s="1" t="str">
        <f t="shared" si="731"/>
        <v>ND</v>
      </c>
      <c r="BD155" s="1" t="str">
        <f t="shared" si="732"/>
        <v>ND</v>
      </c>
      <c r="BE155" s="1" t="str">
        <f t="shared" si="733"/>
        <v>ND</v>
      </c>
      <c r="BF155" s="1" t="str">
        <f t="shared" si="734"/>
        <v>ND</v>
      </c>
      <c r="BG155" s="1" t="str">
        <f t="shared" si="735"/>
        <v>ND</v>
      </c>
      <c r="BH155" s="1" t="str">
        <f t="shared" si="736"/>
        <v>ND</v>
      </c>
      <c r="BI155" s="1" t="str">
        <f t="shared" si="737"/>
        <v>ND</v>
      </c>
      <c r="BJ155" s="1" t="str">
        <f t="shared" si="738"/>
        <v>ND</v>
      </c>
      <c r="BK155" s="1" t="str">
        <f t="shared" si="739"/>
        <v>ND</v>
      </c>
      <c r="BL155" s="1" t="str">
        <f t="shared" si="740"/>
        <v>ND</v>
      </c>
      <c r="BM155" s="1" t="str">
        <f t="shared" si="741"/>
        <v>ND</v>
      </c>
      <c r="BN155" s="1" t="str">
        <f t="shared" si="742"/>
        <v>ND</v>
      </c>
      <c r="BO155" s="1" t="str">
        <f t="shared" si="743"/>
        <v>ND</v>
      </c>
      <c r="BP155" s="1" t="str">
        <f t="shared" si="744"/>
        <v>ND</v>
      </c>
      <c r="BQ155" s="1" t="str">
        <f t="shared" si="745"/>
        <v>ND</v>
      </c>
      <c r="BR155" s="1" t="str">
        <f t="shared" si="746"/>
        <v>ND</v>
      </c>
      <c r="BS155" s="1" t="str">
        <f t="shared" si="747"/>
        <v>ND</v>
      </c>
      <c r="BT155" s="1" t="str">
        <f t="shared" si="748"/>
        <v>ND</v>
      </c>
      <c r="BU155" s="1" t="str">
        <f t="shared" si="749"/>
        <v>ND</v>
      </c>
      <c r="BV155" s="1" t="str">
        <f t="shared" si="750"/>
        <v>ND</v>
      </c>
      <c r="BW155" s="1" t="str">
        <f t="shared" si="751"/>
        <v>ND</v>
      </c>
      <c r="BX155" s="1" t="str">
        <f t="shared" si="752"/>
        <v>ND</v>
      </c>
      <c r="BY155" s="1" t="str">
        <f t="shared" si="753"/>
        <v>ND</v>
      </c>
      <c r="BZ155" s="1" t="str">
        <f t="shared" si="754"/>
        <v>ND</v>
      </c>
      <c r="CA155" s="1" t="str">
        <f t="shared" si="873"/>
        <v>ND</v>
      </c>
      <c r="CB155" s="1" t="str">
        <f t="shared" si="873"/>
        <v>ND</v>
      </c>
      <c r="CC155" s="1" t="str">
        <f t="shared" si="873"/>
        <v>ND</v>
      </c>
      <c r="CD155" s="1" t="str">
        <f t="shared" si="873"/>
        <v>ND</v>
      </c>
      <c r="CE155" s="1" t="str">
        <f t="shared" si="873"/>
        <v>ND</v>
      </c>
      <c r="CF155" s="1" t="str">
        <f t="shared" si="873"/>
        <v>ND</v>
      </c>
      <c r="CG155" s="1" t="str">
        <f t="shared" si="873"/>
        <v>ND</v>
      </c>
      <c r="CH155" s="1" t="str">
        <f t="shared" si="873"/>
        <v>ND</v>
      </c>
      <c r="CI155" s="1" t="str">
        <f t="shared" si="873"/>
        <v>ND</v>
      </c>
      <c r="CJ155" s="1" t="str">
        <f t="shared" si="873"/>
        <v>ND</v>
      </c>
      <c r="CK155" s="1" t="str">
        <f t="shared" si="873"/>
        <v>ND</v>
      </c>
      <c r="CL155" s="1" t="str">
        <f t="shared" si="874"/>
        <v>ND</v>
      </c>
      <c r="CM155" s="1" t="str">
        <f t="shared" si="874"/>
        <v>ND</v>
      </c>
      <c r="CN155" s="1" t="str">
        <f t="shared" si="874"/>
        <v>ND</v>
      </c>
      <c r="CO155" s="1" t="str">
        <f t="shared" si="874"/>
        <v>ND</v>
      </c>
      <c r="CP155" s="1" t="str">
        <f t="shared" si="874"/>
        <v>ND</v>
      </c>
      <c r="CQ155" s="1" t="str">
        <f t="shared" si="874"/>
        <v>ND</v>
      </c>
      <c r="CR155" s="1" t="str">
        <f t="shared" si="874"/>
        <v>ND</v>
      </c>
      <c r="CS155" s="1" t="str">
        <f t="shared" si="874"/>
        <v>ND</v>
      </c>
      <c r="CT155" s="1" t="str">
        <f t="shared" si="874"/>
        <v>ND</v>
      </c>
      <c r="CU155" s="1" t="str">
        <f t="shared" si="874"/>
        <v>ND</v>
      </c>
      <c r="CV155" s="1" t="str">
        <f t="shared" si="874"/>
        <v>ND</v>
      </c>
      <c r="CW155" s="1" t="str">
        <f t="shared" si="755"/>
        <v>ND</v>
      </c>
      <c r="CX155" s="1" t="str">
        <f t="shared" si="756"/>
        <v>ND</v>
      </c>
      <c r="CY155" s="1" t="str">
        <f t="shared" si="757"/>
        <v>ND</v>
      </c>
      <c r="CZ155" s="1" t="str">
        <f t="shared" si="758"/>
        <v>ND</v>
      </c>
      <c r="DA155" s="1" t="str">
        <f t="shared" si="759"/>
        <v>ND</v>
      </c>
      <c r="DB155" s="1" t="str">
        <f t="shared" si="760"/>
        <v>ND</v>
      </c>
      <c r="DC155" s="1" t="str">
        <f t="shared" si="761"/>
        <v>ND</v>
      </c>
      <c r="DD155" s="1" t="str">
        <f t="shared" si="762"/>
        <v>ND</v>
      </c>
      <c r="DE155" s="1" t="str">
        <f t="shared" si="763"/>
        <v>ND</v>
      </c>
      <c r="DF155" s="1" t="str">
        <f t="shared" si="764"/>
        <v>ND</v>
      </c>
      <c r="DG155" s="1" t="str">
        <f t="shared" si="765"/>
        <v>ND</v>
      </c>
      <c r="DH155" s="1" t="str">
        <f t="shared" si="766"/>
        <v>ND</v>
      </c>
      <c r="DI155" s="1" t="str">
        <f t="shared" si="767"/>
        <v>ND</v>
      </c>
      <c r="DJ155" s="1" t="str">
        <f t="shared" si="768"/>
        <v>ND</v>
      </c>
      <c r="DK155" s="1" t="str">
        <f t="shared" si="769"/>
        <v>ND</v>
      </c>
      <c r="DL155" s="1" t="str">
        <f t="shared" si="770"/>
        <v>ND</v>
      </c>
      <c r="DM155" s="1" t="str">
        <f t="shared" si="771"/>
        <v>ND</v>
      </c>
      <c r="DN155" s="1" t="str">
        <f t="shared" si="772"/>
        <v>ND</v>
      </c>
      <c r="DO155" s="1" t="str">
        <f t="shared" si="773"/>
        <v>ND</v>
      </c>
      <c r="DP155" s="1" t="str">
        <f t="shared" si="774"/>
        <v>ND</v>
      </c>
      <c r="DQ155" s="1" t="str">
        <f t="shared" si="775"/>
        <v>ND</v>
      </c>
      <c r="DR155" s="1" t="str">
        <f t="shared" si="776"/>
        <v>ND</v>
      </c>
      <c r="DS155" s="1" t="str">
        <f t="shared" si="777"/>
        <v>ND</v>
      </c>
      <c r="DT155" s="1" t="str">
        <f t="shared" si="778"/>
        <v>ND</v>
      </c>
      <c r="DU155" s="1" t="str">
        <f t="shared" si="779"/>
        <v>ND</v>
      </c>
      <c r="DV155" s="1" t="str">
        <f t="shared" si="780"/>
        <v>ND</v>
      </c>
      <c r="DW155" s="1" t="str">
        <f t="shared" si="781"/>
        <v>ND</v>
      </c>
      <c r="DX155" s="1" t="str">
        <f t="shared" si="782"/>
        <v>ND</v>
      </c>
      <c r="DY155" s="1" t="str">
        <f t="shared" si="783"/>
        <v>ND</v>
      </c>
      <c r="DZ155" s="1" t="str">
        <f t="shared" si="784"/>
        <v>ND</v>
      </c>
      <c r="EA155" s="1" t="str">
        <f t="shared" si="785"/>
        <v>ND</v>
      </c>
      <c r="EB155" s="1" t="str">
        <f t="shared" si="786"/>
        <v>ND</v>
      </c>
      <c r="EC155" s="1" t="str">
        <f t="shared" si="787"/>
        <v>ND</v>
      </c>
      <c r="ED155" s="1" t="str">
        <f t="shared" si="788"/>
        <v>ND</v>
      </c>
      <c r="EE155" s="1" t="str">
        <f t="shared" si="789"/>
        <v>ND</v>
      </c>
      <c r="EF155" s="1" t="str">
        <f t="shared" si="790"/>
        <v>ND</v>
      </c>
      <c r="EG155" s="1" t="str">
        <f t="shared" si="791"/>
        <v>ND</v>
      </c>
      <c r="EH155" s="1" t="str">
        <f t="shared" si="792"/>
        <v>ND</v>
      </c>
      <c r="EI155" s="1" t="str">
        <f t="shared" si="793"/>
        <v>ND</v>
      </c>
      <c r="EJ155" s="1" t="str">
        <f t="shared" si="794"/>
        <v>ND</v>
      </c>
      <c r="EK155" s="1" t="str">
        <f t="shared" si="795"/>
        <v>ND</v>
      </c>
      <c r="EL155" s="1" t="str">
        <f t="shared" si="796"/>
        <v>ND</v>
      </c>
      <c r="EM155" s="1" t="str">
        <f t="shared" si="797"/>
        <v>ND</v>
      </c>
      <c r="EN155" s="1" t="str">
        <f t="shared" si="798"/>
        <v>ND</v>
      </c>
      <c r="EO155" s="1" t="str">
        <f t="shared" si="875"/>
        <v>ND</v>
      </c>
      <c r="EP155" s="1" t="str">
        <f t="shared" si="875"/>
        <v>ND</v>
      </c>
      <c r="EQ155" s="1" t="str">
        <f t="shared" si="875"/>
        <v>ND</v>
      </c>
      <c r="ER155" s="1" t="str">
        <f t="shared" si="875"/>
        <v>ND</v>
      </c>
      <c r="ES155" s="1" t="str">
        <f t="shared" si="875"/>
        <v>ND</v>
      </c>
      <c r="ET155" s="1" t="str">
        <f t="shared" si="875"/>
        <v>ND</v>
      </c>
      <c r="EU155" s="1" t="str">
        <f t="shared" si="875"/>
        <v>ND</v>
      </c>
      <c r="EV155" s="1" t="str">
        <f t="shared" si="875"/>
        <v>ND</v>
      </c>
      <c r="EW155" s="1" t="str">
        <f t="shared" si="875"/>
        <v>ND</v>
      </c>
      <c r="EX155" s="1" t="str">
        <f t="shared" si="875"/>
        <v>ND</v>
      </c>
      <c r="EY155" s="1" t="str">
        <f t="shared" si="875"/>
        <v>ND</v>
      </c>
      <c r="EZ155" s="1" t="str">
        <f t="shared" si="876"/>
        <v>ND</v>
      </c>
      <c r="FA155" s="1" t="str">
        <f t="shared" si="876"/>
        <v>ND</v>
      </c>
      <c r="FB155" s="1" t="str">
        <f t="shared" si="876"/>
        <v>ND</v>
      </c>
      <c r="FC155" s="1" t="str">
        <f t="shared" si="876"/>
        <v>ND</v>
      </c>
      <c r="FD155" s="1" t="str">
        <f t="shared" si="876"/>
        <v>ND</v>
      </c>
      <c r="FE155" s="1" t="str">
        <f t="shared" si="876"/>
        <v>ND</v>
      </c>
      <c r="FF155" s="1" t="str">
        <f t="shared" si="876"/>
        <v>ND</v>
      </c>
      <c r="FG155" s="1" t="str">
        <f t="shared" si="876"/>
        <v>ND</v>
      </c>
      <c r="FH155" s="1" t="str">
        <f t="shared" si="876"/>
        <v>ND</v>
      </c>
      <c r="FI155" s="1" t="str">
        <f t="shared" si="876"/>
        <v>ND</v>
      </c>
      <c r="FJ155" s="1" t="str">
        <f t="shared" si="876"/>
        <v>ND</v>
      </c>
      <c r="FK155" s="1" t="str">
        <f t="shared" si="877"/>
        <v>ND</v>
      </c>
      <c r="FL155" s="1" t="str">
        <f t="shared" si="877"/>
        <v>ND</v>
      </c>
      <c r="FM155" s="1" t="str">
        <f t="shared" si="877"/>
        <v>ND</v>
      </c>
      <c r="FN155" s="1" t="str">
        <f t="shared" si="877"/>
        <v>ND</v>
      </c>
      <c r="FO155" s="1" t="str">
        <f t="shared" si="877"/>
        <v>ND</v>
      </c>
      <c r="FP155" s="1" t="str">
        <f t="shared" si="877"/>
        <v>ND</v>
      </c>
      <c r="FQ155" s="1" t="str">
        <f t="shared" si="877"/>
        <v>ND</v>
      </c>
      <c r="FR155" s="1" t="str">
        <f t="shared" si="877"/>
        <v>ND</v>
      </c>
      <c r="FS155" s="1" t="str">
        <f t="shared" si="877"/>
        <v>ND</v>
      </c>
      <c r="FT155" s="1" t="str">
        <f t="shared" si="877"/>
        <v>ND</v>
      </c>
      <c r="FU155" s="1" t="str">
        <f t="shared" si="877"/>
        <v>ND</v>
      </c>
      <c r="FV155" s="1" t="str">
        <f t="shared" si="799"/>
        <v>ND</v>
      </c>
      <c r="FW155" s="1" t="str">
        <f t="shared" si="800"/>
        <v>ND</v>
      </c>
      <c r="FX155" s="1" t="str">
        <f t="shared" si="801"/>
        <v>ND</v>
      </c>
      <c r="FY155" s="1" t="str">
        <f t="shared" si="802"/>
        <v>ND</v>
      </c>
      <c r="FZ155" s="1" t="str">
        <f t="shared" si="803"/>
        <v>ND</v>
      </c>
      <c r="GA155" s="1" t="str">
        <f t="shared" si="804"/>
        <v>ND</v>
      </c>
      <c r="GB155" s="1" t="str">
        <f t="shared" si="805"/>
        <v>ND</v>
      </c>
      <c r="GC155" s="1" t="str">
        <f t="shared" si="806"/>
        <v>ND</v>
      </c>
      <c r="GD155" s="1" t="str">
        <f t="shared" si="807"/>
        <v>ND</v>
      </c>
      <c r="GE155" s="1" t="str">
        <f t="shared" si="808"/>
        <v>ND</v>
      </c>
      <c r="GF155" s="1" t="str">
        <f t="shared" si="809"/>
        <v>ND</v>
      </c>
      <c r="GG155" s="1" t="str">
        <f t="shared" si="810"/>
        <v>ND</v>
      </c>
      <c r="GH155" s="1" t="str">
        <f t="shared" si="811"/>
        <v>ND</v>
      </c>
      <c r="GI155" s="1" t="str">
        <f t="shared" si="812"/>
        <v>ND</v>
      </c>
      <c r="GJ155" s="1" t="str">
        <f t="shared" si="813"/>
        <v>ND</v>
      </c>
      <c r="GK155" s="1" t="str">
        <f t="shared" si="814"/>
        <v>ND</v>
      </c>
      <c r="GL155" s="1" t="str">
        <f t="shared" si="815"/>
        <v>ND</v>
      </c>
      <c r="GM155" s="1" t="str">
        <f t="shared" si="816"/>
        <v>ND</v>
      </c>
      <c r="GN155" s="1" t="str">
        <f t="shared" si="817"/>
        <v>ND</v>
      </c>
      <c r="GO155" s="1" t="str">
        <f t="shared" si="818"/>
        <v>ND</v>
      </c>
      <c r="GP155" s="1" t="str">
        <f t="shared" si="819"/>
        <v>ND</v>
      </c>
      <c r="GQ155" s="1" t="str">
        <f t="shared" si="820"/>
        <v>ND</v>
      </c>
      <c r="GR155" s="1" t="str">
        <f t="shared" si="821"/>
        <v>ND</v>
      </c>
      <c r="GS155" s="1" t="str">
        <f t="shared" si="822"/>
        <v>ND</v>
      </c>
      <c r="GT155" s="1" t="str">
        <f t="shared" si="823"/>
        <v>ND</v>
      </c>
      <c r="GU155" s="1" t="str">
        <f t="shared" si="824"/>
        <v>ND</v>
      </c>
      <c r="GV155" s="1" t="str">
        <f t="shared" si="825"/>
        <v>ND</v>
      </c>
      <c r="GW155" s="1" t="str">
        <f t="shared" si="826"/>
        <v>ND</v>
      </c>
      <c r="GX155" s="1" t="str">
        <f t="shared" si="827"/>
        <v>ND</v>
      </c>
      <c r="GY155" s="1" t="str">
        <f t="shared" si="828"/>
        <v>ND</v>
      </c>
      <c r="GZ155" s="1" t="str">
        <f t="shared" si="829"/>
        <v>ND</v>
      </c>
      <c r="HA155" s="1" t="str">
        <f t="shared" si="830"/>
        <v>ND</v>
      </c>
      <c r="HB155" s="1" t="str">
        <f t="shared" si="831"/>
        <v>ND</v>
      </c>
      <c r="HC155" s="1" t="str">
        <f t="shared" si="832"/>
        <v>ND</v>
      </c>
      <c r="HD155" s="1" t="str">
        <f t="shared" si="833"/>
        <v>ND</v>
      </c>
      <c r="HE155" s="1" t="str">
        <f t="shared" si="834"/>
        <v>ND</v>
      </c>
      <c r="HF155" s="1" t="str">
        <f t="shared" si="835"/>
        <v>ND</v>
      </c>
      <c r="HG155" s="1" t="str">
        <f t="shared" si="836"/>
        <v>ND</v>
      </c>
      <c r="HH155" s="1" t="str">
        <f t="shared" si="837"/>
        <v>ND</v>
      </c>
      <c r="HI155" s="1" t="str">
        <f t="shared" si="838"/>
        <v>ND</v>
      </c>
      <c r="HJ155" s="1" t="str">
        <f t="shared" si="839"/>
        <v>ND</v>
      </c>
      <c r="HK155" s="1" t="str">
        <f t="shared" si="840"/>
        <v>ND</v>
      </c>
      <c r="HL155" s="1" t="str">
        <f t="shared" si="841"/>
        <v>ND</v>
      </c>
      <c r="HM155" s="1" t="str">
        <f t="shared" si="842"/>
        <v>ND</v>
      </c>
      <c r="HN155" s="1" t="str">
        <f t="shared" si="843"/>
        <v>ND</v>
      </c>
      <c r="HO155" s="1" t="str">
        <f t="shared" si="844"/>
        <v>ND</v>
      </c>
      <c r="HP155" s="1" t="str">
        <f t="shared" si="845"/>
        <v>ND</v>
      </c>
      <c r="HQ155" s="1" t="str">
        <f t="shared" si="846"/>
        <v>ND</v>
      </c>
      <c r="HR155" s="1" t="str">
        <f t="shared" si="847"/>
        <v>ND</v>
      </c>
      <c r="HS155" s="1" t="str">
        <f t="shared" si="848"/>
        <v>ND</v>
      </c>
      <c r="HT155" s="1" t="str">
        <f t="shared" si="849"/>
        <v>ND</v>
      </c>
      <c r="HU155" s="1" t="str">
        <f t="shared" si="850"/>
        <v>ND</v>
      </c>
      <c r="HV155" s="1" t="str">
        <f t="shared" si="851"/>
        <v>ND</v>
      </c>
      <c r="HW155" s="1" t="str">
        <f t="shared" si="852"/>
        <v>ND</v>
      </c>
      <c r="HX155" s="1" t="str">
        <f t="shared" si="853"/>
        <v>ND</v>
      </c>
      <c r="HY155" s="1" t="str">
        <f t="shared" si="854"/>
        <v>ND</v>
      </c>
      <c r="HZ155" s="1" t="str">
        <f t="shared" si="855"/>
        <v>ND</v>
      </c>
      <c r="IA155" s="1" t="str">
        <f t="shared" si="856"/>
        <v>ND</v>
      </c>
      <c r="IB155" s="1" t="str">
        <f t="shared" si="857"/>
        <v>ND</v>
      </c>
      <c r="IC155" s="1" t="str">
        <f t="shared" si="858"/>
        <v>ND</v>
      </c>
      <c r="ID155" s="1" t="str">
        <f t="shared" si="859"/>
        <v>ND</v>
      </c>
      <c r="IE155" s="1" t="str">
        <f t="shared" si="860"/>
        <v>ND</v>
      </c>
      <c r="IF155" s="1" t="str">
        <f t="shared" si="861"/>
        <v>ND</v>
      </c>
      <c r="IG155" s="1" t="str">
        <f t="shared" si="862"/>
        <v>ND</v>
      </c>
      <c r="IH155" s="1" t="str">
        <f t="shared" si="863"/>
        <v>ND</v>
      </c>
      <c r="II155" s="1" t="str">
        <f t="shared" si="864"/>
        <v>ND</v>
      </c>
    </row>
    <row r="156" spans="3:243" x14ac:dyDescent="0.25">
      <c r="C156" t="s">
        <v>12</v>
      </c>
      <c r="D156">
        <f>SUMIFS(DICCIONARIO[Cantidad],DICCIONARIO[Modelo],UNIFICADA[[#This Row],[Equipo]])</f>
        <v>0</v>
      </c>
      <c r="E156" s="1">
        <f>IFERROR(VLOOKUP($C156,EQUIPOS[],UNIFICADO!E$9,0),"")</f>
        <v>15</v>
      </c>
      <c r="F156" s="1">
        <f>IFERROR(VLOOKUP($C156,EQUIPOS[],UNIFICADO!F$9,0),"")</f>
        <v>6.1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256GB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3</v>
      </c>
      <c r="O156" s="1">
        <f>IFERROR(VLOOKUP($C156,EQUIPOS[],UNIFICADO!O$9,0),"")</f>
        <v>204</v>
      </c>
      <c r="P156" s="1">
        <f>IFERROR(VLOOKUP($C156,EQUIPOS[],UNIFICADO!P$9,0),"")</f>
        <v>14.6</v>
      </c>
      <c r="Q156" s="1">
        <f>IFERROR(VLOOKUP($C156,EQUIPOS[],UNIFICADO!Q$9,0),"")</f>
        <v>7.15</v>
      </c>
      <c r="R156" s="1">
        <f>IFERROR(VLOOKUP($C156,EQUIPOS[],UNIFICADO!R$9,0),"")</f>
        <v>0.77</v>
      </c>
      <c r="S156" s="1">
        <f>IFERROR(VLOOKUP($C156,EQUIPOS[],UNIFICADO!S$9,0),"")</f>
        <v>3095</v>
      </c>
      <c r="T156" s="1">
        <f>IFERROR(VLOOKUP($C156,EQUIPOS[],UNIFICADO!T$9,0),"")</f>
        <v>5</v>
      </c>
      <c r="U156" s="1">
        <f>VLOOKUP(UNIFICADA[[#This Row],[Equipo]],EQUIPOS[],19,0)</f>
        <v>146</v>
      </c>
      <c r="V156" s="1" t="str">
        <f t="shared" si="709"/>
        <v>ND</v>
      </c>
      <c r="W156" s="1" t="str">
        <f t="shared" si="710"/>
        <v>ND</v>
      </c>
      <c r="X156" s="1" t="str">
        <f t="shared" si="871"/>
        <v>ND</v>
      </c>
      <c r="Y156" s="1" t="str">
        <f t="shared" si="871"/>
        <v>ND</v>
      </c>
      <c r="Z156" s="1" t="str">
        <f t="shared" si="872"/>
        <v>ND</v>
      </c>
      <c r="AA156" s="1" t="str">
        <f t="shared" si="872"/>
        <v>ND</v>
      </c>
      <c r="AB156" s="1" t="str">
        <f t="shared" si="872"/>
        <v>ND</v>
      </c>
      <c r="AC156" s="1" t="str">
        <f t="shared" si="872"/>
        <v>ND</v>
      </c>
      <c r="AD156" s="1" t="str">
        <f t="shared" si="872"/>
        <v>ND</v>
      </c>
      <c r="AE156" s="1" t="str">
        <f t="shared" si="872"/>
        <v>ND</v>
      </c>
      <c r="AF156" s="1" t="str">
        <f t="shared" si="872"/>
        <v>ND</v>
      </c>
      <c r="AG156" s="1" t="str">
        <f t="shared" si="872"/>
        <v>ND</v>
      </c>
      <c r="AH156" s="1" t="str">
        <f t="shared" si="872"/>
        <v>ND</v>
      </c>
      <c r="AI156" s="1" t="str">
        <f t="shared" si="711"/>
        <v>ND</v>
      </c>
      <c r="AJ156" s="1" t="str">
        <f t="shared" si="712"/>
        <v>ND</v>
      </c>
      <c r="AK156" s="1" t="str">
        <f t="shared" si="713"/>
        <v>ND</v>
      </c>
      <c r="AL156" s="1" t="str">
        <f t="shared" si="714"/>
        <v>ND</v>
      </c>
      <c r="AM156" s="1" t="str">
        <f t="shared" si="715"/>
        <v>ND</v>
      </c>
      <c r="AN156" s="1" t="str">
        <f t="shared" si="716"/>
        <v>ND</v>
      </c>
      <c r="AO156" s="1" t="str">
        <f t="shared" si="717"/>
        <v>ND</v>
      </c>
      <c r="AP156" s="1" t="str">
        <f t="shared" si="718"/>
        <v>ND</v>
      </c>
      <c r="AQ156" s="1" t="str">
        <f t="shared" si="719"/>
        <v>ND</v>
      </c>
      <c r="AR156" s="1" t="str">
        <f t="shared" si="720"/>
        <v>ND</v>
      </c>
      <c r="AS156" s="1" t="str">
        <f t="shared" si="721"/>
        <v>ND</v>
      </c>
      <c r="AT156" s="1" t="str">
        <f t="shared" si="722"/>
        <v>ND</v>
      </c>
      <c r="AU156" s="1" t="str">
        <f t="shared" si="723"/>
        <v>ND</v>
      </c>
      <c r="AV156" s="1" t="str">
        <f t="shared" si="724"/>
        <v>ND</v>
      </c>
      <c r="AW156" s="1" t="str">
        <f t="shared" si="725"/>
        <v>ND</v>
      </c>
      <c r="AX156" s="1" t="str">
        <f t="shared" si="726"/>
        <v>ND</v>
      </c>
      <c r="AY156" s="1" t="str">
        <f t="shared" si="727"/>
        <v>ND</v>
      </c>
      <c r="AZ156" s="1" t="str">
        <f t="shared" si="728"/>
        <v>ND</v>
      </c>
      <c r="BA156" s="1" t="str">
        <f t="shared" si="729"/>
        <v>ND</v>
      </c>
      <c r="BB156" s="1" t="str">
        <f t="shared" si="730"/>
        <v>ND</v>
      </c>
      <c r="BC156" s="1" t="str">
        <f t="shared" si="731"/>
        <v>ND</v>
      </c>
      <c r="BD156" s="1" t="str">
        <f t="shared" si="732"/>
        <v>ND</v>
      </c>
      <c r="BE156" s="1" t="str">
        <f t="shared" si="733"/>
        <v>ND</v>
      </c>
      <c r="BF156" s="1" t="str">
        <f t="shared" si="734"/>
        <v>ND</v>
      </c>
      <c r="BG156" s="1" t="str">
        <f t="shared" si="735"/>
        <v>ND</v>
      </c>
      <c r="BH156" s="1" t="str">
        <f t="shared" si="736"/>
        <v>ND</v>
      </c>
      <c r="BI156" s="1" t="str">
        <f t="shared" si="737"/>
        <v>ND</v>
      </c>
      <c r="BJ156" s="1" t="str">
        <f t="shared" si="738"/>
        <v>ND</v>
      </c>
      <c r="BK156" s="1" t="str">
        <f t="shared" si="739"/>
        <v>ND</v>
      </c>
      <c r="BL156" s="1" t="str">
        <f t="shared" si="740"/>
        <v>ND</v>
      </c>
      <c r="BM156" s="1" t="str">
        <f t="shared" si="741"/>
        <v>ND</v>
      </c>
      <c r="BN156" s="1" t="str">
        <f t="shared" si="742"/>
        <v>ND</v>
      </c>
      <c r="BO156" s="1" t="str">
        <f t="shared" si="743"/>
        <v>ND</v>
      </c>
      <c r="BP156" s="1" t="str">
        <f t="shared" si="744"/>
        <v>ND</v>
      </c>
      <c r="BQ156" s="1" t="str">
        <f t="shared" si="745"/>
        <v>ND</v>
      </c>
      <c r="BR156" s="1" t="str">
        <f t="shared" si="746"/>
        <v>ND</v>
      </c>
      <c r="BS156" s="1" t="str">
        <f t="shared" si="747"/>
        <v>ND</v>
      </c>
      <c r="BT156" s="1" t="str">
        <f t="shared" si="748"/>
        <v>ND</v>
      </c>
      <c r="BU156" s="1" t="str">
        <f t="shared" si="749"/>
        <v>ND</v>
      </c>
      <c r="BV156" s="1" t="str">
        <f t="shared" si="750"/>
        <v>ND</v>
      </c>
      <c r="BW156" s="1" t="str">
        <f t="shared" si="751"/>
        <v>ND</v>
      </c>
      <c r="BX156" s="1" t="str">
        <f t="shared" si="752"/>
        <v>ND</v>
      </c>
      <c r="BY156" s="1" t="str">
        <f t="shared" si="753"/>
        <v>ND</v>
      </c>
      <c r="BZ156" s="1" t="str">
        <f t="shared" si="754"/>
        <v>ND</v>
      </c>
      <c r="CA156" s="1" t="str">
        <f t="shared" si="873"/>
        <v>ND</v>
      </c>
      <c r="CB156" s="1" t="str">
        <f t="shared" si="873"/>
        <v>ND</v>
      </c>
      <c r="CC156" s="1" t="str">
        <f t="shared" si="873"/>
        <v>ND</v>
      </c>
      <c r="CD156" s="1" t="str">
        <f t="shared" si="873"/>
        <v>ND</v>
      </c>
      <c r="CE156" s="1" t="str">
        <f t="shared" si="873"/>
        <v>ND</v>
      </c>
      <c r="CF156" s="1" t="str">
        <f t="shared" si="873"/>
        <v>ND</v>
      </c>
      <c r="CG156" s="1" t="str">
        <f t="shared" si="873"/>
        <v>ND</v>
      </c>
      <c r="CH156" s="1" t="str">
        <f t="shared" si="873"/>
        <v>ND</v>
      </c>
      <c r="CI156" s="1" t="str">
        <f t="shared" si="873"/>
        <v>ND</v>
      </c>
      <c r="CJ156" s="1" t="str">
        <f t="shared" si="873"/>
        <v>ND</v>
      </c>
      <c r="CK156" s="1" t="str">
        <f t="shared" si="873"/>
        <v>ND</v>
      </c>
      <c r="CL156" s="1" t="str">
        <f t="shared" si="874"/>
        <v>ND</v>
      </c>
      <c r="CM156" s="1" t="str">
        <f t="shared" si="874"/>
        <v>ND</v>
      </c>
      <c r="CN156" s="1" t="str">
        <f t="shared" si="874"/>
        <v>ND</v>
      </c>
      <c r="CO156" s="1" t="str">
        <f t="shared" si="874"/>
        <v>ND</v>
      </c>
      <c r="CP156" s="1" t="str">
        <f t="shared" si="874"/>
        <v>ND</v>
      </c>
      <c r="CQ156" s="1" t="str">
        <f t="shared" si="874"/>
        <v>ND</v>
      </c>
      <c r="CR156" s="1" t="str">
        <f t="shared" si="874"/>
        <v>ND</v>
      </c>
      <c r="CS156" s="1" t="str">
        <f t="shared" si="874"/>
        <v>ND</v>
      </c>
      <c r="CT156" s="1" t="str">
        <f t="shared" si="874"/>
        <v>ND</v>
      </c>
      <c r="CU156" s="1" t="str">
        <f t="shared" si="874"/>
        <v>ND</v>
      </c>
      <c r="CV156" s="1" t="str">
        <f t="shared" si="874"/>
        <v>ND</v>
      </c>
      <c r="CW156" s="1" t="str">
        <f t="shared" si="755"/>
        <v>ND</v>
      </c>
      <c r="CX156" s="1" t="str">
        <f t="shared" si="756"/>
        <v>ND</v>
      </c>
      <c r="CY156" s="1" t="str">
        <f t="shared" si="757"/>
        <v>ND</v>
      </c>
      <c r="CZ156" s="1" t="str">
        <f t="shared" si="758"/>
        <v>ND</v>
      </c>
      <c r="DA156" s="1" t="str">
        <f t="shared" si="759"/>
        <v>ND</v>
      </c>
      <c r="DB156" s="1" t="str">
        <f t="shared" si="760"/>
        <v>ND</v>
      </c>
      <c r="DC156" s="1" t="str">
        <f t="shared" si="761"/>
        <v>ND</v>
      </c>
      <c r="DD156" s="1" t="str">
        <f t="shared" si="762"/>
        <v>ND</v>
      </c>
      <c r="DE156" s="1" t="str">
        <f t="shared" si="763"/>
        <v>ND</v>
      </c>
      <c r="DF156" s="1" t="str">
        <f t="shared" si="764"/>
        <v>ND</v>
      </c>
      <c r="DG156" s="1" t="str">
        <f t="shared" si="765"/>
        <v>ND</v>
      </c>
      <c r="DH156" s="1" t="str">
        <f t="shared" si="766"/>
        <v>ND</v>
      </c>
      <c r="DI156" s="1" t="str">
        <f t="shared" si="767"/>
        <v>ND</v>
      </c>
      <c r="DJ156" s="1" t="str">
        <f t="shared" si="768"/>
        <v>ND</v>
      </c>
      <c r="DK156" s="1" t="str">
        <f t="shared" si="769"/>
        <v>ND</v>
      </c>
      <c r="DL156" s="1" t="str">
        <f t="shared" si="770"/>
        <v>ND</v>
      </c>
      <c r="DM156" s="1" t="str">
        <f t="shared" si="771"/>
        <v>ND</v>
      </c>
      <c r="DN156" s="1" t="str">
        <f t="shared" si="772"/>
        <v>ND</v>
      </c>
      <c r="DO156" s="1" t="str">
        <f t="shared" si="773"/>
        <v>ND</v>
      </c>
      <c r="DP156" s="1" t="str">
        <f t="shared" si="774"/>
        <v>ND</v>
      </c>
      <c r="DQ156" s="1" t="str">
        <f t="shared" si="775"/>
        <v>ND</v>
      </c>
      <c r="DR156" s="1" t="str">
        <f t="shared" si="776"/>
        <v>ND</v>
      </c>
      <c r="DS156" s="1" t="str">
        <f t="shared" si="777"/>
        <v>ND</v>
      </c>
      <c r="DT156" s="1" t="str">
        <f t="shared" si="778"/>
        <v>ND</v>
      </c>
      <c r="DU156" s="1" t="str">
        <f t="shared" si="779"/>
        <v>ND</v>
      </c>
      <c r="DV156" s="1" t="str">
        <f t="shared" si="780"/>
        <v>ND</v>
      </c>
      <c r="DW156" s="1" t="str">
        <f t="shared" si="781"/>
        <v>ND</v>
      </c>
      <c r="DX156" s="1" t="str">
        <f t="shared" si="782"/>
        <v>ND</v>
      </c>
      <c r="DY156" s="1" t="str">
        <f t="shared" si="783"/>
        <v>ND</v>
      </c>
      <c r="DZ156" s="1" t="str">
        <f t="shared" si="784"/>
        <v>ND</v>
      </c>
      <c r="EA156" s="1" t="str">
        <f t="shared" si="785"/>
        <v>ND</v>
      </c>
      <c r="EB156" s="1" t="str">
        <f t="shared" si="786"/>
        <v>ND</v>
      </c>
      <c r="EC156" s="1" t="str">
        <f t="shared" si="787"/>
        <v>ND</v>
      </c>
      <c r="ED156" s="1" t="str">
        <f t="shared" si="788"/>
        <v>ND</v>
      </c>
      <c r="EE156" s="1" t="str">
        <f t="shared" si="789"/>
        <v>ND</v>
      </c>
      <c r="EF156" s="1" t="str">
        <f t="shared" si="790"/>
        <v>ND</v>
      </c>
      <c r="EG156" s="1" t="str">
        <f t="shared" si="791"/>
        <v>ND</v>
      </c>
      <c r="EH156" s="1" t="str">
        <f t="shared" si="792"/>
        <v>ND</v>
      </c>
      <c r="EI156" s="1" t="str">
        <f t="shared" si="793"/>
        <v>ND</v>
      </c>
      <c r="EJ156" s="1" t="str">
        <f t="shared" si="794"/>
        <v>ND</v>
      </c>
      <c r="EK156" s="1" t="str">
        <f t="shared" si="795"/>
        <v>ND</v>
      </c>
      <c r="EL156" s="1" t="str">
        <f t="shared" si="796"/>
        <v>ND</v>
      </c>
      <c r="EM156" s="1" t="str">
        <f t="shared" si="797"/>
        <v>ND</v>
      </c>
      <c r="EN156" s="1" t="str">
        <f t="shared" si="798"/>
        <v>ND</v>
      </c>
      <c r="EO156" s="1" t="str">
        <f t="shared" si="875"/>
        <v>ND</v>
      </c>
      <c r="EP156" s="1" t="str">
        <f t="shared" si="875"/>
        <v>ND</v>
      </c>
      <c r="EQ156" s="1" t="str">
        <f t="shared" si="875"/>
        <v>ND</v>
      </c>
      <c r="ER156" s="1" t="str">
        <f t="shared" si="875"/>
        <v>ND</v>
      </c>
      <c r="ES156" s="1" t="str">
        <f t="shared" si="875"/>
        <v>ND</v>
      </c>
      <c r="ET156" s="1" t="str">
        <f t="shared" si="875"/>
        <v>ND</v>
      </c>
      <c r="EU156" s="1" t="str">
        <f t="shared" si="875"/>
        <v>ND</v>
      </c>
      <c r="EV156" s="1" t="str">
        <f t="shared" si="875"/>
        <v>ND</v>
      </c>
      <c r="EW156" s="1" t="str">
        <f t="shared" si="875"/>
        <v>ND</v>
      </c>
      <c r="EX156" s="1" t="str">
        <f t="shared" si="875"/>
        <v>ND</v>
      </c>
      <c r="EY156" s="1" t="str">
        <f t="shared" si="875"/>
        <v>ND</v>
      </c>
      <c r="EZ156" s="1" t="str">
        <f t="shared" si="876"/>
        <v>ND</v>
      </c>
      <c r="FA156" s="1" t="str">
        <f t="shared" si="876"/>
        <v>ND</v>
      </c>
      <c r="FB156" s="1" t="str">
        <f t="shared" si="876"/>
        <v>ND</v>
      </c>
      <c r="FC156" s="1" t="str">
        <f t="shared" si="876"/>
        <v>ND</v>
      </c>
      <c r="FD156" s="1" t="str">
        <f t="shared" si="876"/>
        <v>ND</v>
      </c>
      <c r="FE156" s="1" t="str">
        <f t="shared" si="876"/>
        <v>ND</v>
      </c>
      <c r="FF156" s="1" t="str">
        <f t="shared" si="876"/>
        <v>ND</v>
      </c>
      <c r="FG156" s="1" t="str">
        <f t="shared" si="876"/>
        <v>ND</v>
      </c>
      <c r="FH156" s="1" t="str">
        <f t="shared" si="876"/>
        <v>ND</v>
      </c>
      <c r="FI156" s="1" t="str">
        <f t="shared" si="876"/>
        <v>ND</v>
      </c>
      <c r="FJ156" s="1" t="str">
        <f t="shared" si="876"/>
        <v>ND</v>
      </c>
      <c r="FK156" s="1" t="str">
        <f t="shared" si="877"/>
        <v>ND</v>
      </c>
      <c r="FL156" s="1" t="str">
        <f t="shared" si="877"/>
        <v>ND</v>
      </c>
      <c r="FM156" s="1" t="str">
        <f t="shared" si="877"/>
        <v>ND</v>
      </c>
      <c r="FN156" s="1" t="str">
        <f t="shared" si="877"/>
        <v>ND</v>
      </c>
      <c r="FO156" s="1" t="str">
        <f t="shared" si="877"/>
        <v>ND</v>
      </c>
      <c r="FP156" s="1" t="str">
        <f t="shared" si="877"/>
        <v>ND</v>
      </c>
      <c r="FQ156" s="1" t="str">
        <f t="shared" si="877"/>
        <v>ND</v>
      </c>
      <c r="FR156" s="1" t="str">
        <f t="shared" si="877"/>
        <v>ND</v>
      </c>
      <c r="FS156" s="1" t="str">
        <f t="shared" si="877"/>
        <v>ND</v>
      </c>
      <c r="FT156" s="1" t="str">
        <f t="shared" si="877"/>
        <v>ND</v>
      </c>
      <c r="FU156" s="1" t="str">
        <f t="shared" si="877"/>
        <v>ND</v>
      </c>
      <c r="FV156" s="1" t="str">
        <f t="shared" si="799"/>
        <v>ND</v>
      </c>
      <c r="FW156" s="1" t="str">
        <f t="shared" si="800"/>
        <v>ND</v>
      </c>
      <c r="FX156" s="1" t="str">
        <f t="shared" si="801"/>
        <v>ND</v>
      </c>
      <c r="FY156" s="1" t="str">
        <f t="shared" si="802"/>
        <v>ND</v>
      </c>
      <c r="FZ156" s="1" t="str">
        <f t="shared" si="803"/>
        <v>ND</v>
      </c>
      <c r="GA156" s="1" t="str">
        <f t="shared" si="804"/>
        <v>ND</v>
      </c>
      <c r="GB156" s="1" t="str">
        <f t="shared" si="805"/>
        <v>ND</v>
      </c>
      <c r="GC156" s="1" t="str">
        <f t="shared" si="806"/>
        <v>ND</v>
      </c>
      <c r="GD156" s="1" t="str">
        <f t="shared" si="807"/>
        <v>ND</v>
      </c>
      <c r="GE156" s="1" t="str">
        <f t="shared" si="808"/>
        <v>ND</v>
      </c>
      <c r="GF156" s="1" t="str">
        <f t="shared" si="809"/>
        <v>ND</v>
      </c>
      <c r="GG156" s="1" t="str">
        <f t="shared" si="810"/>
        <v>ND</v>
      </c>
      <c r="GH156" s="1" t="str">
        <f t="shared" si="811"/>
        <v>ND</v>
      </c>
      <c r="GI156" s="1" t="str">
        <f t="shared" si="812"/>
        <v>ND</v>
      </c>
      <c r="GJ156" s="1" t="str">
        <f t="shared" si="813"/>
        <v>ND</v>
      </c>
      <c r="GK156" s="1" t="str">
        <f t="shared" si="814"/>
        <v>ND</v>
      </c>
      <c r="GL156" s="1" t="str">
        <f t="shared" si="815"/>
        <v>ND</v>
      </c>
      <c r="GM156" s="1" t="str">
        <f t="shared" si="816"/>
        <v>ND</v>
      </c>
      <c r="GN156" s="1" t="str">
        <f t="shared" si="817"/>
        <v>ND</v>
      </c>
      <c r="GO156" s="1" t="str">
        <f t="shared" si="818"/>
        <v>ND</v>
      </c>
      <c r="GP156" s="1" t="str">
        <f t="shared" si="819"/>
        <v>ND</v>
      </c>
      <c r="GQ156" s="1" t="str">
        <f t="shared" si="820"/>
        <v>ND</v>
      </c>
      <c r="GR156" s="1" t="str">
        <f t="shared" si="821"/>
        <v>ND</v>
      </c>
      <c r="GS156" s="1" t="str">
        <f t="shared" si="822"/>
        <v>ND</v>
      </c>
      <c r="GT156" s="1" t="str">
        <f t="shared" si="823"/>
        <v>ND</v>
      </c>
      <c r="GU156" s="1" t="str">
        <f t="shared" si="824"/>
        <v>ND</v>
      </c>
      <c r="GV156" s="1" t="str">
        <f t="shared" si="825"/>
        <v>ND</v>
      </c>
      <c r="GW156" s="1" t="str">
        <f t="shared" si="826"/>
        <v>ND</v>
      </c>
      <c r="GX156" s="1" t="str">
        <f t="shared" si="827"/>
        <v>ND</v>
      </c>
      <c r="GY156" s="1" t="str">
        <f t="shared" si="828"/>
        <v>ND</v>
      </c>
      <c r="GZ156" s="1" t="str">
        <f t="shared" si="829"/>
        <v>ND</v>
      </c>
      <c r="HA156" s="1" t="str">
        <f t="shared" si="830"/>
        <v>ND</v>
      </c>
      <c r="HB156" s="1" t="str">
        <f t="shared" si="831"/>
        <v>ND</v>
      </c>
      <c r="HC156" s="1" t="str">
        <f t="shared" si="832"/>
        <v>ND</v>
      </c>
      <c r="HD156" s="1" t="str">
        <f t="shared" si="833"/>
        <v>ND</v>
      </c>
      <c r="HE156" s="1" t="str">
        <f t="shared" si="834"/>
        <v>ND</v>
      </c>
      <c r="HF156" s="1" t="str">
        <f t="shared" si="835"/>
        <v>ND</v>
      </c>
      <c r="HG156" s="1" t="str">
        <f t="shared" si="836"/>
        <v>ND</v>
      </c>
      <c r="HH156" s="1" t="str">
        <f t="shared" si="837"/>
        <v>ND</v>
      </c>
      <c r="HI156" s="1" t="str">
        <f t="shared" si="838"/>
        <v>ND</v>
      </c>
      <c r="HJ156" s="1" t="str">
        <f t="shared" si="839"/>
        <v>ND</v>
      </c>
      <c r="HK156" s="1" t="str">
        <f t="shared" si="840"/>
        <v>ND</v>
      </c>
      <c r="HL156" s="1" t="str">
        <f t="shared" si="841"/>
        <v>ND</v>
      </c>
      <c r="HM156" s="1" t="str">
        <f t="shared" si="842"/>
        <v>ND</v>
      </c>
      <c r="HN156" s="1" t="str">
        <f t="shared" si="843"/>
        <v>ND</v>
      </c>
      <c r="HO156" s="1" t="str">
        <f t="shared" si="844"/>
        <v>ND</v>
      </c>
      <c r="HP156" s="1" t="str">
        <f t="shared" si="845"/>
        <v>ND</v>
      </c>
      <c r="HQ156" s="1" t="str">
        <f t="shared" si="846"/>
        <v>ND</v>
      </c>
      <c r="HR156" s="1" t="str">
        <f t="shared" si="847"/>
        <v>ND</v>
      </c>
      <c r="HS156" s="1" t="str">
        <f t="shared" si="848"/>
        <v>ND</v>
      </c>
      <c r="HT156" s="1" t="str">
        <f t="shared" si="849"/>
        <v>ND</v>
      </c>
      <c r="HU156" s="1" t="str">
        <f t="shared" si="850"/>
        <v>ND</v>
      </c>
      <c r="HV156" s="1" t="str">
        <f t="shared" si="851"/>
        <v>ND</v>
      </c>
      <c r="HW156" s="1" t="str">
        <f t="shared" si="852"/>
        <v>ND</v>
      </c>
      <c r="HX156" s="1" t="str">
        <f t="shared" si="853"/>
        <v>ND</v>
      </c>
      <c r="HY156" s="1" t="str">
        <f t="shared" si="854"/>
        <v>ND</v>
      </c>
      <c r="HZ156" s="1" t="str">
        <f t="shared" si="855"/>
        <v>ND</v>
      </c>
      <c r="IA156" s="1" t="str">
        <f t="shared" si="856"/>
        <v>ND</v>
      </c>
      <c r="IB156" s="1" t="str">
        <f t="shared" si="857"/>
        <v>ND</v>
      </c>
      <c r="IC156" s="1" t="str">
        <f t="shared" si="858"/>
        <v>ND</v>
      </c>
      <c r="ID156" s="1" t="str">
        <f t="shared" si="859"/>
        <v>ND</v>
      </c>
      <c r="IE156" s="1" t="str">
        <f t="shared" si="860"/>
        <v>ND</v>
      </c>
      <c r="IF156" s="1" t="str">
        <f t="shared" si="861"/>
        <v>ND</v>
      </c>
      <c r="IG156" s="1" t="str">
        <f t="shared" si="862"/>
        <v>ND</v>
      </c>
      <c r="IH156" s="1" t="str">
        <f t="shared" si="863"/>
        <v>ND</v>
      </c>
      <c r="II156" s="1" t="str">
        <f t="shared" si="864"/>
        <v>ND</v>
      </c>
    </row>
    <row r="157" spans="3:243" x14ac:dyDescent="0.25">
      <c r="C157" t="s">
        <v>13</v>
      </c>
      <c r="D157">
        <f>SUMIFS(DICCIONARIO[Cantidad],DICCIONARIO[Modelo],UNIFICADA[[#This Row],[Equipo]])</f>
        <v>0</v>
      </c>
      <c r="E157" s="1">
        <f>IFERROR(VLOOKUP($C157,EQUIPOS[],UNIFICADO!E$9,0),"")</f>
        <v>15</v>
      </c>
      <c r="F157" s="1">
        <f>IFERROR(VLOOKUP($C157,EQUIPOS[],UNIFICADO!F$9,0),"")</f>
        <v>6.1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512GB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3</v>
      </c>
      <c r="O157" s="1">
        <f>IFERROR(VLOOKUP($C157,EQUIPOS[],UNIFICADO!O$9,0),"")</f>
        <v>204</v>
      </c>
      <c r="P157" s="1">
        <f>IFERROR(VLOOKUP($C157,EQUIPOS[],UNIFICADO!P$9,0),"")</f>
        <v>14.6</v>
      </c>
      <c r="Q157" s="1">
        <f>IFERROR(VLOOKUP($C157,EQUIPOS[],UNIFICADO!Q$9,0),"")</f>
        <v>7.15</v>
      </c>
      <c r="R157" s="1">
        <f>IFERROR(VLOOKUP($C157,EQUIPOS[],UNIFICADO!R$9,0),"")</f>
        <v>0.77</v>
      </c>
      <c r="S157" s="1">
        <f>IFERROR(VLOOKUP($C157,EQUIPOS[],UNIFICADO!S$9,0),"")</f>
        <v>3095</v>
      </c>
      <c r="T157" s="1">
        <f>IFERROR(VLOOKUP($C157,EQUIPOS[],UNIFICADO!T$9,0),"")</f>
        <v>5</v>
      </c>
      <c r="U157" s="1">
        <f>VLOOKUP(UNIFICADA[[#This Row],[Equipo]],EQUIPOS[],19,0)</f>
        <v>147</v>
      </c>
      <c r="V157" s="1" t="str">
        <f t="shared" si="709"/>
        <v>ND</v>
      </c>
      <c r="W157" s="1" t="str">
        <f t="shared" si="710"/>
        <v>ND</v>
      </c>
      <c r="X157" s="1" t="str">
        <f t="shared" si="871"/>
        <v>ND</v>
      </c>
      <c r="Y157" s="1" t="str">
        <f t="shared" si="871"/>
        <v>ND</v>
      </c>
      <c r="Z157" s="1" t="str">
        <f t="shared" si="872"/>
        <v>ND</v>
      </c>
      <c r="AA157" s="1" t="str">
        <f t="shared" si="872"/>
        <v>ND</v>
      </c>
      <c r="AB157" s="1" t="str">
        <f t="shared" si="872"/>
        <v>ND</v>
      </c>
      <c r="AC157" s="1" t="str">
        <f t="shared" si="872"/>
        <v>ND</v>
      </c>
      <c r="AD157" s="1" t="str">
        <f t="shared" si="872"/>
        <v>ND</v>
      </c>
      <c r="AE157" s="1" t="str">
        <f t="shared" si="872"/>
        <v>ND</v>
      </c>
      <c r="AF157" s="1" t="str">
        <f t="shared" si="872"/>
        <v>ND</v>
      </c>
      <c r="AG157" s="1" t="str">
        <f t="shared" si="872"/>
        <v>ND</v>
      </c>
      <c r="AH157" s="1" t="str">
        <f t="shared" si="872"/>
        <v>ND</v>
      </c>
      <c r="AI157" s="1" t="str">
        <f t="shared" si="711"/>
        <v>ND</v>
      </c>
      <c r="AJ157" s="1" t="str">
        <f t="shared" si="712"/>
        <v>ND</v>
      </c>
      <c r="AK157" s="1" t="str">
        <f t="shared" si="713"/>
        <v>ND</v>
      </c>
      <c r="AL157" s="1" t="str">
        <f t="shared" si="714"/>
        <v>ND</v>
      </c>
      <c r="AM157" s="1" t="str">
        <f t="shared" si="715"/>
        <v>ND</v>
      </c>
      <c r="AN157" s="1" t="str">
        <f t="shared" si="716"/>
        <v>ND</v>
      </c>
      <c r="AO157" s="1" t="str">
        <f t="shared" si="717"/>
        <v>ND</v>
      </c>
      <c r="AP157" s="1" t="str">
        <f t="shared" si="718"/>
        <v>ND</v>
      </c>
      <c r="AQ157" s="1" t="str">
        <f t="shared" si="719"/>
        <v>ND</v>
      </c>
      <c r="AR157" s="1" t="str">
        <f t="shared" si="720"/>
        <v>ND</v>
      </c>
      <c r="AS157" s="1" t="str">
        <f t="shared" si="721"/>
        <v>ND</v>
      </c>
      <c r="AT157" s="1" t="str">
        <f t="shared" si="722"/>
        <v>ND</v>
      </c>
      <c r="AU157" s="1" t="str">
        <f t="shared" si="723"/>
        <v>ND</v>
      </c>
      <c r="AV157" s="1" t="str">
        <f t="shared" si="724"/>
        <v>ND</v>
      </c>
      <c r="AW157" s="1" t="str">
        <f t="shared" si="725"/>
        <v>ND</v>
      </c>
      <c r="AX157" s="1" t="str">
        <f t="shared" si="726"/>
        <v>ND</v>
      </c>
      <c r="AY157" s="1" t="str">
        <f t="shared" si="727"/>
        <v>ND</v>
      </c>
      <c r="AZ157" s="1" t="str">
        <f t="shared" si="728"/>
        <v>ND</v>
      </c>
      <c r="BA157" s="1" t="str">
        <f t="shared" si="729"/>
        <v>ND</v>
      </c>
      <c r="BB157" s="1" t="str">
        <f t="shared" si="730"/>
        <v>ND</v>
      </c>
      <c r="BC157" s="1" t="str">
        <f t="shared" si="731"/>
        <v>ND</v>
      </c>
      <c r="BD157" s="1" t="str">
        <f t="shared" si="732"/>
        <v>ND</v>
      </c>
      <c r="BE157" s="1" t="str">
        <f t="shared" si="733"/>
        <v>ND</v>
      </c>
      <c r="BF157" s="1" t="str">
        <f t="shared" si="734"/>
        <v>ND</v>
      </c>
      <c r="BG157" s="1" t="str">
        <f t="shared" si="735"/>
        <v>ND</v>
      </c>
      <c r="BH157" s="1" t="str">
        <f t="shared" si="736"/>
        <v>ND</v>
      </c>
      <c r="BI157" s="1" t="str">
        <f t="shared" si="737"/>
        <v>ND</v>
      </c>
      <c r="BJ157" s="1" t="str">
        <f t="shared" si="738"/>
        <v>ND</v>
      </c>
      <c r="BK157" s="1" t="str">
        <f t="shared" si="739"/>
        <v>ND</v>
      </c>
      <c r="BL157" s="1" t="str">
        <f t="shared" si="740"/>
        <v>ND</v>
      </c>
      <c r="BM157" s="1" t="str">
        <f t="shared" si="741"/>
        <v>ND</v>
      </c>
      <c r="BN157" s="1" t="str">
        <f t="shared" si="742"/>
        <v>ND</v>
      </c>
      <c r="BO157" s="1" t="str">
        <f t="shared" si="743"/>
        <v>ND</v>
      </c>
      <c r="BP157" s="1" t="str">
        <f t="shared" si="744"/>
        <v>ND</v>
      </c>
      <c r="BQ157" s="1" t="str">
        <f t="shared" si="745"/>
        <v>ND</v>
      </c>
      <c r="BR157" s="1" t="str">
        <f t="shared" si="746"/>
        <v>ND</v>
      </c>
      <c r="BS157" s="1" t="str">
        <f t="shared" si="747"/>
        <v>ND</v>
      </c>
      <c r="BT157" s="1" t="str">
        <f t="shared" si="748"/>
        <v>ND</v>
      </c>
      <c r="BU157" s="1" t="str">
        <f t="shared" si="749"/>
        <v>ND</v>
      </c>
      <c r="BV157" s="1" t="str">
        <f t="shared" si="750"/>
        <v>ND</v>
      </c>
      <c r="BW157" s="1" t="str">
        <f t="shared" si="751"/>
        <v>ND</v>
      </c>
      <c r="BX157" s="1" t="str">
        <f t="shared" si="752"/>
        <v>ND</v>
      </c>
      <c r="BY157" s="1" t="str">
        <f t="shared" si="753"/>
        <v>ND</v>
      </c>
      <c r="BZ157" s="1" t="str">
        <f t="shared" si="754"/>
        <v>ND</v>
      </c>
      <c r="CA157" s="1" t="str">
        <f t="shared" si="873"/>
        <v>ND</v>
      </c>
      <c r="CB157" s="1" t="str">
        <f t="shared" si="873"/>
        <v>ND</v>
      </c>
      <c r="CC157" s="1" t="str">
        <f t="shared" si="873"/>
        <v>ND</v>
      </c>
      <c r="CD157" s="1" t="str">
        <f t="shared" si="873"/>
        <v>ND</v>
      </c>
      <c r="CE157" s="1" t="str">
        <f t="shared" si="873"/>
        <v>ND</v>
      </c>
      <c r="CF157" s="1" t="str">
        <f t="shared" si="873"/>
        <v>ND</v>
      </c>
      <c r="CG157" s="1" t="str">
        <f t="shared" si="873"/>
        <v>ND</v>
      </c>
      <c r="CH157" s="1" t="str">
        <f t="shared" si="873"/>
        <v>ND</v>
      </c>
      <c r="CI157" s="1" t="str">
        <f t="shared" si="873"/>
        <v>ND</v>
      </c>
      <c r="CJ157" s="1" t="str">
        <f t="shared" si="873"/>
        <v>ND</v>
      </c>
      <c r="CK157" s="1" t="str">
        <f t="shared" si="873"/>
        <v>ND</v>
      </c>
      <c r="CL157" s="1" t="str">
        <f t="shared" si="874"/>
        <v>ND</v>
      </c>
      <c r="CM157" s="1" t="str">
        <f t="shared" si="874"/>
        <v>ND</v>
      </c>
      <c r="CN157" s="1" t="str">
        <f t="shared" si="874"/>
        <v>ND</v>
      </c>
      <c r="CO157" s="1" t="str">
        <f t="shared" si="874"/>
        <v>ND</v>
      </c>
      <c r="CP157" s="1" t="str">
        <f t="shared" si="874"/>
        <v>ND</v>
      </c>
      <c r="CQ157" s="1" t="str">
        <f t="shared" si="874"/>
        <v>ND</v>
      </c>
      <c r="CR157" s="1" t="str">
        <f t="shared" si="874"/>
        <v>ND</v>
      </c>
      <c r="CS157" s="1" t="str">
        <f t="shared" si="874"/>
        <v>ND</v>
      </c>
      <c r="CT157" s="1" t="str">
        <f t="shared" si="874"/>
        <v>ND</v>
      </c>
      <c r="CU157" s="1" t="str">
        <f t="shared" si="874"/>
        <v>ND</v>
      </c>
      <c r="CV157" s="1" t="str">
        <f t="shared" si="874"/>
        <v>ND</v>
      </c>
      <c r="CW157" s="1" t="str">
        <f t="shared" si="755"/>
        <v>ND</v>
      </c>
      <c r="CX157" s="1" t="str">
        <f t="shared" si="756"/>
        <v>ND</v>
      </c>
      <c r="CY157" s="1" t="str">
        <f t="shared" si="757"/>
        <v>ND</v>
      </c>
      <c r="CZ157" s="1" t="str">
        <f t="shared" si="758"/>
        <v>ND</v>
      </c>
      <c r="DA157" s="1" t="str">
        <f t="shared" si="759"/>
        <v>ND</v>
      </c>
      <c r="DB157" s="1" t="str">
        <f t="shared" si="760"/>
        <v>ND</v>
      </c>
      <c r="DC157" s="1" t="str">
        <f t="shared" si="761"/>
        <v>ND</v>
      </c>
      <c r="DD157" s="1" t="str">
        <f t="shared" si="762"/>
        <v>ND</v>
      </c>
      <c r="DE157" s="1" t="str">
        <f t="shared" si="763"/>
        <v>ND</v>
      </c>
      <c r="DF157" s="1" t="str">
        <f t="shared" si="764"/>
        <v>ND</v>
      </c>
      <c r="DG157" s="1" t="str">
        <f t="shared" si="765"/>
        <v>ND</v>
      </c>
      <c r="DH157" s="1" t="str">
        <f t="shared" si="766"/>
        <v>ND</v>
      </c>
      <c r="DI157" s="1" t="str">
        <f t="shared" si="767"/>
        <v>ND</v>
      </c>
      <c r="DJ157" s="1" t="str">
        <f t="shared" si="768"/>
        <v>ND</v>
      </c>
      <c r="DK157" s="1" t="str">
        <f t="shared" si="769"/>
        <v>ND</v>
      </c>
      <c r="DL157" s="1" t="str">
        <f t="shared" si="770"/>
        <v>ND</v>
      </c>
      <c r="DM157" s="1" t="str">
        <f t="shared" si="771"/>
        <v>ND</v>
      </c>
      <c r="DN157" s="1" t="str">
        <f t="shared" si="772"/>
        <v>ND</v>
      </c>
      <c r="DO157" s="1" t="str">
        <f t="shared" si="773"/>
        <v>ND</v>
      </c>
      <c r="DP157" s="1" t="str">
        <f t="shared" si="774"/>
        <v>ND</v>
      </c>
      <c r="DQ157" s="1" t="str">
        <f t="shared" si="775"/>
        <v>ND</v>
      </c>
      <c r="DR157" s="1" t="str">
        <f t="shared" si="776"/>
        <v>ND</v>
      </c>
      <c r="DS157" s="1" t="str">
        <f t="shared" si="777"/>
        <v>ND</v>
      </c>
      <c r="DT157" s="1" t="str">
        <f t="shared" si="778"/>
        <v>ND</v>
      </c>
      <c r="DU157" s="1" t="str">
        <f t="shared" si="779"/>
        <v>ND</v>
      </c>
      <c r="DV157" s="1" t="str">
        <f t="shared" si="780"/>
        <v>ND</v>
      </c>
      <c r="DW157" s="1" t="str">
        <f t="shared" si="781"/>
        <v>ND</v>
      </c>
      <c r="DX157" s="1" t="str">
        <f t="shared" si="782"/>
        <v>ND</v>
      </c>
      <c r="DY157" s="1" t="str">
        <f t="shared" si="783"/>
        <v>ND</v>
      </c>
      <c r="DZ157" s="1" t="str">
        <f t="shared" si="784"/>
        <v>ND</v>
      </c>
      <c r="EA157" s="1" t="str">
        <f t="shared" si="785"/>
        <v>ND</v>
      </c>
      <c r="EB157" s="1" t="str">
        <f t="shared" si="786"/>
        <v>ND</v>
      </c>
      <c r="EC157" s="1" t="str">
        <f t="shared" si="787"/>
        <v>ND</v>
      </c>
      <c r="ED157" s="1" t="str">
        <f t="shared" si="788"/>
        <v>ND</v>
      </c>
      <c r="EE157" s="1" t="str">
        <f t="shared" si="789"/>
        <v>ND</v>
      </c>
      <c r="EF157" s="1" t="str">
        <f t="shared" si="790"/>
        <v>ND</v>
      </c>
      <c r="EG157" s="1" t="str">
        <f t="shared" si="791"/>
        <v>ND</v>
      </c>
      <c r="EH157" s="1" t="str">
        <f t="shared" si="792"/>
        <v>ND</v>
      </c>
      <c r="EI157" s="1" t="str">
        <f t="shared" si="793"/>
        <v>ND</v>
      </c>
      <c r="EJ157" s="1" t="str">
        <f t="shared" si="794"/>
        <v>ND</v>
      </c>
      <c r="EK157" s="1" t="str">
        <f t="shared" si="795"/>
        <v>ND</v>
      </c>
      <c r="EL157" s="1" t="str">
        <f t="shared" si="796"/>
        <v>ND</v>
      </c>
      <c r="EM157" s="1" t="str">
        <f t="shared" si="797"/>
        <v>ND</v>
      </c>
      <c r="EN157" s="1" t="str">
        <f t="shared" si="798"/>
        <v>ND</v>
      </c>
      <c r="EO157" s="1" t="str">
        <f t="shared" si="875"/>
        <v>ND</v>
      </c>
      <c r="EP157" s="1" t="str">
        <f t="shared" si="875"/>
        <v>ND</v>
      </c>
      <c r="EQ157" s="1" t="str">
        <f t="shared" si="875"/>
        <v>ND</v>
      </c>
      <c r="ER157" s="1" t="str">
        <f t="shared" si="875"/>
        <v>ND</v>
      </c>
      <c r="ES157" s="1" t="str">
        <f t="shared" si="875"/>
        <v>ND</v>
      </c>
      <c r="ET157" s="1" t="str">
        <f t="shared" si="875"/>
        <v>ND</v>
      </c>
      <c r="EU157" s="1" t="str">
        <f t="shared" si="875"/>
        <v>ND</v>
      </c>
      <c r="EV157" s="1" t="str">
        <f t="shared" si="875"/>
        <v>ND</v>
      </c>
      <c r="EW157" s="1" t="str">
        <f t="shared" si="875"/>
        <v>ND</v>
      </c>
      <c r="EX157" s="1" t="str">
        <f t="shared" si="875"/>
        <v>ND</v>
      </c>
      <c r="EY157" s="1" t="str">
        <f t="shared" si="875"/>
        <v>ND</v>
      </c>
      <c r="EZ157" s="1" t="str">
        <f t="shared" si="876"/>
        <v>ND</v>
      </c>
      <c r="FA157" s="1" t="str">
        <f t="shared" si="876"/>
        <v>ND</v>
      </c>
      <c r="FB157" s="1" t="str">
        <f t="shared" si="876"/>
        <v>ND</v>
      </c>
      <c r="FC157" s="1" t="str">
        <f t="shared" si="876"/>
        <v>ND</v>
      </c>
      <c r="FD157" s="1" t="str">
        <f t="shared" si="876"/>
        <v>ND</v>
      </c>
      <c r="FE157" s="1" t="str">
        <f t="shared" si="876"/>
        <v>ND</v>
      </c>
      <c r="FF157" s="1" t="str">
        <f t="shared" si="876"/>
        <v>ND</v>
      </c>
      <c r="FG157" s="1" t="str">
        <f t="shared" si="876"/>
        <v>ND</v>
      </c>
      <c r="FH157" s="1" t="str">
        <f t="shared" si="876"/>
        <v>ND</v>
      </c>
      <c r="FI157" s="1" t="str">
        <f t="shared" si="876"/>
        <v>ND</v>
      </c>
      <c r="FJ157" s="1" t="str">
        <f t="shared" si="876"/>
        <v>ND</v>
      </c>
      <c r="FK157" s="1" t="str">
        <f t="shared" si="877"/>
        <v>ND</v>
      </c>
      <c r="FL157" s="1" t="str">
        <f t="shared" si="877"/>
        <v>ND</v>
      </c>
      <c r="FM157" s="1" t="str">
        <f t="shared" si="877"/>
        <v>ND</v>
      </c>
      <c r="FN157" s="1" t="str">
        <f t="shared" si="877"/>
        <v>ND</v>
      </c>
      <c r="FO157" s="1" t="str">
        <f t="shared" si="877"/>
        <v>ND</v>
      </c>
      <c r="FP157" s="1" t="str">
        <f t="shared" si="877"/>
        <v>ND</v>
      </c>
      <c r="FQ157" s="1" t="str">
        <f t="shared" si="877"/>
        <v>ND</v>
      </c>
      <c r="FR157" s="1" t="str">
        <f t="shared" si="877"/>
        <v>ND</v>
      </c>
      <c r="FS157" s="1" t="str">
        <f t="shared" si="877"/>
        <v>ND</v>
      </c>
      <c r="FT157" s="1" t="str">
        <f t="shared" si="877"/>
        <v>ND</v>
      </c>
      <c r="FU157" s="1" t="str">
        <f t="shared" si="877"/>
        <v>ND</v>
      </c>
      <c r="FV157" s="1" t="str">
        <f t="shared" si="799"/>
        <v>ND</v>
      </c>
      <c r="FW157" s="1" t="str">
        <f t="shared" si="800"/>
        <v>ND</v>
      </c>
      <c r="FX157" s="1" t="str">
        <f t="shared" si="801"/>
        <v>ND</v>
      </c>
      <c r="FY157" s="1" t="str">
        <f t="shared" si="802"/>
        <v>ND</v>
      </c>
      <c r="FZ157" s="1" t="str">
        <f t="shared" si="803"/>
        <v>ND</v>
      </c>
      <c r="GA157" s="1" t="str">
        <f t="shared" si="804"/>
        <v>ND</v>
      </c>
      <c r="GB157" s="1" t="str">
        <f t="shared" si="805"/>
        <v>ND</v>
      </c>
      <c r="GC157" s="1" t="str">
        <f t="shared" si="806"/>
        <v>ND</v>
      </c>
      <c r="GD157" s="1" t="str">
        <f t="shared" si="807"/>
        <v>ND</v>
      </c>
      <c r="GE157" s="1" t="str">
        <f t="shared" si="808"/>
        <v>ND</v>
      </c>
      <c r="GF157" s="1" t="str">
        <f t="shared" si="809"/>
        <v>ND</v>
      </c>
      <c r="GG157" s="1" t="str">
        <f t="shared" si="810"/>
        <v>ND</v>
      </c>
      <c r="GH157" s="1" t="str">
        <f t="shared" si="811"/>
        <v>ND</v>
      </c>
      <c r="GI157" s="1" t="str">
        <f t="shared" si="812"/>
        <v>ND</v>
      </c>
      <c r="GJ157" s="1" t="str">
        <f t="shared" si="813"/>
        <v>ND</v>
      </c>
      <c r="GK157" s="1" t="str">
        <f t="shared" si="814"/>
        <v>ND</v>
      </c>
      <c r="GL157" s="1" t="str">
        <f t="shared" si="815"/>
        <v>ND</v>
      </c>
      <c r="GM157" s="1" t="str">
        <f t="shared" si="816"/>
        <v>ND</v>
      </c>
      <c r="GN157" s="1" t="str">
        <f t="shared" si="817"/>
        <v>ND</v>
      </c>
      <c r="GO157" s="1" t="str">
        <f t="shared" si="818"/>
        <v>ND</v>
      </c>
      <c r="GP157" s="1" t="str">
        <f t="shared" si="819"/>
        <v>ND</v>
      </c>
      <c r="GQ157" s="1" t="str">
        <f t="shared" si="820"/>
        <v>ND</v>
      </c>
      <c r="GR157" s="1" t="str">
        <f t="shared" si="821"/>
        <v>ND</v>
      </c>
      <c r="GS157" s="1" t="str">
        <f t="shared" si="822"/>
        <v>ND</v>
      </c>
      <c r="GT157" s="1" t="str">
        <f t="shared" si="823"/>
        <v>ND</v>
      </c>
      <c r="GU157" s="1" t="str">
        <f t="shared" si="824"/>
        <v>ND</v>
      </c>
      <c r="GV157" s="1" t="str">
        <f t="shared" si="825"/>
        <v>ND</v>
      </c>
      <c r="GW157" s="1" t="str">
        <f t="shared" si="826"/>
        <v>ND</v>
      </c>
      <c r="GX157" s="1" t="str">
        <f t="shared" si="827"/>
        <v>ND</v>
      </c>
      <c r="GY157" s="1" t="str">
        <f t="shared" si="828"/>
        <v>ND</v>
      </c>
      <c r="GZ157" s="1" t="str">
        <f t="shared" si="829"/>
        <v>ND</v>
      </c>
      <c r="HA157" s="1" t="str">
        <f t="shared" si="830"/>
        <v>ND</v>
      </c>
      <c r="HB157" s="1" t="str">
        <f t="shared" si="831"/>
        <v>ND</v>
      </c>
      <c r="HC157" s="1" t="str">
        <f t="shared" si="832"/>
        <v>ND</v>
      </c>
      <c r="HD157" s="1" t="str">
        <f t="shared" si="833"/>
        <v>ND</v>
      </c>
      <c r="HE157" s="1" t="str">
        <f t="shared" si="834"/>
        <v>ND</v>
      </c>
      <c r="HF157" s="1" t="str">
        <f t="shared" si="835"/>
        <v>ND</v>
      </c>
      <c r="HG157" s="1" t="str">
        <f t="shared" si="836"/>
        <v>ND</v>
      </c>
      <c r="HH157" s="1" t="str">
        <f t="shared" si="837"/>
        <v>ND</v>
      </c>
      <c r="HI157" s="1" t="str">
        <f t="shared" si="838"/>
        <v>ND</v>
      </c>
      <c r="HJ157" s="1" t="str">
        <f t="shared" si="839"/>
        <v>ND</v>
      </c>
      <c r="HK157" s="1" t="str">
        <f t="shared" si="840"/>
        <v>ND</v>
      </c>
      <c r="HL157" s="1" t="str">
        <f t="shared" si="841"/>
        <v>ND</v>
      </c>
      <c r="HM157" s="1" t="str">
        <f t="shared" si="842"/>
        <v>ND</v>
      </c>
      <c r="HN157" s="1" t="str">
        <f t="shared" si="843"/>
        <v>ND</v>
      </c>
      <c r="HO157" s="1" t="str">
        <f t="shared" si="844"/>
        <v>ND</v>
      </c>
      <c r="HP157" s="1" t="str">
        <f t="shared" si="845"/>
        <v>ND</v>
      </c>
      <c r="HQ157" s="1" t="str">
        <f t="shared" si="846"/>
        <v>ND</v>
      </c>
      <c r="HR157" s="1" t="str">
        <f t="shared" si="847"/>
        <v>ND</v>
      </c>
      <c r="HS157" s="1" t="str">
        <f t="shared" si="848"/>
        <v>ND</v>
      </c>
      <c r="HT157" s="1" t="str">
        <f t="shared" si="849"/>
        <v>ND</v>
      </c>
      <c r="HU157" s="1" t="str">
        <f t="shared" si="850"/>
        <v>ND</v>
      </c>
      <c r="HV157" s="1" t="str">
        <f t="shared" si="851"/>
        <v>ND</v>
      </c>
      <c r="HW157" s="1" t="str">
        <f t="shared" si="852"/>
        <v>ND</v>
      </c>
      <c r="HX157" s="1" t="str">
        <f t="shared" si="853"/>
        <v>ND</v>
      </c>
      <c r="HY157" s="1" t="str">
        <f t="shared" si="854"/>
        <v>ND</v>
      </c>
      <c r="HZ157" s="1" t="str">
        <f t="shared" si="855"/>
        <v>ND</v>
      </c>
      <c r="IA157" s="1" t="str">
        <f t="shared" si="856"/>
        <v>ND</v>
      </c>
      <c r="IB157" s="1" t="str">
        <f t="shared" si="857"/>
        <v>ND</v>
      </c>
      <c r="IC157" s="1" t="str">
        <f t="shared" si="858"/>
        <v>ND</v>
      </c>
      <c r="ID157" s="1" t="str">
        <f t="shared" si="859"/>
        <v>ND</v>
      </c>
      <c r="IE157" s="1" t="str">
        <f t="shared" si="860"/>
        <v>ND</v>
      </c>
      <c r="IF157" s="1" t="str">
        <f t="shared" si="861"/>
        <v>ND</v>
      </c>
      <c r="IG157" s="1" t="str">
        <f t="shared" si="862"/>
        <v>ND</v>
      </c>
      <c r="IH157" s="1" t="str">
        <f t="shared" si="863"/>
        <v>ND</v>
      </c>
      <c r="II157" s="1" t="str">
        <f t="shared" si="864"/>
        <v>ND</v>
      </c>
    </row>
    <row r="158" spans="3:243" x14ac:dyDescent="0.25">
      <c r="C158" t="s">
        <v>43</v>
      </c>
      <c r="D158">
        <f>SUMIFS(DICCIONARIO[Cantidad],DICCIONARIO[Modelo],UNIFICADA[[#This Row],[Equipo]])</f>
        <v>0</v>
      </c>
      <c r="E158" s="1">
        <f>IFERROR(VLOOKUP($C158,EQUIPOS[],UNIFICADO!E$9,0),"")</f>
        <v>15</v>
      </c>
      <c r="F158" s="1">
        <f>IFERROR(VLOOKUP($C158,EQUIPOS[],UNIFICADO!F$9,0),"")</f>
        <v>6.7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128GB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238</v>
      </c>
      <c r="P158" s="1">
        <f>IFERROR(VLOOKUP($C158,EQUIPOS[],UNIFICADO!P$9,0),"")</f>
        <v>16</v>
      </c>
      <c r="Q158" s="1">
        <f>IFERROR(VLOOKUP($C158,EQUIPOS[],UNIFICADO!Q$9,0),"")</f>
        <v>7.65</v>
      </c>
      <c r="R158" s="1">
        <f>IFERROR(VLOOKUP($C158,EQUIPOS[],UNIFICADO!R$9,0),"")</f>
        <v>0.78</v>
      </c>
      <c r="S158" s="1">
        <f>IFERROR(VLOOKUP($C158,EQUIPOS[],UNIFICADO!S$9,0),"")</f>
        <v>4352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9"/>
        <v>ND</v>
      </c>
      <c r="W158" s="1" t="str">
        <f t="shared" si="710"/>
        <v>ND</v>
      </c>
      <c r="X158" s="1" t="str">
        <f t="shared" si="871"/>
        <v>ND</v>
      </c>
      <c r="Y158" s="1" t="str">
        <f t="shared" si="871"/>
        <v>ND</v>
      </c>
      <c r="Z158" s="1" t="str">
        <f t="shared" si="872"/>
        <v>ND</v>
      </c>
      <c r="AA158" s="1" t="str">
        <f t="shared" si="872"/>
        <v>ND</v>
      </c>
      <c r="AB158" s="1" t="str">
        <f t="shared" si="872"/>
        <v>ND</v>
      </c>
      <c r="AC158" s="1" t="str">
        <f t="shared" si="872"/>
        <v>ND</v>
      </c>
      <c r="AD158" s="1" t="str">
        <f t="shared" si="872"/>
        <v>ND</v>
      </c>
      <c r="AE158" s="1" t="str">
        <f t="shared" si="872"/>
        <v>ND</v>
      </c>
      <c r="AF158" s="1" t="str">
        <f t="shared" si="872"/>
        <v>ND</v>
      </c>
      <c r="AG158" s="1" t="str">
        <f t="shared" si="872"/>
        <v>ND</v>
      </c>
      <c r="AH158" s="1" t="str">
        <f t="shared" si="872"/>
        <v>ND</v>
      </c>
      <c r="AI158" s="1" t="str">
        <f t="shared" si="711"/>
        <v>ND</v>
      </c>
      <c r="AJ158" s="1" t="str">
        <f t="shared" si="712"/>
        <v>ND</v>
      </c>
      <c r="AK158" s="1" t="str">
        <f t="shared" si="713"/>
        <v>ND</v>
      </c>
      <c r="AL158" s="1" t="str">
        <f t="shared" si="714"/>
        <v>ND</v>
      </c>
      <c r="AM158" s="1" t="str">
        <f t="shared" si="715"/>
        <v>ND</v>
      </c>
      <c r="AN158" s="1" t="str">
        <f t="shared" si="716"/>
        <v>ND</v>
      </c>
      <c r="AO158" s="1" t="str">
        <f t="shared" si="717"/>
        <v>ND</v>
      </c>
      <c r="AP158" s="1" t="str">
        <f t="shared" si="718"/>
        <v>ND</v>
      </c>
      <c r="AQ158" s="1" t="str">
        <f t="shared" si="719"/>
        <v>ND</v>
      </c>
      <c r="AR158" s="1" t="str">
        <f t="shared" si="720"/>
        <v>ND</v>
      </c>
      <c r="AS158" s="1" t="str">
        <f t="shared" si="721"/>
        <v>ND</v>
      </c>
      <c r="AT158" s="1" t="str">
        <f t="shared" si="722"/>
        <v>ND</v>
      </c>
      <c r="AU158" s="1" t="str">
        <f t="shared" si="723"/>
        <v>ND</v>
      </c>
      <c r="AV158" s="1" t="str">
        <f t="shared" si="724"/>
        <v>ND</v>
      </c>
      <c r="AW158" s="1" t="str">
        <f t="shared" si="725"/>
        <v>ND</v>
      </c>
      <c r="AX158" s="1" t="str">
        <f t="shared" si="726"/>
        <v>ND</v>
      </c>
      <c r="AY158" s="1" t="str">
        <f t="shared" si="727"/>
        <v>ND</v>
      </c>
      <c r="AZ158" s="1" t="str">
        <f t="shared" si="728"/>
        <v>ND</v>
      </c>
      <c r="BA158" s="1" t="str">
        <f t="shared" si="729"/>
        <v>ND</v>
      </c>
      <c r="BB158" s="1" t="str">
        <f t="shared" si="730"/>
        <v>ND</v>
      </c>
      <c r="BC158" s="1" t="str">
        <f t="shared" si="731"/>
        <v>ND</v>
      </c>
      <c r="BD158" s="1" t="str">
        <f t="shared" si="732"/>
        <v>ND</v>
      </c>
      <c r="BE158" s="1" t="str">
        <f t="shared" si="733"/>
        <v>ND</v>
      </c>
      <c r="BF158" s="1" t="str">
        <f t="shared" si="734"/>
        <v>ND</v>
      </c>
      <c r="BG158" s="1" t="str">
        <f t="shared" si="735"/>
        <v>ND</v>
      </c>
      <c r="BH158" s="1" t="str">
        <f t="shared" si="736"/>
        <v>ND</v>
      </c>
      <c r="BI158" s="1" t="str">
        <f t="shared" si="737"/>
        <v>ND</v>
      </c>
      <c r="BJ158" s="1" t="str">
        <f t="shared" si="738"/>
        <v>ND</v>
      </c>
      <c r="BK158" s="1" t="str">
        <f t="shared" si="739"/>
        <v>ND</v>
      </c>
      <c r="BL158" s="1" t="str">
        <f t="shared" si="740"/>
        <v>ND</v>
      </c>
      <c r="BM158" s="1" t="str">
        <f t="shared" si="741"/>
        <v>ND</v>
      </c>
      <c r="BN158" s="1" t="str">
        <f t="shared" si="742"/>
        <v>ND</v>
      </c>
      <c r="BO158" s="1" t="str">
        <f t="shared" si="743"/>
        <v>ND</v>
      </c>
      <c r="BP158" s="1" t="str">
        <f t="shared" si="744"/>
        <v>ND</v>
      </c>
      <c r="BQ158" s="1" t="str">
        <f t="shared" si="745"/>
        <v>ND</v>
      </c>
      <c r="BR158" s="1" t="str">
        <f t="shared" si="746"/>
        <v>ND</v>
      </c>
      <c r="BS158" s="1" t="str">
        <f t="shared" si="747"/>
        <v>ND</v>
      </c>
      <c r="BT158" s="1" t="str">
        <f t="shared" si="748"/>
        <v>ND</v>
      </c>
      <c r="BU158" s="1" t="str">
        <f t="shared" si="749"/>
        <v>ND</v>
      </c>
      <c r="BV158" s="1" t="str">
        <f t="shared" si="750"/>
        <v>ND</v>
      </c>
      <c r="BW158" s="1" t="str">
        <f t="shared" si="751"/>
        <v>ND</v>
      </c>
      <c r="BX158" s="1" t="str">
        <f t="shared" si="752"/>
        <v>ND</v>
      </c>
      <c r="BY158" s="1" t="str">
        <f t="shared" si="753"/>
        <v>ND</v>
      </c>
      <c r="BZ158" s="1" t="str">
        <f t="shared" si="754"/>
        <v>ND</v>
      </c>
      <c r="CA158" s="1" t="str">
        <f t="shared" si="873"/>
        <v>ND</v>
      </c>
      <c r="CB158" s="1" t="str">
        <f t="shared" si="873"/>
        <v>ND</v>
      </c>
      <c r="CC158" s="1" t="str">
        <f t="shared" si="873"/>
        <v>ND</v>
      </c>
      <c r="CD158" s="1" t="str">
        <f t="shared" si="873"/>
        <v>ND</v>
      </c>
      <c r="CE158" s="1" t="str">
        <f t="shared" si="873"/>
        <v>ND</v>
      </c>
      <c r="CF158" s="1" t="str">
        <f t="shared" si="873"/>
        <v>ND</v>
      </c>
      <c r="CG158" s="1" t="str">
        <f t="shared" si="873"/>
        <v>ND</v>
      </c>
      <c r="CH158" s="1" t="str">
        <f t="shared" si="873"/>
        <v>ND</v>
      </c>
      <c r="CI158" s="1" t="str">
        <f t="shared" si="873"/>
        <v>ND</v>
      </c>
      <c r="CJ158" s="1" t="str">
        <f t="shared" si="873"/>
        <v>ND</v>
      </c>
      <c r="CK158" s="1" t="str">
        <f t="shared" si="873"/>
        <v>ND</v>
      </c>
      <c r="CL158" s="1" t="str">
        <f t="shared" si="874"/>
        <v>ND</v>
      </c>
      <c r="CM158" s="1" t="str">
        <f t="shared" si="874"/>
        <v>ND</v>
      </c>
      <c r="CN158" s="1" t="str">
        <f t="shared" si="874"/>
        <v>ND</v>
      </c>
      <c r="CO158" s="1" t="str">
        <f t="shared" si="874"/>
        <v>ND</v>
      </c>
      <c r="CP158" s="1" t="str">
        <f t="shared" si="874"/>
        <v>ND</v>
      </c>
      <c r="CQ158" s="1" t="str">
        <f t="shared" si="874"/>
        <v>ND</v>
      </c>
      <c r="CR158" s="1" t="str">
        <f t="shared" si="874"/>
        <v>ND</v>
      </c>
      <c r="CS158" s="1" t="str">
        <f t="shared" si="874"/>
        <v>ND</v>
      </c>
      <c r="CT158" s="1" t="str">
        <f t="shared" si="874"/>
        <v>ND</v>
      </c>
      <c r="CU158" s="1" t="str">
        <f t="shared" si="874"/>
        <v>ND</v>
      </c>
      <c r="CV158" s="1" t="str">
        <f t="shared" si="874"/>
        <v>ND</v>
      </c>
      <c r="CW158" s="1" t="str">
        <f t="shared" si="755"/>
        <v>ND</v>
      </c>
      <c r="CX158" s="1" t="str">
        <f t="shared" si="756"/>
        <v>ND</v>
      </c>
      <c r="CY158" s="1" t="str">
        <f t="shared" si="757"/>
        <v>ND</v>
      </c>
      <c r="CZ158" s="1" t="str">
        <f t="shared" si="758"/>
        <v>ND</v>
      </c>
      <c r="DA158" s="1" t="str">
        <f t="shared" si="759"/>
        <v>ND</v>
      </c>
      <c r="DB158" s="1" t="str">
        <f t="shared" si="760"/>
        <v>ND</v>
      </c>
      <c r="DC158" s="1" t="str">
        <f t="shared" si="761"/>
        <v>ND</v>
      </c>
      <c r="DD158" s="1" t="str">
        <f t="shared" si="762"/>
        <v>ND</v>
      </c>
      <c r="DE158" s="1" t="str">
        <f t="shared" si="763"/>
        <v>ND</v>
      </c>
      <c r="DF158" s="1" t="str">
        <f t="shared" si="764"/>
        <v>ND</v>
      </c>
      <c r="DG158" s="1" t="str">
        <f t="shared" si="765"/>
        <v>ND</v>
      </c>
      <c r="DH158" s="1" t="str">
        <f t="shared" si="766"/>
        <v>ND</v>
      </c>
      <c r="DI158" s="1" t="str">
        <f t="shared" si="767"/>
        <v>ND</v>
      </c>
      <c r="DJ158" s="1" t="str">
        <f t="shared" si="768"/>
        <v>ND</v>
      </c>
      <c r="DK158" s="1" t="str">
        <f t="shared" si="769"/>
        <v>ND</v>
      </c>
      <c r="DL158" s="1" t="str">
        <f t="shared" si="770"/>
        <v>ND</v>
      </c>
      <c r="DM158" s="1" t="str">
        <f t="shared" si="771"/>
        <v>ND</v>
      </c>
      <c r="DN158" s="1" t="str">
        <f t="shared" si="772"/>
        <v>ND</v>
      </c>
      <c r="DO158" s="1" t="str">
        <f t="shared" si="773"/>
        <v>ND</v>
      </c>
      <c r="DP158" s="1" t="str">
        <f t="shared" si="774"/>
        <v>ND</v>
      </c>
      <c r="DQ158" s="1" t="str">
        <f t="shared" si="775"/>
        <v>ND</v>
      </c>
      <c r="DR158" s="1" t="str">
        <f t="shared" si="776"/>
        <v>ND</v>
      </c>
      <c r="DS158" s="1" t="str">
        <f t="shared" si="777"/>
        <v>ND</v>
      </c>
      <c r="DT158" s="1" t="str">
        <f t="shared" si="778"/>
        <v>ND</v>
      </c>
      <c r="DU158" s="1" t="str">
        <f t="shared" si="779"/>
        <v>ND</v>
      </c>
      <c r="DV158" s="1" t="str">
        <f t="shared" si="780"/>
        <v>ND</v>
      </c>
      <c r="DW158" s="1" t="str">
        <f t="shared" si="781"/>
        <v>ND</v>
      </c>
      <c r="DX158" s="1" t="str">
        <f t="shared" si="782"/>
        <v>ND</v>
      </c>
      <c r="DY158" s="1" t="str">
        <f t="shared" si="783"/>
        <v>ND</v>
      </c>
      <c r="DZ158" s="1" t="str">
        <f t="shared" si="784"/>
        <v>ND</v>
      </c>
      <c r="EA158" s="1" t="str">
        <f t="shared" si="785"/>
        <v>ND</v>
      </c>
      <c r="EB158" s="1" t="str">
        <f t="shared" si="786"/>
        <v>ND</v>
      </c>
      <c r="EC158" s="1" t="str">
        <f t="shared" si="787"/>
        <v>ND</v>
      </c>
      <c r="ED158" s="1" t="str">
        <f t="shared" si="788"/>
        <v>ND</v>
      </c>
      <c r="EE158" s="1" t="str">
        <f t="shared" si="789"/>
        <v>ND</v>
      </c>
      <c r="EF158" s="1" t="str">
        <f t="shared" si="790"/>
        <v>ND</v>
      </c>
      <c r="EG158" s="1" t="str">
        <f t="shared" si="791"/>
        <v>ND</v>
      </c>
      <c r="EH158" s="1" t="str">
        <f t="shared" si="792"/>
        <v>ND</v>
      </c>
      <c r="EI158" s="1" t="str">
        <f t="shared" si="793"/>
        <v>ND</v>
      </c>
      <c r="EJ158" s="1" t="str">
        <f t="shared" si="794"/>
        <v>ND</v>
      </c>
      <c r="EK158" s="1" t="str">
        <f t="shared" si="795"/>
        <v>ND</v>
      </c>
      <c r="EL158" s="1" t="str">
        <f t="shared" si="796"/>
        <v>ND</v>
      </c>
      <c r="EM158" s="1" t="str">
        <f t="shared" si="797"/>
        <v>ND</v>
      </c>
      <c r="EN158" s="1" t="str">
        <f t="shared" si="798"/>
        <v>ND</v>
      </c>
      <c r="EO158" s="1" t="str">
        <f t="shared" si="875"/>
        <v>ND</v>
      </c>
      <c r="EP158" s="1" t="str">
        <f t="shared" si="875"/>
        <v>ND</v>
      </c>
      <c r="EQ158" s="1" t="str">
        <f t="shared" si="875"/>
        <v>ND</v>
      </c>
      <c r="ER158" s="1" t="str">
        <f t="shared" si="875"/>
        <v>ND</v>
      </c>
      <c r="ES158" s="1" t="str">
        <f t="shared" si="875"/>
        <v>ND</v>
      </c>
      <c r="ET158" s="1" t="str">
        <f t="shared" si="875"/>
        <v>ND</v>
      </c>
      <c r="EU158" s="1" t="str">
        <f t="shared" si="875"/>
        <v>ND</v>
      </c>
      <c r="EV158" s="1" t="str">
        <f t="shared" si="875"/>
        <v>ND</v>
      </c>
      <c r="EW158" s="1" t="str">
        <f t="shared" si="875"/>
        <v>ND</v>
      </c>
      <c r="EX158" s="1" t="str">
        <f t="shared" si="875"/>
        <v>ND</v>
      </c>
      <c r="EY158" s="1" t="str">
        <f t="shared" si="875"/>
        <v>ND</v>
      </c>
      <c r="EZ158" s="1" t="str">
        <f t="shared" si="876"/>
        <v>ND</v>
      </c>
      <c r="FA158" s="1" t="str">
        <f t="shared" si="876"/>
        <v>ND</v>
      </c>
      <c r="FB158" s="1" t="str">
        <f t="shared" si="876"/>
        <v>ND</v>
      </c>
      <c r="FC158" s="1" t="str">
        <f t="shared" si="876"/>
        <v>ND</v>
      </c>
      <c r="FD158" s="1" t="str">
        <f t="shared" si="876"/>
        <v>ND</v>
      </c>
      <c r="FE158" s="1" t="str">
        <f t="shared" si="876"/>
        <v>ND</v>
      </c>
      <c r="FF158" s="1" t="str">
        <f t="shared" si="876"/>
        <v>ND</v>
      </c>
      <c r="FG158" s="1" t="str">
        <f t="shared" si="876"/>
        <v>ND</v>
      </c>
      <c r="FH158" s="1" t="str">
        <f t="shared" si="876"/>
        <v>ND</v>
      </c>
      <c r="FI158" s="1" t="str">
        <f t="shared" si="876"/>
        <v>ND</v>
      </c>
      <c r="FJ158" s="1" t="str">
        <f t="shared" si="876"/>
        <v>ND</v>
      </c>
      <c r="FK158" s="1" t="str">
        <f t="shared" si="877"/>
        <v>ND</v>
      </c>
      <c r="FL158" s="1" t="str">
        <f t="shared" si="877"/>
        <v>ND</v>
      </c>
      <c r="FM158" s="1" t="str">
        <f t="shared" si="877"/>
        <v>ND</v>
      </c>
      <c r="FN158" s="1" t="str">
        <f t="shared" si="877"/>
        <v>ND</v>
      </c>
      <c r="FO158" s="1" t="str">
        <f t="shared" si="877"/>
        <v>ND</v>
      </c>
      <c r="FP158" s="1" t="str">
        <f t="shared" si="877"/>
        <v>ND</v>
      </c>
      <c r="FQ158" s="1" t="str">
        <f t="shared" si="877"/>
        <v>ND</v>
      </c>
      <c r="FR158" s="1" t="str">
        <f t="shared" si="877"/>
        <v>ND</v>
      </c>
      <c r="FS158" s="1" t="str">
        <f t="shared" si="877"/>
        <v>ND</v>
      </c>
      <c r="FT158" s="1" t="str">
        <f t="shared" si="877"/>
        <v>ND</v>
      </c>
      <c r="FU158" s="1" t="str">
        <f t="shared" si="877"/>
        <v>ND</v>
      </c>
      <c r="FV158" s="1" t="str">
        <f t="shared" si="799"/>
        <v>ND</v>
      </c>
      <c r="FW158" s="1" t="str">
        <f t="shared" si="800"/>
        <v>ND</v>
      </c>
      <c r="FX158" s="1" t="str">
        <f t="shared" si="801"/>
        <v>ND</v>
      </c>
      <c r="FY158" s="1" t="str">
        <f t="shared" si="802"/>
        <v>ND</v>
      </c>
      <c r="FZ158" s="1" t="str">
        <f t="shared" si="803"/>
        <v>ND</v>
      </c>
      <c r="GA158" s="1" t="str">
        <f t="shared" si="804"/>
        <v>ND</v>
      </c>
      <c r="GB158" s="1" t="str">
        <f t="shared" si="805"/>
        <v>ND</v>
      </c>
      <c r="GC158" s="1" t="str">
        <f t="shared" si="806"/>
        <v>ND</v>
      </c>
      <c r="GD158" s="1" t="str">
        <f t="shared" si="807"/>
        <v>ND</v>
      </c>
      <c r="GE158" s="1" t="str">
        <f t="shared" si="808"/>
        <v>ND</v>
      </c>
      <c r="GF158" s="1" t="str">
        <f t="shared" si="809"/>
        <v>ND</v>
      </c>
      <c r="GG158" s="1" t="str">
        <f t="shared" si="810"/>
        <v>ND</v>
      </c>
      <c r="GH158" s="1" t="str">
        <f t="shared" si="811"/>
        <v>ND</v>
      </c>
      <c r="GI158" s="1" t="str">
        <f t="shared" si="812"/>
        <v>ND</v>
      </c>
      <c r="GJ158" s="1" t="str">
        <f t="shared" si="813"/>
        <v>ND</v>
      </c>
      <c r="GK158" s="1" t="str">
        <f t="shared" si="814"/>
        <v>ND</v>
      </c>
      <c r="GL158" s="1" t="str">
        <f t="shared" si="815"/>
        <v>ND</v>
      </c>
      <c r="GM158" s="1" t="str">
        <f t="shared" si="816"/>
        <v>ND</v>
      </c>
      <c r="GN158" s="1" t="str">
        <f t="shared" si="817"/>
        <v>ND</v>
      </c>
      <c r="GO158" s="1" t="str">
        <f t="shared" si="818"/>
        <v>ND</v>
      </c>
      <c r="GP158" s="1" t="str">
        <f t="shared" si="819"/>
        <v>ND</v>
      </c>
      <c r="GQ158" s="1" t="str">
        <f t="shared" si="820"/>
        <v>ND</v>
      </c>
      <c r="GR158" s="1" t="str">
        <f t="shared" si="821"/>
        <v>ND</v>
      </c>
      <c r="GS158" s="1" t="str">
        <f t="shared" si="822"/>
        <v>ND</v>
      </c>
      <c r="GT158" s="1" t="str">
        <f t="shared" si="823"/>
        <v>ND</v>
      </c>
      <c r="GU158" s="1" t="str">
        <f t="shared" si="824"/>
        <v>ND</v>
      </c>
      <c r="GV158" s="1" t="str">
        <f t="shared" si="825"/>
        <v>ND</v>
      </c>
      <c r="GW158" s="1" t="str">
        <f t="shared" si="826"/>
        <v>ND</v>
      </c>
      <c r="GX158" s="1" t="str">
        <f t="shared" si="827"/>
        <v>ND</v>
      </c>
      <c r="GY158" s="1" t="str">
        <f t="shared" si="828"/>
        <v>ND</v>
      </c>
      <c r="GZ158" s="1" t="str">
        <f t="shared" si="829"/>
        <v>ND</v>
      </c>
      <c r="HA158" s="1" t="str">
        <f t="shared" si="830"/>
        <v>ND</v>
      </c>
      <c r="HB158" s="1" t="str">
        <f t="shared" si="831"/>
        <v>ND</v>
      </c>
      <c r="HC158" s="1" t="str">
        <f t="shared" si="832"/>
        <v>ND</v>
      </c>
      <c r="HD158" s="1" t="str">
        <f t="shared" si="833"/>
        <v>ND</v>
      </c>
      <c r="HE158" s="1" t="str">
        <f t="shared" si="834"/>
        <v>ND</v>
      </c>
      <c r="HF158" s="1" t="str">
        <f t="shared" si="835"/>
        <v>ND</v>
      </c>
      <c r="HG158" s="1" t="str">
        <f t="shared" si="836"/>
        <v>ND</v>
      </c>
      <c r="HH158" s="1" t="str">
        <f t="shared" si="837"/>
        <v>ND</v>
      </c>
      <c r="HI158" s="1" t="str">
        <f t="shared" si="838"/>
        <v>ND</v>
      </c>
      <c r="HJ158" s="1" t="str">
        <f t="shared" si="839"/>
        <v>ND</v>
      </c>
      <c r="HK158" s="1" t="str">
        <f t="shared" si="840"/>
        <v>ND</v>
      </c>
      <c r="HL158" s="1" t="str">
        <f t="shared" si="841"/>
        <v>ND</v>
      </c>
      <c r="HM158" s="1" t="str">
        <f t="shared" si="842"/>
        <v>ND</v>
      </c>
      <c r="HN158" s="1" t="str">
        <f t="shared" si="843"/>
        <v>ND</v>
      </c>
      <c r="HO158" s="1" t="str">
        <f t="shared" si="844"/>
        <v>ND</v>
      </c>
      <c r="HP158" s="1" t="str">
        <f t="shared" si="845"/>
        <v>ND</v>
      </c>
      <c r="HQ158" s="1" t="str">
        <f t="shared" si="846"/>
        <v>ND</v>
      </c>
      <c r="HR158" s="1" t="str">
        <f t="shared" si="847"/>
        <v>ND</v>
      </c>
      <c r="HS158" s="1" t="str">
        <f t="shared" si="848"/>
        <v>ND</v>
      </c>
      <c r="HT158" s="1" t="str">
        <f t="shared" si="849"/>
        <v>ND</v>
      </c>
      <c r="HU158" s="1" t="str">
        <f t="shared" si="850"/>
        <v>ND</v>
      </c>
      <c r="HV158" s="1" t="str">
        <f t="shared" si="851"/>
        <v>ND</v>
      </c>
      <c r="HW158" s="1" t="str">
        <f t="shared" si="852"/>
        <v>ND</v>
      </c>
      <c r="HX158" s="1" t="str">
        <f t="shared" si="853"/>
        <v>ND</v>
      </c>
      <c r="HY158" s="1" t="str">
        <f t="shared" si="854"/>
        <v>ND</v>
      </c>
      <c r="HZ158" s="1" t="str">
        <f t="shared" si="855"/>
        <v>ND</v>
      </c>
      <c r="IA158" s="1" t="str">
        <f t="shared" si="856"/>
        <v>ND</v>
      </c>
      <c r="IB158" s="1" t="str">
        <f t="shared" si="857"/>
        <v>ND</v>
      </c>
      <c r="IC158" s="1" t="str">
        <f t="shared" si="858"/>
        <v>ND</v>
      </c>
      <c r="ID158" s="1" t="str">
        <f t="shared" si="859"/>
        <v>ND</v>
      </c>
      <c r="IE158" s="1" t="str">
        <f t="shared" si="860"/>
        <v>ND</v>
      </c>
      <c r="IF158" s="1" t="str">
        <f t="shared" si="861"/>
        <v>ND</v>
      </c>
      <c r="IG158" s="1" t="str">
        <f t="shared" si="862"/>
        <v>ND</v>
      </c>
      <c r="IH158" s="1" t="str">
        <f t="shared" si="863"/>
        <v>ND</v>
      </c>
      <c r="II158" s="1" t="str">
        <f t="shared" si="864"/>
        <v>ND</v>
      </c>
    </row>
    <row r="159" spans="3:243" x14ac:dyDescent="0.25">
      <c r="C159" t="s">
        <v>44</v>
      </c>
      <c r="D159">
        <f>SUMIFS(DICCIONARIO[Cantidad],DICCIONARIO[Modelo],UNIFICADA[[#This Row],[Equipo]])</f>
        <v>0</v>
      </c>
      <c r="E159" s="1">
        <f>IFERROR(VLOOKUP($C159,EQUIPOS[],UNIFICADO!E$9,0),"")</f>
        <v>15</v>
      </c>
      <c r="F159" s="1">
        <f>IFERROR(VLOOKUP($C159,EQUIPOS[],UNIFICADO!F$9,0),"")</f>
        <v>6.7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1TB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238</v>
      </c>
      <c r="P159" s="1">
        <f>IFERROR(VLOOKUP($C159,EQUIPOS[],UNIFICADO!P$9,0),"")</f>
        <v>16</v>
      </c>
      <c r="Q159" s="1">
        <f>IFERROR(VLOOKUP($C159,EQUIPOS[],UNIFICADO!Q$9,0),"")</f>
        <v>7.65</v>
      </c>
      <c r="R159" s="1">
        <f>IFERROR(VLOOKUP($C159,EQUIPOS[],UNIFICADO!R$9,0),"")</f>
        <v>0.78</v>
      </c>
      <c r="S159" s="1">
        <f>IFERROR(VLOOKUP($C159,EQUIPOS[],UNIFICADO!S$9,0),"")</f>
        <v>4352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9"/>
        <v>ND</v>
      </c>
      <c r="W159" s="1" t="str">
        <f t="shared" si="710"/>
        <v>ND</v>
      </c>
      <c r="X159" s="1" t="str">
        <f t="shared" si="871"/>
        <v>ND</v>
      </c>
      <c r="Y159" s="1" t="str">
        <f t="shared" si="871"/>
        <v>ND</v>
      </c>
      <c r="Z159" s="1" t="str">
        <f t="shared" si="872"/>
        <v>ND</v>
      </c>
      <c r="AA159" s="1" t="str">
        <f t="shared" si="872"/>
        <v>ND</v>
      </c>
      <c r="AB159" s="1" t="str">
        <f t="shared" si="872"/>
        <v>ND</v>
      </c>
      <c r="AC159" s="1" t="str">
        <f t="shared" si="872"/>
        <v>ND</v>
      </c>
      <c r="AD159" s="1" t="str">
        <f t="shared" si="872"/>
        <v>ND</v>
      </c>
      <c r="AE159" s="1" t="str">
        <f t="shared" si="872"/>
        <v>ND</v>
      </c>
      <c r="AF159" s="1" t="str">
        <f t="shared" si="872"/>
        <v>ND</v>
      </c>
      <c r="AG159" s="1" t="str">
        <f t="shared" si="872"/>
        <v>ND</v>
      </c>
      <c r="AH159" s="1" t="str">
        <f t="shared" si="872"/>
        <v>ND</v>
      </c>
      <c r="AI159" s="1" t="str">
        <f t="shared" si="711"/>
        <v>ND</v>
      </c>
      <c r="AJ159" s="1" t="str">
        <f t="shared" si="712"/>
        <v>ND</v>
      </c>
      <c r="AK159" s="1" t="str">
        <f t="shared" si="713"/>
        <v>ND</v>
      </c>
      <c r="AL159" s="1" t="str">
        <f t="shared" si="714"/>
        <v>ND</v>
      </c>
      <c r="AM159" s="1" t="str">
        <f t="shared" si="715"/>
        <v>ND</v>
      </c>
      <c r="AN159" s="1" t="str">
        <f t="shared" si="716"/>
        <v>ND</v>
      </c>
      <c r="AO159" s="1" t="str">
        <f t="shared" si="717"/>
        <v>ND</v>
      </c>
      <c r="AP159" s="1" t="str">
        <f t="shared" si="718"/>
        <v>ND</v>
      </c>
      <c r="AQ159" s="1" t="str">
        <f t="shared" si="719"/>
        <v>ND</v>
      </c>
      <c r="AR159" s="1" t="str">
        <f t="shared" si="720"/>
        <v>ND</v>
      </c>
      <c r="AS159" s="1" t="str">
        <f t="shared" si="721"/>
        <v>ND</v>
      </c>
      <c r="AT159" s="1" t="str">
        <f t="shared" si="722"/>
        <v>ND</v>
      </c>
      <c r="AU159" s="1" t="str">
        <f t="shared" si="723"/>
        <v>ND</v>
      </c>
      <c r="AV159" s="1" t="str">
        <f t="shared" si="724"/>
        <v>ND</v>
      </c>
      <c r="AW159" s="1" t="str">
        <f t="shared" si="725"/>
        <v>ND</v>
      </c>
      <c r="AX159" s="1" t="str">
        <f t="shared" si="726"/>
        <v>ND</v>
      </c>
      <c r="AY159" s="1" t="str">
        <f t="shared" si="727"/>
        <v>ND</v>
      </c>
      <c r="AZ159" s="1" t="str">
        <f t="shared" si="728"/>
        <v>ND</v>
      </c>
      <c r="BA159" s="1" t="str">
        <f t="shared" si="729"/>
        <v>ND</v>
      </c>
      <c r="BB159" s="1" t="str">
        <f t="shared" si="730"/>
        <v>ND</v>
      </c>
      <c r="BC159" s="1" t="str">
        <f t="shared" si="731"/>
        <v>ND</v>
      </c>
      <c r="BD159" s="1" t="str">
        <f t="shared" si="732"/>
        <v>ND</v>
      </c>
      <c r="BE159" s="1" t="str">
        <f t="shared" si="733"/>
        <v>ND</v>
      </c>
      <c r="BF159" s="1" t="str">
        <f t="shared" si="734"/>
        <v>ND</v>
      </c>
      <c r="BG159" s="1" t="str">
        <f t="shared" si="735"/>
        <v>ND</v>
      </c>
      <c r="BH159" s="1" t="str">
        <f t="shared" si="736"/>
        <v>ND</v>
      </c>
      <c r="BI159" s="1" t="str">
        <f t="shared" si="737"/>
        <v>ND</v>
      </c>
      <c r="BJ159" s="1" t="str">
        <f t="shared" si="738"/>
        <v>ND</v>
      </c>
      <c r="BK159" s="1" t="str">
        <f t="shared" si="739"/>
        <v>ND</v>
      </c>
      <c r="BL159" s="1" t="str">
        <f t="shared" si="740"/>
        <v>ND</v>
      </c>
      <c r="BM159" s="1" t="str">
        <f t="shared" si="741"/>
        <v>ND</v>
      </c>
      <c r="BN159" s="1" t="str">
        <f t="shared" si="742"/>
        <v>ND</v>
      </c>
      <c r="BO159" s="1" t="str">
        <f t="shared" si="743"/>
        <v>ND</v>
      </c>
      <c r="BP159" s="1" t="str">
        <f t="shared" si="744"/>
        <v>ND</v>
      </c>
      <c r="BQ159" s="1" t="str">
        <f t="shared" si="745"/>
        <v>ND</v>
      </c>
      <c r="BR159" s="1" t="str">
        <f t="shared" si="746"/>
        <v>ND</v>
      </c>
      <c r="BS159" s="1" t="str">
        <f t="shared" si="747"/>
        <v>ND</v>
      </c>
      <c r="BT159" s="1" t="str">
        <f t="shared" si="748"/>
        <v>ND</v>
      </c>
      <c r="BU159" s="1" t="str">
        <f t="shared" si="749"/>
        <v>ND</v>
      </c>
      <c r="BV159" s="1" t="str">
        <f t="shared" si="750"/>
        <v>ND</v>
      </c>
      <c r="BW159" s="1" t="str">
        <f t="shared" si="751"/>
        <v>ND</v>
      </c>
      <c r="BX159" s="1" t="str">
        <f t="shared" si="752"/>
        <v>ND</v>
      </c>
      <c r="BY159" s="1" t="str">
        <f t="shared" si="753"/>
        <v>ND</v>
      </c>
      <c r="BZ159" s="1" t="str">
        <f t="shared" si="754"/>
        <v>ND</v>
      </c>
      <c r="CA159" s="1" t="str">
        <f t="shared" si="873"/>
        <v>ND</v>
      </c>
      <c r="CB159" s="1" t="str">
        <f t="shared" si="873"/>
        <v>ND</v>
      </c>
      <c r="CC159" s="1" t="str">
        <f t="shared" si="873"/>
        <v>ND</v>
      </c>
      <c r="CD159" s="1" t="str">
        <f t="shared" si="873"/>
        <v>ND</v>
      </c>
      <c r="CE159" s="1" t="str">
        <f t="shared" si="873"/>
        <v>ND</v>
      </c>
      <c r="CF159" s="1" t="str">
        <f t="shared" si="873"/>
        <v>ND</v>
      </c>
      <c r="CG159" s="1" t="str">
        <f t="shared" si="873"/>
        <v>ND</v>
      </c>
      <c r="CH159" s="1" t="str">
        <f t="shared" si="873"/>
        <v>ND</v>
      </c>
      <c r="CI159" s="1" t="str">
        <f t="shared" si="873"/>
        <v>ND</v>
      </c>
      <c r="CJ159" s="1" t="str">
        <f t="shared" si="873"/>
        <v>ND</v>
      </c>
      <c r="CK159" s="1" t="str">
        <f t="shared" si="873"/>
        <v>ND</v>
      </c>
      <c r="CL159" s="1" t="str">
        <f t="shared" si="874"/>
        <v>ND</v>
      </c>
      <c r="CM159" s="1" t="str">
        <f t="shared" si="874"/>
        <v>ND</v>
      </c>
      <c r="CN159" s="1" t="str">
        <f t="shared" si="874"/>
        <v>ND</v>
      </c>
      <c r="CO159" s="1" t="str">
        <f t="shared" si="874"/>
        <v>ND</v>
      </c>
      <c r="CP159" s="1" t="str">
        <f t="shared" si="874"/>
        <v>ND</v>
      </c>
      <c r="CQ159" s="1" t="str">
        <f t="shared" si="874"/>
        <v>ND</v>
      </c>
      <c r="CR159" s="1" t="str">
        <f t="shared" si="874"/>
        <v>ND</v>
      </c>
      <c r="CS159" s="1" t="str">
        <f t="shared" si="874"/>
        <v>ND</v>
      </c>
      <c r="CT159" s="1" t="str">
        <f t="shared" si="874"/>
        <v>ND</v>
      </c>
      <c r="CU159" s="1" t="str">
        <f t="shared" si="874"/>
        <v>ND</v>
      </c>
      <c r="CV159" s="1" t="str">
        <f t="shared" si="874"/>
        <v>ND</v>
      </c>
      <c r="CW159" s="1" t="str">
        <f t="shared" si="755"/>
        <v>ND</v>
      </c>
      <c r="CX159" s="1" t="str">
        <f t="shared" si="756"/>
        <v>ND</v>
      </c>
      <c r="CY159" s="1" t="str">
        <f t="shared" si="757"/>
        <v>ND</v>
      </c>
      <c r="CZ159" s="1" t="str">
        <f t="shared" si="758"/>
        <v>ND</v>
      </c>
      <c r="DA159" s="1" t="str">
        <f t="shared" si="759"/>
        <v>ND</v>
      </c>
      <c r="DB159" s="1" t="str">
        <f t="shared" si="760"/>
        <v>ND</v>
      </c>
      <c r="DC159" s="1" t="str">
        <f t="shared" si="761"/>
        <v>ND</v>
      </c>
      <c r="DD159" s="1" t="str">
        <f t="shared" si="762"/>
        <v>ND</v>
      </c>
      <c r="DE159" s="1" t="str">
        <f t="shared" si="763"/>
        <v>ND</v>
      </c>
      <c r="DF159" s="1" t="str">
        <f t="shared" si="764"/>
        <v>ND</v>
      </c>
      <c r="DG159" s="1" t="str">
        <f t="shared" si="765"/>
        <v>ND</v>
      </c>
      <c r="DH159" s="1" t="str">
        <f t="shared" si="766"/>
        <v>ND</v>
      </c>
      <c r="DI159" s="1" t="str">
        <f t="shared" si="767"/>
        <v>ND</v>
      </c>
      <c r="DJ159" s="1" t="str">
        <f t="shared" si="768"/>
        <v>ND</v>
      </c>
      <c r="DK159" s="1" t="str">
        <f t="shared" si="769"/>
        <v>ND</v>
      </c>
      <c r="DL159" s="1" t="str">
        <f t="shared" si="770"/>
        <v>ND</v>
      </c>
      <c r="DM159" s="1" t="str">
        <f t="shared" si="771"/>
        <v>ND</v>
      </c>
      <c r="DN159" s="1" t="str">
        <f t="shared" si="772"/>
        <v>ND</v>
      </c>
      <c r="DO159" s="1" t="str">
        <f t="shared" si="773"/>
        <v>ND</v>
      </c>
      <c r="DP159" s="1" t="str">
        <f t="shared" si="774"/>
        <v>ND</v>
      </c>
      <c r="DQ159" s="1" t="str">
        <f t="shared" si="775"/>
        <v>ND</v>
      </c>
      <c r="DR159" s="1" t="str">
        <f t="shared" si="776"/>
        <v>ND</v>
      </c>
      <c r="DS159" s="1" t="str">
        <f t="shared" si="777"/>
        <v>ND</v>
      </c>
      <c r="DT159" s="1" t="str">
        <f t="shared" si="778"/>
        <v>ND</v>
      </c>
      <c r="DU159" s="1" t="str">
        <f t="shared" si="779"/>
        <v>ND</v>
      </c>
      <c r="DV159" s="1" t="str">
        <f t="shared" si="780"/>
        <v>ND</v>
      </c>
      <c r="DW159" s="1" t="str">
        <f t="shared" si="781"/>
        <v>ND</v>
      </c>
      <c r="DX159" s="1" t="str">
        <f t="shared" si="782"/>
        <v>ND</v>
      </c>
      <c r="DY159" s="1" t="str">
        <f t="shared" si="783"/>
        <v>ND</v>
      </c>
      <c r="DZ159" s="1" t="str">
        <f t="shared" si="784"/>
        <v>ND</v>
      </c>
      <c r="EA159" s="1" t="str">
        <f t="shared" si="785"/>
        <v>ND</v>
      </c>
      <c r="EB159" s="1" t="str">
        <f t="shared" si="786"/>
        <v>ND</v>
      </c>
      <c r="EC159" s="1" t="str">
        <f t="shared" si="787"/>
        <v>ND</v>
      </c>
      <c r="ED159" s="1" t="str">
        <f t="shared" si="788"/>
        <v>ND</v>
      </c>
      <c r="EE159" s="1" t="str">
        <f t="shared" si="789"/>
        <v>ND</v>
      </c>
      <c r="EF159" s="1" t="str">
        <f t="shared" si="790"/>
        <v>ND</v>
      </c>
      <c r="EG159" s="1" t="str">
        <f t="shared" si="791"/>
        <v>ND</v>
      </c>
      <c r="EH159" s="1" t="str">
        <f t="shared" si="792"/>
        <v>ND</v>
      </c>
      <c r="EI159" s="1" t="str">
        <f t="shared" si="793"/>
        <v>ND</v>
      </c>
      <c r="EJ159" s="1" t="str">
        <f t="shared" si="794"/>
        <v>ND</v>
      </c>
      <c r="EK159" s="1" t="str">
        <f t="shared" si="795"/>
        <v>ND</v>
      </c>
      <c r="EL159" s="1" t="str">
        <f t="shared" si="796"/>
        <v>ND</v>
      </c>
      <c r="EM159" s="1" t="str">
        <f t="shared" si="797"/>
        <v>ND</v>
      </c>
      <c r="EN159" s="1" t="str">
        <f t="shared" si="798"/>
        <v>ND</v>
      </c>
      <c r="EO159" s="1" t="str">
        <f t="shared" si="875"/>
        <v>ND</v>
      </c>
      <c r="EP159" s="1" t="str">
        <f t="shared" si="875"/>
        <v>ND</v>
      </c>
      <c r="EQ159" s="1" t="str">
        <f t="shared" si="875"/>
        <v>ND</v>
      </c>
      <c r="ER159" s="1" t="str">
        <f t="shared" si="875"/>
        <v>ND</v>
      </c>
      <c r="ES159" s="1" t="str">
        <f t="shared" si="875"/>
        <v>ND</v>
      </c>
      <c r="ET159" s="1" t="str">
        <f t="shared" si="875"/>
        <v>ND</v>
      </c>
      <c r="EU159" s="1" t="str">
        <f t="shared" si="875"/>
        <v>ND</v>
      </c>
      <c r="EV159" s="1" t="str">
        <f t="shared" si="875"/>
        <v>ND</v>
      </c>
      <c r="EW159" s="1" t="str">
        <f t="shared" si="875"/>
        <v>ND</v>
      </c>
      <c r="EX159" s="1" t="str">
        <f t="shared" si="875"/>
        <v>ND</v>
      </c>
      <c r="EY159" s="1" t="str">
        <f t="shared" si="875"/>
        <v>ND</v>
      </c>
      <c r="EZ159" s="1" t="str">
        <f t="shared" si="876"/>
        <v>ND</v>
      </c>
      <c r="FA159" s="1" t="str">
        <f t="shared" si="876"/>
        <v>ND</v>
      </c>
      <c r="FB159" s="1" t="str">
        <f t="shared" si="876"/>
        <v>ND</v>
      </c>
      <c r="FC159" s="1" t="str">
        <f t="shared" si="876"/>
        <v>ND</v>
      </c>
      <c r="FD159" s="1" t="str">
        <f t="shared" si="876"/>
        <v>ND</v>
      </c>
      <c r="FE159" s="1" t="str">
        <f t="shared" si="876"/>
        <v>ND</v>
      </c>
      <c r="FF159" s="1" t="str">
        <f t="shared" si="876"/>
        <v>ND</v>
      </c>
      <c r="FG159" s="1" t="str">
        <f t="shared" si="876"/>
        <v>ND</v>
      </c>
      <c r="FH159" s="1" t="str">
        <f t="shared" si="876"/>
        <v>ND</v>
      </c>
      <c r="FI159" s="1" t="str">
        <f t="shared" si="876"/>
        <v>ND</v>
      </c>
      <c r="FJ159" s="1" t="str">
        <f t="shared" si="876"/>
        <v>ND</v>
      </c>
      <c r="FK159" s="1" t="str">
        <f t="shared" si="877"/>
        <v>ND</v>
      </c>
      <c r="FL159" s="1" t="str">
        <f t="shared" si="877"/>
        <v>ND</v>
      </c>
      <c r="FM159" s="1" t="str">
        <f t="shared" si="877"/>
        <v>ND</v>
      </c>
      <c r="FN159" s="1" t="str">
        <f t="shared" si="877"/>
        <v>ND</v>
      </c>
      <c r="FO159" s="1" t="str">
        <f t="shared" si="877"/>
        <v>ND</v>
      </c>
      <c r="FP159" s="1" t="str">
        <f t="shared" si="877"/>
        <v>ND</v>
      </c>
      <c r="FQ159" s="1" t="str">
        <f t="shared" si="877"/>
        <v>ND</v>
      </c>
      <c r="FR159" s="1" t="str">
        <f t="shared" si="877"/>
        <v>ND</v>
      </c>
      <c r="FS159" s="1" t="str">
        <f t="shared" si="877"/>
        <v>ND</v>
      </c>
      <c r="FT159" s="1" t="str">
        <f t="shared" si="877"/>
        <v>ND</v>
      </c>
      <c r="FU159" s="1" t="str">
        <f t="shared" si="877"/>
        <v>ND</v>
      </c>
      <c r="FV159" s="1" t="str">
        <f t="shared" si="799"/>
        <v>ND</v>
      </c>
      <c r="FW159" s="1" t="str">
        <f t="shared" si="800"/>
        <v>ND</v>
      </c>
      <c r="FX159" s="1" t="str">
        <f t="shared" si="801"/>
        <v>ND</v>
      </c>
      <c r="FY159" s="1" t="str">
        <f t="shared" si="802"/>
        <v>ND</v>
      </c>
      <c r="FZ159" s="1" t="str">
        <f t="shared" si="803"/>
        <v>ND</v>
      </c>
      <c r="GA159" s="1" t="str">
        <f t="shared" si="804"/>
        <v>ND</v>
      </c>
      <c r="GB159" s="1" t="str">
        <f t="shared" si="805"/>
        <v>ND</v>
      </c>
      <c r="GC159" s="1" t="str">
        <f t="shared" si="806"/>
        <v>ND</v>
      </c>
      <c r="GD159" s="1" t="str">
        <f t="shared" si="807"/>
        <v>ND</v>
      </c>
      <c r="GE159" s="1" t="str">
        <f t="shared" si="808"/>
        <v>ND</v>
      </c>
      <c r="GF159" s="1" t="str">
        <f t="shared" si="809"/>
        <v>ND</v>
      </c>
      <c r="GG159" s="1" t="str">
        <f t="shared" si="810"/>
        <v>ND</v>
      </c>
      <c r="GH159" s="1" t="str">
        <f t="shared" si="811"/>
        <v>ND</v>
      </c>
      <c r="GI159" s="1" t="str">
        <f t="shared" si="812"/>
        <v>ND</v>
      </c>
      <c r="GJ159" s="1" t="str">
        <f t="shared" si="813"/>
        <v>ND</v>
      </c>
      <c r="GK159" s="1" t="str">
        <f t="shared" si="814"/>
        <v>ND</v>
      </c>
      <c r="GL159" s="1" t="str">
        <f t="shared" si="815"/>
        <v>ND</v>
      </c>
      <c r="GM159" s="1" t="str">
        <f t="shared" si="816"/>
        <v>ND</v>
      </c>
      <c r="GN159" s="1" t="str">
        <f t="shared" si="817"/>
        <v>ND</v>
      </c>
      <c r="GO159" s="1" t="str">
        <f t="shared" si="818"/>
        <v>ND</v>
      </c>
      <c r="GP159" s="1" t="str">
        <f t="shared" si="819"/>
        <v>ND</v>
      </c>
      <c r="GQ159" s="1" t="str">
        <f t="shared" si="820"/>
        <v>ND</v>
      </c>
      <c r="GR159" s="1" t="str">
        <f t="shared" si="821"/>
        <v>ND</v>
      </c>
      <c r="GS159" s="1" t="str">
        <f t="shared" si="822"/>
        <v>ND</v>
      </c>
      <c r="GT159" s="1" t="str">
        <f t="shared" si="823"/>
        <v>ND</v>
      </c>
      <c r="GU159" s="1" t="str">
        <f t="shared" si="824"/>
        <v>ND</v>
      </c>
      <c r="GV159" s="1" t="str">
        <f t="shared" si="825"/>
        <v>ND</v>
      </c>
      <c r="GW159" s="1" t="str">
        <f t="shared" si="826"/>
        <v>ND</v>
      </c>
      <c r="GX159" s="1" t="str">
        <f t="shared" si="827"/>
        <v>ND</v>
      </c>
      <c r="GY159" s="1" t="str">
        <f t="shared" si="828"/>
        <v>ND</v>
      </c>
      <c r="GZ159" s="1" t="str">
        <f t="shared" si="829"/>
        <v>ND</v>
      </c>
      <c r="HA159" s="1" t="str">
        <f t="shared" si="830"/>
        <v>ND</v>
      </c>
      <c r="HB159" s="1" t="str">
        <f t="shared" si="831"/>
        <v>ND</v>
      </c>
      <c r="HC159" s="1" t="str">
        <f t="shared" si="832"/>
        <v>ND</v>
      </c>
      <c r="HD159" s="1" t="str">
        <f t="shared" si="833"/>
        <v>ND</v>
      </c>
      <c r="HE159" s="1" t="str">
        <f t="shared" si="834"/>
        <v>ND</v>
      </c>
      <c r="HF159" s="1" t="str">
        <f t="shared" si="835"/>
        <v>ND</v>
      </c>
      <c r="HG159" s="1" t="str">
        <f t="shared" si="836"/>
        <v>ND</v>
      </c>
      <c r="HH159" s="1" t="str">
        <f t="shared" si="837"/>
        <v>ND</v>
      </c>
      <c r="HI159" s="1" t="str">
        <f t="shared" si="838"/>
        <v>ND</v>
      </c>
      <c r="HJ159" s="1" t="str">
        <f t="shared" si="839"/>
        <v>ND</v>
      </c>
      <c r="HK159" s="1" t="str">
        <f t="shared" si="840"/>
        <v>ND</v>
      </c>
      <c r="HL159" s="1" t="str">
        <f t="shared" si="841"/>
        <v>ND</v>
      </c>
      <c r="HM159" s="1" t="str">
        <f t="shared" si="842"/>
        <v>ND</v>
      </c>
      <c r="HN159" s="1" t="str">
        <f t="shared" si="843"/>
        <v>ND</v>
      </c>
      <c r="HO159" s="1" t="str">
        <f t="shared" si="844"/>
        <v>ND</v>
      </c>
      <c r="HP159" s="1" t="str">
        <f t="shared" si="845"/>
        <v>ND</v>
      </c>
      <c r="HQ159" s="1" t="str">
        <f t="shared" si="846"/>
        <v>ND</v>
      </c>
      <c r="HR159" s="1" t="str">
        <f t="shared" si="847"/>
        <v>ND</v>
      </c>
      <c r="HS159" s="1" t="str">
        <f t="shared" si="848"/>
        <v>ND</v>
      </c>
      <c r="HT159" s="1" t="str">
        <f t="shared" si="849"/>
        <v>ND</v>
      </c>
      <c r="HU159" s="1" t="str">
        <f t="shared" si="850"/>
        <v>ND</v>
      </c>
      <c r="HV159" s="1" t="str">
        <f t="shared" si="851"/>
        <v>ND</v>
      </c>
      <c r="HW159" s="1" t="str">
        <f t="shared" si="852"/>
        <v>ND</v>
      </c>
      <c r="HX159" s="1" t="str">
        <f t="shared" si="853"/>
        <v>ND</v>
      </c>
      <c r="HY159" s="1" t="str">
        <f t="shared" si="854"/>
        <v>ND</v>
      </c>
      <c r="HZ159" s="1" t="str">
        <f t="shared" si="855"/>
        <v>ND</v>
      </c>
      <c r="IA159" s="1" t="str">
        <f t="shared" si="856"/>
        <v>ND</v>
      </c>
      <c r="IB159" s="1" t="str">
        <f t="shared" si="857"/>
        <v>ND</v>
      </c>
      <c r="IC159" s="1" t="str">
        <f t="shared" si="858"/>
        <v>ND</v>
      </c>
      <c r="ID159" s="1" t="str">
        <f t="shared" si="859"/>
        <v>ND</v>
      </c>
      <c r="IE159" s="1" t="str">
        <f t="shared" si="860"/>
        <v>ND</v>
      </c>
      <c r="IF159" s="1" t="str">
        <f t="shared" si="861"/>
        <v>ND</v>
      </c>
      <c r="IG159" s="1" t="str">
        <f t="shared" si="862"/>
        <v>ND</v>
      </c>
      <c r="IH159" s="1" t="str">
        <f t="shared" si="863"/>
        <v>ND</v>
      </c>
      <c r="II159" s="1" t="str">
        <f t="shared" si="864"/>
        <v>ND</v>
      </c>
    </row>
    <row r="160" spans="3:243" x14ac:dyDescent="0.25">
      <c r="C160" t="s">
        <v>59</v>
      </c>
      <c r="D160">
        <f>SUMIFS(DICCIONARIO[Cantidad],DICCIONARIO[Modelo],UNIFICADA[[#This Row],[Equipo]])</f>
        <v>1</v>
      </c>
      <c r="E160" s="1">
        <f>IFERROR(VLOOKUP($C160,EQUIPOS[],UNIFICADO!E$9,0),"")</f>
        <v>15</v>
      </c>
      <c r="F160" s="1">
        <f>IFERROR(VLOOKUP($C160,EQUIPOS[],UNIFICADO!F$9,0),"")</f>
        <v>6.7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256GB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238</v>
      </c>
      <c r="P160" s="1">
        <f>IFERROR(VLOOKUP($C160,EQUIPOS[],UNIFICADO!P$9,0),"")</f>
        <v>16</v>
      </c>
      <c r="Q160" s="1">
        <f>IFERROR(VLOOKUP($C160,EQUIPOS[],UNIFICADO!Q$9,0),"")</f>
        <v>7.65</v>
      </c>
      <c r="R160" s="1">
        <f>IFERROR(VLOOKUP($C160,EQUIPOS[],UNIFICADO!R$9,0),"")</f>
        <v>0.78</v>
      </c>
      <c r="S160" s="1">
        <f>IFERROR(VLOOKUP($C160,EQUIPOS[],UNIFICADO!S$9,0),"")</f>
        <v>4352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9"/>
        <v>ND</v>
      </c>
      <c r="W160" s="1" t="str">
        <f t="shared" si="710"/>
        <v>ND</v>
      </c>
      <c r="X160" s="1" t="str">
        <f t="shared" si="871"/>
        <v>ND</v>
      </c>
      <c r="Y160" s="1" t="str">
        <f t="shared" si="871"/>
        <v>ND</v>
      </c>
      <c r="Z160" s="1" t="str">
        <f t="shared" si="872"/>
        <v>ND</v>
      </c>
      <c r="AA160" s="1" t="str">
        <f t="shared" si="872"/>
        <v>ND</v>
      </c>
      <c r="AB160" s="1" t="str">
        <f t="shared" si="872"/>
        <v>ND</v>
      </c>
      <c r="AC160" s="1" t="str">
        <f t="shared" si="872"/>
        <v>ND</v>
      </c>
      <c r="AD160" s="1" t="str">
        <f t="shared" si="872"/>
        <v>ND</v>
      </c>
      <c r="AE160" s="1" t="str">
        <f t="shared" si="872"/>
        <v>ND</v>
      </c>
      <c r="AF160" s="1" t="str">
        <f t="shared" si="872"/>
        <v>ND</v>
      </c>
      <c r="AG160" s="1" t="str">
        <f t="shared" si="872"/>
        <v>ND</v>
      </c>
      <c r="AH160" s="1" t="str">
        <f t="shared" si="872"/>
        <v>ND</v>
      </c>
      <c r="AI160" s="1" t="str">
        <f t="shared" si="711"/>
        <v>ND</v>
      </c>
      <c r="AJ160" s="1" t="str">
        <f t="shared" si="712"/>
        <v>ND</v>
      </c>
      <c r="AK160" s="1" t="str">
        <f t="shared" si="713"/>
        <v>ND</v>
      </c>
      <c r="AL160" s="1" t="str">
        <f t="shared" si="714"/>
        <v>ND</v>
      </c>
      <c r="AM160" s="1" t="str">
        <f t="shared" si="715"/>
        <v>ND</v>
      </c>
      <c r="AN160" s="1" t="str">
        <f t="shared" si="716"/>
        <v>ND</v>
      </c>
      <c r="AO160" s="1" t="str">
        <f t="shared" si="717"/>
        <v>ND</v>
      </c>
      <c r="AP160" s="1" t="str">
        <f t="shared" si="718"/>
        <v>ND</v>
      </c>
      <c r="AQ160" s="1" t="str">
        <f t="shared" si="719"/>
        <v>ND</v>
      </c>
      <c r="AR160" s="1" t="str">
        <f t="shared" si="720"/>
        <v>ND</v>
      </c>
      <c r="AS160" s="1" t="str">
        <f t="shared" si="721"/>
        <v>ND</v>
      </c>
      <c r="AT160" s="1" t="str">
        <f t="shared" si="722"/>
        <v>ND</v>
      </c>
      <c r="AU160" s="1" t="str">
        <f t="shared" si="723"/>
        <v>ND</v>
      </c>
      <c r="AV160" s="1" t="str">
        <f t="shared" si="724"/>
        <v>ND</v>
      </c>
      <c r="AW160" s="1" t="str">
        <f t="shared" si="725"/>
        <v>ND</v>
      </c>
      <c r="AX160" s="1" t="str">
        <f t="shared" si="726"/>
        <v>ND</v>
      </c>
      <c r="AY160" s="1" t="str">
        <f t="shared" si="727"/>
        <v>ND</v>
      </c>
      <c r="AZ160" s="1" t="str">
        <f t="shared" si="728"/>
        <v>ND</v>
      </c>
      <c r="BA160" s="1" t="str">
        <f t="shared" si="729"/>
        <v>ND</v>
      </c>
      <c r="BB160" s="1" t="str">
        <f t="shared" si="730"/>
        <v>ND</v>
      </c>
      <c r="BC160" s="1" t="str">
        <f t="shared" si="731"/>
        <v>ND</v>
      </c>
      <c r="BD160" s="1" t="str">
        <f t="shared" si="732"/>
        <v>ND</v>
      </c>
      <c r="BE160" s="1" t="str">
        <f t="shared" si="733"/>
        <v>ND</v>
      </c>
      <c r="BF160" s="1" t="str">
        <f t="shared" si="734"/>
        <v>ND</v>
      </c>
      <c r="BG160" s="1" t="str">
        <f t="shared" si="735"/>
        <v>ND</v>
      </c>
      <c r="BH160" s="1" t="str">
        <f t="shared" si="736"/>
        <v>ND</v>
      </c>
      <c r="BI160" s="1" t="str">
        <f t="shared" si="737"/>
        <v>ND</v>
      </c>
      <c r="BJ160" s="1" t="str">
        <f t="shared" si="738"/>
        <v>ND</v>
      </c>
      <c r="BK160" s="1" t="str">
        <f t="shared" si="739"/>
        <v>ND</v>
      </c>
      <c r="BL160" s="1" t="str">
        <f t="shared" si="740"/>
        <v>ND</v>
      </c>
      <c r="BM160" s="1" t="str">
        <f t="shared" si="741"/>
        <v>ND</v>
      </c>
      <c r="BN160" s="1" t="str">
        <f t="shared" si="742"/>
        <v>ND</v>
      </c>
      <c r="BO160" s="1" t="str">
        <f t="shared" si="743"/>
        <v>ND</v>
      </c>
      <c r="BP160" s="1" t="str">
        <f t="shared" si="744"/>
        <v>ND</v>
      </c>
      <c r="BQ160" s="1" t="str">
        <f t="shared" si="745"/>
        <v>ND</v>
      </c>
      <c r="BR160" s="1" t="str">
        <f t="shared" si="746"/>
        <v>ND</v>
      </c>
      <c r="BS160" s="1" t="str">
        <f t="shared" si="747"/>
        <v>ND</v>
      </c>
      <c r="BT160" s="1" t="str">
        <f t="shared" si="748"/>
        <v>ND</v>
      </c>
      <c r="BU160" s="1" t="str">
        <f t="shared" si="749"/>
        <v>ND</v>
      </c>
      <c r="BV160" s="1" t="str">
        <f t="shared" si="750"/>
        <v>ND</v>
      </c>
      <c r="BW160" s="1" t="str">
        <f t="shared" si="751"/>
        <v>ND</v>
      </c>
      <c r="BX160" s="1" t="str">
        <f t="shared" si="752"/>
        <v>ND</v>
      </c>
      <c r="BY160" s="1" t="str">
        <f t="shared" si="753"/>
        <v>ND</v>
      </c>
      <c r="BZ160" s="1" t="str">
        <f t="shared" si="754"/>
        <v>ND</v>
      </c>
      <c r="CA160" s="1" t="str">
        <f t="shared" si="873"/>
        <v>ND</v>
      </c>
      <c r="CB160" s="1" t="str">
        <f t="shared" si="873"/>
        <v>ND</v>
      </c>
      <c r="CC160" s="1" t="str">
        <f t="shared" si="873"/>
        <v>ND</v>
      </c>
      <c r="CD160" s="1" t="str">
        <f t="shared" si="873"/>
        <v>ND</v>
      </c>
      <c r="CE160" s="1" t="str">
        <f t="shared" si="873"/>
        <v>ND</v>
      </c>
      <c r="CF160" s="1" t="str">
        <f t="shared" si="873"/>
        <v>ND</v>
      </c>
      <c r="CG160" s="1" t="str">
        <f t="shared" si="873"/>
        <v>ND</v>
      </c>
      <c r="CH160" s="1" t="str">
        <f t="shared" si="873"/>
        <v>ND</v>
      </c>
      <c r="CI160" s="1" t="str">
        <f t="shared" si="873"/>
        <v>ND</v>
      </c>
      <c r="CJ160" s="1" t="str">
        <f t="shared" si="873"/>
        <v>ND</v>
      </c>
      <c r="CK160" s="1" t="str">
        <f t="shared" si="873"/>
        <v>ND</v>
      </c>
      <c r="CL160" s="1" t="str">
        <f t="shared" si="874"/>
        <v>ND</v>
      </c>
      <c r="CM160" s="1" t="str">
        <f t="shared" si="874"/>
        <v>ND</v>
      </c>
      <c r="CN160" s="1" t="str">
        <f t="shared" si="874"/>
        <v>ND</v>
      </c>
      <c r="CO160" s="1" t="str">
        <f t="shared" si="874"/>
        <v>ND</v>
      </c>
      <c r="CP160" s="1" t="str">
        <f t="shared" si="874"/>
        <v>ND</v>
      </c>
      <c r="CQ160" s="1" t="str">
        <f t="shared" si="874"/>
        <v>ND</v>
      </c>
      <c r="CR160" s="1" t="str">
        <f t="shared" si="874"/>
        <v>ND</v>
      </c>
      <c r="CS160" s="1" t="str">
        <f t="shared" si="874"/>
        <v>ND</v>
      </c>
      <c r="CT160" s="1" t="str">
        <f t="shared" si="874"/>
        <v>ND</v>
      </c>
      <c r="CU160" s="1" t="str">
        <f t="shared" si="874"/>
        <v>ND</v>
      </c>
      <c r="CV160" s="1" t="str">
        <f t="shared" si="874"/>
        <v>ND</v>
      </c>
      <c r="CW160" s="1" t="str">
        <f t="shared" si="755"/>
        <v>ND</v>
      </c>
      <c r="CX160" s="1" t="str">
        <f t="shared" si="756"/>
        <v>ND</v>
      </c>
      <c r="CY160" s="1" t="str">
        <f t="shared" si="757"/>
        <v>ND</v>
      </c>
      <c r="CZ160" s="1" t="str">
        <f t="shared" si="758"/>
        <v>ND</v>
      </c>
      <c r="DA160" s="1" t="str">
        <f t="shared" si="759"/>
        <v>ND</v>
      </c>
      <c r="DB160" s="1" t="str">
        <f t="shared" si="760"/>
        <v>ND</v>
      </c>
      <c r="DC160" s="1" t="str">
        <f t="shared" si="761"/>
        <v>ND</v>
      </c>
      <c r="DD160" s="1" t="str">
        <f t="shared" si="762"/>
        <v>ND</v>
      </c>
      <c r="DE160" s="1" t="str">
        <f t="shared" si="763"/>
        <v>ND</v>
      </c>
      <c r="DF160" s="1" t="str">
        <f t="shared" si="764"/>
        <v>ND</v>
      </c>
      <c r="DG160" s="1" t="str">
        <f t="shared" si="765"/>
        <v>ND</v>
      </c>
      <c r="DH160" s="1" t="str">
        <f t="shared" si="766"/>
        <v>ND</v>
      </c>
      <c r="DI160" s="1" t="str">
        <f t="shared" si="767"/>
        <v>ND</v>
      </c>
      <c r="DJ160" s="1" t="str">
        <f t="shared" si="768"/>
        <v>ND</v>
      </c>
      <c r="DK160" s="1" t="str">
        <f t="shared" si="769"/>
        <v>ND</v>
      </c>
      <c r="DL160" s="1" t="str">
        <f t="shared" si="770"/>
        <v>ND</v>
      </c>
      <c r="DM160" s="1" t="str">
        <f t="shared" si="771"/>
        <v>ND</v>
      </c>
      <c r="DN160" s="1" t="str">
        <f t="shared" si="772"/>
        <v>ND</v>
      </c>
      <c r="DO160" s="1" t="str">
        <f t="shared" si="773"/>
        <v>ND</v>
      </c>
      <c r="DP160" s="1" t="str">
        <f t="shared" si="774"/>
        <v>ND</v>
      </c>
      <c r="DQ160" s="1" t="str">
        <f t="shared" si="775"/>
        <v>ND</v>
      </c>
      <c r="DR160" s="1" t="str">
        <f t="shared" si="776"/>
        <v>ND</v>
      </c>
      <c r="DS160" s="1" t="str">
        <f t="shared" si="777"/>
        <v>ND</v>
      </c>
      <c r="DT160" s="1" t="str">
        <f t="shared" si="778"/>
        <v>ND</v>
      </c>
      <c r="DU160" s="1" t="str">
        <f t="shared" si="779"/>
        <v>ND</v>
      </c>
      <c r="DV160" s="1" t="str">
        <f t="shared" si="780"/>
        <v>ND</v>
      </c>
      <c r="DW160" s="1" t="str">
        <f t="shared" si="781"/>
        <v>ND</v>
      </c>
      <c r="DX160" s="1" t="str">
        <f t="shared" si="782"/>
        <v>ND</v>
      </c>
      <c r="DY160" s="1" t="str">
        <f t="shared" si="783"/>
        <v>ND</v>
      </c>
      <c r="DZ160" s="1" t="str">
        <f t="shared" si="784"/>
        <v>ND</v>
      </c>
      <c r="EA160" s="1" t="str">
        <f t="shared" si="785"/>
        <v>ND</v>
      </c>
      <c r="EB160" s="1" t="str">
        <f t="shared" si="786"/>
        <v>ND</v>
      </c>
      <c r="EC160" s="1" t="str">
        <f t="shared" si="787"/>
        <v>ND</v>
      </c>
      <c r="ED160" s="1" t="str">
        <f t="shared" si="788"/>
        <v>ND</v>
      </c>
      <c r="EE160" s="1" t="str">
        <f t="shared" si="789"/>
        <v>ND</v>
      </c>
      <c r="EF160" s="1" t="str">
        <f t="shared" si="790"/>
        <v>ND</v>
      </c>
      <c r="EG160" s="1" t="str">
        <f t="shared" si="791"/>
        <v>ND</v>
      </c>
      <c r="EH160" s="1" t="str">
        <f t="shared" si="792"/>
        <v>ND</v>
      </c>
      <c r="EI160" s="1" t="str">
        <f t="shared" si="793"/>
        <v>ND</v>
      </c>
      <c r="EJ160" s="1" t="str">
        <f t="shared" si="794"/>
        <v>ND</v>
      </c>
      <c r="EK160" s="1" t="str">
        <f t="shared" si="795"/>
        <v>ND</v>
      </c>
      <c r="EL160" s="1" t="str">
        <f t="shared" si="796"/>
        <v>ND</v>
      </c>
      <c r="EM160" s="1" t="str">
        <f t="shared" si="797"/>
        <v>ND</v>
      </c>
      <c r="EN160" s="1" t="str">
        <f t="shared" si="798"/>
        <v>ND</v>
      </c>
      <c r="EO160" s="1" t="str">
        <f t="shared" si="875"/>
        <v>ND</v>
      </c>
      <c r="EP160" s="1" t="str">
        <f t="shared" si="875"/>
        <v>ND</v>
      </c>
      <c r="EQ160" s="1" t="str">
        <f t="shared" si="875"/>
        <v>ND</v>
      </c>
      <c r="ER160" s="1" t="str">
        <f t="shared" si="875"/>
        <v>ND</v>
      </c>
      <c r="ES160" s="1" t="str">
        <f t="shared" si="875"/>
        <v>ND</v>
      </c>
      <c r="ET160" s="1" t="str">
        <f t="shared" si="875"/>
        <v>ND</v>
      </c>
      <c r="EU160" s="1" t="str">
        <f t="shared" si="875"/>
        <v>ND</v>
      </c>
      <c r="EV160" s="1" t="str">
        <f t="shared" si="875"/>
        <v>ND</v>
      </c>
      <c r="EW160" s="1" t="str">
        <f t="shared" si="875"/>
        <v>ND</v>
      </c>
      <c r="EX160" s="1" t="str">
        <f t="shared" si="875"/>
        <v>ND</v>
      </c>
      <c r="EY160" s="1" t="str">
        <f t="shared" si="875"/>
        <v>ND</v>
      </c>
      <c r="EZ160" s="1" t="str">
        <f t="shared" si="876"/>
        <v>ND</v>
      </c>
      <c r="FA160" s="1" t="str">
        <f t="shared" si="876"/>
        <v>ND</v>
      </c>
      <c r="FB160" s="1" t="str">
        <f t="shared" si="876"/>
        <v>ND</v>
      </c>
      <c r="FC160" s="1" t="str">
        <f t="shared" si="876"/>
        <v>ND</v>
      </c>
      <c r="FD160" s="1" t="str">
        <f t="shared" si="876"/>
        <v>ND</v>
      </c>
      <c r="FE160" s="1" t="str">
        <f t="shared" si="876"/>
        <v>ND</v>
      </c>
      <c r="FF160" s="1" t="str">
        <f t="shared" si="876"/>
        <v>ND</v>
      </c>
      <c r="FG160" s="1" t="str">
        <f t="shared" si="876"/>
        <v>ND</v>
      </c>
      <c r="FH160" s="1" t="str">
        <f t="shared" si="876"/>
        <v>ND</v>
      </c>
      <c r="FI160" s="1" t="str">
        <f t="shared" si="876"/>
        <v>ND</v>
      </c>
      <c r="FJ160" s="1" t="str">
        <f t="shared" si="876"/>
        <v>ND</v>
      </c>
      <c r="FK160" s="1" t="str">
        <f t="shared" si="877"/>
        <v>ND</v>
      </c>
      <c r="FL160" s="1" t="str">
        <f t="shared" si="877"/>
        <v>ND</v>
      </c>
      <c r="FM160" s="1" t="str">
        <f t="shared" si="877"/>
        <v>ND</v>
      </c>
      <c r="FN160" s="1" t="str">
        <f t="shared" si="877"/>
        <v>ND</v>
      </c>
      <c r="FO160" s="1" t="str">
        <f t="shared" si="877"/>
        <v>ND</v>
      </c>
      <c r="FP160" s="1" t="str">
        <f t="shared" si="877"/>
        <v>ND</v>
      </c>
      <c r="FQ160" s="1" t="str">
        <f t="shared" si="877"/>
        <v>ND</v>
      </c>
      <c r="FR160" s="1" t="str">
        <f t="shared" si="877"/>
        <v>ND</v>
      </c>
      <c r="FS160" s="1" t="str">
        <f t="shared" si="877"/>
        <v>ND</v>
      </c>
      <c r="FT160" s="1" t="str">
        <f t="shared" si="877"/>
        <v>ND</v>
      </c>
      <c r="FU160" s="1" t="str">
        <f t="shared" si="877"/>
        <v>ND</v>
      </c>
      <c r="FV160" s="1" t="str">
        <f t="shared" si="799"/>
        <v>ND</v>
      </c>
      <c r="FW160" s="1" t="str">
        <f t="shared" si="800"/>
        <v>ND</v>
      </c>
      <c r="FX160" s="1" t="str">
        <f t="shared" si="801"/>
        <v>ND</v>
      </c>
      <c r="FY160" s="1" t="str">
        <f t="shared" si="802"/>
        <v>ND</v>
      </c>
      <c r="FZ160" s="1" t="str">
        <f t="shared" si="803"/>
        <v>ND</v>
      </c>
      <c r="GA160" s="1" t="str">
        <f t="shared" si="804"/>
        <v>ND</v>
      </c>
      <c r="GB160" s="1" t="str">
        <f t="shared" si="805"/>
        <v>ND</v>
      </c>
      <c r="GC160" s="1" t="str">
        <f t="shared" si="806"/>
        <v>ND</v>
      </c>
      <c r="GD160" s="1" t="str">
        <f t="shared" si="807"/>
        <v>ND</v>
      </c>
      <c r="GE160" s="1" t="str">
        <f t="shared" si="808"/>
        <v>ND</v>
      </c>
      <c r="GF160" s="1" t="str">
        <f t="shared" si="809"/>
        <v>ND</v>
      </c>
      <c r="GG160" s="1" t="str">
        <f t="shared" si="810"/>
        <v>ND</v>
      </c>
      <c r="GH160" s="1" t="str">
        <f t="shared" si="811"/>
        <v>ND</v>
      </c>
      <c r="GI160" s="1" t="str">
        <f t="shared" si="812"/>
        <v>ND</v>
      </c>
      <c r="GJ160" s="1" t="str">
        <f t="shared" si="813"/>
        <v>ND</v>
      </c>
      <c r="GK160" s="1" t="str">
        <f t="shared" si="814"/>
        <v>ND</v>
      </c>
      <c r="GL160" s="1" t="str">
        <f t="shared" si="815"/>
        <v>ND</v>
      </c>
      <c r="GM160" s="1" t="str">
        <f t="shared" si="816"/>
        <v>ND</v>
      </c>
      <c r="GN160" s="1" t="str">
        <f t="shared" si="817"/>
        <v>ND</v>
      </c>
      <c r="GO160" s="1" t="str">
        <f t="shared" si="818"/>
        <v>ND</v>
      </c>
      <c r="GP160" s="1" t="str">
        <f t="shared" si="819"/>
        <v>ND</v>
      </c>
      <c r="GQ160" s="1" t="str">
        <f t="shared" si="820"/>
        <v>ND</v>
      </c>
      <c r="GR160" s="1" t="str">
        <f t="shared" si="821"/>
        <v>ND</v>
      </c>
      <c r="GS160" s="1" t="str">
        <f t="shared" si="822"/>
        <v>ND</v>
      </c>
      <c r="GT160" s="1" t="str">
        <f t="shared" si="823"/>
        <v>ND</v>
      </c>
      <c r="GU160" s="1" t="str">
        <f t="shared" si="824"/>
        <v>ND</v>
      </c>
      <c r="GV160" s="1" t="str">
        <f t="shared" si="825"/>
        <v>ND</v>
      </c>
      <c r="GW160" s="1" t="str">
        <f t="shared" si="826"/>
        <v>ND</v>
      </c>
      <c r="GX160" s="1" t="str">
        <f t="shared" si="827"/>
        <v>ND</v>
      </c>
      <c r="GY160" s="1" t="str">
        <f t="shared" si="828"/>
        <v>ND</v>
      </c>
      <c r="GZ160" s="1" t="str">
        <f t="shared" si="829"/>
        <v>ND</v>
      </c>
      <c r="HA160" s="1" t="str">
        <f t="shared" si="830"/>
        <v>ND</v>
      </c>
      <c r="HB160" s="1" t="str">
        <f t="shared" si="831"/>
        <v>ND</v>
      </c>
      <c r="HC160" s="1" t="str">
        <f t="shared" si="832"/>
        <v>ND</v>
      </c>
      <c r="HD160" s="1" t="str">
        <f t="shared" si="833"/>
        <v>ND</v>
      </c>
      <c r="HE160" s="1" t="str">
        <f t="shared" si="834"/>
        <v>ND</v>
      </c>
      <c r="HF160" s="1" t="str">
        <f t="shared" si="835"/>
        <v>ND</v>
      </c>
      <c r="HG160" s="1" t="str">
        <f t="shared" si="836"/>
        <v>ND</v>
      </c>
      <c r="HH160" s="1" t="str">
        <f t="shared" si="837"/>
        <v>ND</v>
      </c>
      <c r="HI160" s="1" t="str">
        <f t="shared" si="838"/>
        <v>ND</v>
      </c>
      <c r="HJ160" s="1" t="str">
        <f t="shared" si="839"/>
        <v>ND</v>
      </c>
      <c r="HK160" s="1" t="str">
        <f t="shared" si="840"/>
        <v>ND</v>
      </c>
      <c r="HL160" s="1" t="str">
        <f t="shared" si="841"/>
        <v>ND</v>
      </c>
      <c r="HM160" s="1" t="str">
        <f t="shared" si="842"/>
        <v>ND</v>
      </c>
      <c r="HN160" s="1" t="str">
        <f t="shared" si="843"/>
        <v>ND</v>
      </c>
      <c r="HO160" s="1" t="str">
        <f t="shared" si="844"/>
        <v>ND</v>
      </c>
      <c r="HP160" s="1" t="str">
        <f t="shared" si="845"/>
        <v>ND</v>
      </c>
      <c r="HQ160" s="1" t="str">
        <f t="shared" si="846"/>
        <v>ND</v>
      </c>
      <c r="HR160" s="1" t="str">
        <f t="shared" si="847"/>
        <v>ND</v>
      </c>
      <c r="HS160" s="1" t="str">
        <f t="shared" si="848"/>
        <v>ND</v>
      </c>
      <c r="HT160" s="1" t="str">
        <f t="shared" si="849"/>
        <v>ND</v>
      </c>
      <c r="HU160" s="1" t="str">
        <f t="shared" si="850"/>
        <v>ND</v>
      </c>
      <c r="HV160" s="1" t="str">
        <f t="shared" si="851"/>
        <v>ND</v>
      </c>
      <c r="HW160" s="1" t="str">
        <f t="shared" si="852"/>
        <v>ND</v>
      </c>
      <c r="HX160" s="1" t="str">
        <f t="shared" si="853"/>
        <v>ND</v>
      </c>
      <c r="HY160" s="1" t="str">
        <f t="shared" si="854"/>
        <v>ND</v>
      </c>
      <c r="HZ160" s="1" t="str">
        <f t="shared" si="855"/>
        <v>ND</v>
      </c>
      <c r="IA160" s="1" t="str">
        <f t="shared" si="856"/>
        <v>ND</v>
      </c>
      <c r="IB160" s="1" t="str">
        <f t="shared" si="857"/>
        <v>ND</v>
      </c>
      <c r="IC160" s="1" t="str">
        <f t="shared" si="858"/>
        <v>ND</v>
      </c>
      <c r="ID160" s="1" t="str">
        <f t="shared" si="859"/>
        <v>ND</v>
      </c>
      <c r="IE160" s="1" t="str">
        <f t="shared" si="860"/>
        <v>ND</v>
      </c>
      <c r="IF160" s="1" t="str">
        <f t="shared" si="861"/>
        <v>ND</v>
      </c>
      <c r="IG160" s="1" t="str">
        <f t="shared" si="862"/>
        <v>ND</v>
      </c>
      <c r="IH160" s="1" t="str">
        <f t="shared" si="863"/>
        <v>ND</v>
      </c>
      <c r="II160" s="1" t="str">
        <f t="shared" si="864"/>
        <v>ND</v>
      </c>
    </row>
    <row r="161" spans="3:243" x14ac:dyDescent="0.25">
      <c r="C161" t="s">
        <v>45</v>
      </c>
      <c r="D161">
        <f>SUMIFS(DICCIONARIO[Cantidad],DICCIONARIO[Modelo],UNIFICADA[[#This Row],[Equipo]])</f>
        <v>0</v>
      </c>
      <c r="E161" s="1">
        <f>IFERROR(VLOOKUP($C161,EQUIPOS[],UNIFICADO!E$9,0),"")</f>
        <v>15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512GB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238</v>
      </c>
      <c r="P161" s="1">
        <f>IFERROR(VLOOKUP($C161,EQUIPOS[],UNIFICADO!P$9,0),"")</f>
        <v>16</v>
      </c>
      <c r="Q161" s="1">
        <f>IFERROR(VLOOKUP($C161,EQUIPOS[],UNIFICADO!Q$9,0),"")</f>
        <v>7.65</v>
      </c>
      <c r="R161" s="1">
        <f>IFERROR(VLOOKUP($C161,EQUIPOS[],UNIFICADO!R$9,0),"")</f>
        <v>0.78</v>
      </c>
      <c r="S161" s="1">
        <f>IFERROR(VLOOKUP($C161,EQUIPOS[],UNIFICADO!S$9,0),"")</f>
        <v>4352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9"/>
        <v>ND</v>
      </c>
      <c r="W161" s="1" t="str">
        <f t="shared" si="710"/>
        <v>ND</v>
      </c>
      <c r="X161" s="1" t="str">
        <f t="shared" si="871"/>
        <v>ND</v>
      </c>
      <c r="Y161" s="1" t="str">
        <f t="shared" si="871"/>
        <v>ND</v>
      </c>
      <c r="Z161" s="1" t="str">
        <f t="shared" ref="Z161:AH170" si="878">IFERROR(IF(Z$9="ND","ND",VLOOKUP($C161,AC,Z$9,0)),"ND")</f>
        <v>ND</v>
      </c>
      <c r="AA161" s="1" t="str">
        <f t="shared" si="878"/>
        <v>ND</v>
      </c>
      <c r="AB161" s="1" t="str">
        <f t="shared" si="878"/>
        <v>ND</v>
      </c>
      <c r="AC161" s="1" t="str">
        <f t="shared" si="878"/>
        <v>ND</v>
      </c>
      <c r="AD161" s="1" t="str">
        <f t="shared" si="878"/>
        <v>ND</v>
      </c>
      <c r="AE161" s="1" t="str">
        <f t="shared" si="878"/>
        <v>ND</v>
      </c>
      <c r="AF161" s="1" t="str">
        <f t="shared" si="878"/>
        <v>ND</v>
      </c>
      <c r="AG161" s="1" t="str">
        <f t="shared" si="878"/>
        <v>ND</v>
      </c>
      <c r="AH161" s="1" t="str">
        <f t="shared" si="878"/>
        <v>ND</v>
      </c>
      <c r="AI161" s="1" t="str">
        <f t="shared" si="711"/>
        <v>ND</v>
      </c>
      <c r="AJ161" s="1" t="str">
        <f t="shared" si="712"/>
        <v>ND</v>
      </c>
      <c r="AK161" s="1" t="str">
        <f t="shared" si="713"/>
        <v>ND</v>
      </c>
      <c r="AL161" s="1" t="str">
        <f t="shared" si="714"/>
        <v>ND</v>
      </c>
      <c r="AM161" s="1" t="str">
        <f t="shared" si="715"/>
        <v>ND</v>
      </c>
      <c r="AN161" s="1" t="str">
        <f t="shared" si="716"/>
        <v>ND</v>
      </c>
      <c r="AO161" s="1" t="str">
        <f t="shared" si="717"/>
        <v>ND</v>
      </c>
      <c r="AP161" s="1" t="str">
        <f t="shared" si="718"/>
        <v>ND</v>
      </c>
      <c r="AQ161" s="1" t="str">
        <f t="shared" si="719"/>
        <v>ND</v>
      </c>
      <c r="AR161" s="1" t="str">
        <f t="shared" si="720"/>
        <v>ND</v>
      </c>
      <c r="AS161" s="1" t="str">
        <f t="shared" si="721"/>
        <v>ND</v>
      </c>
      <c r="AT161" s="1" t="str">
        <f t="shared" si="722"/>
        <v>ND</v>
      </c>
      <c r="AU161" s="1" t="str">
        <f t="shared" si="723"/>
        <v>ND</v>
      </c>
      <c r="AV161" s="1" t="str">
        <f t="shared" si="724"/>
        <v>ND</v>
      </c>
      <c r="AW161" s="1" t="str">
        <f t="shared" si="725"/>
        <v>ND</v>
      </c>
      <c r="AX161" s="1" t="str">
        <f t="shared" si="726"/>
        <v>ND</v>
      </c>
      <c r="AY161" s="1" t="str">
        <f t="shared" si="727"/>
        <v>ND</v>
      </c>
      <c r="AZ161" s="1" t="str">
        <f t="shared" si="728"/>
        <v>ND</v>
      </c>
      <c r="BA161" s="1" t="str">
        <f t="shared" si="729"/>
        <v>ND</v>
      </c>
      <c r="BB161" s="1" t="str">
        <f t="shared" si="730"/>
        <v>ND</v>
      </c>
      <c r="BC161" s="1" t="str">
        <f t="shared" si="731"/>
        <v>ND</v>
      </c>
      <c r="BD161" s="1" t="str">
        <f t="shared" si="732"/>
        <v>ND</v>
      </c>
      <c r="BE161" s="1" t="str">
        <f t="shared" si="733"/>
        <v>ND</v>
      </c>
      <c r="BF161" s="1" t="str">
        <f t="shared" si="734"/>
        <v>ND</v>
      </c>
      <c r="BG161" s="1" t="str">
        <f t="shared" si="735"/>
        <v>ND</v>
      </c>
      <c r="BH161" s="1" t="str">
        <f t="shared" si="736"/>
        <v>ND</v>
      </c>
      <c r="BI161" s="1" t="str">
        <f t="shared" si="737"/>
        <v>ND</v>
      </c>
      <c r="BJ161" s="1" t="str">
        <f t="shared" si="738"/>
        <v>ND</v>
      </c>
      <c r="BK161" s="1" t="str">
        <f t="shared" si="739"/>
        <v>ND</v>
      </c>
      <c r="BL161" s="1" t="str">
        <f t="shared" si="740"/>
        <v>ND</v>
      </c>
      <c r="BM161" s="1" t="str">
        <f t="shared" si="741"/>
        <v>ND</v>
      </c>
      <c r="BN161" s="1" t="str">
        <f t="shared" si="742"/>
        <v>ND</v>
      </c>
      <c r="BO161" s="1" t="str">
        <f t="shared" si="743"/>
        <v>ND</v>
      </c>
      <c r="BP161" s="1" t="str">
        <f t="shared" si="744"/>
        <v>ND</v>
      </c>
      <c r="BQ161" s="1" t="str">
        <f t="shared" si="745"/>
        <v>ND</v>
      </c>
      <c r="BR161" s="1" t="str">
        <f t="shared" si="746"/>
        <v>ND</v>
      </c>
      <c r="BS161" s="1" t="str">
        <f t="shared" si="747"/>
        <v>ND</v>
      </c>
      <c r="BT161" s="1" t="str">
        <f t="shared" si="748"/>
        <v>ND</v>
      </c>
      <c r="BU161" s="1" t="str">
        <f t="shared" si="749"/>
        <v>ND</v>
      </c>
      <c r="BV161" s="1" t="str">
        <f t="shared" si="750"/>
        <v>ND</v>
      </c>
      <c r="BW161" s="1" t="str">
        <f t="shared" si="751"/>
        <v>ND</v>
      </c>
      <c r="BX161" s="1" t="str">
        <f t="shared" si="752"/>
        <v>ND</v>
      </c>
      <c r="BY161" s="1" t="str">
        <f t="shared" si="753"/>
        <v>ND</v>
      </c>
      <c r="BZ161" s="1" t="str">
        <f t="shared" si="754"/>
        <v>ND</v>
      </c>
      <c r="CA161" s="1" t="str">
        <f t="shared" ref="CA161:CK170" si="879">IFERROR(IF(CA$9="ND","ND",VLOOKUP($C161,FULLC,CA$9,0)),"ND")</f>
        <v>ND</v>
      </c>
      <c r="CB161" s="1" t="str">
        <f t="shared" si="879"/>
        <v>ND</v>
      </c>
      <c r="CC161" s="1" t="str">
        <f t="shared" si="879"/>
        <v>ND</v>
      </c>
      <c r="CD161" s="1" t="str">
        <f t="shared" si="879"/>
        <v>ND</v>
      </c>
      <c r="CE161" s="1" t="str">
        <f t="shared" si="879"/>
        <v>ND</v>
      </c>
      <c r="CF161" s="1" t="str">
        <f t="shared" si="879"/>
        <v>ND</v>
      </c>
      <c r="CG161" s="1" t="str">
        <f t="shared" si="879"/>
        <v>ND</v>
      </c>
      <c r="CH161" s="1" t="str">
        <f t="shared" si="879"/>
        <v>ND</v>
      </c>
      <c r="CI161" s="1" t="str">
        <f t="shared" si="879"/>
        <v>ND</v>
      </c>
      <c r="CJ161" s="1" t="str">
        <f t="shared" si="879"/>
        <v>ND</v>
      </c>
      <c r="CK161" s="1" t="str">
        <f t="shared" si="879"/>
        <v>ND</v>
      </c>
      <c r="CL161" s="1" t="str">
        <f t="shared" ref="CL161:CV170" si="880">IFERROR(IF(CL$9="ND","ND",VLOOKUP($C161,LINA,CL$9,0)),"ND")</f>
        <v>ND</v>
      </c>
      <c r="CM161" s="1" t="str">
        <f t="shared" si="880"/>
        <v>ND</v>
      </c>
      <c r="CN161" s="1" t="str">
        <f t="shared" si="880"/>
        <v>ND</v>
      </c>
      <c r="CO161" s="1" t="str">
        <f t="shared" si="880"/>
        <v>ND</v>
      </c>
      <c r="CP161" s="1" t="str">
        <f t="shared" si="880"/>
        <v>ND</v>
      </c>
      <c r="CQ161" s="1" t="str">
        <f t="shared" si="880"/>
        <v>ND</v>
      </c>
      <c r="CR161" s="1" t="str">
        <f t="shared" si="880"/>
        <v>ND</v>
      </c>
      <c r="CS161" s="1" t="str">
        <f t="shared" si="880"/>
        <v>ND</v>
      </c>
      <c r="CT161" s="1" t="str">
        <f t="shared" si="880"/>
        <v>ND</v>
      </c>
      <c r="CU161" s="1" t="str">
        <f t="shared" si="880"/>
        <v>ND</v>
      </c>
      <c r="CV161" s="1" t="str">
        <f t="shared" si="880"/>
        <v>ND</v>
      </c>
      <c r="CW161" s="1" t="str">
        <f t="shared" si="755"/>
        <v>ND</v>
      </c>
      <c r="CX161" s="1" t="str">
        <f t="shared" si="756"/>
        <v>ND</v>
      </c>
      <c r="CY161" s="1" t="str">
        <f t="shared" si="757"/>
        <v>ND</v>
      </c>
      <c r="CZ161" s="1" t="str">
        <f t="shared" si="758"/>
        <v>ND</v>
      </c>
      <c r="DA161" s="1" t="str">
        <f t="shared" si="759"/>
        <v>ND</v>
      </c>
      <c r="DB161" s="1" t="str">
        <f t="shared" si="760"/>
        <v>ND</v>
      </c>
      <c r="DC161" s="1" t="str">
        <f t="shared" si="761"/>
        <v>ND</v>
      </c>
      <c r="DD161" s="1" t="str">
        <f t="shared" si="762"/>
        <v>ND</v>
      </c>
      <c r="DE161" s="1" t="str">
        <f t="shared" si="763"/>
        <v>ND</v>
      </c>
      <c r="DF161" s="1" t="str">
        <f t="shared" si="764"/>
        <v>ND</v>
      </c>
      <c r="DG161" s="1" t="str">
        <f t="shared" si="765"/>
        <v>ND</v>
      </c>
      <c r="DH161" s="1" t="str">
        <f t="shared" si="766"/>
        <v>ND</v>
      </c>
      <c r="DI161" s="1" t="str">
        <f t="shared" si="767"/>
        <v>ND</v>
      </c>
      <c r="DJ161" s="1" t="str">
        <f t="shared" si="768"/>
        <v>ND</v>
      </c>
      <c r="DK161" s="1" t="str">
        <f t="shared" si="769"/>
        <v>ND</v>
      </c>
      <c r="DL161" s="1" t="str">
        <f t="shared" si="770"/>
        <v>ND</v>
      </c>
      <c r="DM161" s="1" t="str">
        <f t="shared" si="771"/>
        <v>ND</v>
      </c>
      <c r="DN161" s="1" t="str">
        <f t="shared" si="772"/>
        <v>ND</v>
      </c>
      <c r="DO161" s="1" t="str">
        <f t="shared" si="773"/>
        <v>ND</v>
      </c>
      <c r="DP161" s="1" t="str">
        <f t="shared" si="774"/>
        <v>ND</v>
      </c>
      <c r="DQ161" s="1" t="str">
        <f t="shared" si="775"/>
        <v>ND</v>
      </c>
      <c r="DR161" s="1" t="str">
        <f t="shared" si="776"/>
        <v>ND</v>
      </c>
      <c r="DS161" s="1" t="str">
        <f t="shared" si="777"/>
        <v>ND</v>
      </c>
      <c r="DT161" s="1" t="str">
        <f t="shared" si="778"/>
        <v>ND</v>
      </c>
      <c r="DU161" s="1" t="str">
        <f t="shared" si="779"/>
        <v>ND</v>
      </c>
      <c r="DV161" s="1" t="str">
        <f t="shared" si="780"/>
        <v>ND</v>
      </c>
      <c r="DW161" s="1" t="str">
        <f t="shared" si="781"/>
        <v>ND</v>
      </c>
      <c r="DX161" s="1" t="str">
        <f t="shared" si="782"/>
        <v>ND</v>
      </c>
      <c r="DY161" s="1" t="str">
        <f t="shared" si="783"/>
        <v>ND</v>
      </c>
      <c r="DZ161" s="1" t="str">
        <f t="shared" si="784"/>
        <v>ND</v>
      </c>
      <c r="EA161" s="1" t="str">
        <f t="shared" si="785"/>
        <v>ND</v>
      </c>
      <c r="EB161" s="1" t="str">
        <f t="shared" si="786"/>
        <v>ND</v>
      </c>
      <c r="EC161" s="1" t="str">
        <f t="shared" si="787"/>
        <v>ND</v>
      </c>
      <c r="ED161" s="1" t="str">
        <f t="shared" si="788"/>
        <v>ND</v>
      </c>
      <c r="EE161" s="1" t="str">
        <f t="shared" si="789"/>
        <v>ND</v>
      </c>
      <c r="EF161" s="1" t="str">
        <f t="shared" si="790"/>
        <v>ND</v>
      </c>
      <c r="EG161" s="1" t="str">
        <f t="shared" si="791"/>
        <v>ND</v>
      </c>
      <c r="EH161" s="1" t="str">
        <f t="shared" si="792"/>
        <v>ND</v>
      </c>
      <c r="EI161" s="1" t="str">
        <f t="shared" si="793"/>
        <v>ND</v>
      </c>
      <c r="EJ161" s="1" t="str">
        <f t="shared" si="794"/>
        <v>ND</v>
      </c>
      <c r="EK161" s="1" t="str">
        <f t="shared" si="795"/>
        <v>ND</v>
      </c>
      <c r="EL161" s="1" t="str">
        <f t="shared" si="796"/>
        <v>ND</v>
      </c>
      <c r="EM161" s="1" t="str">
        <f t="shared" si="797"/>
        <v>ND</v>
      </c>
      <c r="EN161" s="1" t="str">
        <f t="shared" si="798"/>
        <v>ND</v>
      </c>
      <c r="EO161" s="1" t="str">
        <f t="shared" ref="EO161:EY170" si="881">IFERROR(IF(EO$9="ND","ND",VLOOKUP($C161,PAR,EO$9,0)),"ND")</f>
        <v>ND</v>
      </c>
      <c r="EP161" s="1" t="str">
        <f t="shared" si="881"/>
        <v>ND</v>
      </c>
      <c r="EQ161" s="1" t="str">
        <f t="shared" si="881"/>
        <v>ND</v>
      </c>
      <c r="ER161" s="1" t="str">
        <f t="shared" si="881"/>
        <v>ND</v>
      </c>
      <c r="ES161" s="1" t="str">
        <f t="shared" si="881"/>
        <v>ND</v>
      </c>
      <c r="ET161" s="1" t="str">
        <f t="shared" si="881"/>
        <v>ND</v>
      </c>
      <c r="EU161" s="1" t="str">
        <f t="shared" si="881"/>
        <v>ND</v>
      </c>
      <c r="EV161" s="1" t="str">
        <f t="shared" si="881"/>
        <v>ND</v>
      </c>
      <c r="EW161" s="1" t="str">
        <f t="shared" si="881"/>
        <v>ND</v>
      </c>
      <c r="EX161" s="1" t="str">
        <f t="shared" si="881"/>
        <v>ND</v>
      </c>
      <c r="EY161" s="1" t="str">
        <f t="shared" si="881"/>
        <v>ND</v>
      </c>
      <c r="EZ161" s="1" t="str">
        <f t="shared" ref="EZ161:FJ170" si="882">IFERROR(IF(EZ$9="ND","ND",VLOOKUP($C161,PE,EZ$9,0)),"ND")</f>
        <v>ND</v>
      </c>
      <c r="FA161" s="1" t="str">
        <f t="shared" si="882"/>
        <v>ND</v>
      </c>
      <c r="FB161" s="1" t="str">
        <f t="shared" si="882"/>
        <v>ND</v>
      </c>
      <c r="FC161" s="1" t="str">
        <f t="shared" si="882"/>
        <v>ND</v>
      </c>
      <c r="FD161" s="1" t="str">
        <f t="shared" si="882"/>
        <v>ND</v>
      </c>
      <c r="FE161" s="1" t="str">
        <f t="shared" si="882"/>
        <v>ND</v>
      </c>
      <c r="FF161" s="1" t="str">
        <f t="shared" si="882"/>
        <v>ND</v>
      </c>
      <c r="FG161" s="1" t="str">
        <f t="shared" si="882"/>
        <v>ND</v>
      </c>
      <c r="FH161" s="1" t="str">
        <f t="shared" si="882"/>
        <v>ND</v>
      </c>
      <c r="FI161" s="1" t="str">
        <f t="shared" si="882"/>
        <v>ND</v>
      </c>
      <c r="FJ161" s="1" t="str">
        <f t="shared" si="882"/>
        <v>ND</v>
      </c>
      <c r="FK161" s="1" t="str">
        <f t="shared" ref="FK161:FU170" si="883">IFERROR(IF(FK$9="ND","ND",VLOOKUP($C161,RE,FK$9,0)),"ND")</f>
        <v>ND</v>
      </c>
      <c r="FL161" s="1" t="str">
        <f t="shared" si="883"/>
        <v>ND</v>
      </c>
      <c r="FM161" s="1" t="str">
        <f t="shared" si="883"/>
        <v>ND</v>
      </c>
      <c r="FN161" s="1" t="str">
        <f t="shared" si="883"/>
        <v>ND</v>
      </c>
      <c r="FO161" s="1" t="str">
        <f t="shared" si="883"/>
        <v>ND</v>
      </c>
      <c r="FP161" s="1" t="str">
        <f t="shared" si="883"/>
        <v>ND</v>
      </c>
      <c r="FQ161" s="1" t="str">
        <f t="shared" si="883"/>
        <v>ND</v>
      </c>
      <c r="FR161" s="1" t="str">
        <f t="shared" si="883"/>
        <v>ND</v>
      </c>
      <c r="FS161" s="1" t="str">
        <f t="shared" si="883"/>
        <v>ND</v>
      </c>
      <c r="FT161" s="1" t="str">
        <f t="shared" si="883"/>
        <v>ND</v>
      </c>
      <c r="FU161" s="1" t="str">
        <f t="shared" si="883"/>
        <v>ND</v>
      </c>
      <c r="FV161" s="1" t="str">
        <f t="shared" si="799"/>
        <v>ND</v>
      </c>
      <c r="FW161" s="1" t="str">
        <f t="shared" si="800"/>
        <v>ND</v>
      </c>
      <c r="FX161" s="1" t="str">
        <f t="shared" si="801"/>
        <v>ND</v>
      </c>
      <c r="FY161" s="1" t="str">
        <f t="shared" si="802"/>
        <v>ND</v>
      </c>
      <c r="FZ161" s="1" t="str">
        <f t="shared" si="803"/>
        <v>ND</v>
      </c>
      <c r="GA161" s="1" t="str">
        <f t="shared" si="804"/>
        <v>ND</v>
      </c>
      <c r="GB161" s="1" t="str">
        <f t="shared" si="805"/>
        <v>ND</v>
      </c>
      <c r="GC161" s="1" t="str">
        <f t="shared" si="806"/>
        <v>ND</v>
      </c>
      <c r="GD161" s="1" t="str">
        <f t="shared" si="807"/>
        <v>ND</v>
      </c>
      <c r="GE161" s="1" t="str">
        <f t="shared" si="808"/>
        <v>ND</v>
      </c>
      <c r="GF161" s="1" t="str">
        <f t="shared" si="809"/>
        <v>ND</v>
      </c>
      <c r="GG161" s="1" t="str">
        <f t="shared" si="810"/>
        <v>ND</v>
      </c>
      <c r="GH161" s="1" t="str">
        <f t="shared" si="811"/>
        <v>ND</v>
      </c>
      <c r="GI161" s="1" t="str">
        <f t="shared" si="812"/>
        <v>ND</v>
      </c>
      <c r="GJ161" s="1" t="str">
        <f t="shared" si="813"/>
        <v>ND</v>
      </c>
      <c r="GK161" s="1" t="str">
        <f t="shared" si="814"/>
        <v>ND</v>
      </c>
      <c r="GL161" s="1" t="str">
        <f t="shared" si="815"/>
        <v>ND</v>
      </c>
      <c r="GM161" s="1" t="str">
        <f t="shared" si="816"/>
        <v>ND</v>
      </c>
      <c r="GN161" s="1" t="str">
        <f t="shared" si="817"/>
        <v>ND</v>
      </c>
      <c r="GO161" s="1" t="str">
        <f t="shared" si="818"/>
        <v>ND</v>
      </c>
      <c r="GP161" s="1" t="str">
        <f t="shared" si="819"/>
        <v>ND</v>
      </c>
      <c r="GQ161" s="1" t="str">
        <f t="shared" si="820"/>
        <v>ND</v>
      </c>
      <c r="GR161" s="1" t="str">
        <f t="shared" si="821"/>
        <v>ND</v>
      </c>
      <c r="GS161" s="1" t="str">
        <f t="shared" si="822"/>
        <v>ND</v>
      </c>
      <c r="GT161" s="1" t="str">
        <f t="shared" si="823"/>
        <v>ND</v>
      </c>
      <c r="GU161" s="1" t="str">
        <f t="shared" si="824"/>
        <v>ND</v>
      </c>
      <c r="GV161" s="1" t="str">
        <f t="shared" si="825"/>
        <v>ND</v>
      </c>
      <c r="GW161" s="1" t="str">
        <f t="shared" si="826"/>
        <v>ND</v>
      </c>
      <c r="GX161" s="1" t="str">
        <f t="shared" si="827"/>
        <v>ND</v>
      </c>
      <c r="GY161" s="1" t="str">
        <f t="shared" si="828"/>
        <v>ND</v>
      </c>
      <c r="GZ161" s="1" t="str">
        <f t="shared" si="829"/>
        <v>ND</v>
      </c>
      <c r="HA161" s="1" t="str">
        <f t="shared" si="830"/>
        <v>ND</v>
      </c>
      <c r="HB161" s="1" t="str">
        <f t="shared" si="831"/>
        <v>ND</v>
      </c>
      <c r="HC161" s="1" t="str">
        <f t="shared" si="832"/>
        <v>ND</v>
      </c>
      <c r="HD161" s="1" t="str">
        <f t="shared" si="833"/>
        <v>ND</v>
      </c>
      <c r="HE161" s="1" t="str">
        <f t="shared" si="834"/>
        <v>ND</v>
      </c>
      <c r="HF161" s="1" t="str">
        <f t="shared" si="835"/>
        <v>ND</v>
      </c>
      <c r="HG161" s="1" t="str">
        <f t="shared" si="836"/>
        <v>ND</v>
      </c>
      <c r="HH161" s="1" t="str">
        <f t="shared" si="837"/>
        <v>ND</v>
      </c>
      <c r="HI161" s="1" t="str">
        <f t="shared" si="838"/>
        <v>ND</v>
      </c>
      <c r="HJ161" s="1" t="str">
        <f t="shared" si="839"/>
        <v>ND</v>
      </c>
      <c r="HK161" s="1" t="str">
        <f t="shared" si="840"/>
        <v>ND</v>
      </c>
      <c r="HL161" s="1" t="str">
        <f t="shared" si="841"/>
        <v>ND</v>
      </c>
      <c r="HM161" s="1" t="str">
        <f t="shared" si="842"/>
        <v>ND</v>
      </c>
      <c r="HN161" s="1" t="str">
        <f t="shared" si="843"/>
        <v>ND</v>
      </c>
      <c r="HO161" s="1" t="str">
        <f t="shared" si="844"/>
        <v>ND</v>
      </c>
      <c r="HP161" s="1" t="str">
        <f t="shared" si="845"/>
        <v>ND</v>
      </c>
      <c r="HQ161" s="1" t="str">
        <f t="shared" si="846"/>
        <v>ND</v>
      </c>
      <c r="HR161" s="1" t="str">
        <f t="shared" si="847"/>
        <v>ND</v>
      </c>
      <c r="HS161" s="1" t="str">
        <f t="shared" si="848"/>
        <v>ND</v>
      </c>
      <c r="HT161" s="1" t="str">
        <f t="shared" si="849"/>
        <v>ND</v>
      </c>
      <c r="HU161" s="1" t="str">
        <f t="shared" si="850"/>
        <v>ND</v>
      </c>
      <c r="HV161" s="1" t="str">
        <f t="shared" si="851"/>
        <v>ND</v>
      </c>
      <c r="HW161" s="1" t="str">
        <f t="shared" si="852"/>
        <v>ND</v>
      </c>
      <c r="HX161" s="1" t="str">
        <f t="shared" si="853"/>
        <v>ND</v>
      </c>
      <c r="HY161" s="1" t="str">
        <f t="shared" si="854"/>
        <v>ND</v>
      </c>
      <c r="HZ161" s="1" t="str">
        <f t="shared" si="855"/>
        <v>ND</v>
      </c>
      <c r="IA161" s="1" t="str">
        <f t="shared" si="856"/>
        <v>ND</v>
      </c>
      <c r="IB161" s="1" t="str">
        <f t="shared" si="857"/>
        <v>ND</v>
      </c>
      <c r="IC161" s="1" t="str">
        <f t="shared" si="858"/>
        <v>ND</v>
      </c>
      <c r="ID161" s="1" t="str">
        <f t="shared" si="859"/>
        <v>ND</v>
      </c>
      <c r="IE161" s="1" t="str">
        <f t="shared" si="860"/>
        <v>ND</v>
      </c>
      <c r="IF161" s="1" t="str">
        <f t="shared" si="861"/>
        <v>ND</v>
      </c>
      <c r="IG161" s="1" t="str">
        <f t="shared" si="862"/>
        <v>ND</v>
      </c>
      <c r="IH161" s="1" t="str">
        <f t="shared" si="863"/>
        <v>ND</v>
      </c>
      <c r="II161" s="1" t="str">
        <f t="shared" si="864"/>
        <v>ND</v>
      </c>
    </row>
    <row r="162" spans="3:243" x14ac:dyDescent="0.25">
      <c r="C162" t="s">
        <v>106</v>
      </c>
      <c r="D162">
        <f>SUMIFS(DICCIONARIO[Cantidad],DICCIONARIO[Modelo],UNIFICADA[[#This Row],[Equipo]])</f>
        <v>18</v>
      </c>
      <c r="E162" s="1">
        <f>IFERROR(VLOOKUP($C162,EQUIPOS[],UNIFICADO!E$9,0),"")</f>
        <v>16</v>
      </c>
      <c r="F162" s="1">
        <f>IFERROR(VLOOKUP($C162,EQUIPOS[],UNIFICADO!F$9,0),"")</f>
        <v>6.1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128GB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172</v>
      </c>
      <c r="P162" s="1">
        <f>IFERROR(VLOOKUP($C162,EQUIPOS[],UNIFICADO!P$9,0),"")</f>
        <v>14.67</v>
      </c>
      <c r="Q162" s="1">
        <f>IFERROR(VLOOKUP($C162,EQUIPOS[],UNIFICADO!Q$9,0),"")</f>
        <v>7.15</v>
      </c>
      <c r="R162" s="1">
        <f>IFERROR(VLOOKUP($C162,EQUIPOS[],UNIFICADO!R$9,0),"")</f>
        <v>0.78</v>
      </c>
      <c r="S162" s="1">
        <f>IFERROR(VLOOKUP($C162,EQUIPOS[],UNIFICADO!S$9,0),"")</f>
        <v>3279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9"/>
        <v>ND</v>
      </c>
      <c r="W162" s="1" t="str">
        <f t="shared" si="710"/>
        <v>ND</v>
      </c>
      <c r="X162" s="1" t="str">
        <f t="shared" si="871"/>
        <v>ND</v>
      </c>
      <c r="Y162" s="1" t="str">
        <f t="shared" si="871"/>
        <v>ND</v>
      </c>
      <c r="Z162" s="1" t="str">
        <f t="shared" si="878"/>
        <v>ND</v>
      </c>
      <c r="AA162" s="1" t="str">
        <f t="shared" si="878"/>
        <v>ND</v>
      </c>
      <c r="AB162" s="1" t="str">
        <f t="shared" si="878"/>
        <v>ND</v>
      </c>
      <c r="AC162" s="1" t="str">
        <f t="shared" si="878"/>
        <v>ND</v>
      </c>
      <c r="AD162" s="1" t="str">
        <f t="shared" si="878"/>
        <v>ND</v>
      </c>
      <c r="AE162" s="1" t="str">
        <f t="shared" si="878"/>
        <v>ND</v>
      </c>
      <c r="AF162" s="1" t="str">
        <f t="shared" si="878"/>
        <v>ND</v>
      </c>
      <c r="AG162" s="1" t="str">
        <f t="shared" si="878"/>
        <v>ND</v>
      </c>
      <c r="AH162" s="1" t="str">
        <f t="shared" si="878"/>
        <v>ND</v>
      </c>
      <c r="AI162" s="1" t="str">
        <f t="shared" si="711"/>
        <v>ND</v>
      </c>
      <c r="AJ162" s="1" t="str">
        <f t="shared" si="712"/>
        <v>ND</v>
      </c>
      <c r="AK162" s="1" t="str">
        <f t="shared" si="713"/>
        <v>ND</v>
      </c>
      <c r="AL162" s="1" t="str">
        <f t="shared" si="714"/>
        <v>ND</v>
      </c>
      <c r="AM162" s="1" t="str">
        <f t="shared" si="715"/>
        <v>ND</v>
      </c>
      <c r="AN162" s="1" t="str">
        <f t="shared" si="716"/>
        <v>ND</v>
      </c>
      <c r="AO162" s="1" t="str">
        <f t="shared" si="717"/>
        <v>ND</v>
      </c>
      <c r="AP162" s="1" t="str">
        <f t="shared" si="718"/>
        <v>ND</v>
      </c>
      <c r="AQ162" s="1" t="str">
        <f t="shared" si="719"/>
        <v>ND</v>
      </c>
      <c r="AR162" s="1" t="str">
        <f t="shared" si="720"/>
        <v>ND</v>
      </c>
      <c r="AS162" s="1" t="str">
        <f t="shared" si="721"/>
        <v>ND</v>
      </c>
      <c r="AT162" s="1" t="str">
        <f t="shared" si="722"/>
        <v>ND</v>
      </c>
      <c r="AU162" s="1" t="str">
        <f t="shared" si="723"/>
        <v>ND</v>
      </c>
      <c r="AV162" s="1" t="str">
        <f t="shared" si="724"/>
        <v>ND</v>
      </c>
      <c r="AW162" s="1" t="str">
        <f t="shared" si="725"/>
        <v>ND</v>
      </c>
      <c r="AX162" s="1" t="str">
        <f t="shared" si="726"/>
        <v>ND</v>
      </c>
      <c r="AY162" s="1" t="str">
        <f t="shared" si="727"/>
        <v>ND</v>
      </c>
      <c r="AZ162" s="1" t="str">
        <f t="shared" si="728"/>
        <v>ND</v>
      </c>
      <c r="BA162" s="1" t="str">
        <f t="shared" si="729"/>
        <v>ND</v>
      </c>
      <c r="BB162" s="1" t="str">
        <f t="shared" si="730"/>
        <v>ND</v>
      </c>
      <c r="BC162" s="1" t="str">
        <f t="shared" si="731"/>
        <v>ND</v>
      </c>
      <c r="BD162" s="1" t="str">
        <f t="shared" si="732"/>
        <v>ND</v>
      </c>
      <c r="BE162" s="1" t="str">
        <f t="shared" si="733"/>
        <v>ND</v>
      </c>
      <c r="BF162" s="1" t="str">
        <f t="shared" si="734"/>
        <v>ND</v>
      </c>
      <c r="BG162" s="1" t="str">
        <f t="shared" si="735"/>
        <v>ND</v>
      </c>
      <c r="BH162" s="1" t="str">
        <f t="shared" si="736"/>
        <v>ND</v>
      </c>
      <c r="BI162" s="1" t="str">
        <f t="shared" si="737"/>
        <v>ND</v>
      </c>
      <c r="BJ162" s="1" t="str">
        <f t="shared" si="738"/>
        <v>ND</v>
      </c>
      <c r="BK162" s="1" t="str">
        <f t="shared" si="739"/>
        <v>ND</v>
      </c>
      <c r="BL162" s="1" t="str">
        <f t="shared" si="740"/>
        <v>ND</v>
      </c>
      <c r="BM162" s="1" t="str">
        <f t="shared" si="741"/>
        <v>ND</v>
      </c>
      <c r="BN162" s="1" t="str">
        <f t="shared" si="742"/>
        <v>ND</v>
      </c>
      <c r="BO162" s="1" t="str">
        <f t="shared" si="743"/>
        <v>ND</v>
      </c>
      <c r="BP162" s="1" t="str">
        <f t="shared" si="744"/>
        <v>ND</v>
      </c>
      <c r="BQ162" s="1" t="str">
        <f t="shared" si="745"/>
        <v>ND</v>
      </c>
      <c r="BR162" s="1" t="str">
        <f t="shared" si="746"/>
        <v>ND</v>
      </c>
      <c r="BS162" s="1" t="str">
        <f t="shared" si="747"/>
        <v>ND</v>
      </c>
      <c r="BT162" s="1" t="str">
        <f t="shared" si="748"/>
        <v>ND</v>
      </c>
      <c r="BU162" s="1" t="str">
        <f t="shared" si="749"/>
        <v>ND</v>
      </c>
      <c r="BV162" s="1" t="str">
        <f t="shared" si="750"/>
        <v>ND</v>
      </c>
      <c r="BW162" s="1" t="str">
        <f t="shared" si="751"/>
        <v>ND</v>
      </c>
      <c r="BX162" s="1" t="str">
        <f t="shared" si="752"/>
        <v>ND</v>
      </c>
      <c r="BY162" s="1" t="str">
        <f t="shared" si="753"/>
        <v>ND</v>
      </c>
      <c r="BZ162" s="1" t="str">
        <f t="shared" si="754"/>
        <v>ND</v>
      </c>
      <c r="CA162" s="1" t="str">
        <f t="shared" si="879"/>
        <v>ND</v>
      </c>
      <c r="CB162" s="1" t="str">
        <f t="shared" si="879"/>
        <v>ND</v>
      </c>
      <c r="CC162" s="1" t="str">
        <f t="shared" si="879"/>
        <v>ND</v>
      </c>
      <c r="CD162" s="1" t="str">
        <f t="shared" si="879"/>
        <v>ND</v>
      </c>
      <c r="CE162" s="1" t="str">
        <f t="shared" si="879"/>
        <v>ND</v>
      </c>
      <c r="CF162" s="1" t="str">
        <f t="shared" si="879"/>
        <v>ND</v>
      </c>
      <c r="CG162" s="1" t="str">
        <f t="shared" si="879"/>
        <v>ND</v>
      </c>
      <c r="CH162" s="1" t="str">
        <f t="shared" si="879"/>
        <v>ND</v>
      </c>
      <c r="CI162" s="1" t="str">
        <f t="shared" si="879"/>
        <v>ND</v>
      </c>
      <c r="CJ162" s="1" t="str">
        <f t="shared" si="879"/>
        <v>ND</v>
      </c>
      <c r="CK162" s="1" t="str">
        <f t="shared" si="879"/>
        <v>ND</v>
      </c>
      <c r="CL162" s="1" t="str">
        <f t="shared" si="880"/>
        <v>ND</v>
      </c>
      <c r="CM162" s="1" t="str">
        <f t="shared" si="880"/>
        <v>ND</v>
      </c>
      <c r="CN162" s="1" t="str">
        <f t="shared" si="880"/>
        <v>ND</v>
      </c>
      <c r="CO162" s="1" t="str">
        <f t="shared" si="880"/>
        <v>ND</v>
      </c>
      <c r="CP162" s="1" t="str">
        <f t="shared" si="880"/>
        <v>ND</v>
      </c>
      <c r="CQ162" s="1" t="str">
        <f t="shared" si="880"/>
        <v>ND</v>
      </c>
      <c r="CR162" s="1" t="str">
        <f t="shared" si="880"/>
        <v>ND</v>
      </c>
      <c r="CS162" s="1" t="str">
        <f t="shared" si="880"/>
        <v>ND</v>
      </c>
      <c r="CT162" s="1" t="str">
        <f t="shared" si="880"/>
        <v>ND</v>
      </c>
      <c r="CU162" s="1" t="str">
        <f t="shared" si="880"/>
        <v>ND</v>
      </c>
      <c r="CV162" s="1" t="str">
        <f t="shared" si="880"/>
        <v>ND</v>
      </c>
      <c r="CW162" s="1" t="str">
        <f t="shared" si="755"/>
        <v>ND</v>
      </c>
      <c r="CX162" s="1" t="str">
        <f t="shared" si="756"/>
        <v>ND</v>
      </c>
      <c r="CY162" s="1" t="str">
        <f t="shared" si="757"/>
        <v>ND</v>
      </c>
      <c r="CZ162" s="1" t="str">
        <f t="shared" si="758"/>
        <v>ND</v>
      </c>
      <c r="DA162" s="1" t="str">
        <f t="shared" si="759"/>
        <v>ND</v>
      </c>
      <c r="DB162" s="1" t="str">
        <f t="shared" si="760"/>
        <v>ND</v>
      </c>
      <c r="DC162" s="1" t="str">
        <f t="shared" si="761"/>
        <v>ND</v>
      </c>
      <c r="DD162" s="1" t="str">
        <f t="shared" si="762"/>
        <v>ND</v>
      </c>
      <c r="DE162" s="1" t="str">
        <f t="shared" si="763"/>
        <v>ND</v>
      </c>
      <c r="DF162" s="1" t="str">
        <f t="shared" si="764"/>
        <v>ND</v>
      </c>
      <c r="DG162" s="1" t="str">
        <f t="shared" si="765"/>
        <v>ND</v>
      </c>
      <c r="DH162" s="1" t="str">
        <f t="shared" si="766"/>
        <v>ND</v>
      </c>
      <c r="DI162" s="1" t="str">
        <f t="shared" si="767"/>
        <v>ND</v>
      </c>
      <c r="DJ162" s="1" t="str">
        <f t="shared" si="768"/>
        <v>ND</v>
      </c>
      <c r="DK162" s="1" t="str">
        <f t="shared" si="769"/>
        <v>ND</v>
      </c>
      <c r="DL162" s="1" t="str">
        <f t="shared" si="770"/>
        <v>ND</v>
      </c>
      <c r="DM162" s="1" t="str">
        <f t="shared" si="771"/>
        <v>ND</v>
      </c>
      <c r="DN162" s="1" t="str">
        <f t="shared" si="772"/>
        <v>ND</v>
      </c>
      <c r="DO162" s="1" t="str">
        <f t="shared" si="773"/>
        <v>ND</v>
      </c>
      <c r="DP162" s="1" t="str">
        <f t="shared" si="774"/>
        <v>ND</v>
      </c>
      <c r="DQ162" s="1" t="str">
        <f t="shared" si="775"/>
        <v>ND</v>
      </c>
      <c r="DR162" s="1" t="str">
        <f t="shared" si="776"/>
        <v>ND</v>
      </c>
      <c r="DS162" s="1" t="str">
        <f t="shared" si="777"/>
        <v>ND</v>
      </c>
      <c r="DT162" s="1" t="str">
        <f t="shared" si="778"/>
        <v>ND</v>
      </c>
      <c r="DU162" s="1" t="str">
        <f t="shared" si="779"/>
        <v>ND</v>
      </c>
      <c r="DV162" s="1" t="str">
        <f t="shared" si="780"/>
        <v>ND</v>
      </c>
      <c r="DW162" s="1" t="str">
        <f t="shared" si="781"/>
        <v>ND</v>
      </c>
      <c r="DX162" s="1" t="str">
        <f t="shared" si="782"/>
        <v>ND</v>
      </c>
      <c r="DY162" s="1" t="str">
        <f t="shared" si="783"/>
        <v>ND</v>
      </c>
      <c r="DZ162" s="1" t="str">
        <f t="shared" si="784"/>
        <v>ND</v>
      </c>
      <c r="EA162" s="1" t="str">
        <f t="shared" si="785"/>
        <v>ND</v>
      </c>
      <c r="EB162" s="1" t="str">
        <f t="shared" si="786"/>
        <v>ND</v>
      </c>
      <c r="EC162" s="1" t="str">
        <f t="shared" si="787"/>
        <v>ND</v>
      </c>
      <c r="ED162" s="1" t="str">
        <f t="shared" si="788"/>
        <v>ND</v>
      </c>
      <c r="EE162" s="1" t="str">
        <f t="shared" si="789"/>
        <v>ND</v>
      </c>
      <c r="EF162" s="1" t="str">
        <f t="shared" si="790"/>
        <v>ND</v>
      </c>
      <c r="EG162" s="1" t="str">
        <f t="shared" si="791"/>
        <v>ND</v>
      </c>
      <c r="EH162" s="1" t="str">
        <f t="shared" si="792"/>
        <v>ND</v>
      </c>
      <c r="EI162" s="1" t="str">
        <f t="shared" si="793"/>
        <v>ND</v>
      </c>
      <c r="EJ162" s="1" t="str">
        <f t="shared" si="794"/>
        <v>ND</v>
      </c>
      <c r="EK162" s="1" t="str">
        <f t="shared" si="795"/>
        <v>ND</v>
      </c>
      <c r="EL162" s="1" t="str">
        <f t="shared" si="796"/>
        <v>ND</v>
      </c>
      <c r="EM162" s="1" t="str">
        <f t="shared" si="797"/>
        <v>ND</v>
      </c>
      <c r="EN162" s="1" t="str">
        <f t="shared" si="798"/>
        <v>ND</v>
      </c>
      <c r="EO162" s="1" t="str">
        <f t="shared" si="881"/>
        <v>ND</v>
      </c>
      <c r="EP162" s="1" t="str">
        <f t="shared" si="881"/>
        <v>ND</v>
      </c>
      <c r="EQ162" s="1" t="str">
        <f t="shared" si="881"/>
        <v>ND</v>
      </c>
      <c r="ER162" s="1" t="str">
        <f t="shared" si="881"/>
        <v>ND</v>
      </c>
      <c r="ES162" s="1" t="str">
        <f t="shared" si="881"/>
        <v>ND</v>
      </c>
      <c r="ET162" s="1" t="str">
        <f t="shared" si="881"/>
        <v>ND</v>
      </c>
      <c r="EU162" s="1" t="str">
        <f t="shared" si="881"/>
        <v>ND</v>
      </c>
      <c r="EV162" s="1" t="str">
        <f t="shared" si="881"/>
        <v>ND</v>
      </c>
      <c r="EW162" s="1" t="str">
        <f t="shared" si="881"/>
        <v>ND</v>
      </c>
      <c r="EX162" s="1" t="str">
        <f t="shared" si="881"/>
        <v>ND</v>
      </c>
      <c r="EY162" s="1" t="str">
        <f t="shared" si="881"/>
        <v>ND</v>
      </c>
      <c r="EZ162" s="1" t="str">
        <f t="shared" si="882"/>
        <v>ND</v>
      </c>
      <c r="FA162" s="1" t="str">
        <f t="shared" si="882"/>
        <v>ND</v>
      </c>
      <c r="FB162" s="1" t="str">
        <f t="shared" si="882"/>
        <v>ND</v>
      </c>
      <c r="FC162" s="1" t="str">
        <f t="shared" si="882"/>
        <v>ND</v>
      </c>
      <c r="FD162" s="1" t="str">
        <f t="shared" si="882"/>
        <v>ND</v>
      </c>
      <c r="FE162" s="1" t="str">
        <f t="shared" si="882"/>
        <v>ND</v>
      </c>
      <c r="FF162" s="1" t="str">
        <f t="shared" si="882"/>
        <v>ND</v>
      </c>
      <c r="FG162" s="1" t="str">
        <f t="shared" si="882"/>
        <v>ND</v>
      </c>
      <c r="FH162" s="1" t="str">
        <f t="shared" si="882"/>
        <v>ND</v>
      </c>
      <c r="FI162" s="1" t="str">
        <f t="shared" si="882"/>
        <v>ND</v>
      </c>
      <c r="FJ162" s="1" t="str">
        <f t="shared" si="882"/>
        <v>ND</v>
      </c>
      <c r="FK162" s="1" t="str">
        <f t="shared" si="883"/>
        <v>ND</v>
      </c>
      <c r="FL162" s="1" t="str">
        <f t="shared" si="883"/>
        <v>ND</v>
      </c>
      <c r="FM162" s="1" t="str">
        <f t="shared" si="883"/>
        <v>ND</v>
      </c>
      <c r="FN162" s="1" t="str">
        <f t="shared" si="883"/>
        <v>ND</v>
      </c>
      <c r="FO162" s="1" t="str">
        <f t="shared" si="883"/>
        <v>ND</v>
      </c>
      <c r="FP162" s="1" t="str">
        <f t="shared" si="883"/>
        <v>ND</v>
      </c>
      <c r="FQ162" s="1" t="str">
        <f t="shared" si="883"/>
        <v>ND</v>
      </c>
      <c r="FR162" s="1" t="str">
        <f t="shared" si="883"/>
        <v>ND</v>
      </c>
      <c r="FS162" s="1" t="str">
        <f t="shared" si="883"/>
        <v>ND</v>
      </c>
      <c r="FT162" s="1" t="str">
        <f t="shared" si="883"/>
        <v>ND</v>
      </c>
      <c r="FU162" s="1" t="str">
        <f t="shared" si="883"/>
        <v>ND</v>
      </c>
      <c r="FV162" s="1" t="str">
        <f t="shared" si="799"/>
        <v>ND</v>
      </c>
      <c r="FW162" s="1" t="str">
        <f t="shared" si="800"/>
        <v>ND</v>
      </c>
      <c r="FX162" s="1" t="str">
        <f t="shared" si="801"/>
        <v>ND</v>
      </c>
      <c r="FY162" s="1" t="str">
        <f t="shared" si="802"/>
        <v>ND</v>
      </c>
      <c r="FZ162" s="1" t="str">
        <f t="shared" si="803"/>
        <v>ND</v>
      </c>
      <c r="GA162" s="1" t="str">
        <f t="shared" si="804"/>
        <v>ND</v>
      </c>
      <c r="GB162" s="1" t="str">
        <f t="shared" si="805"/>
        <v>ND</v>
      </c>
      <c r="GC162" s="1" t="str">
        <f t="shared" si="806"/>
        <v>ND</v>
      </c>
      <c r="GD162" s="1" t="str">
        <f t="shared" si="807"/>
        <v>ND</v>
      </c>
      <c r="GE162" s="1" t="str">
        <f t="shared" si="808"/>
        <v>ND</v>
      </c>
      <c r="GF162" s="1" t="str">
        <f t="shared" si="809"/>
        <v>ND</v>
      </c>
      <c r="GG162" s="1" t="str">
        <f t="shared" si="810"/>
        <v>ND</v>
      </c>
      <c r="GH162" s="1" t="str">
        <f t="shared" si="811"/>
        <v>ND</v>
      </c>
      <c r="GI162" s="1" t="str">
        <f t="shared" si="812"/>
        <v>ND</v>
      </c>
      <c r="GJ162" s="1" t="str">
        <f t="shared" si="813"/>
        <v>ND</v>
      </c>
      <c r="GK162" s="1" t="str">
        <f t="shared" si="814"/>
        <v>ND</v>
      </c>
      <c r="GL162" s="1" t="str">
        <f t="shared" si="815"/>
        <v>ND</v>
      </c>
      <c r="GM162" s="1" t="str">
        <f t="shared" si="816"/>
        <v>ND</v>
      </c>
      <c r="GN162" s="1" t="str">
        <f t="shared" si="817"/>
        <v>ND</v>
      </c>
      <c r="GO162" s="1" t="str">
        <f t="shared" si="818"/>
        <v>ND</v>
      </c>
      <c r="GP162" s="1" t="str">
        <f t="shared" si="819"/>
        <v>ND</v>
      </c>
      <c r="GQ162" s="1" t="str">
        <f t="shared" si="820"/>
        <v>ND</v>
      </c>
      <c r="GR162" s="1" t="str">
        <f t="shared" si="821"/>
        <v>ND</v>
      </c>
      <c r="GS162" s="1" t="str">
        <f t="shared" si="822"/>
        <v>ND</v>
      </c>
      <c r="GT162" s="1" t="str">
        <f t="shared" si="823"/>
        <v>ND</v>
      </c>
      <c r="GU162" s="1" t="str">
        <f t="shared" si="824"/>
        <v>ND</v>
      </c>
      <c r="GV162" s="1" t="str">
        <f t="shared" si="825"/>
        <v>ND</v>
      </c>
      <c r="GW162" s="1" t="str">
        <f t="shared" si="826"/>
        <v>ND</v>
      </c>
      <c r="GX162" s="1" t="str">
        <f t="shared" si="827"/>
        <v>ND</v>
      </c>
      <c r="GY162" s="1" t="str">
        <f t="shared" si="828"/>
        <v>ND</v>
      </c>
      <c r="GZ162" s="1" t="str">
        <f t="shared" si="829"/>
        <v>ND</v>
      </c>
      <c r="HA162" s="1" t="str">
        <f t="shared" si="830"/>
        <v>ND</v>
      </c>
      <c r="HB162" s="1" t="str">
        <f t="shared" si="831"/>
        <v>ND</v>
      </c>
      <c r="HC162" s="1" t="str">
        <f t="shared" si="832"/>
        <v>ND</v>
      </c>
      <c r="HD162" s="1" t="str">
        <f t="shared" si="833"/>
        <v>ND</v>
      </c>
      <c r="HE162" s="1" t="str">
        <f t="shared" si="834"/>
        <v>ND</v>
      </c>
      <c r="HF162" s="1" t="str">
        <f t="shared" si="835"/>
        <v>ND</v>
      </c>
      <c r="HG162" s="1" t="str">
        <f t="shared" si="836"/>
        <v>ND</v>
      </c>
      <c r="HH162" s="1" t="str">
        <f t="shared" si="837"/>
        <v>ND</v>
      </c>
      <c r="HI162" s="1" t="str">
        <f t="shared" si="838"/>
        <v>ND</v>
      </c>
      <c r="HJ162" s="1" t="str">
        <f t="shared" si="839"/>
        <v>ND</v>
      </c>
      <c r="HK162" s="1" t="str">
        <f t="shared" si="840"/>
        <v>ND</v>
      </c>
      <c r="HL162" s="1" t="str">
        <f t="shared" si="841"/>
        <v>ND</v>
      </c>
      <c r="HM162" s="1" t="str">
        <f t="shared" si="842"/>
        <v>ND</v>
      </c>
      <c r="HN162" s="1" t="str">
        <f t="shared" si="843"/>
        <v>ND</v>
      </c>
      <c r="HO162" s="1" t="str">
        <f t="shared" si="844"/>
        <v>ND</v>
      </c>
      <c r="HP162" s="1" t="str">
        <f t="shared" si="845"/>
        <v>ND</v>
      </c>
      <c r="HQ162" s="1" t="str">
        <f t="shared" si="846"/>
        <v>ND</v>
      </c>
      <c r="HR162" s="1" t="str">
        <f t="shared" si="847"/>
        <v>ND</v>
      </c>
      <c r="HS162" s="1" t="str">
        <f t="shared" si="848"/>
        <v>ND</v>
      </c>
      <c r="HT162" s="1" t="str">
        <f t="shared" si="849"/>
        <v>ND</v>
      </c>
      <c r="HU162" s="1" t="str">
        <f t="shared" si="850"/>
        <v>ND</v>
      </c>
      <c r="HV162" s="1" t="str">
        <f t="shared" si="851"/>
        <v>ND</v>
      </c>
      <c r="HW162" s="1" t="str">
        <f t="shared" si="852"/>
        <v>ND</v>
      </c>
      <c r="HX162" s="1" t="str">
        <f t="shared" si="853"/>
        <v>ND</v>
      </c>
      <c r="HY162" s="1" t="str">
        <f t="shared" si="854"/>
        <v>ND</v>
      </c>
      <c r="HZ162" s="1" t="str">
        <f t="shared" si="855"/>
        <v>ND</v>
      </c>
      <c r="IA162" s="1" t="str">
        <f t="shared" si="856"/>
        <v>ND</v>
      </c>
      <c r="IB162" s="1" t="str">
        <f t="shared" si="857"/>
        <v>ND</v>
      </c>
      <c r="IC162" s="1" t="str">
        <f t="shared" si="858"/>
        <v>ND</v>
      </c>
      <c r="ID162" s="1" t="str">
        <f t="shared" si="859"/>
        <v>ND</v>
      </c>
      <c r="IE162" s="1" t="str">
        <f t="shared" si="860"/>
        <v>ND</v>
      </c>
      <c r="IF162" s="1" t="str">
        <f t="shared" si="861"/>
        <v>ND</v>
      </c>
      <c r="IG162" s="1" t="str">
        <f t="shared" si="862"/>
        <v>ND</v>
      </c>
      <c r="IH162" s="1" t="str">
        <f t="shared" si="863"/>
        <v>ND</v>
      </c>
      <c r="II162" s="1" t="str">
        <f t="shared" si="864"/>
        <v>ND</v>
      </c>
    </row>
    <row r="163" spans="3:243" x14ac:dyDescent="0.25">
      <c r="C163" t="s">
        <v>107</v>
      </c>
      <c r="D163">
        <f>SUMIFS(DICCIONARIO[Cantidad],DICCIONARIO[Modelo],UNIFICADA[[#This Row],[Equipo]])</f>
        <v>1</v>
      </c>
      <c r="E163" s="1">
        <f>IFERROR(VLOOKUP($C163,EQUIPOS[],UNIFICADO!E$9,0),"")</f>
        <v>16</v>
      </c>
      <c r="F163" s="1">
        <f>IFERROR(VLOOKUP($C163,EQUIPOS[],UNIFICADO!F$9,0),"")</f>
        <v>6.1</v>
      </c>
      <c r="G163" s="1">
        <f>IFERROR(VLOOKUP($C163,EQUIPOS[],UNIFICADO!G$9,0),"")</f>
        <v>12</v>
      </c>
      <c r="H163" s="1">
        <f>IFERROR(VLOOKUP($C163,EQUIPOS[],UNIFICADO!H$9,0),"")</f>
        <v>3</v>
      </c>
      <c r="I163" s="1">
        <f>IFERROR(VLOOKUP($C163,EQUIPOS[],UNIFICADO!I$9,0),"")</f>
        <v>12</v>
      </c>
      <c r="J163" s="1" t="str">
        <f>IFERROR(VLOOKUP($C163,EQUIPOS[],UNIFICADO!J$9,0),"")</f>
        <v>256GB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172</v>
      </c>
      <c r="P163" s="1">
        <f>IFERROR(VLOOKUP($C163,EQUIPOS[],UNIFICADO!P$9,0),"")</f>
        <v>14.67</v>
      </c>
      <c r="Q163" s="1">
        <f>IFERROR(VLOOKUP($C163,EQUIPOS[],UNIFICADO!Q$9,0),"")</f>
        <v>7.15</v>
      </c>
      <c r="R163" s="1">
        <f>IFERROR(VLOOKUP($C163,EQUIPOS[],UNIFICADO!R$9,0),"")</f>
        <v>0.78</v>
      </c>
      <c r="S163" s="1">
        <f>IFERROR(VLOOKUP($C163,EQUIPOS[],UNIFICADO!S$9,0),"")</f>
        <v>3279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9"/>
        <v>ND</v>
      </c>
      <c r="W163" s="1" t="str">
        <f t="shared" si="710"/>
        <v>ND</v>
      </c>
      <c r="X163" s="1" t="str">
        <f t="shared" si="871"/>
        <v>ND</v>
      </c>
      <c r="Y163" s="1" t="str">
        <f t="shared" si="871"/>
        <v>ND</v>
      </c>
      <c r="Z163" s="1" t="str">
        <f t="shared" si="878"/>
        <v>ND</v>
      </c>
      <c r="AA163" s="1" t="str">
        <f t="shared" si="878"/>
        <v>ND</v>
      </c>
      <c r="AB163" s="1" t="str">
        <f t="shared" si="878"/>
        <v>ND</v>
      </c>
      <c r="AC163" s="1" t="str">
        <f t="shared" si="878"/>
        <v>ND</v>
      </c>
      <c r="AD163" s="1" t="str">
        <f t="shared" si="878"/>
        <v>ND</v>
      </c>
      <c r="AE163" s="1" t="str">
        <f t="shared" si="878"/>
        <v>ND</v>
      </c>
      <c r="AF163" s="1" t="str">
        <f t="shared" si="878"/>
        <v>ND</v>
      </c>
      <c r="AG163" s="1" t="str">
        <f t="shared" si="878"/>
        <v>ND</v>
      </c>
      <c r="AH163" s="1" t="str">
        <f t="shared" si="878"/>
        <v>ND</v>
      </c>
      <c r="AI163" s="1" t="str">
        <f t="shared" si="711"/>
        <v>ND</v>
      </c>
      <c r="AJ163" s="1" t="str">
        <f t="shared" si="712"/>
        <v>ND</v>
      </c>
      <c r="AK163" s="1" t="str">
        <f t="shared" si="713"/>
        <v>ND</v>
      </c>
      <c r="AL163" s="1" t="str">
        <f t="shared" si="714"/>
        <v>ND</v>
      </c>
      <c r="AM163" s="1" t="str">
        <f t="shared" si="715"/>
        <v>ND</v>
      </c>
      <c r="AN163" s="1" t="str">
        <f t="shared" si="716"/>
        <v>ND</v>
      </c>
      <c r="AO163" s="1" t="str">
        <f t="shared" si="717"/>
        <v>ND</v>
      </c>
      <c r="AP163" s="1" t="str">
        <f t="shared" si="718"/>
        <v>ND</v>
      </c>
      <c r="AQ163" s="1" t="str">
        <f t="shared" si="719"/>
        <v>ND</v>
      </c>
      <c r="AR163" s="1" t="str">
        <f t="shared" si="720"/>
        <v>ND</v>
      </c>
      <c r="AS163" s="1" t="str">
        <f t="shared" si="721"/>
        <v>ND</v>
      </c>
      <c r="AT163" s="1" t="str">
        <f t="shared" si="722"/>
        <v>ND</v>
      </c>
      <c r="AU163" s="1" t="str">
        <f t="shared" si="723"/>
        <v>ND</v>
      </c>
      <c r="AV163" s="1" t="str">
        <f t="shared" si="724"/>
        <v>ND</v>
      </c>
      <c r="AW163" s="1" t="str">
        <f t="shared" si="725"/>
        <v>ND</v>
      </c>
      <c r="AX163" s="1" t="str">
        <f t="shared" si="726"/>
        <v>ND</v>
      </c>
      <c r="AY163" s="1" t="str">
        <f t="shared" si="727"/>
        <v>ND</v>
      </c>
      <c r="AZ163" s="1" t="str">
        <f t="shared" si="728"/>
        <v>ND</v>
      </c>
      <c r="BA163" s="1" t="str">
        <f t="shared" si="729"/>
        <v>ND</v>
      </c>
      <c r="BB163" s="1" t="str">
        <f t="shared" si="730"/>
        <v>ND</v>
      </c>
      <c r="BC163" s="1" t="str">
        <f t="shared" si="731"/>
        <v>ND</v>
      </c>
      <c r="BD163" s="1" t="str">
        <f t="shared" si="732"/>
        <v>ND</v>
      </c>
      <c r="BE163" s="1" t="str">
        <f t="shared" si="733"/>
        <v>ND</v>
      </c>
      <c r="BF163" s="1" t="str">
        <f t="shared" si="734"/>
        <v>ND</v>
      </c>
      <c r="BG163" s="1" t="str">
        <f t="shared" si="735"/>
        <v>ND</v>
      </c>
      <c r="BH163" s="1" t="str">
        <f t="shared" si="736"/>
        <v>ND</v>
      </c>
      <c r="BI163" s="1" t="str">
        <f t="shared" si="737"/>
        <v>ND</v>
      </c>
      <c r="BJ163" s="1" t="str">
        <f t="shared" si="738"/>
        <v>ND</v>
      </c>
      <c r="BK163" s="1" t="str">
        <f t="shared" si="739"/>
        <v>ND</v>
      </c>
      <c r="BL163" s="1" t="str">
        <f t="shared" si="740"/>
        <v>ND</v>
      </c>
      <c r="BM163" s="1" t="str">
        <f t="shared" si="741"/>
        <v>ND</v>
      </c>
      <c r="BN163" s="1" t="str">
        <f t="shared" si="742"/>
        <v>ND</v>
      </c>
      <c r="BO163" s="1" t="str">
        <f t="shared" si="743"/>
        <v>ND</v>
      </c>
      <c r="BP163" s="1" t="str">
        <f t="shared" si="744"/>
        <v>ND</v>
      </c>
      <c r="BQ163" s="1" t="str">
        <f t="shared" si="745"/>
        <v>ND</v>
      </c>
      <c r="BR163" s="1" t="str">
        <f t="shared" si="746"/>
        <v>ND</v>
      </c>
      <c r="BS163" s="1" t="str">
        <f t="shared" si="747"/>
        <v>ND</v>
      </c>
      <c r="BT163" s="1" t="str">
        <f t="shared" si="748"/>
        <v>ND</v>
      </c>
      <c r="BU163" s="1" t="str">
        <f t="shared" si="749"/>
        <v>ND</v>
      </c>
      <c r="BV163" s="1" t="str">
        <f t="shared" si="750"/>
        <v>ND</v>
      </c>
      <c r="BW163" s="1" t="str">
        <f t="shared" si="751"/>
        <v>ND</v>
      </c>
      <c r="BX163" s="1" t="str">
        <f t="shared" si="752"/>
        <v>ND</v>
      </c>
      <c r="BY163" s="1" t="str">
        <f t="shared" si="753"/>
        <v>ND</v>
      </c>
      <c r="BZ163" s="1" t="str">
        <f t="shared" si="754"/>
        <v>ND</v>
      </c>
      <c r="CA163" s="1" t="str">
        <f t="shared" si="879"/>
        <v>ND</v>
      </c>
      <c r="CB163" s="1" t="str">
        <f t="shared" si="879"/>
        <v>ND</v>
      </c>
      <c r="CC163" s="1" t="str">
        <f t="shared" si="879"/>
        <v>ND</v>
      </c>
      <c r="CD163" s="1" t="str">
        <f t="shared" si="879"/>
        <v>ND</v>
      </c>
      <c r="CE163" s="1" t="str">
        <f t="shared" si="879"/>
        <v>ND</v>
      </c>
      <c r="CF163" s="1" t="str">
        <f t="shared" si="879"/>
        <v>ND</v>
      </c>
      <c r="CG163" s="1" t="str">
        <f t="shared" si="879"/>
        <v>ND</v>
      </c>
      <c r="CH163" s="1" t="str">
        <f t="shared" si="879"/>
        <v>ND</v>
      </c>
      <c r="CI163" s="1" t="str">
        <f t="shared" si="879"/>
        <v>ND</v>
      </c>
      <c r="CJ163" s="1" t="str">
        <f t="shared" si="879"/>
        <v>ND</v>
      </c>
      <c r="CK163" s="1" t="str">
        <f t="shared" si="879"/>
        <v>ND</v>
      </c>
      <c r="CL163" s="1" t="str">
        <f t="shared" si="880"/>
        <v>ND</v>
      </c>
      <c r="CM163" s="1" t="str">
        <f t="shared" si="880"/>
        <v>ND</v>
      </c>
      <c r="CN163" s="1" t="str">
        <f t="shared" si="880"/>
        <v>ND</v>
      </c>
      <c r="CO163" s="1" t="str">
        <f t="shared" si="880"/>
        <v>ND</v>
      </c>
      <c r="CP163" s="1" t="str">
        <f t="shared" si="880"/>
        <v>ND</v>
      </c>
      <c r="CQ163" s="1" t="str">
        <f t="shared" si="880"/>
        <v>ND</v>
      </c>
      <c r="CR163" s="1" t="str">
        <f t="shared" si="880"/>
        <v>ND</v>
      </c>
      <c r="CS163" s="1" t="str">
        <f t="shared" si="880"/>
        <v>ND</v>
      </c>
      <c r="CT163" s="1" t="str">
        <f t="shared" si="880"/>
        <v>ND</v>
      </c>
      <c r="CU163" s="1" t="str">
        <f t="shared" si="880"/>
        <v>ND</v>
      </c>
      <c r="CV163" s="1" t="str">
        <f t="shared" si="880"/>
        <v>ND</v>
      </c>
      <c r="CW163" s="1" t="str">
        <f t="shared" si="755"/>
        <v>ND</v>
      </c>
      <c r="CX163" s="1" t="str">
        <f t="shared" si="756"/>
        <v>ND</v>
      </c>
      <c r="CY163" s="1" t="str">
        <f t="shared" si="757"/>
        <v>ND</v>
      </c>
      <c r="CZ163" s="1" t="str">
        <f t="shared" si="758"/>
        <v>ND</v>
      </c>
      <c r="DA163" s="1" t="str">
        <f t="shared" si="759"/>
        <v>ND</v>
      </c>
      <c r="DB163" s="1" t="str">
        <f t="shared" si="760"/>
        <v>ND</v>
      </c>
      <c r="DC163" s="1" t="str">
        <f t="shared" si="761"/>
        <v>ND</v>
      </c>
      <c r="DD163" s="1" t="str">
        <f t="shared" si="762"/>
        <v>ND</v>
      </c>
      <c r="DE163" s="1" t="str">
        <f t="shared" si="763"/>
        <v>ND</v>
      </c>
      <c r="DF163" s="1" t="str">
        <f t="shared" si="764"/>
        <v>ND</v>
      </c>
      <c r="DG163" s="1" t="str">
        <f t="shared" si="765"/>
        <v>ND</v>
      </c>
      <c r="DH163" s="1" t="str">
        <f t="shared" si="766"/>
        <v>ND</v>
      </c>
      <c r="DI163" s="1" t="str">
        <f t="shared" si="767"/>
        <v>ND</v>
      </c>
      <c r="DJ163" s="1" t="str">
        <f t="shared" si="768"/>
        <v>ND</v>
      </c>
      <c r="DK163" s="1" t="str">
        <f t="shared" si="769"/>
        <v>ND</v>
      </c>
      <c r="DL163" s="1" t="str">
        <f t="shared" si="770"/>
        <v>ND</v>
      </c>
      <c r="DM163" s="1" t="str">
        <f t="shared" si="771"/>
        <v>ND</v>
      </c>
      <c r="DN163" s="1" t="str">
        <f t="shared" si="772"/>
        <v>ND</v>
      </c>
      <c r="DO163" s="1" t="str">
        <f t="shared" si="773"/>
        <v>ND</v>
      </c>
      <c r="DP163" s="1" t="str">
        <f t="shared" si="774"/>
        <v>ND</v>
      </c>
      <c r="DQ163" s="1" t="str">
        <f t="shared" si="775"/>
        <v>ND</v>
      </c>
      <c r="DR163" s="1" t="str">
        <f t="shared" si="776"/>
        <v>ND</v>
      </c>
      <c r="DS163" s="1" t="str">
        <f t="shared" si="777"/>
        <v>ND</v>
      </c>
      <c r="DT163" s="1" t="str">
        <f t="shared" si="778"/>
        <v>ND</v>
      </c>
      <c r="DU163" s="1" t="str">
        <f t="shared" si="779"/>
        <v>ND</v>
      </c>
      <c r="DV163" s="1" t="str">
        <f t="shared" si="780"/>
        <v>ND</v>
      </c>
      <c r="DW163" s="1" t="str">
        <f t="shared" si="781"/>
        <v>ND</v>
      </c>
      <c r="DX163" s="1" t="str">
        <f t="shared" si="782"/>
        <v>ND</v>
      </c>
      <c r="DY163" s="1" t="str">
        <f t="shared" si="783"/>
        <v>ND</v>
      </c>
      <c r="DZ163" s="1" t="str">
        <f t="shared" si="784"/>
        <v>ND</v>
      </c>
      <c r="EA163" s="1" t="str">
        <f t="shared" si="785"/>
        <v>ND</v>
      </c>
      <c r="EB163" s="1" t="str">
        <f t="shared" si="786"/>
        <v>ND</v>
      </c>
      <c r="EC163" s="1" t="str">
        <f t="shared" si="787"/>
        <v>ND</v>
      </c>
      <c r="ED163" s="1" t="str">
        <f t="shared" si="788"/>
        <v>ND</v>
      </c>
      <c r="EE163" s="1" t="str">
        <f t="shared" si="789"/>
        <v>ND</v>
      </c>
      <c r="EF163" s="1" t="str">
        <f t="shared" si="790"/>
        <v>ND</v>
      </c>
      <c r="EG163" s="1" t="str">
        <f t="shared" si="791"/>
        <v>ND</v>
      </c>
      <c r="EH163" s="1" t="str">
        <f t="shared" si="792"/>
        <v>ND</v>
      </c>
      <c r="EI163" s="1" t="str">
        <f t="shared" si="793"/>
        <v>ND</v>
      </c>
      <c r="EJ163" s="1" t="str">
        <f t="shared" si="794"/>
        <v>ND</v>
      </c>
      <c r="EK163" s="1" t="str">
        <f t="shared" si="795"/>
        <v>ND</v>
      </c>
      <c r="EL163" s="1" t="str">
        <f t="shared" si="796"/>
        <v>ND</v>
      </c>
      <c r="EM163" s="1" t="str">
        <f t="shared" si="797"/>
        <v>ND</v>
      </c>
      <c r="EN163" s="1" t="str">
        <f t="shared" si="798"/>
        <v>ND</v>
      </c>
      <c r="EO163" s="1" t="str">
        <f t="shared" si="881"/>
        <v>ND</v>
      </c>
      <c r="EP163" s="1" t="str">
        <f t="shared" si="881"/>
        <v>ND</v>
      </c>
      <c r="EQ163" s="1" t="str">
        <f t="shared" si="881"/>
        <v>ND</v>
      </c>
      <c r="ER163" s="1" t="str">
        <f t="shared" si="881"/>
        <v>ND</v>
      </c>
      <c r="ES163" s="1" t="str">
        <f t="shared" si="881"/>
        <v>ND</v>
      </c>
      <c r="ET163" s="1" t="str">
        <f t="shared" si="881"/>
        <v>ND</v>
      </c>
      <c r="EU163" s="1" t="str">
        <f t="shared" si="881"/>
        <v>ND</v>
      </c>
      <c r="EV163" s="1" t="str">
        <f t="shared" si="881"/>
        <v>ND</v>
      </c>
      <c r="EW163" s="1" t="str">
        <f t="shared" si="881"/>
        <v>ND</v>
      </c>
      <c r="EX163" s="1" t="str">
        <f t="shared" si="881"/>
        <v>ND</v>
      </c>
      <c r="EY163" s="1" t="str">
        <f t="shared" si="881"/>
        <v>ND</v>
      </c>
      <c r="EZ163" s="1" t="str">
        <f t="shared" si="882"/>
        <v>ND</v>
      </c>
      <c r="FA163" s="1" t="str">
        <f t="shared" si="882"/>
        <v>ND</v>
      </c>
      <c r="FB163" s="1" t="str">
        <f t="shared" si="882"/>
        <v>ND</v>
      </c>
      <c r="FC163" s="1" t="str">
        <f t="shared" si="882"/>
        <v>ND</v>
      </c>
      <c r="FD163" s="1" t="str">
        <f t="shared" si="882"/>
        <v>ND</v>
      </c>
      <c r="FE163" s="1" t="str">
        <f t="shared" si="882"/>
        <v>ND</v>
      </c>
      <c r="FF163" s="1" t="str">
        <f t="shared" si="882"/>
        <v>ND</v>
      </c>
      <c r="FG163" s="1" t="str">
        <f t="shared" si="882"/>
        <v>ND</v>
      </c>
      <c r="FH163" s="1" t="str">
        <f t="shared" si="882"/>
        <v>ND</v>
      </c>
      <c r="FI163" s="1" t="str">
        <f t="shared" si="882"/>
        <v>ND</v>
      </c>
      <c r="FJ163" s="1" t="str">
        <f t="shared" si="882"/>
        <v>ND</v>
      </c>
      <c r="FK163" s="1" t="str">
        <f t="shared" si="883"/>
        <v>ND</v>
      </c>
      <c r="FL163" s="1" t="str">
        <f t="shared" si="883"/>
        <v>ND</v>
      </c>
      <c r="FM163" s="1" t="str">
        <f t="shared" si="883"/>
        <v>ND</v>
      </c>
      <c r="FN163" s="1" t="str">
        <f t="shared" si="883"/>
        <v>ND</v>
      </c>
      <c r="FO163" s="1" t="str">
        <f t="shared" si="883"/>
        <v>ND</v>
      </c>
      <c r="FP163" s="1" t="str">
        <f t="shared" si="883"/>
        <v>ND</v>
      </c>
      <c r="FQ163" s="1" t="str">
        <f t="shared" si="883"/>
        <v>ND</v>
      </c>
      <c r="FR163" s="1" t="str">
        <f t="shared" si="883"/>
        <v>ND</v>
      </c>
      <c r="FS163" s="1" t="str">
        <f t="shared" si="883"/>
        <v>ND</v>
      </c>
      <c r="FT163" s="1" t="str">
        <f t="shared" si="883"/>
        <v>ND</v>
      </c>
      <c r="FU163" s="1" t="str">
        <f t="shared" si="883"/>
        <v>ND</v>
      </c>
      <c r="FV163" s="1" t="str">
        <f t="shared" si="799"/>
        <v>ND</v>
      </c>
      <c r="FW163" s="1" t="str">
        <f t="shared" si="800"/>
        <v>ND</v>
      </c>
      <c r="FX163" s="1" t="str">
        <f t="shared" si="801"/>
        <v>ND</v>
      </c>
      <c r="FY163" s="1" t="str">
        <f t="shared" si="802"/>
        <v>ND</v>
      </c>
      <c r="FZ163" s="1" t="str">
        <f t="shared" si="803"/>
        <v>ND</v>
      </c>
      <c r="GA163" s="1" t="str">
        <f t="shared" si="804"/>
        <v>ND</v>
      </c>
      <c r="GB163" s="1" t="str">
        <f t="shared" si="805"/>
        <v>ND</v>
      </c>
      <c r="GC163" s="1" t="str">
        <f t="shared" si="806"/>
        <v>ND</v>
      </c>
      <c r="GD163" s="1" t="str">
        <f t="shared" si="807"/>
        <v>ND</v>
      </c>
      <c r="GE163" s="1" t="str">
        <f t="shared" si="808"/>
        <v>ND</v>
      </c>
      <c r="GF163" s="1" t="str">
        <f t="shared" si="809"/>
        <v>ND</v>
      </c>
      <c r="GG163" s="1" t="str">
        <f t="shared" si="810"/>
        <v>ND</v>
      </c>
      <c r="GH163" s="1" t="str">
        <f t="shared" si="811"/>
        <v>ND</v>
      </c>
      <c r="GI163" s="1" t="str">
        <f t="shared" si="812"/>
        <v>ND</v>
      </c>
      <c r="GJ163" s="1" t="str">
        <f t="shared" si="813"/>
        <v>ND</v>
      </c>
      <c r="GK163" s="1" t="str">
        <f t="shared" si="814"/>
        <v>ND</v>
      </c>
      <c r="GL163" s="1" t="str">
        <f t="shared" si="815"/>
        <v>ND</v>
      </c>
      <c r="GM163" s="1" t="str">
        <f t="shared" si="816"/>
        <v>ND</v>
      </c>
      <c r="GN163" s="1" t="str">
        <f t="shared" si="817"/>
        <v>ND</v>
      </c>
      <c r="GO163" s="1" t="str">
        <f t="shared" si="818"/>
        <v>ND</v>
      </c>
      <c r="GP163" s="1" t="str">
        <f t="shared" si="819"/>
        <v>ND</v>
      </c>
      <c r="GQ163" s="1" t="str">
        <f t="shared" si="820"/>
        <v>ND</v>
      </c>
      <c r="GR163" s="1" t="str">
        <f t="shared" si="821"/>
        <v>ND</v>
      </c>
      <c r="GS163" s="1" t="str">
        <f t="shared" si="822"/>
        <v>ND</v>
      </c>
      <c r="GT163" s="1" t="str">
        <f t="shared" si="823"/>
        <v>ND</v>
      </c>
      <c r="GU163" s="1" t="str">
        <f t="shared" si="824"/>
        <v>ND</v>
      </c>
      <c r="GV163" s="1" t="str">
        <f t="shared" si="825"/>
        <v>ND</v>
      </c>
      <c r="GW163" s="1" t="str">
        <f t="shared" si="826"/>
        <v>ND</v>
      </c>
      <c r="GX163" s="1" t="str">
        <f t="shared" si="827"/>
        <v>ND</v>
      </c>
      <c r="GY163" s="1" t="str">
        <f t="shared" si="828"/>
        <v>ND</v>
      </c>
      <c r="GZ163" s="1" t="str">
        <f t="shared" si="829"/>
        <v>ND</v>
      </c>
      <c r="HA163" s="1" t="str">
        <f t="shared" si="830"/>
        <v>ND</v>
      </c>
      <c r="HB163" s="1" t="str">
        <f t="shared" si="831"/>
        <v>ND</v>
      </c>
      <c r="HC163" s="1" t="str">
        <f t="shared" si="832"/>
        <v>ND</v>
      </c>
      <c r="HD163" s="1" t="str">
        <f t="shared" si="833"/>
        <v>ND</v>
      </c>
      <c r="HE163" s="1" t="str">
        <f t="shared" si="834"/>
        <v>ND</v>
      </c>
      <c r="HF163" s="1" t="str">
        <f t="shared" si="835"/>
        <v>ND</v>
      </c>
      <c r="HG163" s="1" t="str">
        <f t="shared" si="836"/>
        <v>ND</v>
      </c>
      <c r="HH163" s="1" t="str">
        <f t="shared" si="837"/>
        <v>ND</v>
      </c>
      <c r="HI163" s="1" t="str">
        <f t="shared" si="838"/>
        <v>ND</v>
      </c>
      <c r="HJ163" s="1" t="str">
        <f t="shared" si="839"/>
        <v>ND</v>
      </c>
      <c r="HK163" s="1" t="str">
        <f t="shared" si="840"/>
        <v>ND</v>
      </c>
      <c r="HL163" s="1" t="str">
        <f t="shared" si="841"/>
        <v>ND</v>
      </c>
      <c r="HM163" s="1" t="str">
        <f t="shared" si="842"/>
        <v>ND</v>
      </c>
      <c r="HN163" s="1" t="str">
        <f t="shared" si="843"/>
        <v>ND</v>
      </c>
      <c r="HO163" s="1" t="str">
        <f t="shared" si="844"/>
        <v>ND</v>
      </c>
      <c r="HP163" s="1" t="str">
        <f t="shared" si="845"/>
        <v>ND</v>
      </c>
      <c r="HQ163" s="1" t="str">
        <f t="shared" si="846"/>
        <v>ND</v>
      </c>
      <c r="HR163" s="1" t="str">
        <f t="shared" si="847"/>
        <v>ND</v>
      </c>
      <c r="HS163" s="1" t="str">
        <f t="shared" si="848"/>
        <v>ND</v>
      </c>
      <c r="HT163" s="1" t="str">
        <f t="shared" si="849"/>
        <v>ND</v>
      </c>
      <c r="HU163" s="1" t="str">
        <f t="shared" si="850"/>
        <v>ND</v>
      </c>
      <c r="HV163" s="1" t="str">
        <f t="shared" si="851"/>
        <v>ND</v>
      </c>
      <c r="HW163" s="1" t="str">
        <f t="shared" si="852"/>
        <v>ND</v>
      </c>
      <c r="HX163" s="1" t="str">
        <f t="shared" si="853"/>
        <v>ND</v>
      </c>
      <c r="HY163" s="1" t="str">
        <f t="shared" si="854"/>
        <v>ND</v>
      </c>
      <c r="HZ163" s="1" t="str">
        <f t="shared" si="855"/>
        <v>ND</v>
      </c>
      <c r="IA163" s="1" t="str">
        <f t="shared" si="856"/>
        <v>ND</v>
      </c>
      <c r="IB163" s="1" t="str">
        <f t="shared" si="857"/>
        <v>ND</v>
      </c>
      <c r="IC163" s="1" t="str">
        <f t="shared" si="858"/>
        <v>ND</v>
      </c>
      <c r="ID163" s="1" t="str">
        <f t="shared" si="859"/>
        <v>ND</v>
      </c>
      <c r="IE163" s="1" t="str">
        <f t="shared" si="860"/>
        <v>ND</v>
      </c>
      <c r="IF163" s="1" t="str">
        <f t="shared" si="861"/>
        <v>ND</v>
      </c>
      <c r="IG163" s="1" t="str">
        <f t="shared" si="862"/>
        <v>ND</v>
      </c>
      <c r="IH163" s="1" t="str">
        <f t="shared" si="863"/>
        <v>ND</v>
      </c>
      <c r="II163" s="1" t="str">
        <f t="shared" si="864"/>
        <v>ND</v>
      </c>
    </row>
    <row r="164" spans="3:243" x14ac:dyDescent="0.25">
      <c r="C164" t="s">
        <v>108</v>
      </c>
      <c r="D164">
        <f>SUMIFS(DICCIONARIO[Cantidad],DICCIONARIO[Modelo],UNIFICADA[[#This Row],[Equipo]])</f>
        <v>2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12</v>
      </c>
      <c r="H164" s="1">
        <f>IFERROR(VLOOKUP($C164,EQUIPOS[],UNIFICADO!H$9,0),"")</f>
        <v>3</v>
      </c>
      <c r="I164" s="1">
        <f>IFERROR(VLOOKUP($C164,EQUIPOS[],UNIFICADO!I$9,0),"")</f>
        <v>12</v>
      </c>
      <c r="J164" s="1" t="str">
        <f>IFERROR(VLOOKUP($C164,EQUIPOS[],UNIFICADO!J$9,0),"")</f>
        <v>512GB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172</v>
      </c>
      <c r="P164" s="1">
        <f>IFERROR(VLOOKUP($C164,EQUIPOS[],UNIFICADO!P$9,0),"")</f>
        <v>14.67</v>
      </c>
      <c r="Q164" s="1">
        <f>IFERROR(VLOOKUP($C164,EQUIPOS[],UNIFICADO!Q$9,0),"")</f>
        <v>7.15</v>
      </c>
      <c r="R164" s="1">
        <f>IFERROR(VLOOKUP($C164,EQUIPOS[],UNIFICADO!R$9,0),"")</f>
        <v>0.78</v>
      </c>
      <c r="S164" s="1">
        <f>IFERROR(VLOOKUP($C164,EQUIPOS[],UNIFICADO!S$9,0),"")</f>
        <v>3279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9"/>
        <v>ND</v>
      </c>
      <c r="W164" s="1" t="str">
        <f t="shared" si="710"/>
        <v>ND</v>
      </c>
      <c r="X164" s="1" t="str">
        <f t="shared" si="871"/>
        <v>ND</v>
      </c>
      <c r="Y164" s="1" t="str">
        <f t="shared" si="871"/>
        <v>ND</v>
      </c>
      <c r="Z164" s="1" t="str">
        <f t="shared" si="878"/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 t="shared" si="711"/>
        <v>ND</v>
      </c>
      <c r="AJ164" s="1" t="str">
        <f t="shared" si="712"/>
        <v>ND</v>
      </c>
      <c r="AK164" s="1" t="str">
        <f t="shared" si="713"/>
        <v>ND</v>
      </c>
      <c r="AL164" s="1" t="str">
        <f t="shared" si="714"/>
        <v>ND</v>
      </c>
      <c r="AM164" s="1" t="str">
        <f t="shared" si="715"/>
        <v>ND</v>
      </c>
      <c r="AN164" s="1" t="str">
        <f t="shared" si="716"/>
        <v>ND</v>
      </c>
      <c r="AO164" s="1" t="str">
        <f t="shared" si="717"/>
        <v>ND</v>
      </c>
      <c r="AP164" s="1" t="str">
        <f t="shared" si="718"/>
        <v>ND</v>
      </c>
      <c r="AQ164" s="1" t="str">
        <f t="shared" si="719"/>
        <v>ND</v>
      </c>
      <c r="AR164" s="1" t="str">
        <f t="shared" si="720"/>
        <v>ND</v>
      </c>
      <c r="AS164" s="1" t="str">
        <f t="shared" si="721"/>
        <v>ND</v>
      </c>
      <c r="AT164" s="1" t="str">
        <f t="shared" si="722"/>
        <v>ND</v>
      </c>
      <c r="AU164" s="1" t="str">
        <f t="shared" si="723"/>
        <v>ND</v>
      </c>
      <c r="AV164" s="1" t="str">
        <f t="shared" si="724"/>
        <v>ND</v>
      </c>
      <c r="AW164" s="1" t="str">
        <f t="shared" si="725"/>
        <v>ND</v>
      </c>
      <c r="AX164" s="1" t="str">
        <f t="shared" si="726"/>
        <v>ND</v>
      </c>
      <c r="AY164" s="1" t="str">
        <f t="shared" si="727"/>
        <v>ND</v>
      </c>
      <c r="AZ164" s="1" t="str">
        <f t="shared" si="728"/>
        <v>ND</v>
      </c>
      <c r="BA164" s="1" t="str">
        <f t="shared" si="729"/>
        <v>ND</v>
      </c>
      <c r="BB164" s="1" t="str">
        <f t="shared" si="730"/>
        <v>ND</v>
      </c>
      <c r="BC164" s="1" t="str">
        <f t="shared" si="731"/>
        <v>ND</v>
      </c>
      <c r="BD164" s="1" t="str">
        <f t="shared" si="732"/>
        <v>ND</v>
      </c>
      <c r="BE164" s="1" t="str">
        <f t="shared" si="733"/>
        <v>ND</v>
      </c>
      <c r="BF164" s="1" t="str">
        <f t="shared" si="734"/>
        <v>ND</v>
      </c>
      <c r="BG164" s="1" t="str">
        <f t="shared" si="735"/>
        <v>ND</v>
      </c>
      <c r="BH164" s="1" t="str">
        <f t="shared" si="736"/>
        <v>ND</v>
      </c>
      <c r="BI164" s="1" t="str">
        <f t="shared" si="737"/>
        <v>ND</v>
      </c>
      <c r="BJ164" s="1" t="str">
        <f t="shared" si="738"/>
        <v>ND</v>
      </c>
      <c r="BK164" s="1" t="str">
        <f t="shared" si="739"/>
        <v>ND</v>
      </c>
      <c r="BL164" s="1" t="str">
        <f t="shared" si="740"/>
        <v>ND</v>
      </c>
      <c r="BM164" s="1" t="str">
        <f t="shared" si="741"/>
        <v>ND</v>
      </c>
      <c r="BN164" s="1" t="str">
        <f t="shared" si="742"/>
        <v>ND</v>
      </c>
      <c r="BO164" s="1" t="str">
        <f t="shared" si="743"/>
        <v>ND</v>
      </c>
      <c r="BP164" s="1" t="str">
        <f t="shared" si="744"/>
        <v>ND</v>
      </c>
      <c r="BQ164" s="1" t="str">
        <f t="shared" si="745"/>
        <v>ND</v>
      </c>
      <c r="BR164" s="1" t="str">
        <f t="shared" si="746"/>
        <v>ND</v>
      </c>
      <c r="BS164" s="1" t="str">
        <f t="shared" si="747"/>
        <v>ND</v>
      </c>
      <c r="BT164" s="1" t="str">
        <f t="shared" si="748"/>
        <v>ND</v>
      </c>
      <c r="BU164" s="1" t="str">
        <f t="shared" si="749"/>
        <v>ND</v>
      </c>
      <c r="BV164" s="1" t="str">
        <f t="shared" si="750"/>
        <v>ND</v>
      </c>
      <c r="BW164" s="1" t="str">
        <f t="shared" si="751"/>
        <v>ND</v>
      </c>
      <c r="BX164" s="1" t="str">
        <f t="shared" si="752"/>
        <v>ND</v>
      </c>
      <c r="BY164" s="1" t="str">
        <f t="shared" si="753"/>
        <v>ND</v>
      </c>
      <c r="BZ164" s="1" t="str">
        <f t="shared" si="754"/>
        <v>ND</v>
      </c>
      <c r="CA164" s="1" t="str">
        <f t="shared" si="879"/>
        <v>ND</v>
      </c>
      <c r="CB164" s="1" t="str">
        <f t="shared" si="879"/>
        <v>ND</v>
      </c>
      <c r="CC164" s="1" t="str">
        <f t="shared" si="879"/>
        <v>ND</v>
      </c>
      <c r="CD164" s="1" t="str">
        <f t="shared" si="879"/>
        <v>ND</v>
      </c>
      <c r="CE164" s="1" t="str">
        <f t="shared" si="879"/>
        <v>ND</v>
      </c>
      <c r="CF164" s="1" t="str">
        <f t="shared" si="879"/>
        <v>ND</v>
      </c>
      <c r="CG164" s="1" t="str">
        <f t="shared" si="879"/>
        <v>ND</v>
      </c>
      <c r="CH164" s="1" t="str">
        <f t="shared" si="879"/>
        <v>ND</v>
      </c>
      <c r="CI164" s="1" t="str">
        <f t="shared" si="879"/>
        <v>ND</v>
      </c>
      <c r="CJ164" s="1" t="str">
        <f t="shared" si="879"/>
        <v>ND</v>
      </c>
      <c r="CK164" s="1" t="str">
        <f t="shared" si="879"/>
        <v>ND</v>
      </c>
      <c r="CL164" s="1" t="str">
        <f t="shared" si="880"/>
        <v>ND</v>
      </c>
      <c r="CM164" s="1" t="str">
        <f t="shared" si="880"/>
        <v>ND</v>
      </c>
      <c r="CN164" s="1" t="str">
        <f t="shared" si="880"/>
        <v>ND</v>
      </c>
      <c r="CO164" s="1" t="str">
        <f t="shared" si="880"/>
        <v>ND</v>
      </c>
      <c r="CP164" s="1" t="str">
        <f t="shared" si="880"/>
        <v>ND</v>
      </c>
      <c r="CQ164" s="1" t="str">
        <f t="shared" si="880"/>
        <v>ND</v>
      </c>
      <c r="CR164" s="1" t="str">
        <f t="shared" si="880"/>
        <v>ND</v>
      </c>
      <c r="CS164" s="1" t="str">
        <f t="shared" si="880"/>
        <v>ND</v>
      </c>
      <c r="CT164" s="1" t="str">
        <f t="shared" si="880"/>
        <v>ND</v>
      </c>
      <c r="CU164" s="1" t="str">
        <f t="shared" si="880"/>
        <v>ND</v>
      </c>
      <c r="CV164" s="1" t="str">
        <f t="shared" si="880"/>
        <v>ND</v>
      </c>
      <c r="CW164" s="1" t="str">
        <f t="shared" si="755"/>
        <v>ND</v>
      </c>
      <c r="CX164" s="1" t="str">
        <f t="shared" si="756"/>
        <v>ND</v>
      </c>
      <c r="CY164" s="1" t="str">
        <f t="shared" si="757"/>
        <v>ND</v>
      </c>
      <c r="CZ164" s="1" t="str">
        <f t="shared" si="758"/>
        <v>ND</v>
      </c>
      <c r="DA164" s="1" t="str">
        <f t="shared" si="759"/>
        <v>ND</v>
      </c>
      <c r="DB164" s="1" t="str">
        <f t="shared" si="760"/>
        <v>ND</v>
      </c>
      <c r="DC164" s="1" t="str">
        <f t="shared" si="761"/>
        <v>ND</v>
      </c>
      <c r="DD164" s="1" t="str">
        <f t="shared" si="762"/>
        <v>ND</v>
      </c>
      <c r="DE164" s="1" t="str">
        <f t="shared" si="763"/>
        <v>ND</v>
      </c>
      <c r="DF164" s="1" t="str">
        <f t="shared" si="764"/>
        <v>ND</v>
      </c>
      <c r="DG164" s="1" t="str">
        <f t="shared" si="765"/>
        <v>ND</v>
      </c>
      <c r="DH164" s="1" t="str">
        <f t="shared" si="766"/>
        <v>ND</v>
      </c>
      <c r="DI164" s="1" t="str">
        <f t="shared" si="767"/>
        <v>ND</v>
      </c>
      <c r="DJ164" s="1" t="str">
        <f t="shared" si="768"/>
        <v>ND</v>
      </c>
      <c r="DK164" s="1" t="str">
        <f t="shared" si="769"/>
        <v>ND</v>
      </c>
      <c r="DL164" s="1" t="str">
        <f t="shared" si="770"/>
        <v>ND</v>
      </c>
      <c r="DM164" s="1" t="str">
        <f t="shared" si="771"/>
        <v>ND</v>
      </c>
      <c r="DN164" s="1" t="str">
        <f t="shared" si="772"/>
        <v>ND</v>
      </c>
      <c r="DO164" s="1" t="str">
        <f t="shared" si="773"/>
        <v>ND</v>
      </c>
      <c r="DP164" s="1" t="str">
        <f t="shared" si="774"/>
        <v>ND</v>
      </c>
      <c r="DQ164" s="1" t="str">
        <f t="shared" si="775"/>
        <v>ND</v>
      </c>
      <c r="DR164" s="1" t="str">
        <f t="shared" si="776"/>
        <v>ND</v>
      </c>
      <c r="DS164" s="1" t="str">
        <f t="shared" si="777"/>
        <v>ND</v>
      </c>
      <c r="DT164" s="1" t="str">
        <f t="shared" si="778"/>
        <v>ND</v>
      </c>
      <c r="DU164" s="1" t="str">
        <f t="shared" si="779"/>
        <v>ND</v>
      </c>
      <c r="DV164" s="1" t="str">
        <f t="shared" si="780"/>
        <v>ND</v>
      </c>
      <c r="DW164" s="1" t="str">
        <f t="shared" si="781"/>
        <v>ND</v>
      </c>
      <c r="DX164" s="1" t="str">
        <f t="shared" si="782"/>
        <v>ND</v>
      </c>
      <c r="DY164" s="1" t="str">
        <f t="shared" si="783"/>
        <v>ND</v>
      </c>
      <c r="DZ164" s="1" t="str">
        <f t="shared" si="784"/>
        <v>ND</v>
      </c>
      <c r="EA164" s="1" t="str">
        <f t="shared" si="785"/>
        <v>ND</v>
      </c>
      <c r="EB164" s="1" t="str">
        <f t="shared" si="786"/>
        <v>ND</v>
      </c>
      <c r="EC164" s="1" t="str">
        <f t="shared" si="787"/>
        <v>ND</v>
      </c>
      <c r="ED164" s="1" t="str">
        <f t="shared" si="788"/>
        <v>ND</v>
      </c>
      <c r="EE164" s="1" t="str">
        <f t="shared" si="789"/>
        <v>ND</v>
      </c>
      <c r="EF164" s="1" t="str">
        <f t="shared" si="790"/>
        <v>ND</v>
      </c>
      <c r="EG164" s="1" t="str">
        <f t="shared" si="791"/>
        <v>ND</v>
      </c>
      <c r="EH164" s="1" t="str">
        <f t="shared" si="792"/>
        <v>ND</v>
      </c>
      <c r="EI164" s="1" t="str">
        <f t="shared" si="793"/>
        <v>ND</v>
      </c>
      <c r="EJ164" s="1" t="str">
        <f t="shared" si="794"/>
        <v>ND</v>
      </c>
      <c r="EK164" s="1" t="str">
        <f t="shared" si="795"/>
        <v>ND</v>
      </c>
      <c r="EL164" s="1" t="str">
        <f t="shared" si="796"/>
        <v>ND</v>
      </c>
      <c r="EM164" s="1" t="str">
        <f t="shared" si="797"/>
        <v>ND</v>
      </c>
      <c r="EN164" s="1" t="str">
        <f t="shared" si="798"/>
        <v>ND</v>
      </c>
      <c r="EO164" s="1" t="str">
        <f t="shared" si="881"/>
        <v>ND</v>
      </c>
      <c r="EP164" s="1" t="str">
        <f t="shared" si="881"/>
        <v>ND</v>
      </c>
      <c r="EQ164" s="1" t="str">
        <f t="shared" si="881"/>
        <v>ND</v>
      </c>
      <c r="ER164" s="1" t="str">
        <f t="shared" si="881"/>
        <v>ND</v>
      </c>
      <c r="ES164" s="1" t="str">
        <f t="shared" si="881"/>
        <v>ND</v>
      </c>
      <c r="ET164" s="1" t="str">
        <f t="shared" si="881"/>
        <v>ND</v>
      </c>
      <c r="EU164" s="1" t="str">
        <f t="shared" si="881"/>
        <v>ND</v>
      </c>
      <c r="EV164" s="1" t="str">
        <f t="shared" si="881"/>
        <v>ND</v>
      </c>
      <c r="EW164" s="1" t="str">
        <f t="shared" si="881"/>
        <v>ND</v>
      </c>
      <c r="EX164" s="1" t="str">
        <f t="shared" si="881"/>
        <v>ND</v>
      </c>
      <c r="EY164" s="1" t="str">
        <f t="shared" si="881"/>
        <v>ND</v>
      </c>
      <c r="EZ164" s="1" t="str">
        <f t="shared" si="882"/>
        <v>ND</v>
      </c>
      <c r="FA164" s="1" t="str">
        <f t="shared" si="882"/>
        <v>ND</v>
      </c>
      <c r="FB164" s="1" t="str">
        <f t="shared" si="882"/>
        <v>ND</v>
      </c>
      <c r="FC164" s="1" t="str">
        <f t="shared" si="882"/>
        <v>ND</v>
      </c>
      <c r="FD164" s="1" t="str">
        <f t="shared" si="882"/>
        <v>ND</v>
      </c>
      <c r="FE164" s="1" t="str">
        <f t="shared" si="882"/>
        <v>ND</v>
      </c>
      <c r="FF164" s="1" t="str">
        <f t="shared" si="882"/>
        <v>ND</v>
      </c>
      <c r="FG164" s="1" t="str">
        <f t="shared" si="882"/>
        <v>ND</v>
      </c>
      <c r="FH164" s="1" t="str">
        <f t="shared" si="882"/>
        <v>ND</v>
      </c>
      <c r="FI164" s="1" t="str">
        <f t="shared" si="882"/>
        <v>ND</v>
      </c>
      <c r="FJ164" s="1" t="str">
        <f t="shared" si="882"/>
        <v>ND</v>
      </c>
      <c r="FK164" s="1" t="str">
        <f t="shared" si="883"/>
        <v>ND</v>
      </c>
      <c r="FL164" s="1" t="str">
        <f t="shared" si="883"/>
        <v>ND</v>
      </c>
      <c r="FM164" s="1" t="str">
        <f t="shared" si="883"/>
        <v>ND</v>
      </c>
      <c r="FN164" s="1" t="str">
        <f t="shared" si="883"/>
        <v>ND</v>
      </c>
      <c r="FO164" s="1" t="str">
        <f t="shared" si="883"/>
        <v>ND</v>
      </c>
      <c r="FP164" s="1" t="str">
        <f t="shared" si="883"/>
        <v>ND</v>
      </c>
      <c r="FQ164" s="1" t="str">
        <f t="shared" si="883"/>
        <v>ND</v>
      </c>
      <c r="FR164" s="1" t="str">
        <f t="shared" si="883"/>
        <v>ND</v>
      </c>
      <c r="FS164" s="1" t="str">
        <f t="shared" si="883"/>
        <v>ND</v>
      </c>
      <c r="FT164" s="1" t="str">
        <f t="shared" si="883"/>
        <v>ND</v>
      </c>
      <c r="FU164" s="1" t="str">
        <f t="shared" si="883"/>
        <v>ND</v>
      </c>
      <c r="FV164" s="1" t="str">
        <f t="shared" si="799"/>
        <v>ND</v>
      </c>
      <c r="FW164" s="1" t="str">
        <f t="shared" si="800"/>
        <v>ND</v>
      </c>
      <c r="FX164" s="1" t="str">
        <f t="shared" si="801"/>
        <v>ND</v>
      </c>
      <c r="FY164" s="1" t="str">
        <f t="shared" si="802"/>
        <v>ND</v>
      </c>
      <c r="FZ164" s="1" t="str">
        <f t="shared" si="803"/>
        <v>ND</v>
      </c>
      <c r="GA164" s="1" t="str">
        <f t="shared" si="804"/>
        <v>ND</v>
      </c>
      <c r="GB164" s="1" t="str">
        <f t="shared" si="805"/>
        <v>ND</v>
      </c>
      <c r="GC164" s="1" t="str">
        <f t="shared" si="806"/>
        <v>ND</v>
      </c>
      <c r="GD164" s="1" t="str">
        <f t="shared" si="807"/>
        <v>ND</v>
      </c>
      <c r="GE164" s="1" t="str">
        <f t="shared" si="808"/>
        <v>ND</v>
      </c>
      <c r="GF164" s="1" t="str">
        <f t="shared" si="809"/>
        <v>ND</v>
      </c>
      <c r="GG164" s="1" t="str">
        <f t="shared" si="810"/>
        <v>ND</v>
      </c>
      <c r="GH164" s="1" t="str">
        <f t="shared" si="811"/>
        <v>ND</v>
      </c>
      <c r="GI164" s="1" t="str">
        <f t="shared" si="812"/>
        <v>ND</v>
      </c>
      <c r="GJ164" s="1" t="str">
        <f t="shared" si="813"/>
        <v>ND</v>
      </c>
      <c r="GK164" s="1" t="str">
        <f t="shared" si="814"/>
        <v>ND</v>
      </c>
      <c r="GL164" s="1" t="str">
        <f t="shared" si="815"/>
        <v>ND</v>
      </c>
      <c r="GM164" s="1" t="str">
        <f t="shared" si="816"/>
        <v>ND</v>
      </c>
      <c r="GN164" s="1" t="str">
        <f t="shared" si="817"/>
        <v>ND</v>
      </c>
      <c r="GO164" s="1" t="str">
        <f t="shared" si="818"/>
        <v>ND</v>
      </c>
      <c r="GP164" s="1" t="str">
        <f t="shared" si="819"/>
        <v>ND</v>
      </c>
      <c r="GQ164" s="1" t="str">
        <f t="shared" si="820"/>
        <v>ND</v>
      </c>
      <c r="GR164" s="1" t="str">
        <f t="shared" si="821"/>
        <v>ND</v>
      </c>
      <c r="GS164" s="1" t="str">
        <f t="shared" si="822"/>
        <v>ND</v>
      </c>
      <c r="GT164" s="1" t="str">
        <f t="shared" si="823"/>
        <v>ND</v>
      </c>
      <c r="GU164" s="1" t="str">
        <f t="shared" si="824"/>
        <v>ND</v>
      </c>
      <c r="GV164" s="1" t="str">
        <f t="shared" si="825"/>
        <v>ND</v>
      </c>
      <c r="GW164" s="1" t="str">
        <f t="shared" si="826"/>
        <v>ND</v>
      </c>
      <c r="GX164" s="1" t="str">
        <f t="shared" si="827"/>
        <v>ND</v>
      </c>
      <c r="GY164" s="1" t="str">
        <f t="shared" si="828"/>
        <v>ND</v>
      </c>
      <c r="GZ164" s="1" t="str">
        <f t="shared" si="829"/>
        <v>ND</v>
      </c>
      <c r="HA164" s="1" t="str">
        <f t="shared" si="830"/>
        <v>ND</v>
      </c>
      <c r="HB164" s="1" t="str">
        <f t="shared" si="831"/>
        <v>ND</v>
      </c>
      <c r="HC164" s="1" t="str">
        <f t="shared" si="832"/>
        <v>ND</v>
      </c>
      <c r="HD164" s="1" t="str">
        <f t="shared" si="833"/>
        <v>ND</v>
      </c>
      <c r="HE164" s="1" t="str">
        <f t="shared" si="834"/>
        <v>ND</v>
      </c>
      <c r="HF164" s="1" t="str">
        <f t="shared" si="835"/>
        <v>ND</v>
      </c>
      <c r="HG164" s="1" t="str">
        <f t="shared" si="836"/>
        <v>ND</v>
      </c>
      <c r="HH164" s="1" t="str">
        <f t="shared" si="837"/>
        <v>ND</v>
      </c>
      <c r="HI164" s="1" t="str">
        <f t="shared" si="838"/>
        <v>ND</v>
      </c>
      <c r="HJ164" s="1" t="str">
        <f t="shared" si="839"/>
        <v>ND</v>
      </c>
      <c r="HK164" s="1" t="str">
        <f t="shared" si="840"/>
        <v>ND</v>
      </c>
      <c r="HL164" s="1" t="str">
        <f t="shared" si="841"/>
        <v>ND</v>
      </c>
      <c r="HM164" s="1" t="str">
        <f t="shared" si="842"/>
        <v>ND</v>
      </c>
      <c r="HN164" s="1" t="str">
        <f t="shared" si="843"/>
        <v>ND</v>
      </c>
      <c r="HO164" s="1" t="str">
        <f t="shared" si="844"/>
        <v>ND</v>
      </c>
      <c r="HP164" s="1" t="str">
        <f t="shared" si="845"/>
        <v>ND</v>
      </c>
      <c r="HQ164" s="1" t="str">
        <f t="shared" si="846"/>
        <v>ND</v>
      </c>
      <c r="HR164" s="1" t="str">
        <f t="shared" si="847"/>
        <v>ND</v>
      </c>
      <c r="HS164" s="1" t="str">
        <f t="shared" si="848"/>
        <v>ND</v>
      </c>
      <c r="HT164" s="1" t="str">
        <f t="shared" si="849"/>
        <v>ND</v>
      </c>
      <c r="HU164" s="1" t="str">
        <f t="shared" si="850"/>
        <v>ND</v>
      </c>
      <c r="HV164" s="1" t="str">
        <f t="shared" si="851"/>
        <v>ND</v>
      </c>
      <c r="HW164" s="1" t="str">
        <f t="shared" si="852"/>
        <v>ND</v>
      </c>
      <c r="HX164" s="1" t="str">
        <f t="shared" si="853"/>
        <v>ND</v>
      </c>
      <c r="HY164" s="1" t="str">
        <f t="shared" si="854"/>
        <v>ND</v>
      </c>
      <c r="HZ164" s="1" t="str">
        <f t="shared" si="855"/>
        <v>ND</v>
      </c>
      <c r="IA164" s="1" t="str">
        <f t="shared" si="856"/>
        <v>ND</v>
      </c>
      <c r="IB164" s="1" t="str">
        <f t="shared" si="857"/>
        <v>ND</v>
      </c>
      <c r="IC164" s="1" t="str">
        <f t="shared" si="858"/>
        <v>ND</v>
      </c>
      <c r="ID164" s="1" t="str">
        <f t="shared" si="859"/>
        <v>ND</v>
      </c>
      <c r="IE164" s="1" t="str">
        <f t="shared" si="860"/>
        <v>ND</v>
      </c>
      <c r="IF164" s="1" t="str">
        <f t="shared" si="861"/>
        <v>ND</v>
      </c>
      <c r="IG164" s="1" t="str">
        <f t="shared" si="862"/>
        <v>ND</v>
      </c>
      <c r="IH164" s="1" t="str">
        <f t="shared" si="863"/>
        <v>ND</v>
      </c>
      <c r="II164" s="1" t="str">
        <f t="shared" si="864"/>
        <v>ND</v>
      </c>
    </row>
    <row r="165" spans="3:243" x14ac:dyDescent="0.25">
      <c r="C165" t="s">
        <v>109</v>
      </c>
      <c r="D165">
        <f>SUMIFS(DICCIONARIO[Cantidad],DICCIONARIO[Modelo],UNIFICADA[[#This Row],[Equipo]])</f>
        <v>0</v>
      </c>
      <c r="E165" s="1">
        <f>IFERROR(VLOOKUP($C165,EQUIPOS[],UNIFICADO!E$9,0),"")</f>
        <v>16</v>
      </c>
      <c r="F165" s="1">
        <f>IFERROR(VLOOKUP($C165,EQUIPOS[],UNIFICADO!F$9,0),"")</f>
        <v>6.7</v>
      </c>
      <c r="G165" s="1">
        <f>IFERROR(VLOOKUP($C165,EQUIPOS[],UNIFICADO!G$9,0),"")</f>
        <v>12</v>
      </c>
      <c r="H165" s="1">
        <f>IFERROR(VLOOKUP($C165,EQUIPOS[],UNIFICADO!H$9,0),"")</f>
        <v>3</v>
      </c>
      <c r="I165" s="1">
        <f>IFERROR(VLOOKUP($C165,EQUIPOS[],UNIFICADO!I$9,0),"")</f>
        <v>12</v>
      </c>
      <c r="J165" s="1" t="str">
        <f>IFERROR(VLOOKUP($C165,EQUIPOS[],UNIFICADO!J$9,0),"")</f>
        <v>128GB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203</v>
      </c>
      <c r="P165" s="1">
        <f>IFERROR(VLOOKUP($C165,EQUIPOS[],UNIFICADO!P$9,0),"")</f>
        <v>16</v>
      </c>
      <c r="Q165" s="1">
        <f>IFERROR(VLOOKUP($C165,EQUIPOS[],UNIFICADO!Q$9,0),"")</f>
        <v>7.81</v>
      </c>
      <c r="R165" s="1">
        <f>IFERROR(VLOOKUP($C165,EQUIPOS[],UNIFICADO!R$9,0),"")</f>
        <v>0.78</v>
      </c>
      <c r="S165" s="1">
        <f>IFERROR(VLOOKUP($C165,EQUIPOS[],UNIFICADO!S$9,0),"")</f>
        <v>4325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si="709"/>
        <v>ND</v>
      </c>
      <c r="W165" s="1" t="str">
        <f t="shared" si="710"/>
        <v>ND</v>
      </c>
      <c r="X165" s="1" t="str">
        <f t="shared" si="871"/>
        <v>ND</v>
      </c>
      <c r="Y165" s="1" t="str">
        <f t="shared" si="871"/>
        <v>ND</v>
      </c>
      <c r="Z165" s="1" t="str">
        <f t="shared" si="878"/>
        <v>ND</v>
      </c>
      <c r="AA165" s="1" t="str">
        <f t="shared" si="878"/>
        <v>ND</v>
      </c>
      <c r="AB165" s="1" t="str">
        <f t="shared" si="878"/>
        <v>ND</v>
      </c>
      <c r="AC165" s="1" t="str">
        <f t="shared" si="878"/>
        <v>ND</v>
      </c>
      <c r="AD165" s="1" t="str">
        <f t="shared" si="878"/>
        <v>ND</v>
      </c>
      <c r="AE165" s="1" t="str">
        <f t="shared" si="878"/>
        <v>ND</v>
      </c>
      <c r="AF165" s="1" t="str">
        <f t="shared" si="878"/>
        <v>ND</v>
      </c>
      <c r="AG165" s="1" t="str">
        <f t="shared" si="878"/>
        <v>ND</v>
      </c>
      <c r="AH165" s="1" t="str">
        <f t="shared" si="878"/>
        <v>ND</v>
      </c>
      <c r="AI165" s="1" t="str">
        <f t="shared" si="711"/>
        <v>ND</v>
      </c>
      <c r="AJ165" s="1" t="str">
        <f t="shared" si="712"/>
        <v>ND</v>
      </c>
      <c r="AK165" s="1" t="str">
        <f t="shared" si="713"/>
        <v>ND</v>
      </c>
      <c r="AL165" s="1" t="str">
        <f t="shared" si="714"/>
        <v>ND</v>
      </c>
      <c r="AM165" s="1" t="str">
        <f t="shared" si="715"/>
        <v>ND</v>
      </c>
      <c r="AN165" s="1" t="str">
        <f t="shared" si="716"/>
        <v>ND</v>
      </c>
      <c r="AO165" s="1" t="str">
        <f t="shared" si="717"/>
        <v>ND</v>
      </c>
      <c r="AP165" s="1" t="str">
        <f t="shared" si="718"/>
        <v>ND</v>
      </c>
      <c r="AQ165" s="1" t="str">
        <f t="shared" si="719"/>
        <v>ND</v>
      </c>
      <c r="AR165" s="1" t="str">
        <f t="shared" si="720"/>
        <v>ND</v>
      </c>
      <c r="AS165" s="1" t="str">
        <f t="shared" si="721"/>
        <v>ND</v>
      </c>
      <c r="AT165" s="1" t="str">
        <f t="shared" si="722"/>
        <v>ND</v>
      </c>
      <c r="AU165" s="1" t="str">
        <f t="shared" si="723"/>
        <v>ND</v>
      </c>
      <c r="AV165" s="1" t="str">
        <f t="shared" si="724"/>
        <v>ND</v>
      </c>
      <c r="AW165" s="1" t="str">
        <f t="shared" si="725"/>
        <v>ND</v>
      </c>
      <c r="AX165" s="1" t="str">
        <f t="shared" si="726"/>
        <v>ND</v>
      </c>
      <c r="AY165" s="1" t="str">
        <f t="shared" si="727"/>
        <v>ND</v>
      </c>
      <c r="AZ165" s="1" t="str">
        <f t="shared" si="728"/>
        <v>ND</v>
      </c>
      <c r="BA165" s="1" t="str">
        <f t="shared" si="729"/>
        <v>ND</v>
      </c>
      <c r="BB165" s="1" t="str">
        <f t="shared" si="730"/>
        <v>ND</v>
      </c>
      <c r="BC165" s="1" t="str">
        <f t="shared" si="731"/>
        <v>ND</v>
      </c>
      <c r="BD165" s="1" t="str">
        <f t="shared" si="732"/>
        <v>ND</v>
      </c>
      <c r="BE165" s="1" t="str">
        <f t="shared" si="733"/>
        <v>ND</v>
      </c>
      <c r="BF165" s="1" t="str">
        <f t="shared" si="734"/>
        <v>ND</v>
      </c>
      <c r="BG165" s="1" t="str">
        <f t="shared" si="735"/>
        <v>ND</v>
      </c>
      <c r="BH165" s="1" t="str">
        <f t="shared" si="736"/>
        <v>ND</v>
      </c>
      <c r="BI165" s="1" t="str">
        <f t="shared" si="737"/>
        <v>ND</v>
      </c>
      <c r="BJ165" s="1" t="str">
        <f t="shared" si="738"/>
        <v>ND</v>
      </c>
      <c r="BK165" s="1" t="str">
        <f t="shared" si="739"/>
        <v>ND</v>
      </c>
      <c r="BL165" s="1" t="str">
        <f t="shared" si="740"/>
        <v>ND</v>
      </c>
      <c r="BM165" s="1" t="str">
        <f t="shared" si="741"/>
        <v>ND</v>
      </c>
      <c r="BN165" s="1" t="str">
        <f t="shared" si="742"/>
        <v>ND</v>
      </c>
      <c r="BO165" s="1" t="str">
        <f t="shared" si="743"/>
        <v>ND</v>
      </c>
      <c r="BP165" s="1" t="str">
        <f t="shared" si="744"/>
        <v>ND</v>
      </c>
      <c r="BQ165" s="1" t="str">
        <f t="shared" si="745"/>
        <v>ND</v>
      </c>
      <c r="BR165" s="1" t="str">
        <f t="shared" si="746"/>
        <v>ND</v>
      </c>
      <c r="BS165" s="1" t="str">
        <f t="shared" si="747"/>
        <v>ND</v>
      </c>
      <c r="BT165" s="1" t="str">
        <f t="shared" si="748"/>
        <v>ND</v>
      </c>
      <c r="BU165" s="1" t="str">
        <f t="shared" si="749"/>
        <v>ND</v>
      </c>
      <c r="BV165" s="1" t="str">
        <f t="shared" si="750"/>
        <v>ND</v>
      </c>
      <c r="BW165" s="1" t="str">
        <f t="shared" si="751"/>
        <v>ND</v>
      </c>
      <c r="BX165" s="1" t="str">
        <f t="shared" si="752"/>
        <v>ND</v>
      </c>
      <c r="BY165" s="1" t="str">
        <f t="shared" si="753"/>
        <v>ND</v>
      </c>
      <c r="BZ165" s="1" t="str">
        <f t="shared" si="754"/>
        <v>ND</v>
      </c>
      <c r="CA165" s="1" t="str">
        <f t="shared" si="879"/>
        <v>ND</v>
      </c>
      <c r="CB165" s="1" t="str">
        <f t="shared" si="879"/>
        <v>ND</v>
      </c>
      <c r="CC165" s="1" t="str">
        <f t="shared" si="879"/>
        <v>ND</v>
      </c>
      <c r="CD165" s="1" t="str">
        <f t="shared" si="879"/>
        <v>ND</v>
      </c>
      <c r="CE165" s="1" t="str">
        <f t="shared" si="879"/>
        <v>ND</v>
      </c>
      <c r="CF165" s="1" t="str">
        <f t="shared" si="879"/>
        <v>ND</v>
      </c>
      <c r="CG165" s="1" t="str">
        <f t="shared" si="879"/>
        <v>ND</v>
      </c>
      <c r="CH165" s="1" t="str">
        <f t="shared" si="879"/>
        <v>ND</v>
      </c>
      <c r="CI165" s="1" t="str">
        <f t="shared" si="879"/>
        <v>ND</v>
      </c>
      <c r="CJ165" s="1" t="str">
        <f t="shared" si="879"/>
        <v>ND</v>
      </c>
      <c r="CK165" s="1" t="str">
        <f t="shared" si="879"/>
        <v>ND</v>
      </c>
      <c r="CL165" s="1" t="str">
        <f t="shared" si="880"/>
        <v>ND</v>
      </c>
      <c r="CM165" s="1" t="str">
        <f t="shared" si="880"/>
        <v>ND</v>
      </c>
      <c r="CN165" s="1" t="str">
        <f t="shared" si="880"/>
        <v>ND</v>
      </c>
      <c r="CO165" s="1" t="str">
        <f t="shared" si="880"/>
        <v>ND</v>
      </c>
      <c r="CP165" s="1" t="str">
        <f t="shared" si="880"/>
        <v>ND</v>
      </c>
      <c r="CQ165" s="1" t="str">
        <f t="shared" si="880"/>
        <v>ND</v>
      </c>
      <c r="CR165" s="1" t="str">
        <f t="shared" si="880"/>
        <v>ND</v>
      </c>
      <c r="CS165" s="1" t="str">
        <f t="shared" si="880"/>
        <v>ND</v>
      </c>
      <c r="CT165" s="1" t="str">
        <f t="shared" si="880"/>
        <v>ND</v>
      </c>
      <c r="CU165" s="1" t="str">
        <f t="shared" si="880"/>
        <v>ND</v>
      </c>
      <c r="CV165" s="1" t="str">
        <f t="shared" si="880"/>
        <v>ND</v>
      </c>
      <c r="CW165" s="1" t="str">
        <f t="shared" si="755"/>
        <v>ND</v>
      </c>
      <c r="CX165" s="1" t="str">
        <f t="shared" si="756"/>
        <v>ND</v>
      </c>
      <c r="CY165" s="1" t="str">
        <f t="shared" si="757"/>
        <v>ND</v>
      </c>
      <c r="CZ165" s="1" t="str">
        <f t="shared" si="758"/>
        <v>ND</v>
      </c>
      <c r="DA165" s="1" t="str">
        <f t="shared" si="759"/>
        <v>ND</v>
      </c>
      <c r="DB165" s="1" t="str">
        <f t="shared" si="760"/>
        <v>ND</v>
      </c>
      <c r="DC165" s="1" t="str">
        <f t="shared" si="761"/>
        <v>ND</v>
      </c>
      <c r="DD165" s="1" t="str">
        <f t="shared" si="762"/>
        <v>ND</v>
      </c>
      <c r="DE165" s="1" t="str">
        <f t="shared" si="763"/>
        <v>ND</v>
      </c>
      <c r="DF165" s="1" t="str">
        <f t="shared" si="764"/>
        <v>ND</v>
      </c>
      <c r="DG165" s="1" t="str">
        <f t="shared" si="765"/>
        <v>ND</v>
      </c>
      <c r="DH165" s="1" t="str">
        <f t="shared" si="766"/>
        <v>ND</v>
      </c>
      <c r="DI165" s="1" t="str">
        <f t="shared" si="767"/>
        <v>ND</v>
      </c>
      <c r="DJ165" s="1" t="str">
        <f t="shared" si="768"/>
        <v>ND</v>
      </c>
      <c r="DK165" s="1" t="str">
        <f t="shared" si="769"/>
        <v>ND</v>
      </c>
      <c r="DL165" s="1" t="str">
        <f t="shared" si="770"/>
        <v>ND</v>
      </c>
      <c r="DM165" s="1" t="str">
        <f t="shared" si="771"/>
        <v>ND</v>
      </c>
      <c r="DN165" s="1" t="str">
        <f t="shared" si="772"/>
        <v>ND</v>
      </c>
      <c r="DO165" s="1" t="str">
        <f t="shared" si="773"/>
        <v>ND</v>
      </c>
      <c r="DP165" s="1" t="str">
        <f t="shared" si="774"/>
        <v>ND</v>
      </c>
      <c r="DQ165" s="1" t="str">
        <f t="shared" si="775"/>
        <v>ND</v>
      </c>
      <c r="DR165" s="1" t="str">
        <f t="shared" si="776"/>
        <v>ND</v>
      </c>
      <c r="DS165" s="1" t="str">
        <f t="shared" si="777"/>
        <v>ND</v>
      </c>
      <c r="DT165" s="1" t="str">
        <f t="shared" si="778"/>
        <v>ND</v>
      </c>
      <c r="DU165" s="1" t="str">
        <f t="shared" si="779"/>
        <v>ND</v>
      </c>
      <c r="DV165" s="1" t="str">
        <f t="shared" si="780"/>
        <v>ND</v>
      </c>
      <c r="DW165" s="1" t="str">
        <f t="shared" si="781"/>
        <v>ND</v>
      </c>
      <c r="DX165" s="1" t="str">
        <f t="shared" si="782"/>
        <v>ND</v>
      </c>
      <c r="DY165" s="1" t="str">
        <f t="shared" si="783"/>
        <v>ND</v>
      </c>
      <c r="DZ165" s="1" t="str">
        <f t="shared" si="784"/>
        <v>ND</v>
      </c>
      <c r="EA165" s="1" t="str">
        <f t="shared" si="785"/>
        <v>ND</v>
      </c>
      <c r="EB165" s="1" t="str">
        <f t="shared" si="786"/>
        <v>ND</v>
      </c>
      <c r="EC165" s="1" t="str">
        <f t="shared" si="787"/>
        <v>ND</v>
      </c>
      <c r="ED165" s="1" t="str">
        <f t="shared" si="788"/>
        <v>ND</v>
      </c>
      <c r="EE165" s="1" t="str">
        <f t="shared" si="789"/>
        <v>ND</v>
      </c>
      <c r="EF165" s="1" t="str">
        <f t="shared" si="790"/>
        <v>ND</v>
      </c>
      <c r="EG165" s="1" t="str">
        <f t="shared" si="791"/>
        <v>ND</v>
      </c>
      <c r="EH165" s="1" t="str">
        <f t="shared" si="792"/>
        <v>ND</v>
      </c>
      <c r="EI165" s="1" t="str">
        <f t="shared" si="793"/>
        <v>ND</v>
      </c>
      <c r="EJ165" s="1" t="str">
        <f t="shared" si="794"/>
        <v>ND</v>
      </c>
      <c r="EK165" s="1" t="str">
        <f t="shared" si="795"/>
        <v>ND</v>
      </c>
      <c r="EL165" s="1" t="str">
        <f t="shared" si="796"/>
        <v>ND</v>
      </c>
      <c r="EM165" s="1" t="str">
        <f t="shared" si="797"/>
        <v>ND</v>
      </c>
      <c r="EN165" s="1" t="str">
        <f t="shared" si="798"/>
        <v>ND</v>
      </c>
      <c r="EO165" s="1" t="str">
        <f t="shared" si="881"/>
        <v>ND</v>
      </c>
      <c r="EP165" s="1" t="str">
        <f t="shared" si="881"/>
        <v>ND</v>
      </c>
      <c r="EQ165" s="1" t="str">
        <f t="shared" si="881"/>
        <v>ND</v>
      </c>
      <c r="ER165" s="1" t="str">
        <f t="shared" si="881"/>
        <v>ND</v>
      </c>
      <c r="ES165" s="1" t="str">
        <f t="shared" si="881"/>
        <v>ND</v>
      </c>
      <c r="ET165" s="1" t="str">
        <f t="shared" si="881"/>
        <v>ND</v>
      </c>
      <c r="EU165" s="1" t="str">
        <f t="shared" si="881"/>
        <v>ND</v>
      </c>
      <c r="EV165" s="1" t="str">
        <f t="shared" si="881"/>
        <v>ND</v>
      </c>
      <c r="EW165" s="1" t="str">
        <f t="shared" si="881"/>
        <v>ND</v>
      </c>
      <c r="EX165" s="1" t="str">
        <f t="shared" si="881"/>
        <v>ND</v>
      </c>
      <c r="EY165" s="1" t="str">
        <f t="shared" si="881"/>
        <v>ND</v>
      </c>
      <c r="EZ165" s="1" t="str">
        <f t="shared" si="882"/>
        <v>ND</v>
      </c>
      <c r="FA165" s="1" t="str">
        <f t="shared" si="882"/>
        <v>ND</v>
      </c>
      <c r="FB165" s="1" t="str">
        <f t="shared" si="882"/>
        <v>ND</v>
      </c>
      <c r="FC165" s="1" t="str">
        <f t="shared" si="882"/>
        <v>ND</v>
      </c>
      <c r="FD165" s="1" t="str">
        <f t="shared" si="882"/>
        <v>ND</v>
      </c>
      <c r="FE165" s="1" t="str">
        <f t="shared" si="882"/>
        <v>ND</v>
      </c>
      <c r="FF165" s="1" t="str">
        <f t="shared" si="882"/>
        <v>ND</v>
      </c>
      <c r="FG165" s="1" t="str">
        <f t="shared" si="882"/>
        <v>ND</v>
      </c>
      <c r="FH165" s="1" t="str">
        <f t="shared" si="882"/>
        <v>ND</v>
      </c>
      <c r="FI165" s="1" t="str">
        <f t="shared" si="882"/>
        <v>ND</v>
      </c>
      <c r="FJ165" s="1" t="str">
        <f t="shared" si="882"/>
        <v>ND</v>
      </c>
      <c r="FK165" s="1" t="str">
        <f t="shared" si="883"/>
        <v>ND</v>
      </c>
      <c r="FL165" s="1" t="str">
        <f t="shared" si="883"/>
        <v>ND</v>
      </c>
      <c r="FM165" s="1" t="str">
        <f t="shared" si="883"/>
        <v>ND</v>
      </c>
      <c r="FN165" s="1" t="str">
        <f t="shared" si="883"/>
        <v>ND</v>
      </c>
      <c r="FO165" s="1" t="str">
        <f t="shared" si="883"/>
        <v>ND</v>
      </c>
      <c r="FP165" s="1" t="str">
        <f t="shared" si="883"/>
        <v>ND</v>
      </c>
      <c r="FQ165" s="1" t="str">
        <f t="shared" si="883"/>
        <v>ND</v>
      </c>
      <c r="FR165" s="1" t="str">
        <f t="shared" si="883"/>
        <v>ND</v>
      </c>
      <c r="FS165" s="1" t="str">
        <f t="shared" si="883"/>
        <v>ND</v>
      </c>
      <c r="FT165" s="1" t="str">
        <f t="shared" si="883"/>
        <v>ND</v>
      </c>
      <c r="FU165" s="1" t="str">
        <f t="shared" si="883"/>
        <v>ND</v>
      </c>
      <c r="FV165" s="1" t="str">
        <f t="shared" si="799"/>
        <v>ND</v>
      </c>
      <c r="FW165" s="1" t="str">
        <f t="shared" si="800"/>
        <v>ND</v>
      </c>
      <c r="FX165" s="1" t="str">
        <f t="shared" si="801"/>
        <v>ND</v>
      </c>
      <c r="FY165" s="1" t="str">
        <f t="shared" si="802"/>
        <v>ND</v>
      </c>
      <c r="FZ165" s="1" t="str">
        <f t="shared" si="803"/>
        <v>ND</v>
      </c>
      <c r="GA165" s="1" t="str">
        <f t="shared" si="804"/>
        <v>ND</v>
      </c>
      <c r="GB165" s="1" t="str">
        <f t="shared" si="805"/>
        <v>ND</v>
      </c>
      <c r="GC165" s="1" t="str">
        <f t="shared" si="806"/>
        <v>ND</v>
      </c>
      <c r="GD165" s="1" t="str">
        <f t="shared" si="807"/>
        <v>ND</v>
      </c>
      <c r="GE165" s="1" t="str">
        <f t="shared" si="808"/>
        <v>ND</v>
      </c>
      <c r="GF165" s="1" t="str">
        <f t="shared" si="809"/>
        <v>ND</v>
      </c>
      <c r="GG165" s="1" t="str">
        <f t="shared" si="810"/>
        <v>ND</v>
      </c>
      <c r="GH165" s="1" t="str">
        <f t="shared" si="811"/>
        <v>ND</v>
      </c>
      <c r="GI165" s="1" t="str">
        <f t="shared" si="812"/>
        <v>ND</v>
      </c>
      <c r="GJ165" s="1" t="str">
        <f t="shared" si="813"/>
        <v>ND</v>
      </c>
      <c r="GK165" s="1" t="str">
        <f t="shared" si="814"/>
        <v>ND</v>
      </c>
      <c r="GL165" s="1" t="str">
        <f t="shared" si="815"/>
        <v>ND</v>
      </c>
      <c r="GM165" s="1" t="str">
        <f t="shared" si="816"/>
        <v>ND</v>
      </c>
      <c r="GN165" s="1" t="str">
        <f t="shared" si="817"/>
        <v>ND</v>
      </c>
      <c r="GO165" s="1" t="str">
        <f t="shared" si="818"/>
        <v>ND</v>
      </c>
      <c r="GP165" s="1" t="str">
        <f t="shared" si="819"/>
        <v>ND</v>
      </c>
      <c r="GQ165" s="1" t="str">
        <f t="shared" si="820"/>
        <v>ND</v>
      </c>
      <c r="GR165" s="1" t="str">
        <f t="shared" si="821"/>
        <v>ND</v>
      </c>
      <c r="GS165" s="1" t="str">
        <f t="shared" si="822"/>
        <v>ND</v>
      </c>
      <c r="GT165" s="1" t="str">
        <f t="shared" si="823"/>
        <v>ND</v>
      </c>
      <c r="GU165" s="1" t="str">
        <f t="shared" si="824"/>
        <v>ND</v>
      </c>
      <c r="GV165" s="1" t="str">
        <f t="shared" si="825"/>
        <v>ND</v>
      </c>
      <c r="GW165" s="1" t="str">
        <f t="shared" si="826"/>
        <v>ND</v>
      </c>
      <c r="GX165" s="1" t="str">
        <f t="shared" si="827"/>
        <v>ND</v>
      </c>
      <c r="GY165" s="1" t="str">
        <f t="shared" si="828"/>
        <v>ND</v>
      </c>
      <c r="GZ165" s="1" t="str">
        <f t="shared" si="829"/>
        <v>ND</v>
      </c>
      <c r="HA165" s="1" t="str">
        <f t="shared" si="830"/>
        <v>ND</v>
      </c>
      <c r="HB165" s="1" t="str">
        <f t="shared" si="831"/>
        <v>ND</v>
      </c>
      <c r="HC165" s="1" t="str">
        <f t="shared" si="832"/>
        <v>ND</v>
      </c>
      <c r="HD165" s="1" t="str">
        <f t="shared" si="833"/>
        <v>ND</v>
      </c>
      <c r="HE165" s="1" t="str">
        <f t="shared" si="834"/>
        <v>ND</v>
      </c>
      <c r="HF165" s="1" t="str">
        <f t="shared" si="835"/>
        <v>ND</v>
      </c>
      <c r="HG165" s="1" t="str">
        <f t="shared" si="836"/>
        <v>ND</v>
      </c>
      <c r="HH165" s="1" t="str">
        <f t="shared" si="837"/>
        <v>ND</v>
      </c>
      <c r="HI165" s="1" t="str">
        <f t="shared" si="838"/>
        <v>ND</v>
      </c>
      <c r="HJ165" s="1" t="str">
        <f t="shared" si="839"/>
        <v>ND</v>
      </c>
      <c r="HK165" s="1" t="str">
        <f t="shared" si="840"/>
        <v>ND</v>
      </c>
      <c r="HL165" s="1" t="str">
        <f t="shared" si="841"/>
        <v>ND</v>
      </c>
      <c r="HM165" s="1" t="str">
        <f t="shared" si="842"/>
        <v>ND</v>
      </c>
      <c r="HN165" s="1" t="str">
        <f t="shared" si="843"/>
        <v>ND</v>
      </c>
      <c r="HO165" s="1" t="str">
        <f t="shared" si="844"/>
        <v>ND</v>
      </c>
      <c r="HP165" s="1" t="str">
        <f t="shared" si="845"/>
        <v>ND</v>
      </c>
      <c r="HQ165" s="1" t="str">
        <f t="shared" si="846"/>
        <v>ND</v>
      </c>
      <c r="HR165" s="1" t="str">
        <f t="shared" si="847"/>
        <v>ND</v>
      </c>
      <c r="HS165" s="1" t="str">
        <f t="shared" si="848"/>
        <v>ND</v>
      </c>
      <c r="HT165" s="1" t="str">
        <f t="shared" si="849"/>
        <v>ND</v>
      </c>
      <c r="HU165" s="1" t="str">
        <f t="shared" si="850"/>
        <v>ND</v>
      </c>
      <c r="HV165" s="1" t="str">
        <f t="shared" si="851"/>
        <v>ND</v>
      </c>
      <c r="HW165" s="1" t="str">
        <f t="shared" si="852"/>
        <v>ND</v>
      </c>
      <c r="HX165" s="1" t="str">
        <f t="shared" si="853"/>
        <v>ND</v>
      </c>
      <c r="HY165" s="1" t="str">
        <f t="shared" si="854"/>
        <v>ND</v>
      </c>
      <c r="HZ165" s="1" t="str">
        <f t="shared" si="855"/>
        <v>ND</v>
      </c>
      <c r="IA165" s="1" t="str">
        <f t="shared" si="856"/>
        <v>ND</v>
      </c>
      <c r="IB165" s="1" t="str">
        <f t="shared" si="857"/>
        <v>ND</v>
      </c>
      <c r="IC165" s="1" t="str">
        <f t="shared" si="858"/>
        <v>ND</v>
      </c>
      <c r="ID165" s="1" t="str">
        <f t="shared" si="859"/>
        <v>ND</v>
      </c>
      <c r="IE165" s="1" t="str">
        <f t="shared" si="860"/>
        <v>ND</v>
      </c>
      <c r="IF165" s="1" t="str">
        <f t="shared" si="861"/>
        <v>ND</v>
      </c>
      <c r="IG165" s="1" t="str">
        <f t="shared" si="862"/>
        <v>ND</v>
      </c>
      <c r="IH165" s="1" t="str">
        <f t="shared" si="863"/>
        <v>ND</v>
      </c>
      <c r="II165" s="1" t="str">
        <f t="shared" si="864"/>
        <v>ND</v>
      </c>
    </row>
    <row r="166" spans="3:243" x14ac:dyDescent="0.25">
      <c r="C166" t="s">
        <v>110</v>
      </c>
      <c r="D166">
        <f>SUMIFS(DICCIONARIO[Cantidad],DICCIONARIO[Modelo],UNIFICADA[[#This Row],[Equipo]])</f>
        <v>4</v>
      </c>
      <c r="E166" s="1">
        <f>IFERROR(VLOOKUP($C166,EQUIPOS[],UNIFICADO!E$9,0),"")</f>
        <v>16</v>
      </c>
      <c r="F166" s="1">
        <f>IFERROR(VLOOKUP($C166,EQUIPOS[],UNIFICADO!F$9,0),"")</f>
        <v>6.7</v>
      </c>
      <c r="G166" s="1">
        <f>IFERROR(VLOOKUP($C166,EQUIPOS[],UNIFICADO!G$9,0),"")</f>
        <v>12</v>
      </c>
      <c r="H166" s="1">
        <f>IFERROR(VLOOKUP($C166,EQUIPOS[],UNIFICADO!H$9,0),"")</f>
        <v>3</v>
      </c>
      <c r="I166" s="1">
        <f>IFERROR(VLOOKUP($C166,EQUIPOS[],UNIFICADO!I$9,0),"")</f>
        <v>12</v>
      </c>
      <c r="J166" s="1" t="str">
        <f>IFERROR(VLOOKUP($C166,EQUIPOS[],UNIFICADO!J$9,0),"")</f>
        <v>256GB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203</v>
      </c>
      <c r="P166" s="1">
        <f>IFERROR(VLOOKUP($C166,EQUIPOS[],UNIFICADO!P$9,0),"")</f>
        <v>16</v>
      </c>
      <c r="Q166" s="1">
        <f>IFERROR(VLOOKUP($C166,EQUIPOS[],UNIFICADO!Q$9,0),"")</f>
        <v>7.81</v>
      </c>
      <c r="R166" s="1">
        <f>IFERROR(VLOOKUP($C166,EQUIPOS[],UNIFICADO!R$9,0),"")</f>
        <v>0.78</v>
      </c>
      <c r="S166" s="1">
        <f>IFERROR(VLOOKUP($C166,EQUIPOS[],UNIFICADO!S$9,0),"")</f>
        <v>4325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709"/>
        <v>ND</v>
      </c>
      <c r="W166" s="1" t="str">
        <f t="shared" si="710"/>
        <v>ND</v>
      </c>
      <c r="X166" s="1" t="str">
        <f t="shared" si="871"/>
        <v>ND</v>
      </c>
      <c r="Y166" s="1" t="str">
        <f t="shared" si="871"/>
        <v>ND</v>
      </c>
      <c r="Z166" s="1" t="str">
        <f t="shared" si="878"/>
        <v>ND</v>
      </c>
      <c r="AA166" s="1" t="str">
        <f t="shared" si="878"/>
        <v>ND</v>
      </c>
      <c r="AB166" s="1" t="str">
        <f t="shared" si="878"/>
        <v>ND</v>
      </c>
      <c r="AC166" s="1" t="str">
        <f t="shared" si="878"/>
        <v>ND</v>
      </c>
      <c r="AD166" s="1" t="str">
        <f t="shared" si="878"/>
        <v>ND</v>
      </c>
      <c r="AE166" s="1" t="str">
        <f t="shared" si="878"/>
        <v>ND</v>
      </c>
      <c r="AF166" s="1" t="str">
        <f t="shared" si="878"/>
        <v>ND</v>
      </c>
      <c r="AG166" s="1" t="str">
        <f t="shared" si="878"/>
        <v>ND</v>
      </c>
      <c r="AH166" s="1" t="str">
        <f t="shared" si="878"/>
        <v>ND</v>
      </c>
      <c r="AI166" s="1" t="str">
        <f t="shared" si="711"/>
        <v>ND</v>
      </c>
      <c r="AJ166" s="1" t="str">
        <f t="shared" si="712"/>
        <v>ND</v>
      </c>
      <c r="AK166" s="1" t="str">
        <f t="shared" si="713"/>
        <v>ND</v>
      </c>
      <c r="AL166" s="1" t="str">
        <f t="shared" si="714"/>
        <v>ND</v>
      </c>
      <c r="AM166" s="1" t="str">
        <f t="shared" si="715"/>
        <v>ND</v>
      </c>
      <c r="AN166" s="1" t="str">
        <f t="shared" si="716"/>
        <v>ND</v>
      </c>
      <c r="AO166" s="1" t="str">
        <f t="shared" si="717"/>
        <v>ND</v>
      </c>
      <c r="AP166" s="1" t="str">
        <f t="shared" si="718"/>
        <v>ND</v>
      </c>
      <c r="AQ166" s="1" t="str">
        <f t="shared" si="719"/>
        <v>ND</v>
      </c>
      <c r="AR166" s="1" t="str">
        <f t="shared" si="720"/>
        <v>ND</v>
      </c>
      <c r="AS166" s="1" t="str">
        <f t="shared" si="721"/>
        <v>ND</v>
      </c>
      <c r="AT166" s="1" t="str">
        <f t="shared" si="722"/>
        <v>ND</v>
      </c>
      <c r="AU166" s="1" t="str">
        <f t="shared" si="723"/>
        <v>ND</v>
      </c>
      <c r="AV166" s="1" t="str">
        <f t="shared" si="724"/>
        <v>ND</v>
      </c>
      <c r="AW166" s="1" t="str">
        <f t="shared" si="725"/>
        <v>ND</v>
      </c>
      <c r="AX166" s="1" t="str">
        <f t="shared" si="726"/>
        <v>ND</v>
      </c>
      <c r="AY166" s="1" t="str">
        <f t="shared" si="727"/>
        <v>ND</v>
      </c>
      <c r="AZ166" s="1" t="str">
        <f t="shared" si="728"/>
        <v>ND</v>
      </c>
      <c r="BA166" s="1" t="str">
        <f t="shared" si="729"/>
        <v>ND</v>
      </c>
      <c r="BB166" s="1" t="str">
        <f t="shared" si="730"/>
        <v>ND</v>
      </c>
      <c r="BC166" s="1" t="str">
        <f t="shared" si="731"/>
        <v>ND</v>
      </c>
      <c r="BD166" s="1" t="str">
        <f t="shared" si="732"/>
        <v>ND</v>
      </c>
      <c r="BE166" s="1" t="str">
        <f t="shared" si="733"/>
        <v>ND</v>
      </c>
      <c r="BF166" s="1" t="str">
        <f t="shared" si="734"/>
        <v>ND</v>
      </c>
      <c r="BG166" s="1" t="str">
        <f t="shared" si="735"/>
        <v>ND</v>
      </c>
      <c r="BH166" s="1" t="str">
        <f t="shared" si="736"/>
        <v>ND</v>
      </c>
      <c r="BI166" s="1" t="str">
        <f t="shared" si="737"/>
        <v>ND</v>
      </c>
      <c r="BJ166" s="1" t="str">
        <f t="shared" si="738"/>
        <v>ND</v>
      </c>
      <c r="BK166" s="1" t="str">
        <f t="shared" si="739"/>
        <v>ND</v>
      </c>
      <c r="BL166" s="1" t="str">
        <f t="shared" si="740"/>
        <v>ND</v>
      </c>
      <c r="BM166" s="1" t="str">
        <f t="shared" si="741"/>
        <v>ND</v>
      </c>
      <c r="BN166" s="1" t="str">
        <f t="shared" si="742"/>
        <v>ND</v>
      </c>
      <c r="BO166" s="1" t="str">
        <f t="shared" si="743"/>
        <v>ND</v>
      </c>
      <c r="BP166" s="1" t="str">
        <f t="shared" si="744"/>
        <v>ND</v>
      </c>
      <c r="BQ166" s="1" t="str">
        <f t="shared" si="745"/>
        <v>ND</v>
      </c>
      <c r="BR166" s="1" t="str">
        <f t="shared" si="746"/>
        <v>ND</v>
      </c>
      <c r="BS166" s="1" t="str">
        <f t="shared" si="747"/>
        <v>ND</v>
      </c>
      <c r="BT166" s="1" t="str">
        <f t="shared" si="748"/>
        <v>ND</v>
      </c>
      <c r="BU166" s="1" t="str">
        <f t="shared" si="749"/>
        <v>ND</v>
      </c>
      <c r="BV166" s="1" t="str">
        <f t="shared" si="750"/>
        <v>ND</v>
      </c>
      <c r="BW166" s="1" t="str">
        <f t="shared" si="751"/>
        <v>ND</v>
      </c>
      <c r="BX166" s="1" t="str">
        <f t="shared" si="752"/>
        <v>ND</v>
      </c>
      <c r="BY166" s="1" t="str">
        <f t="shared" si="753"/>
        <v>ND</v>
      </c>
      <c r="BZ166" s="1" t="str">
        <f t="shared" si="754"/>
        <v>ND</v>
      </c>
      <c r="CA166" s="1" t="str">
        <f t="shared" si="879"/>
        <v>ND</v>
      </c>
      <c r="CB166" s="1" t="str">
        <f t="shared" si="879"/>
        <v>ND</v>
      </c>
      <c r="CC166" s="1" t="str">
        <f t="shared" si="879"/>
        <v>ND</v>
      </c>
      <c r="CD166" s="1" t="str">
        <f t="shared" si="879"/>
        <v>ND</v>
      </c>
      <c r="CE166" s="1" t="str">
        <f t="shared" si="879"/>
        <v>ND</v>
      </c>
      <c r="CF166" s="1" t="str">
        <f t="shared" si="879"/>
        <v>ND</v>
      </c>
      <c r="CG166" s="1" t="str">
        <f t="shared" si="879"/>
        <v>ND</v>
      </c>
      <c r="CH166" s="1" t="str">
        <f t="shared" si="879"/>
        <v>ND</v>
      </c>
      <c r="CI166" s="1" t="str">
        <f t="shared" si="879"/>
        <v>ND</v>
      </c>
      <c r="CJ166" s="1" t="str">
        <f t="shared" si="879"/>
        <v>ND</v>
      </c>
      <c r="CK166" s="1" t="str">
        <f t="shared" si="879"/>
        <v>ND</v>
      </c>
      <c r="CL166" s="1" t="str">
        <f t="shared" si="880"/>
        <v>ND</v>
      </c>
      <c r="CM166" s="1" t="str">
        <f t="shared" si="880"/>
        <v>ND</v>
      </c>
      <c r="CN166" s="1" t="str">
        <f t="shared" si="880"/>
        <v>ND</v>
      </c>
      <c r="CO166" s="1" t="str">
        <f t="shared" si="880"/>
        <v>ND</v>
      </c>
      <c r="CP166" s="1" t="str">
        <f t="shared" si="880"/>
        <v>ND</v>
      </c>
      <c r="CQ166" s="1" t="str">
        <f t="shared" si="880"/>
        <v>ND</v>
      </c>
      <c r="CR166" s="1" t="str">
        <f t="shared" si="880"/>
        <v>ND</v>
      </c>
      <c r="CS166" s="1" t="str">
        <f t="shared" si="880"/>
        <v>ND</v>
      </c>
      <c r="CT166" s="1" t="str">
        <f t="shared" si="880"/>
        <v>ND</v>
      </c>
      <c r="CU166" s="1" t="str">
        <f t="shared" si="880"/>
        <v>ND</v>
      </c>
      <c r="CV166" s="1" t="str">
        <f t="shared" si="880"/>
        <v>ND</v>
      </c>
      <c r="CW166" s="1" t="str">
        <f t="shared" si="755"/>
        <v>ND</v>
      </c>
      <c r="CX166" s="1" t="str">
        <f t="shared" si="756"/>
        <v>ND</v>
      </c>
      <c r="CY166" s="1" t="str">
        <f t="shared" si="757"/>
        <v>ND</v>
      </c>
      <c r="CZ166" s="1" t="str">
        <f t="shared" si="758"/>
        <v>ND</v>
      </c>
      <c r="DA166" s="1" t="str">
        <f t="shared" si="759"/>
        <v>ND</v>
      </c>
      <c r="DB166" s="1" t="str">
        <f t="shared" si="760"/>
        <v>ND</v>
      </c>
      <c r="DC166" s="1" t="str">
        <f t="shared" si="761"/>
        <v>ND</v>
      </c>
      <c r="DD166" s="1" t="str">
        <f t="shared" si="762"/>
        <v>ND</v>
      </c>
      <c r="DE166" s="1" t="str">
        <f t="shared" si="763"/>
        <v>ND</v>
      </c>
      <c r="DF166" s="1" t="str">
        <f t="shared" si="764"/>
        <v>ND</v>
      </c>
      <c r="DG166" s="1" t="str">
        <f t="shared" si="765"/>
        <v>ND</v>
      </c>
      <c r="DH166" s="1" t="str">
        <f t="shared" si="766"/>
        <v>ND</v>
      </c>
      <c r="DI166" s="1" t="str">
        <f t="shared" si="767"/>
        <v>ND</v>
      </c>
      <c r="DJ166" s="1" t="str">
        <f t="shared" si="768"/>
        <v>ND</v>
      </c>
      <c r="DK166" s="1" t="str">
        <f t="shared" si="769"/>
        <v>ND</v>
      </c>
      <c r="DL166" s="1" t="str">
        <f t="shared" si="770"/>
        <v>ND</v>
      </c>
      <c r="DM166" s="1" t="str">
        <f t="shared" si="771"/>
        <v>ND</v>
      </c>
      <c r="DN166" s="1" t="str">
        <f t="shared" si="772"/>
        <v>ND</v>
      </c>
      <c r="DO166" s="1" t="str">
        <f t="shared" si="773"/>
        <v>ND</v>
      </c>
      <c r="DP166" s="1" t="str">
        <f t="shared" si="774"/>
        <v>ND</v>
      </c>
      <c r="DQ166" s="1" t="str">
        <f t="shared" si="775"/>
        <v>ND</v>
      </c>
      <c r="DR166" s="1" t="str">
        <f t="shared" si="776"/>
        <v>ND</v>
      </c>
      <c r="DS166" s="1" t="str">
        <f t="shared" si="777"/>
        <v>ND</v>
      </c>
      <c r="DT166" s="1" t="str">
        <f t="shared" si="778"/>
        <v>ND</v>
      </c>
      <c r="DU166" s="1" t="str">
        <f t="shared" si="779"/>
        <v>ND</v>
      </c>
      <c r="DV166" s="1" t="str">
        <f t="shared" si="780"/>
        <v>ND</v>
      </c>
      <c r="DW166" s="1" t="str">
        <f t="shared" si="781"/>
        <v>ND</v>
      </c>
      <c r="DX166" s="1" t="str">
        <f t="shared" si="782"/>
        <v>ND</v>
      </c>
      <c r="DY166" s="1" t="str">
        <f t="shared" si="783"/>
        <v>ND</v>
      </c>
      <c r="DZ166" s="1" t="str">
        <f t="shared" si="784"/>
        <v>ND</v>
      </c>
      <c r="EA166" s="1" t="str">
        <f t="shared" si="785"/>
        <v>ND</v>
      </c>
      <c r="EB166" s="1" t="str">
        <f t="shared" si="786"/>
        <v>ND</v>
      </c>
      <c r="EC166" s="1" t="str">
        <f t="shared" si="787"/>
        <v>ND</v>
      </c>
      <c r="ED166" s="1" t="str">
        <f t="shared" si="788"/>
        <v>ND</v>
      </c>
      <c r="EE166" s="1" t="str">
        <f t="shared" si="789"/>
        <v>ND</v>
      </c>
      <c r="EF166" s="1" t="str">
        <f t="shared" si="790"/>
        <v>ND</v>
      </c>
      <c r="EG166" s="1" t="str">
        <f t="shared" si="791"/>
        <v>ND</v>
      </c>
      <c r="EH166" s="1" t="str">
        <f t="shared" si="792"/>
        <v>ND</v>
      </c>
      <c r="EI166" s="1" t="str">
        <f t="shared" si="793"/>
        <v>ND</v>
      </c>
      <c r="EJ166" s="1" t="str">
        <f t="shared" si="794"/>
        <v>ND</v>
      </c>
      <c r="EK166" s="1" t="str">
        <f t="shared" si="795"/>
        <v>ND</v>
      </c>
      <c r="EL166" s="1" t="str">
        <f t="shared" si="796"/>
        <v>ND</v>
      </c>
      <c r="EM166" s="1" t="str">
        <f t="shared" si="797"/>
        <v>ND</v>
      </c>
      <c r="EN166" s="1" t="str">
        <f t="shared" si="798"/>
        <v>ND</v>
      </c>
      <c r="EO166" s="1" t="str">
        <f t="shared" si="881"/>
        <v>ND</v>
      </c>
      <c r="EP166" s="1" t="str">
        <f t="shared" si="881"/>
        <v>ND</v>
      </c>
      <c r="EQ166" s="1" t="str">
        <f t="shared" si="881"/>
        <v>ND</v>
      </c>
      <c r="ER166" s="1" t="str">
        <f t="shared" si="881"/>
        <v>ND</v>
      </c>
      <c r="ES166" s="1" t="str">
        <f t="shared" si="881"/>
        <v>ND</v>
      </c>
      <c r="ET166" s="1" t="str">
        <f t="shared" si="881"/>
        <v>ND</v>
      </c>
      <c r="EU166" s="1" t="str">
        <f t="shared" si="881"/>
        <v>ND</v>
      </c>
      <c r="EV166" s="1" t="str">
        <f t="shared" si="881"/>
        <v>ND</v>
      </c>
      <c r="EW166" s="1" t="str">
        <f t="shared" si="881"/>
        <v>ND</v>
      </c>
      <c r="EX166" s="1" t="str">
        <f t="shared" si="881"/>
        <v>ND</v>
      </c>
      <c r="EY166" s="1" t="str">
        <f t="shared" si="881"/>
        <v>ND</v>
      </c>
      <c r="EZ166" s="1" t="str">
        <f t="shared" si="882"/>
        <v>ND</v>
      </c>
      <c r="FA166" s="1" t="str">
        <f t="shared" si="882"/>
        <v>ND</v>
      </c>
      <c r="FB166" s="1" t="str">
        <f t="shared" si="882"/>
        <v>ND</v>
      </c>
      <c r="FC166" s="1" t="str">
        <f t="shared" si="882"/>
        <v>ND</v>
      </c>
      <c r="FD166" s="1" t="str">
        <f t="shared" si="882"/>
        <v>ND</v>
      </c>
      <c r="FE166" s="1" t="str">
        <f t="shared" si="882"/>
        <v>ND</v>
      </c>
      <c r="FF166" s="1" t="str">
        <f t="shared" si="882"/>
        <v>ND</v>
      </c>
      <c r="FG166" s="1" t="str">
        <f t="shared" si="882"/>
        <v>ND</v>
      </c>
      <c r="FH166" s="1" t="str">
        <f t="shared" si="882"/>
        <v>ND</v>
      </c>
      <c r="FI166" s="1" t="str">
        <f t="shared" si="882"/>
        <v>ND</v>
      </c>
      <c r="FJ166" s="1" t="str">
        <f t="shared" si="882"/>
        <v>ND</v>
      </c>
      <c r="FK166" s="1" t="str">
        <f t="shared" si="883"/>
        <v>ND</v>
      </c>
      <c r="FL166" s="1" t="str">
        <f t="shared" si="883"/>
        <v>ND</v>
      </c>
      <c r="FM166" s="1" t="str">
        <f t="shared" si="883"/>
        <v>ND</v>
      </c>
      <c r="FN166" s="1" t="str">
        <f t="shared" si="883"/>
        <v>ND</v>
      </c>
      <c r="FO166" s="1" t="str">
        <f t="shared" si="883"/>
        <v>ND</v>
      </c>
      <c r="FP166" s="1" t="str">
        <f t="shared" si="883"/>
        <v>ND</v>
      </c>
      <c r="FQ166" s="1" t="str">
        <f t="shared" si="883"/>
        <v>ND</v>
      </c>
      <c r="FR166" s="1" t="str">
        <f t="shared" si="883"/>
        <v>ND</v>
      </c>
      <c r="FS166" s="1" t="str">
        <f t="shared" si="883"/>
        <v>ND</v>
      </c>
      <c r="FT166" s="1" t="str">
        <f t="shared" si="883"/>
        <v>ND</v>
      </c>
      <c r="FU166" s="1" t="str">
        <f t="shared" si="883"/>
        <v>ND</v>
      </c>
      <c r="FV166" s="1" t="str">
        <f t="shared" si="799"/>
        <v>ND</v>
      </c>
      <c r="FW166" s="1" t="str">
        <f t="shared" si="800"/>
        <v>ND</v>
      </c>
      <c r="FX166" s="1" t="str">
        <f t="shared" si="801"/>
        <v>ND</v>
      </c>
      <c r="FY166" s="1" t="str">
        <f t="shared" si="802"/>
        <v>ND</v>
      </c>
      <c r="FZ166" s="1" t="str">
        <f t="shared" si="803"/>
        <v>ND</v>
      </c>
      <c r="GA166" s="1" t="str">
        <f t="shared" si="804"/>
        <v>ND</v>
      </c>
      <c r="GB166" s="1" t="str">
        <f t="shared" si="805"/>
        <v>ND</v>
      </c>
      <c r="GC166" s="1" t="str">
        <f t="shared" si="806"/>
        <v>ND</v>
      </c>
      <c r="GD166" s="1" t="str">
        <f t="shared" si="807"/>
        <v>ND</v>
      </c>
      <c r="GE166" s="1" t="str">
        <f t="shared" si="808"/>
        <v>ND</v>
      </c>
      <c r="GF166" s="1" t="str">
        <f t="shared" si="809"/>
        <v>ND</v>
      </c>
      <c r="GG166" s="1" t="str">
        <f t="shared" si="810"/>
        <v>ND</v>
      </c>
      <c r="GH166" s="1" t="str">
        <f t="shared" si="811"/>
        <v>ND</v>
      </c>
      <c r="GI166" s="1" t="str">
        <f t="shared" si="812"/>
        <v>ND</v>
      </c>
      <c r="GJ166" s="1" t="str">
        <f t="shared" si="813"/>
        <v>ND</v>
      </c>
      <c r="GK166" s="1" t="str">
        <f t="shared" si="814"/>
        <v>ND</v>
      </c>
      <c r="GL166" s="1" t="str">
        <f t="shared" si="815"/>
        <v>ND</v>
      </c>
      <c r="GM166" s="1" t="str">
        <f t="shared" si="816"/>
        <v>ND</v>
      </c>
      <c r="GN166" s="1" t="str">
        <f t="shared" si="817"/>
        <v>ND</v>
      </c>
      <c r="GO166" s="1" t="str">
        <f t="shared" si="818"/>
        <v>ND</v>
      </c>
      <c r="GP166" s="1" t="str">
        <f t="shared" si="819"/>
        <v>ND</v>
      </c>
      <c r="GQ166" s="1" t="str">
        <f t="shared" si="820"/>
        <v>ND</v>
      </c>
      <c r="GR166" s="1" t="str">
        <f t="shared" si="821"/>
        <v>ND</v>
      </c>
      <c r="GS166" s="1" t="str">
        <f t="shared" si="822"/>
        <v>ND</v>
      </c>
      <c r="GT166" s="1" t="str">
        <f t="shared" si="823"/>
        <v>ND</v>
      </c>
      <c r="GU166" s="1" t="str">
        <f t="shared" si="824"/>
        <v>ND</v>
      </c>
      <c r="GV166" s="1" t="str">
        <f t="shared" si="825"/>
        <v>ND</v>
      </c>
      <c r="GW166" s="1" t="str">
        <f t="shared" si="826"/>
        <v>ND</v>
      </c>
      <c r="GX166" s="1" t="str">
        <f t="shared" si="827"/>
        <v>ND</v>
      </c>
      <c r="GY166" s="1" t="str">
        <f t="shared" si="828"/>
        <v>ND</v>
      </c>
      <c r="GZ166" s="1" t="str">
        <f t="shared" si="829"/>
        <v>ND</v>
      </c>
      <c r="HA166" s="1" t="str">
        <f t="shared" si="830"/>
        <v>ND</v>
      </c>
      <c r="HB166" s="1" t="str">
        <f t="shared" si="831"/>
        <v>ND</v>
      </c>
      <c r="HC166" s="1" t="str">
        <f t="shared" si="832"/>
        <v>ND</v>
      </c>
      <c r="HD166" s="1" t="str">
        <f t="shared" si="833"/>
        <v>ND</v>
      </c>
      <c r="HE166" s="1" t="str">
        <f t="shared" si="834"/>
        <v>ND</v>
      </c>
      <c r="HF166" s="1" t="str">
        <f t="shared" si="835"/>
        <v>ND</v>
      </c>
      <c r="HG166" s="1" t="str">
        <f t="shared" si="836"/>
        <v>ND</v>
      </c>
      <c r="HH166" s="1" t="str">
        <f t="shared" si="837"/>
        <v>ND</v>
      </c>
      <c r="HI166" s="1" t="str">
        <f t="shared" si="838"/>
        <v>ND</v>
      </c>
      <c r="HJ166" s="1" t="str">
        <f t="shared" si="839"/>
        <v>ND</v>
      </c>
      <c r="HK166" s="1" t="str">
        <f t="shared" si="840"/>
        <v>ND</v>
      </c>
      <c r="HL166" s="1" t="str">
        <f t="shared" si="841"/>
        <v>ND</v>
      </c>
      <c r="HM166" s="1" t="str">
        <f t="shared" si="842"/>
        <v>ND</v>
      </c>
      <c r="HN166" s="1" t="str">
        <f t="shared" si="843"/>
        <v>ND</v>
      </c>
      <c r="HO166" s="1" t="str">
        <f t="shared" si="844"/>
        <v>ND</v>
      </c>
      <c r="HP166" s="1" t="str">
        <f t="shared" si="845"/>
        <v>ND</v>
      </c>
      <c r="HQ166" s="1" t="str">
        <f t="shared" si="846"/>
        <v>ND</v>
      </c>
      <c r="HR166" s="1" t="str">
        <f t="shared" si="847"/>
        <v>ND</v>
      </c>
      <c r="HS166" s="1" t="str">
        <f t="shared" si="848"/>
        <v>ND</v>
      </c>
      <c r="HT166" s="1" t="str">
        <f t="shared" si="849"/>
        <v>ND</v>
      </c>
      <c r="HU166" s="1" t="str">
        <f t="shared" si="850"/>
        <v>ND</v>
      </c>
      <c r="HV166" s="1" t="str">
        <f t="shared" si="851"/>
        <v>ND</v>
      </c>
      <c r="HW166" s="1" t="str">
        <f t="shared" si="852"/>
        <v>ND</v>
      </c>
      <c r="HX166" s="1" t="str">
        <f t="shared" si="853"/>
        <v>ND</v>
      </c>
      <c r="HY166" s="1" t="str">
        <f t="shared" si="854"/>
        <v>ND</v>
      </c>
      <c r="HZ166" s="1" t="str">
        <f t="shared" si="855"/>
        <v>ND</v>
      </c>
      <c r="IA166" s="1" t="str">
        <f t="shared" si="856"/>
        <v>ND</v>
      </c>
      <c r="IB166" s="1" t="str">
        <f t="shared" si="857"/>
        <v>ND</v>
      </c>
      <c r="IC166" s="1" t="str">
        <f t="shared" si="858"/>
        <v>ND</v>
      </c>
      <c r="ID166" s="1" t="str">
        <f t="shared" si="859"/>
        <v>ND</v>
      </c>
      <c r="IE166" s="1" t="str">
        <f t="shared" si="860"/>
        <v>ND</v>
      </c>
      <c r="IF166" s="1" t="str">
        <f t="shared" si="861"/>
        <v>ND</v>
      </c>
      <c r="IG166" s="1" t="str">
        <f t="shared" si="862"/>
        <v>ND</v>
      </c>
      <c r="IH166" s="1" t="str">
        <f t="shared" si="863"/>
        <v>ND</v>
      </c>
      <c r="II166" s="1" t="str">
        <f t="shared" si="864"/>
        <v>ND</v>
      </c>
    </row>
    <row r="167" spans="3:243" x14ac:dyDescent="0.25">
      <c r="C167" t="s">
        <v>111</v>
      </c>
      <c r="D167">
        <f>SUMIFS(DICCIONARIO[Cantidad],DICCIONARIO[Modelo],UNIFICADA[[#This Row],[Equipo]])</f>
        <v>1</v>
      </c>
      <c r="E167" s="1">
        <f>IFERROR(VLOOKUP($C167,EQUIPOS[],UNIFICADO!E$9,0),"")</f>
        <v>16</v>
      </c>
      <c r="F167" s="1">
        <f>IFERROR(VLOOKUP($C167,EQUIPOS[],UNIFICADO!F$9,0),"")</f>
        <v>6.7</v>
      </c>
      <c r="G167" s="1">
        <f>IFERROR(VLOOKUP($C167,EQUIPOS[],UNIFICADO!G$9,0),"")</f>
        <v>12</v>
      </c>
      <c r="H167" s="1">
        <f>IFERROR(VLOOKUP($C167,EQUIPOS[],UNIFICADO!H$9,0),"")</f>
        <v>3</v>
      </c>
      <c r="I167" s="1">
        <f>IFERROR(VLOOKUP($C167,EQUIPOS[],UNIFICADO!I$9,0),"")</f>
        <v>12</v>
      </c>
      <c r="J167" s="1" t="str">
        <f>IFERROR(VLOOKUP($C167,EQUIPOS[],UNIFICADO!J$9,0),"")</f>
        <v>512GB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203</v>
      </c>
      <c r="P167" s="1">
        <f>IFERROR(VLOOKUP($C167,EQUIPOS[],UNIFICADO!P$9,0),"")</f>
        <v>16</v>
      </c>
      <c r="Q167" s="1">
        <f>IFERROR(VLOOKUP($C167,EQUIPOS[],UNIFICADO!Q$9,0),"")</f>
        <v>7.81</v>
      </c>
      <c r="R167" s="1">
        <f>IFERROR(VLOOKUP($C167,EQUIPOS[],UNIFICADO!R$9,0),"")</f>
        <v>0.78</v>
      </c>
      <c r="S167" s="1">
        <f>IFERROR(VLOOKUP($C167,EQUIPOS[],UNIFICADO!S$9,0),"")</f>
        <v>4325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709"/>
        <v>ND</v>
      </c>
      <c r="W167" s="1" t="str">
        <f t="shared" si="710"/>
        <v>ND</v>
      </c>
      <c r="X167" s="1" t="str">
        <f t="shared" si="871"/>
        <v>ND</v>
      </c>
      <c r="Y167" s="1" t="str">
        <f t="shared" si="871"/>
        <v>ND</v>
      </c>
      <c r="Z167" s="1" t="str">
        <f t="shared" si="878"/>
        <v>ND</v>
      </c>
      <c r="AA167" s="1" t="str">
        <f t="shared" si="878"/>
        <v>ND</v>
      </c>
      <c r="AB167" s="1" t="str">
        <f t="shared" si="878"/>
        <v>ND</v>
      </c>
      <c r="AC167" s="1" t="str">
        <f t="shared" si="878"/>
        <v>ND</v>
      </c>
      <c r="AD167" s="1" t="str">
        <f t="shared" si="878"/>
        <v>ND</v>
      </c>
      <c r="AE167" s="1" t="str">
        <f t="shared" si="878"/>
        <v>ND</v>
      </c>
      <c r="AF167" s="1" t="str">
        <f t="shared" si="878"/>
        <v>ND</v>
      </c>
      <c r="AG167" s="1" t="str">
        <f t="shared" si="878"/>
        <v>ND</v>
      </c>
      <c r="AH167" s="1" t="str">
        <f t="shared" si="878"/>
        <v>ND</v>
      </c>
      <c r="AI167" s="1" t="str">
        <f t="shared" si="711"/>
        <v>ND</v>
      </c>
      <c r="AJ167" s="1" t="str">
        <f t="shared" si="712"/>
        <v>ND</v>
      </c>
      <c r="AK167" s="1" t="str">
        <f t="shared" si="713"/>
        <v>ND</v>
      </c>
      <c r="AL167" s="1" t="str">
        <f t="shared" si="714"/>
        <v>ND</v>
      </c>
      <c r="AM167" s="1" t="str">
        <f t="shared" si="715"/>
        <v>ND</v>
      </c>
      <c r="AN167" s="1" t="str">
        <f t="shared" si="716"/>
        <v>ND</v>
      </c>
      <c r="AO167" s="1" t="str">
        <f t="shared" si="717"/>
        <v>ND</v>
      </c>
      <c r="AP167" s="1" t="str">
        <f t="shared" si="718"/>
        <v>ND</v>
      </c>
      <c r="AQ167" s="1" t="str">
        <f t="shared" si="719"/>
        <v>ND</v>
      </c>
      <c r="AR167" s="1" t="str">
        <f t="shared" si="720"/>
        <v>ND</v>
      </c>
      <c r="AS167" s="1" t="str">
        <f t="shared" si="721"/>
        <v>ND</v>
      </c>
      <c r="AT167" s="1" t="str">
        <f t="shared" si="722"/>
        <v>ND</v>
      </c>
      <c r="AU167" s="1" t="str">
        <f t="shared" si="723"/>
        <v>ND</v>
      </c>
      <c r="AV167" s="1" t="str">
        <f t="shared" si="724"/>
        <v>ND</v>
      </c>
      <c r="AW167" s="1" t="str">
        <f t="shared" si="725"/>
        <v>ND</v>
      </c>
      <c r="AX167" s="1" t="str">
        <f t="shared" si="726"/>
        <v>ND</v>
      </c>
      <c r="AY167" s="1" t="str">
        <f t="shared" si="727"/>
        <v>ND</v>
      </c>
      <c r="AZ167" s="1" t="str">
        <f t="shared" si="728"/>
        <v>ND</v>
      </c>
      <c r="BA167" s="1" t="str">
        <f t="shared" si="729"/>
        <v>ND</v>
      </c>
      <c r="BB167" s="1" t="str">
        <f t="shared" si="730"/>
        <v>ND</v>
      </c>
      <c r="BC167" s="1" t="str">
        <f t="shared" si="731"/>
        <v>ND</v>
      </c>
      <c r="BD167" s="1" t="str">
        <f t="shared" si="732"/>
        <v>ND</v>
      </c>
      <c r="BE167" s="1" t="str">
        <f t="shared" si="733"/>
        <v>ND</v>
      </c>
      <c r="BF167" s="1" t="str">
        <f t="shared" si="734"/>
        <v>ND</v>
      </c>
      <c r="BG167" s="1" t="str">
        <f t="shared" si="735"/>
        <v>ND</v>
      </c>
      <c r="BH167" s="1" t="str">
        <f t="shared" si="736"/>
        <v>ND</v>
      </c>
      <c r="BI167" s="1" t="str">
        <f t="shared" si="737"/>
        <v>ND</v>
      </c>
      <c r="BJ167" s="1" t="str">
        <f t="shared" si="738"/>
        <v>ND</v>
      </c>
      <c r="BK167" s="1" t="str">
        <f t="shared" si="739"/>
        <v>ND</v>
      </c>
      <c r="BL167" s="1" t="str">
        <f t="shared" si="740"/>
        <v>ND</v>
      </c>
      <c r="BM167" s="1" t="str">
        <f t="shared" si="741"/>
        <v>ND</v>
      </c>
      <c r="BN167" s="1" t="str">
        <f t="shared" si="742"/>
        <v>ND</v>
      </c>
      <c r="BO167" s="1" t="str">
        <f t="shared" si="743"/>
        <v>ND</v>
      </c>
      <c r="BP167" s="1" t="str">
        <f t="shared" si="744"/>
        <v>ND</v>
      </c>
      <c r="BQ167" s="1" t="str">
        <f t="shared" si="745"/>
        <v>ND</v>
      </c>
      <c r="BR167" s="1" t="str">
        <f t="shared" si="746"/>
        <v>ND</v>
      </c>
      <c r="BS167" s="1" t="str">
        <f t="shared" si="747"/>
        <v>ND</v>
      </c>
      <c r="BT167" s="1" t="str">
        <f t="shared" si="748"/>
        <v>ND</v>
      </c>
      <c r="BU167" s="1" t="str">
        <f t="shared" si="749"/>
        <v>ND</v>
      </c>
      <c r="BV167" s="1" t="str">
        <f t="shared" si="750"/>
        <v>ND</v>
      </c>
      <c r="BW167" s="1" t="str">
        <f t="shared" si="751"/>
        <v>ND</v>
      </c>
      <c r="BX167" s="1" t="str">
        <f t="shared" si="752"/>
        <v>ND</v>
      </c>
      <c r="BY167" s="1" t="str">
        <f t="shared" si="753"/>
        <v>ND</v>
      </c>
      <c r="BZ167" s="1" t="str">
        <f t="shared" si="754"/>
        <v>ND</v>
      </c>
      <c r="CA167" s="1" t="str">
        <f t="shared" si="879"/>
        <v>ND</v>
      </c>
      <c r="CB167" s="1" t="str">
        <f t="shared" si="879"/>
        <v>ND</v>
      </c>
      <c r="CC167" s="1" t="str">
        <f t="shared" si="879"/>
        <v>ND</v>
      </c>
      <c r="CD167" s="1" t="str">
        <f t="shared" si="879"/>
        <v>ND</v>
      </c>
      <c r="CE167" s="1" t="str">
        <f t="shared" si="879"/>
        <v>ND</v>
      </c>
      <c r="CF167" s="1" t="str">
        <f t="shared" si="879"/>
        <v>ND</v>
      </c>
      <c r="CG167" s="1" t="str">
        <f t="shared" si="879"/>
        <v>ND</v>
      </c>
      <c r="CH167" s="1" t="str">
        <f t="shared" si="879"/>
        <v>ND</v>
      </c>
      <c r="CI167" s="1" t="str">
        <f t="shared" si="879"/>
        <v>ND</v>
      </c>
      <c r="CJ167" s="1" t="str">
        <f t="shared" si="879"/>
        <v>ND</v>
      </c>
      <c r="CK167" s="1" t="str">
        <f t="shared" si="879"/>
        <v>ND</v>
      </c>
      <c r="CL167" s="1" t="str">
        <f t="shared" si="880"/>
        <v>ND</v>
      </c>
      <c r="CM167" s="1" t="str">
        <f t="shared" si="880"/>
        <v>ND</v>
      </c>
      <c r="CN167" s="1" t="str">
        <f t="shared" si="880"/>
        <v>ND</v>
      </c>
      <c r="CO167" s="1" t="str">
        <f t="shared" si="880"/>
        <v>ND</v>
      </c>
      <c r="CP167" s="1" t="str">
        <f t="shared" si="880"/>
        <v>ND</v>
      </c>
      <c r="CQ167" s="1" t="str">
        <f t="shared" si="880"/>
        <v>ND</v>
      </c>
      <c r="CR167" s="1" t="str">
        <f t="shared" si="880"/>
        <v>ND</v>
      </c>
      <c r="CS167" s="1" t="str">
        <f t="shared" si="880"/>
        <v>ND</v>
      </c>
      <c r="CT167" s="1" t="str">
        <f t="shared" si="880"/>
        <v>ND</v>
      </c>
      <c r="CU167" s="1" t="str">
        <f t="shared" si="880"/>
        <v>ND</v>
      </c>
      <c r="CV167" s="1" t="str">
        <f t="shared" si="880"/>
        <v>ND</v>
      </c>
      <c r="CW167" s="1" t="str">
        <f t="shared" si="755"/>
        <v>ND</v>
      </c>
      <c r="CX167" s="1" t="str">
        <f t="shared" si="756"/>
        <v>ND</v>
      </c>
      <c r="CY167" s="1" t="str">
        <f t="shared" si="757"/>
        <v>ND</v>
      </c>
      <c r="CZ167" s="1" t="str">
        <f t="shared" si="758"/>
        <v>ND</v>
      </c>
      <c r="DA167" s="1" t="str">
        <f t="shared" si="759"/>
        <v>ND</v>
      </c>
      <c r="DB167" s="1" t="str">
        <f t="shared" si="760"/>
        <v>ND</v>
      </c>
      <c r="DC167" s="1" t="str">
        <f t="shared" si="761"/>
        <v>ND</v>
      </c>
      <c r="DD167" s="1" t="str">
        <f t="shared" si="762"/>
        <v>ND</v>
      </c>
      <c r="DE167" s="1" t="str">
        <f t="shared" si="763"/>
        <v>ND</v>
      </c>
      <c r="DF167" s="1" t="str">
        <f t="shared" si="764"/>
        <v>ND</v>
      </c>
      <c r="DG167" s="1" t="str">
        <f t="shared" si="765"/>
        <v>ND</v>
      </c>
      <c r="DH167" s="1" t="str">
        <f t="shared" si="766"/>
        <v>ND</v>
      </c>
      <c r="DI167" s="1" t="str">
        <f t="shared" si="767"/>
        <v>ND</v>
      </c>
      <c r="DJ167" s="1" t="str">
        <f t="shared" si="768"/>
        <v>ND</v>
      </c>
      <c r="DK167" s="1" t="str">
        <f t="shared" si="769"/>
        <v>ND</v>
      </c>
      <c r="DL167" s="1" t="str">
        <f t="shared" si="770"/>
        <v>ND</v>
      </c>
      <c r="DM167" s="1" t="str">
        <f t="shared" si="771"/>
        <v>ND</v>
      </c>
      <c r="DN167" s="1" t="str">
        <f t="shared" si="772"/>
        <v>ND</v>
      </c>
      <c r="DO167" s="1" t="str">
        <f t="shared" si="773"/>
        <v>ND</v>
      </c>
      <c r="DP167" s="1" t="str">
        <f t="shared" si="774"/>
        <v>ND</v>
      </c>
      <c r="DQ167" s="1" t="str">
        <f t="shared" si="775"/>
        <v>ND</v>
      </c>
      <c r="DR167" s="1" t="str">
        <f t="shared" si="776"/>
        <v>ND</v>
      </c>
      <c r="DS167" s="1" t="str">
        <f t="shared" si="777"/>
        <v>ND</v>
      </c>
      <c r="DT167" s="1" t="str">
        <f t="shared" si="778"/>
        <v>ND</v>
      </c>
      <c r="DU167" s="1" t="str">
        <f t="shared" si="779"/>
        <v>ND</v>
      </c>
      <c r="DV167" s="1" t="str">
        <f t="shared" si="780"/>
        <v>ND</v>
      </c>
      <c r="DW167" s="1" t="str">
        <f t="shared" si="781"/>
        <v>ND</v>
      </c>
      <c r="DX167" s="1" t="str">
        <f t="shared" si="782"/>
        <v>ND</v>
      </c>
      <c r="DY167" s="1" t="str">
        <f t="shared" si="783"/>
        <v>ND</v>
      </c>
      <c r="DZ167" s="1" t="str">
        <f t="shared" si="784"/>
        <v>ND</v>
      </c>
      <c r="EA167" s="1" t="str">
        <f t="shared" si="785"/>
        <v>ND</v>
      </c>
      <c r="EB167" s="1" t="str">
        <f t="shared" si="786"/>
        <v>ND</v>
      </c>
      <c r="EC167" s="1" t="str">
        <f t="shared" si="787"/>
        <v>ND</v>
      </c>
      <c r="ED167" s="1" t="str">
        <f t="shared" si="788"/>
        <v>ND</v>
      </c>
      <c r="EE167" s="1" t="str">
        <f t="shared" si="789"/>
        <v>ND</v>
      </c>
      <c r="EF167" s="1" t="str">
        <f t="shared" si="790"/>
        <v>ND</v>
      </c>
      <c r="EG167" s="1" t="str">
        <f t="shared" si="791"/>
        <v>ND</v>
      </c>
      <c r="EH167" s="1" t="str">
        <f t="shared" si="792"/>
        <v>ND</v>
      </c>
      <c r="EI167" s="1" t="str">
        <f t="shared" si="793"/>
        <v>ND</v>
      </c>
      <c r="EJ167" s="1" t="str">
        <f t="shared" si="794"/>
        <v>ND</v>
      </c>
      <c r="EK167" s="1" t="str">
        <f t="shared" si="795"/>
        <v>ND</v>
      </c>
      <c r="EL167" s="1" t="str">
        <f t="shared" si="796"/>
        <v>ND</v>
      </c>
      <c r="EM167" s="1" t="str">
        <f t="shared" si="797"/>
        <v>ND</v>
      </c>
      <c r="EN167" s="1" t="str">
        <f t="shared" si="798"/>
        <v>ND</v>
      </c>
      <c r="EO167" s="1" t="str">
        <f t="shared" si="881"/>
        <v>ND</v>
      </c>
      <c r="EP167" s="1" t="str">
        <f t="shared" si="881"/>
        <v>ND</v>
      </c>
      <c r="EQ167" s="1" t="str">
        <f t="shared" si="881"/>
        <v>ND</v>
      </c>
      <c r="ER167" s="1" t="str">
        <f t="shared" si="881"/>
        <v>ND</v>
      </c>
      <c r="ES167" s="1" t="str">
        <f t="shared" si="881"/>
        <v>ND</v>
      </c>
      <c r="ET167" s="1" t="str">
        <f t="shared" si="881"/>
        <v>ND</v>
      </c>
      <c r="EU167" s="1" t="str">
        <f t="shared" si="881"/>
        <v>ND</v>
      </c>
      <c r="EV167" s="1" t="str">
        <f t="shared" si="881"/>
        <v>ND</v>
      </c>
      <c r="EW167" s="1" t="str">
        <f t="shared" si="881"/>
        <v>ND</v>
      </c>
      <c r="EX167" s="1" t="str">
        <f t="shared" si="881"/>
        <v>ND</v>
      </c>
      <c r="EY167" s="1" t="str">
        <f t="shared" si="881"/>
        <v>ND</v>
      </c>
      <c r="EZ167" s="1" t="str">
        <f t="shared" si="882"/>
        <v>ND</v>
      </c>
      <c r="FA167" s="1" t="str">
        <f t="shared" si="882"/>
        <v>ND</v>
      </c>
      <c r="FB167" s="1" t="str">
        <f t="shared" si="882"/>
        <v>ND</v>
      </c>
      <c r="FC167" s="1" t="str">
        <f t="shared" si="882"/>
        <v>ND</v>
      </c>
      <c r="FD167" s="1" t="str">
        <f t="shared" si="882"/>
        <v>ND</v>
      </c>
      <c r="FE167" s="1" t="str">
        <f t="shared" si="882"/>
        <v>ND</v>
      </c>
      <c r="FF167" s="1" t="str">
        <f t="shared" si="882"/>
        <v>ND</v>
      </c>
      <c r="FG167" s="1" t="str">
        <f t="shared" si="882"/>
        <v>ND</v>
      </c>
      <c r="FH167" s="1" t="str">
        <f t="shared" si="882"/>
        <v>ND</v>
      </c>
      <c r="FI167" s="1" t="str">
        <f t="shared" si="882"/>
        <v>ND</v>
      </c>
      <c r="FJ167" s="1" t="str">
        <f t="shared" si="882"/>
        <v>ND</v>
      </c>
      <c r="FK167" s="1" t="str">
        <f t="shared" si="883"/>
        <v>ND</v>
      </c>
      <c r="FL167" s="1" t="str">
        <f t="shared" si="883"/>
        <v>ND</v>
      </c>
      <c r="FM167" s="1" t="str">
        <f t="shared" si="883"/>
        <v>ND</v>
      </c>
      <c r="FN167" s="1" t="str">
        <f t="shared" si="883"/>
        <v>ND</v>
      </c>
      <c r="FO167" s="1" t="str">
        <f t="shared" si="883"/>
        <v>ND</v>
      </c>
      <c r="FP167" s="1" t="str">
        <f t="shared" si="883"/>
        <v>ND</v>
      </c>
      <c r="FQ167" s="1" t="str">
        <f t="shared" si="883"/>
        <v>ND</v>
      </c>
      <c r="FR167" s="1" t="str">
        <f t="shared" si="883"/>
        <v>ND</v>
      </c>
      <c r="FS167" s="1" t="str">
        <f t="shared" si="883"/>
        <v>ND</v>
      </c>
      <c r="FT167" s="1" t="str">
        <f t="shared" si="883"/>
        <v>ND</v>
      </c>
      <c r="FU167" s="1" t="str">
        <f t="shared" si="883"/>
        <v>ND</v>
      </c>
      <c r="FV167" s="1" t="str">
        <f t="shared" si="799"/>
        <v>ND</v>
      </c>
      <c r="FW167" s="1" t="str">
        <f t="shared" si="800"/>
        <v>ND</v>
      </c>
      <c r="FX167" s="1" t="str">
        <f t="shared" si="801"/>
        <v>ND</v>
      </c>
      <c r="FY167" s="1" t="str">
        <f t="shared" si="802"/>
        <v>ND</v>
      </c>
      <c r="FZ167" s="1" t="str">
        <f t="shared" si="803"/>
        <v>ND</v>
      </c>
      <c r="GA167" s="1" t="str">
        <f t="shared" si="804"/>
        <v>ND</v>
      </c>
      <c r="GB167" s="1" t="str">
        <f t="shared" si="805"/>
        <v>ND</v>
      </c>
      <c r="GC167" s="1" t="str">
        <f t="shared" si="806"/>
        <v>ND</v>
      </c>
      <c r="GD167" s="1" t="str">
        <f t="shared" si="807"/>
        <v>ND</v>
      </c>
      <c r="GE167" s="1" t="str">
        <f t="shared" si="808"/>
        <v>ND</v>
      </c>
      <c r="GF167" s="1" t="str">
        <f t="shared" si="809"/>
        <v>ND</v>
      </c>
      <c r="GG167" s="1" t="str">
        <f t="shared" si="810"/>
        <v>ND</v>
      </c>
      <c r="GH167" s="1" t="str">
        <f t="shared" si="811"/>
        <v>ND</v>
      </c>
      <c r="GI167" s="1" t="str">
        <f t="shared" si="812"/>
        <v>ND</v>
      </c>
      <c r="GJ167" s="1" t="str">
        <f t="shared" si="813"/>
        <v>ND</v>
      </c>
      <c r="GK167" s="1" t="str">
        <f t="shared" si="814"/>
        <v>ND</v>
      </c>
      <c r="GL167" s="1" t="str">
        <f t="shared" si="815"/>
        <v>ND</v>
      </c>
      <c r="GM167" s="1" t="str">
        <f t="shared" si="816"/>
        <v>ND</v>
      </c>
      <c r="GN167" s="1" t="str">
        <f t="shared" si="817"/>
        <v>ND</v>
      </c>
      <c r="GO167" s="1" t="str">
        <f t="shared" si="818"/>
        <v>ND</v>
      </c>
      <c r="GP167" s="1" t="str">
        <f t="shared" si="819"/>
        <v>ND</v>
      </c>
      <c r="GQ167" s="1" t="str">
        <f t="shared" si="820"/>
        <v>ND</v>
      </c>
      <c r="GR167" s="1" t="str">
        <f t="shared" si="821"/>
        <v>ND</v>
      </c>
      <c r="GS167" s="1" t="str">
        <f t="shared" si="822"/>
        <v>ND</v>
      </c>
      <c r="GT167" s="1" t="str">
        <f t="shared" si="823"/>
        <v>ND</v>
      </c>
      <c r="GU167" s="1" t="str">
        <f t="shared" si="824"/>
        <v>ND</v>
      </c>
      <c r="GV167" s="1" t="str">
        <f t="shared" si="825"/>
        <v>ND</v>
      </c>
      <c r="GW167" s="1" t="str">
        <f t="shared" si="826"/>
        <v>ND</v>
      </c>
      <c r="GX167" s="1" t="str">
        <f t="shared" si="827"/>
        <v>ND</v>
      </c>
      <c r="GY167" s="1" t="str">
        <f t="shared" si="828"/>
        <v>ND</v>
      </c>
      <c r="GZ167" s="1" t="str">
        <f t="shared" si="829"/>
        <v>ND</v>
      </c>
      <c r="HA167" s="1" t="str">
        <f t="shared" si="830"/>
        <v>ND</v>
      </c>
      <c r="HB167" s="1" t="str">
        <f t="shared" si="831"/>
        <v>ND</v>
      </c>
      <c r="HC167" s="1" t="str">
        <f t="shared" si="832"/>
        <v>ND</v>
      </c>
      <c r="HD167" s="1" t="str">
        <f t="shared" si="833"/>
        <v>ND</v>
      </c>
      <c r="HE167" s="1" t="str">
        <f t="shared" si="834"/>
        <v>ND</v>
      </c>
      <c r="HF167" s="1" t="str">
        <f t="shared" si="835"/>
        <v>ND</v>
      </c>
      <c r="HG167" s="1" t="str">
        <f t="shared" si="836"/>
        <v>ND</v>
      </c>
      <c r="HH167" s="1" t="str">
        <f t="shared" si="837"/>
        <v>ND</v>
      </c>
      <c r="HI167" s="1" t="str">
        <f t="shared" si="838"/>
        <v>ND</v>
      </c>
      <c r="HJ167" s="1" t="str">
        <f t="shared" si="839"/>
        <v>ND</v>
      </c>
      <c r="HK167" s="1" t="str">
        <f t="shared" si="840"/>
        <v>ND</v>
      </c>
      <c r="HL167" s="1" t="str">
        <f t="shared" si="841"/>
        <v>ND</v>
      </c>
      <c r="HM167" s="1" t="str">
        <f t="shared" si="842"/>
        <v>ND</v>
      </c>
      <c r="HN167" s="1" t="str">
        <f t="shared" si="843"/>
        <v>ND</v>
      </c>
      <c r="HO167" s="1" t="str">
        <f t="shared" si="844"/>
        <v>ND</v>
      </c>
      <c r="HP167" s="1" t="str">
        <f t="shared" si="845"/>
        <v>ND</v>
      </c>
      <c r="HQ167" s="1" t="str">
        <f t="shared" si="846"/>
        <v>ND</v>
      </c>
      <c r="HR167" s="1" t="str">
        <f t="shared" si="847"/>
        <v>ND</v>
      </c>
      <c r="HS167" s="1" t="str">
        <f t="shared" si="848"/>
        <v>ND</v>
      </c>
      <c r="HT167" s="1" t="str">
        <f t="shared" si="849"/>
        <v>ND</v>
      </c>
      <c r="HU167" s="1" t="str">
        <f t="shared" si="850"/>
        <v>ND</v>
      </c>
      <c r="HV167" s="1" t="str">
        <f t="shared" si="851"/>
        <v>ND</v>
      </c>
      <c r="HW167" s="1" t="str">
        <f t="shared" si="852"/>
        <v>ND</v>
      </c>
      <c r="HX167" s="1" t="str">
        <f t="shared" si="853"/>
        <v>ND</v>
      </c>
      <c r="HY167" s="1" t="str">
        <f t="shared" si="854"/>
        <v>ND</v>
      </c>
      <c r="HZ167" s="1" t="str">
        <f t="shared" si="855"/>
        <v>ND</v>
      </c>
      <c r="IA167" s="1" t="str">
        <f t="shared" si="856"/>
        <v>ND</v>
      </c>
      <c r="IB167" s="1" t="str">
        <f t="shared" si="857"/>
        <v>ND</v>
      </c>
      <c r="IC167" s="1" t="str">
        <f t="shared" si="858"/>
        <v>ND</v>
      </c>
      <c r="ID167" s="1" t="str">
        <f t="shared" si="859"/>
        <v>ND</v>
      </c>
      <c r="IE167" s="1" t="str">
        <f t="shared" si="860"/>
        <v>ND</v>
      </c>
      <c r="IF167" s="1" t="str">
        <f t="shared" si="861"/>
        <v>ND</v>
      </c>
      <c r="IG167" s="1" t="str">
        <f t="shared" si="862"/>
        <v>ND</v>
      </c>
      <c r="IH167" s="1" t="str">
        <f t="shared" si="863"/>
        <v>ND</v>
      </c>
      <c r="II167" s="1" t="str">
        <f t="shared" si="864"/>
        <v>ND</v>
      </c>
    </row>
    <row r="168" spans="3:243" x14ac:dyDescent="0.25">
      <c r="C168" t="s">
        <v>112</v>
      </c>
      <c r="D168">
        <f>SUMIFS(DICCIONARIO[Cantidad],DICCIONARIO[Modelo],UNIFICADA[[#This Row],[Equipo]])</f>
        <v>4</v>
      </c>
      <c r="E168" s="1">
        <f>IFERROR(VLOOKUP($C168,EQUIPOS[],UNIFICADO!E$9,0),"")</f>
        <v>16</v>
      </c>
      <c r="F168" s="1">
        <f>IFERROR(VLOOKUP($C168,EQUIPOS[],UNIFICADO!F$9,0),"")</f>
        <v>6.1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128GB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206</v>
      </c>
      <c r="P168" s="1">
        <f>IFERROR(VLOOKUP($C168,EQUIPOS[],UNIFICADO!P$9,0),"")</f>
        <v>14.75</v>
      </c>
      <c r="Q168" s="1">
        <f>IFERROR(VLOOKUP($C168,EQUIPOS[],UNIFICADO!Q$9,0),"")</f>
        <v>7.15</v>
      </c>
      <c r="R168" s="1">
        <f>IFERROR(VLOOKUP($C168,EQUIPOS[],UNIFICADO!R$9,0),"")</f>
        <v>0.78500000000000003</v>
      </c>
      <c r="S168" s="1">
        <f>IFERROR(VLOOKUP($C168,EQUIPOS[],UNIFICADO!S$9,0),"")</f>
        <v>3200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709"/>
        <v>ND</v>
      </c>
      <c r="W168" s="1" t="str">
        <f t="shared" si="710"/>
        <v>ND</v>
      </c>
      <c r="X168" s="1" t="str">
        <f t="shared" si="871"/>
        <v>ND</v>
      </c>
      <c r="Y168" s="1" t="str">
        <f t="shared" si="871"/>
        <v>ND</v>
      </c>
      <c r="Z168" s="1" t="str">
        <f t="shared" si="878"/>
        <v>ND</v>
      </c>
      <c r="AA168" s="1" t="str">
        <f t="shared" si="878"/>
        <v>ND</v>
      </c>
      <c r="AB168" s="1" t="str">
        <f t="shared" si="878"/>
        <v>ND</v>
      </c>
      <c r="AC168" s="1" t="str">
        <f t="shared" si="878"/>
        <v>ND</v>
      </c>
      <c r="AD168" s="1" t="str">
        <f t="shared" si="878"/>
        <v>ND</v>
      </c>
      <c r="AE168" s="1" t="str">
        <f t="shared" si="878"/>
        <v>ND</v>
      </c>
      <c r="AF168" s="1" t="str">
        <f t="shared" si="878"/>
        <v>ND</v>
      </c>
      <c r="AG168" s="1" t="str">
        <f t="shared" si="878"/>
        <v>ND</v>
      </c>
      <c r="AH168" s="1" t="str">
        <f t="shared" si="878"/>
        <v>ND</v>
      </c>
      <c r="AI168" s="1" t="str">
        <f t="shared" si="711"/>
        <v>ND</v>
      </c>
      <c r="AJ168" s="1" t="str">
        <f t="shared" si="712"/>
        <v>ND</v>
      </c>
      <c r="AK168" s="1" t="str">
        <f t="shared" si="713"/>
        <v>ND</v>
      </c>
      <c r="AL168" s="1" t="str">
        <f t="shared" si="714"/>
        <v>ND</v>
      </c>
      <c r="AM168" s="1" t="str">
        <f t="shared" si="715"/>
        <v>ND</v>
      </c>
      <c r="AN168" s="1" t="str">
        <f t="shared" si="716"/>
        <v>ND</v>
      </c>
      <c r="AO168" s="1" t="str">
        <f t="shared" si="717"/>
        <v>ND</v>
      </c>
      <c r="AP168" s="1" t="str">
        <f t="shared" si="718"/>
        <v>ND</v>
      </c>
      <c r="AQ168" s="1" t="str">
        <f t="shared" si="719"/>
        <v>ND</v>
      </c>
      <c r="AR168" s="1" t="str">
        <f t="shared" si="720"/>
        <v>ND</v>
      </c>
      <c r="AS168" s="1" t="str">
        <f t="shared" si="721"/>
        <v>ND</v>
      </c>
      <c r="AT168" s="1" t="str">
        <f t="shared" si="722"/>
        <v>ND</v>
      </c>
      <c r="AU168" s="1" t="str">
        <f t="shared" si="723"/>
        <v>ND</v>
      </c>
      <c r="AV168" s="1" t="str">
        <f t="shared" si="724"/>
        <v>ND</v>
      </c>
      <c r="AW168" s="1" t="str">
        <f t="shared" si="725"/>
        <v>ND</v>
      </c>
      <c r="AX168" s="1" t="str">
        <f t="shared" si="726"/>
        <v>ND</v>
      </c>
      <c r="AY168" s="1" t="str">
        <f t="shared" si="727"/>
        <v>ND</v>
      </c>
      <c r="AZ168" s="1" t="str">
        <f t="shared" si="728"/>
        <v>ND</v>
      </c>
      <c r="BA168" s="1" t="str">
        <f t="shared" si="729"/>
        <v>ND</v>
      </c>
      <c r="BB168" s="1" t="str">
        <f t="shared" si="730"/>
        <v>ND</v>
      </c>
      <c r="BC168" s="1" t="str">
        <f t="shared" si="731"/>
        <v>ND</v>
      </c>
      <c r="BD168" s="1" t="str">
        <f t="shared" si="732"/>
        <v>ND</v>
      </c>
      <c r="BE168" s="1" t="str">
        <f t="shared" si="733"/>
        <v>ND</v>
      </c>
      <c r="BF168" s="1" t="str">
        <f t="shared" si="734"/>
        <v>ND</v>
      </c>
      <c r="BG168" s="1" t="str">
        <f t="shared" si="735"/>
        <v>ND</v>
      </c>
      <c r="BH168" s="1" t="str">
        <f t="shared" si="736"/>
        <v>ND</v>
      </c>
      <c r="BI168" s="1" t="str">
        <f t="shared" si="737"/>
        <v>ND</v>
      </c>
      <c r="BJ168" s="1" t="str">
        <f t="shared" si="738"/>
        <v>ND</v>
      </c>
      <c r="BK168" s="1" t="str">
        <f t="shared" si="739"/>
        <v>ND</v>
      </c>
      <c r="BL168" s="1" t="str">
        <f t="shared" si="740"/>
        <v>ND</v>
      </c>
      <c r="BM168" s="1" t="str">
        <f t="shared" si="741"/>
        <v>ND</v>
      </c>
      <c r="BN168" s="1" t="str">
        <f t="shared" si="742"/>
        <v>ND</v>
      </c>
      <c r="BO168" s="1" t="str">
        <f t="shared" si="743"/>
        <v>ND</v>
      </c>
      <c r="BP168" s="1" t="str">
        <f t="shared" si="744"/>
        <v>ND</v>
      </c>
      <c r="BQ168" s="1" t="str">
        <f t="shared" si="745"/>
        <v>ND</v>
      </c>
      <c r="BR168" s="1" t="str">
        <f t="shared" si="746"/>
        <v>ND</v>
      </c>
      <c r="BS168" s="1" t="str">
        <f t="shared" si="747"/>
        <v>ND</v>
      </c>
      <c r="BT168" s="1" t="str">
        <f t="shared" si="748"/>
        <v>ND</v>
      </c>
      <c r="BU168" s="1" t="str">
        <f t="shared" si="749"/>
        <v>ND</v>
      </c>
      <c r="BV168" s="1" t="str">
        <f t="shared" si="750"/>
        <v>ND</v>
      </c>
      <c r="BW168" s="1" t="str">
        <f t="shared" si="751"/>
        <v>ND</v>
      </c>
      <c r="BX168" s="1" t="str">
        <f t="shared" si="752"/>
        <v>ND</v>
      </c>
      <c r="BY168" s="1" t="str">
        <f t="shared" si="753"/>
        <v>ND</v>
      </c>
      <c r="BZ168" s="1" t="str">
        <f t="shared" si="754"/>
        <v>ND</v>
      </c>
      <c r="CA168" s="1" t="str">
        <f t="shared" si="879"/>
        <v>ND</v>
      </c>
      <c r="CB168" s="1" t="str">
        <f t="shared" si="879"/>
        <v>ND</v>
      </c>
      <c r="CC168" s="1" t="str">
        <f t="shared" si="879"/>
        <v>ND</v>
      </c>
      <c r="CD168" s="1" t="str">
        <f t="shared" si="879"/>
        <v>ND</v>
      </c>
      <c r="CE168" s="1" t="str">
        <f t="shared" si="879"/>
        <v>ND</v>
      </c>
      <c r="CF168" s="1" t="str">
        <f t="shared" si="879"/>
        <v>ND</v>
      </c>
      <c r="CG168" s="1" t="str">
        <f t="shared" si="879"/>
        <v>ND</v>
      </c>
      <c r="CH168" s="1" t="str">
        <f t="shared" si="879"/>
        <v>ND</v>
      </c>
      <c r="CI168" s="1" t="str">
        <f t="shared" si="879"/>
        <v>ND</v>
      </c>
      <c r="CJ168" s="1" t="str">
        <f t="shared" si="879"/>
        <v>ND</v>
      </c>
      <c r="CK168" s="1" t="str">
        <f t="shared" si="879"/>
        <v>ND</v>
      </c>
      <c r="CL168" s="1" t="str">
        <f t="shared" si="880"/>
        <v>ND</v>
      </c>
      <c r="CM168" s="1" t="str">
        <f t="shared" si="880"/>
        <v>ND</v>
      </c>
      <c r="CN168" s="1" t="str">
        <f t="shared" si="880"/>
        <v>ND</v>
      </c>
      <c r="CO168" s="1" t="str">
        <f t="shared" si="880"/>
        <v>ND</v>
      </c>
      <c r="CP168" s="1" t="str">
        <f t="shared" si="880"/>
        <v>ND</v>
      </c>
      <c r="CQ168" s="1" t="str">
        <f t="shared" si="880"/>
        <v>ND</v>
      </c>
      <c r="CR168" s="1" t="str">
        <f t="shared" si="880"/>
        <v>ND</v>
      </c>
      <c r="CS168" s="1" t="str">
        <f t="shared" si="880"/>
        <v>ND</v>
      </c>
      <c r="CT168" s="1" t="str">
        <f t="shared" si="880"/>
        <v>ND</v>
      </c>
      <c r="CU168" s="1" t="str">
        <f t="shared" si="880"/>
        <v>ND</v>
      </c>
      <c r="CV168" s="1" t="str">
        <f t="shared" si="880"/>
        <v>ND</v>
      </c>
      <c r="CW168" s="1" t="str">
        <f t="shared" si="755"/>
        <v>ND</v>
      </c>
      <c r="CX168" s="1" t="str">
        <f t="shared" si="756"/>
        <v>ND</v>
      </c>
      <c r="CY168" s="1" t="str">
        <f t="shared" si="757"/>
        <v>ND</v>
      </c>
      <c r="CZ168" s="1" t="str">
        <f t="shared" si="758"/>
        <v>ND</v>
      </c>
      <c r="DA168" s="1" t="str">
        <f t="shared" si="759"/>
        <v>ND</v>
      </c>
      <c r="DB168" s="1" t="str">
        <f t="shared" si="760"/>
        <v>ND</v>
      </c>
      <c r="DC168" s="1" t="str">
        <f t="shared" si="761"/>
        <v>ND</v>
      </c>
      <c r="DD168" s="1" t="str">
        <f t="shared" si="762"/>
        <v>ND</v>
      </c>
      <c r="DE168" s="1" t="str">
        <f t="shared" si="763"/>
        <v>ND</v>
      </c>
      <c r="DF168" s="1" t="str">
        <f t="shared" si="764"/>
        <v>ND</v>
      </c>
      <c r="DG168" s="1" t="str">
        <f t="shared" si="765"/>
        <v>ND</v>
      </c>
      <c r="DH168" s="1" t="str">
        <f t="shared" si="766"/>
        <v>ND</v>
      </c>
      <c r="DI168" s="1" t="str">
        <f t="shared" si="767"/>
        <v>ND</v>
      </c>
      <c r="DJ168" s="1" t="str">
        <f t="shared" si="768"/>
        <v>ND</v>
      </c>
      <c r="DK168" s="1" t="str">
        <f t="shared" si="769"/>
        <v>ND</v>
      </c>
      <c r="DL168" s="1" t="str">
        <f t="shared" si="770"/>
        <v>ND</v>
      </c>
      <c r="DM168" s="1" t="str">
        <f t="shared" si="771"/>
        <v>ND</v>
      </c>
      <c r="DN168" s="1" t="str">
        <f t="shared" si="772"/>
        <v>ND</v>
      </c>
      <c r="DO168" s="1" t="str">
        <f t="shared" si="773"/>
        <v>ND</v>
      </c>
      <c r="DP168" s="1" t="str">
        <f t="shared" si="774"/>
        <v>ND</v>
      </c>
      <c r="DQ168" s="1" t="str">
        <f t="shared" si="775"/>
        <v>ND</v>
      </c>
      <c r="DR168" s="1" t="str">
        <f t="shared" si="776"/>
        <v>ND</v>
      </c>
      <c r="DS168" s="1" t="str">
        <f t="shared" si="777"/>
        <v>ND</v>
      </c>
      <c r="DT168" s="1" t="str">
        <f t="shared" si="778"/>
        <v>ND</v>
      </c>
      <c r="DU168" s="1" t="str">
        <f t="shared" si="779"/>
        <v>ND</v>
      </c>
      <c r="DV168" s="1" t="str">
        <f t="shared" si="780"/>
        <v>ND</v>
      </c>
      <c r="DW168" s="1" t="str">
        <f t="shared" si="781"/>
        <v>ND</v>
      </c>
      <c r="DX168" s="1" t="str">
        <f t="shared" si="782"/>
        <v>ND</v>
      </c>
      <c r="DY168" s="1" t="str">
        <f t="shared" si="783"/>
        <v>ND</v>
      </c>
      <c r="DZ168" s="1" t="str">
        <f t="shared" si="784"/>
        <v>ND</v>
      </c>
      <c r="EA168" s="1" t="str">
        <f t="shared" si="785"/>
        <v>ND</v>
      </c>
      <c r="EB168" s="1" t="str">
        <f t="shared" si="786"/>
        <v>ND</v>
      </c>
      <c r="EC168" s="1" t="str">
        <f t="shared" si="787"/>
        <v>ND</v>
      </c>
      <c r="ED168" s="1" t="str">
        <f t="shared" si="788"/>
        <v>ND</v>
      </c>
      <c r="EE168" s="1" t="str">
        <f t="shared" si="789"/>
        <v>ND</v>
      </c>
      <c r="EF168" s="1" t="str">
        <f t="shared" si="790"/>
        <v>ND</v>
      </c>
      <c r="EG168" s="1" t="str">
        <f t="shared" si="791"/>
        <v>ND</v>
      </c>
      <c r="EH168" s="1" t="str">
        <f t="shared" si="792"/>
        <v>ND</v>
      </c>
      <c r="EI168" s="1" t="str">
        <f t="shared" si="793"/>
        <v>ND</v>
      </c>
      <c r="EJ168" s="1" t="str">
        <f t="shared" si="794"/>
        <v>ND</v>
      </c>
      <c r="EK168" s="1" t="str">
        <f t="shared" si="795"/>
        <v>ND</v>
      </c>
      <c r="EL168" s="1" t="str">
        <f t="shared" si="796"/>
        <v>ND</v>
      </c>
      <c r="EM168" s="1" t="str">
        <f t="shared" si="797"/>
        <v>ND</v>
      </c>
      <c r="EN168" s="1" t="str">
        <f t="shared" si="798"/>
        <v>ND</v>
      </c>
      <c r="EO168" s="1" t="str">
        <f t="shared" si="881"/>
        <v>ND</v>
      </c>
      <c r="EP168" s="1" t="str">
        <f t="shared" si="881"/>
        <v>ND</v>
      </c>
      <c r="EQ168" s="1" t="str">
        <f t="shared" si="881"/>
        <v>ND</v>
      </c>
      <c r="ER168" s="1" t="str">
        <f t="shared" si="881"/>
        <v>ND</v>
      </c>
      <c r="ES168" s="1" t="str">
        <f t="shared" si="881"/>
        <v>ND</v>
      </c>
      <c r="ET168" s="1" t="str">
        <f t="shared" si="881"/>
        <v>ND</v>
      </c>
      <c r="EU168" s="1" t="str">
        <f t="shared" si="881"/>
        <v>ND</v>
      </c>
      <c r="EV168" s="1" t="str">
        <f t="shared" si="881"/>
        <v>ND</v>
      </c>
      <c r="EW168" s="1" t="str">
        <f t="shared" si="881"/>
        <v>ND</v>
      </c>
      <c r="EX168" s="1" t="str">
        <f t="shared" si="881"/>
        <v>ND</v>
      </c>
      <c r="EY168" s="1" t="str">
        <f t="shared" si="881"/>
        <v>ND</v>
      </c>
      <c r="EZ168" s="1" t="str">
        <f t="shared" si="882"/>
        <v>ND</v>
      </c>
      <c r="FA168" s="1" t="str">
        <f t="shared" si="882"/>
        <v>ND</v>
      </c>
      <c r="FB168" s="1" t="str">
        <f t="shared" si="882"/>
        <v>ND</v>
      </c>
      <c r="FC168" s="1" t="str">
        <f t="shared" si="882"/>
        <v>ND</v>
      </c>
      <c r="FD168" s="1" t="str">
        <f t="shared" si="882"/>
        <v>ND</v>
      </c>
      <c r="FE168" s="1" t="str">
        <f t="shared" si="882"/>
        <v>ND</v>
      </c>
      <c r="FF168" s="1" t="str">
        <f t="shared" si="882"/>
        <v>ND</v>
      </c>
      <c r="FG168" s="1" t="str">
        <f t="shared" si="882"/>
        <v>ND</v>
      </c>
      <c r="FH168" s="1" t="str">
        <f t="shared" si="882"/>
        <v>ND</v>
      </c>
      <c r="FI168" s="1" t="str">
        <f t="shared" si="882"/>
        <v>ND</v>
      </c>
      <c r="FJ168" s="1" t="str">
        <f t="shared" si="882"/>
        <v>ND</v>
      </c>
      <c r="FK168" s="1" t="str">
        <f t="shared" si="883"/>
        <v>ND</v>
      </c>
      <c r="FL168" s="1" t="str">
        <f t="shared" si="883"/>
        <v>ND</v>
      </c>
      <c r="FM168" s="1" t="str">
        <f t="shared" si="883"/>
        <v>ND</v>
      </c>
      <c r="FN168" s="1" t="str">
        <f t="shared" si="883"/>
        <v>ND</v>
      </c>
      <c r="FO168" s="1" t="str">
        <f t="shared" si="883"/>
        <v>ND</v>
      </c>
      <c r="FP168" s="1" t="str">
        <f t="shared" si="883"/>
        <v>ND</v>
      </c>
      <c r="FQ168" s="1" t="str">
        <f t="shared" si="883"/>
        <v>ND</v>
      </c>
      <c r="FR168" s="1" t="str">
        <f t="shared" si="883"/>
        <v>ND</v>
      </c>
      <c r="FS168" s="1" t="str">
        <f t="shared" si="883"/>
        <v>ND</v>
      </c>
      <c r="FT168" s="1" t="str">
        <f t="shared" si="883"/>
        <v>ND</v>
      </c>
      <c r="FU168" s="1" t="str">
        <f t="shared" si="883"/>
        <v>ND</v>
      </c>
      <c r="FV168" s="1" t="str">
        <f t="shared" si="799"/>
        <v>ND</v>
      </c>
      <c r="FW168" s="1" t="str">
        <f t="shared" si="800"/>
        <v>ND</v>
      </c>
      <c r="FX168" s="1" t="str">
        <f t="shared" si="801"/>
        <v>ND</v>
      </c>
      <c r="FY168" s="1" t="str">
        <f t="shared" si="802"/>
        <v>ND</v>
      </c>
      <c r="FZ168" s="1" t="str">
        <f t="shared" si="803"/>
        <v>ND</v>
      </c>
      <c r="GA168" s="1" t="str">
        <f t="shared" si="804"/>
        <v>ND</v>
      </c>
      <c r="GB168" s="1" t="str">
        <f t="shared" si="805"/>
        <v>ND</v>
      </c>
      <c r="GC168" s="1" t="str">
        <f t="shared" si="806"/>
        <v>ND</v>
      </c>
      <c r="GD168" s="1" t="str">
        <f t="shared" si="807"/>
        <v>ND</v>
      </c>
      <c r="GE168" s="1" t="str">
        <f t="shared" si="808"/>
        <v>ND</v>
      </c>
      <c r="GF168" s="1" t="str">
        <f t="shared" si="809"/>
        <v>ND</v>
      </c>
      <c r="GG168" s="1" t="str">
        <f t="shared" si="810"/>
        <v>ND</v>
      </c>
      <c r="GH168" s="1" t="str">
        <f t="shared" si="811"/>
        <v>ND</v>
      </c>
      <c r="GI168" s="1" t="str">
        <f t="shared" si="812"/>
        <v>ND</v>
      </c>
      <c r="GJ168" s="1" t="str">
        <f t="shared" si="813"/>
        <v>ND</v>
      </c>
      <c r="GK168" s="1" t="str">
        <f t="shared" si="814"/>
        <v>ND</v>
      </c>
      <c r="GL168" s="1" t="str">
        <f t="shared" si="815"/>
        <v>ND</v>
      </c>
      <c r="GM168" s="1" t="str">
        <f t="shared" si="816"/>
        <v>ND</v>
      </c>
      <c r="GN168" s="1" t="str">
        <f t="shared" si="817"/>
        <v>ND</v>
      </c>
      <c r="GO168" s="1" t="str">
        <f t="shared" si="818"/>
        <v>ND</v>
      </c>
      <c r="GP168" s="1" t="str">
        <f t="shared" si="819"/>
        <v>ND</v>
      </c>
      <c r="GQ168" s="1" t="str">
        <f t="shared" si="820"/>
        <v>ND</v>
      </c>
      <c r="GR168" s="1" t="str">
        <f t="shared" si="821"/>
        <v>ND</v>
      </c>
      <c r="GS168" s="1" t="str">
        <f t="shared" si="822"/>
        <v>ND</v>
      </c>
      <c r="GT168" s="1" t="str">
        <f t="shared" si="823"/>
        <v>ND</v>
      </c>
      <c r="GU168" s="1" t="str">
        <f t="shared" si="824"/>
        <v>ND</v>
      </c>
      <c r="GV168" s="1" t="str">
        <f t="shared" si="825"/>
        <v>ND</v>
      </c>
      <c r="GW168" s="1" t="str">
        <f t="shared" si="826"/>
        <v>ND</v>
      </c>
      <c r="GX168" s="1" t="str">
        <f t="shared" si="827"/>
        <v>ND</v>
      </c>
      <c r="GY168" s="1" t="str">
        <f t="shared" si="828"/>
        <v>ND</v>
      </c>
      <c r="GZ168" s="1" t="str">
        <f t="shared" si="829"/>
        <v>ND</v>
      </c>
      <c r="HA168" s="1" t="str">
        <f t="shared" si="830"/>
        <v>ND</v>
      </c>
      <c r="HB168" s="1" t="str">
        <f t="shared" si="831"/>
        <v>ND</v>
      </c>
      <c r="HC168" s="1" t="str">
        <f t="shared" si="832"/>
        <v>ND</v>
      </c>
      <c r="HD168" s="1" t="str">
        <f t="shared" si="833"/>
        <v>ND</v>
      </c>
      <c r="HE168" s="1" t="str">
        <f t="shared" si="834"/>
        <v>ND</v>
      </c>
      <c r="HF168" s="1" t="str">
        <f t="shared" si="835"/>
        <v>ND</v>
      </c>
      <c r="HG168" s="1" t="str">
        <f t="shared" si="836"/>
        <v>ND</v>
      </c>
      <c r="HH168" s="1" t="str">
        <f t="shared" si="837"/>
        <v>ND</v>
      </c>
      <c r="HI168" s="1" t="str">
        <f t="shared" si="838"/>
        <v>ND</v>
      </c>
      <c r="HJ168" s="1" t="str">
        <f t="shared" si="839"/>
        <v>ND</v>
      </c>
      <c r="HK168" s="1" t="str">
        <f t="shared" si="840"/>
        <v>ND</v>
      </c>
      <c r="HL168" s="1" t="str">
        <f t="shared" si="841"/>
        <v>ND</v>
      </c>
      <c r="HM168" s="1" t="str">
        <f t="shared" si="842"/>
        <v>ND</v>
      </c>
      <c r="HN168" s="1" t="str">
        <f t="shared" si="843"/>
        <v>ND</v>
      </c>
      <c r="HO168" s="1" t="str">
        <f t="shared" si="844"/>
        <v>ND</v>
      </c>
      <c r="HP168" s="1" t="str">
        <f t="shared" si="845"/>
        <v>ND</v>
      </c>
      <c r="HQ168" s="1" t="str">
        <f t="shared" si="846"/>
        <v>ND</v>
      </c>
      <c r="HR168" s="1" t="str">
        <f t="shared" si="847"/>
        <v>ND</v>
      </c>
      <c r="HS168" s="1" t="str">
        <f t="shared" si="848"/>
        <v>ND</v>
      </c>
      <c r="HT168" s="1" t="str">
        <f t="shared" si="849"/>
        <v>ND</v>
      </c>
      <c r="HU168" s="1" t="str">
        <f t="shared" si="850"/>
        <v>ND</v>
      </c>
      <c r="HV168" s="1" t="str">
        <f t="shared" si="851"/>
        <v>ND</v>
      </c>
      <c r="HW168" s="1" t="str">
        <f t="shared" si="852"/>
        <v>ND</v>
      </c>
      <c r="HX168" s="1" t="str">
        <f t="shared" si="853"/>
        <v>ND</v>
      </c>
      <c r="HY168" s="1" t="str">
        <f t="shared" si="854"/>
        <v>ND</v>
      </c>
      <c r="HZ168" s="1" t="str">
        <f t="shared" si="855"/>
        <v>ND</v>
      </c>
      <c r="IA168" s="1" t="str">
        <f t="shared" si="856"/>
        <v>ND</v>
      </c>
      <c r="IB168" s="1" t="str">
        <f t="shared" si="857"/>
        <v>ND</v>
      </c>
      <c r="IC168" s="1" t="str">
        <f t="shared" si="858"/>
        <v>ND</v>
      </c>
      <c r="ID168" s="1" t="str">
        <f t="shared" si="859"/>
        <v>ND</v>
      </c>
      <c r="IE168" s="1" t="str">
        <f t="shared" si="860"/>
        <v>ND</v>
      </c>
      <c r="IF168" s="1" t="str">
        <f t="shared" si="861"/>
        <v>ND</v>
      </c>
      <c r="IG168" s="1" t="str">
        <f t="shared" si="862"/>
        <v>ND</v>
      </c>
      <c r="IH168" s="1" t="str">
        <f t="shared" si="863"/>
        <v>ND</v>
      </c>
      <c r="II168" s="1" t="str">
        <f t="shared" si="864"/>
        <v>ND</v>
      </c>
    </row>
    <row r="169" spans="3:243" x14ac:dyDescent="0.25">
      <c r="C169" t="s">
        <v>113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6.1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1TB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206</v>
      </c>
      <c r="P169" s="1">
        <f>IFERROR(VLOOKUP($C169,EQUIPOS[],UNIFICADO!P$9,0),"")</f>
        <v>14.75</v>
      </c>
      <c r="Q169" s="1">
        <f>IFERROR(VLOOKUP($C169,EQUIPOS[],UNIFICADO!Q$9,0),"")</f>
        <v>7.15</v>
      </c>
      <c r="R169" s="1">
        <f>IFERROR(VLOOKUP($C169,EQUIPOS[],UNIFICADO!R$9,0),"")</f>
        <v>0.78500000000000003</v>
      </c>
      <c r="S169" s="1">
        <f>IFERROR(VLOOKUP($C169,EQUIPOS[],UNIFICADO!S$9,0),"")</f>
        <v>3200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709"/>
        <v>ND</v>
      </c>
      <c r="W169" s="1" t="str">
        <f t="shared" si="710"/>
        <v>ND</v>
      </c>
      <c r="X169" s="1" t="str">
        <f t="shared" si="871"/>
        <v>ND</v>
      </c>
      <c r="Y169" s="1" t="str">
        <f t="shared" si="871"/>
        <v>ND</v>
      </c>
      <c r="Z169" s="1" t="str">
        <f t="shared" si="878"/>
        <v>ND</v>
      </c>
      <c r="AA169" s="1" t="str">
        <f t="shared" si="878"/>
        <v>ND</v>
      </c>
      <c r="AB169" s="1" t="str">
        <f t="shared" si="878"/>
        <v>ND</v>
      </c>
      <c r="AC169" s="1" t="str">
        <f t="shared" si="878"/>
        <v>ND</v>
      </c>
      <c r="AD169" s="1" t="str">
        <f t="shared" si="878"/>
        <v>ND</v>
      </c>
      <c r="AE169" s="1" t="str">
        <f t="shared" si="878"/>
        <v>ND</v>
      </c>
      <c r="AF169" s="1" t="str">
        <f t="shared" si="878"/>
        <v>ND</v>
      </c>
      <c r="AG169" s="1" t="str">
        <f t="shared" si="878"/>
        <v>ND</v>
      </c>
      <c r="AH169" s="1" t="str">
        <f t="shared" si="878"/>
        <v>ND</v>
      </c>
      <c r="AI169" s="1" t="str">
        <f t="shared" si="711"/>
        <v>ND</v>
      </c>
      <c r="AJ169" s="1" t="str">
        <f t="shared" si="712"/>
        <v>ND</v>
      </c>
      <c r="AK169" s="1" t="str">
        <f t="shared" si="713"/>
        <v>ND</v>
      </c>
      <c r="AL169" s="1" t="str">
        <f t="shared" si="714"/>
        <v>ND</v>
      </c>
      <c r="AM169" s="1" t="str">
        <f t="shared" si="715"/>
        <v>ND</v>
      </c>
      <c r="AN169" s="1" t="str">
        <f t="shared" si="716"/>
        <v>ND</v>
      </c>
      <c r="AO169" s="1" t="str">
        <f t="shared" si="717"/>
        <v>ND</v>
      </c>
      <c r="AP169" s="1" t="str">
        <f t="shared" si="718"/>
        <v>ND</v>
      </c>
      <c r="AQ169" s="1" t="str">
        <f t="shared" si="719"/>
        <v>ND</v>
      </c>
      <c r="AR169" s="1" t="str">
        <f t="shared" si="720"/>
        <v>ND</v>
      </c>
      <c r="AS169" s="1" t="str">
        <f t="shared" si="721"/>
        <v>ND</v>
      </c>
      <c r="AT169" s="1" t="str">
        <f t="shared" si="722"/>
        <v>ND</v>
      </c>
      <c r="AU169" s="1" t="str">
        <f t="shared" si="723"/>
        <v>ND</v>
      </c>
      <c r="AV169" s="1" t="str">
        <f t="shared" si="724"/>
        <v>ND</v>
      </c>
      <c r="AW169" s="1" t="str">
        <f t="shared" si="725"/>
        <v>ND</v>
      </c>
      <c r="AX169" s="1" t="str">
        <f t="shared" si="726"/>
        <v>ND</v>
      </c>
      <c r="AY169" s="1" t="str">
        <f t="shared" si="727"/>
        <v>ND</v>
      </c>
      <c r="AZ169" s="1" t="str">
        <f t="shared" si="728"/>
        <v>ND</v>
      </c>
      <c r="BA169" s="1" t="str">
        <f t="shared" si="729"/>
        <v>ND</v>
      </c>
      <c r="BB169" s="1" t="str">
        <f t="shared" si="730"/>
        <v>ND</v>
      </c>
      <c r="BC169" s="1" t="str">
        <f t="shared" si="731"/>
        <v>ND</v>
      </c>
      <c r="BD169" s="1" t="str">
        <f t="shared" si="732"/>
        <v>ND</v>
      </c>
      <c r="BE169" s="1" t="str">
        <f t="shared" si="733"/>
        <v>ND</v>
      </c>
      <c r="BF169" s="1" t="str">
        <f t="shared" si="734"/>
        <v>ND</v>
      </c>
      <c r="BG169" s="1" t="str">
        <f t="shared" si="735"/>
        <v>ND</v>
      </c>
      <c r="BH169" s="1" t="str">
        <f t="shared" si="736"/>
        <v>ND</v>
      </c>
      <c r="BI169" s="1" t="str">
        <f t="shared" si="737"/>
        <v>ND</v>
      </c>
      <c r="BJ169" s="1" t="str">
        <f t="shared" si="738"/>
        <v>ND</v>
      </c>
      <c r="BK169" s="1" t="str">
        <f t="shared" si="739"/>
        <v>ND</v>
      </c>
      <c r="BL169" s="1" t="str">
        <f t="shared" si="740"/>
        <v>ND</v>
      </c>
      <c r="BM169" s="1" t="str">
        <f t="shared" si="741"/>
        <v>ND</v>
      </c>
      <c r="BN169" s="1" t="str">
        <f t="shared" si="742"/>
        <v>ND</v>
      </c>
      <c r="BO169" s="1" t="str">
        <f t="shared" si="743"/>
        <v>ND</v>
      </c>
      <c r="BP169" s="1" t="str">
        <f t="shared" si="744"/>
        <v>ND</v>
      </c>
      <c r="BQ169" s="1" t="str">
        <f t="shared" si="745"/>
        <v>ND</v>
      </c>
      <c r="BR169" s="1" t="str">
        <f t="shared" si="746"/>
        <v>ND</v>
      </c>
      <c r="BS169" s="1" t="str">
        <f t="shared" si="747"/>
        <v>ND</v>
      </c>
      <c r="BT169" s="1" t="str">
        <f t="shared" si="748"/>
        <v>ND</v>
      </c>
      <c r="BU169" s="1" t="str">
        <f t="shared" si="749"/>
        <v>ND</v>
      </c>
      <c r="BV169" s="1" t="str">
        <f t="shared" si="750"/>
        <v>ND</v>
      </c>
      <c r="BW169" s="1" t="str">
        <f t="shared" si="751"/>
        <v>ND</v>
      </c>
      <c r="BX169" s="1" t="str">
        <f t="shared" si="752"/>
        <v>ND</v>
      </c>
      <c r="BY169" s="1" t="str">
        <f t="shared" si="753"/>
        <v>ND</v>
      </c>
      <c r="BZ169" s="1" t="str">
        <f t="shared" si="754"/>
        <v>ND</v>
      </c>
      <c r="CA169" s="1" t="str">
        <f t="shared" si="879"/>
        <v>ND</v>
      </c>
      <c r="CB169" s="1" t="str">
        <f t="shared" si="879"/>
        <v>ND</v>
      </c>
      <c r="CC169" s="1" t="str">
        <f t="shared" si="879"/>
        <v>ND</v>
      </c>
      <c r="CD169" s="1" t="str">
        <f t="shared" si="879"/>
        <v>ND</v>
      </c>
      <c r="CE169" s="1" t="str">
        <f t="shared" si="879"/>
        <v>ND</v>
      </c>
      <c r="CF169" s="1" t="str">
        <f t="shared" si="879"/>
        <v>ND</v>
      </c>
      <c r="CG169" s="1" t="str">
        <f t="shared" si="879"/>
        <v>ND</v>
      </c>
      <c r="CH169" s="1" t="str">
        <f t="shared" si="879"/>
        <v>ND</v>
      </c>
      <c r="CI169" s="1" t="str">
        <f t="shared" si="879"/>
        <v>ND</v>
      </c>
      <c r="CJ169" s="1" t="str">
        <f t="shared" si="879"/>
        <v>ND</v>
      </c>
      <c r="CK169" s="1" t="str">
        <f t="shared" si="879"/>
        <v>ND</v>
      </c>
      <c r="CL169" s="1" t="str">
        <f t="shared" si="880"/>
        <v>ND</v>
      </c>
      <c r="CM169" s="1" t="str">
        <f t="shared" si="880"/>
        <v>ND</v>
      </c>
      <c r="CN169" s="1" t="str">
        <f t="shared" si="880"/>
        <v>ND</v>
      </c>
      <c r="CO169" s="1" t="str">
        <f t="shared" si="880"/>
        <v>ND</v>
      </c>
      <c r="CP169" s="1" t="str">
        <f t="shared" si="880"/>
        <v>ND</v>
      </c>
      <c r="CQ169" s="1" t="str">
        <f t="shared" si="880"/>
        <v>ND</v>
      </c>
      <c r="CR169" s="1" t="str">
        <f t="shared" si="880"/>
        <v>ND</v>
      </c>
      <c r="CS169" s="1" t="str">
        <f t="shared" si="880"/>
        <v>ND</v>
      </c>
      <c r="CT169" s="1" t="str">
        <f t="shared" si="880"/>
        <v>ND</v>
      </c>
      <c r="CU169" s="1" t="str">
        <f t="shared" si="880"/>
        <v>ND</v>
      </c>
      <c r="CV169" s="1" t="str">
        <f t="shared" si="880"/>
        <v>ND</v>
      </c>
      <c r="CW169" s="1" t="str">
        <f t="shared" si="755"/>
        <v>ND</v>
      </c>
      <c r="CX169" s="1" t="str">
        <f t="shared" si="756"/>
        <v>ND</v>
      </c>
      <c r="CY169" s="1" t="str">
        <f t="shared" si="757"/>
        <v>ND</v>
      </c>
      <c r="CZ169" s="1" t="str">
        <f t="shared" si="758"/>
        <v>ND</v>
      </c>
      <c r="DA169" s="1" t="str">
        <f t="shared" si="759"/>
        <v>ND</v>
      </c>
      <c r="DB169" s="1" t="str">
        <f t="shared" si="760"/>
        <v>ND</v>
      </c>
      <c r="DC169" s="1" t="str">
        <f t="shared" si="761"/>
        <v>ND</v>
      </c>
      <c r="DD169" s="1" t="str">
        <f t="shared" si="762"/>
        <v>ND</v>
      </c>
      <c r="DE169" s="1" t="str">
        <f t="shared" si="763"/>
        <v>ND</v>
      </c>
      <c r="DF169" s="1" t="str">
        <f t="shared" si="764"/>
        <v>ND</v>
      </c>
      <c r="DG169" s="1" t="str">
        <f t="shared" si="765"/>
        <v>ND</v>
      </c>
      <c r="DH169" s="1" t="str">
        <f t="shared" si="766"/>
        <v>ND</v>
      </c>
      <c r="DI169" s="1" t="str">
        <f t="shared" si="767"/>
        <v>ND</v>
      </c>
      <c r="DJ169" s="1" t="str">
        <f t="shared" si="768"/>
        <v>ND</v>
      </c>
      <c r="DK169" s="1" t="str">
        <f t="shared" si="769"/>
        <v>ND</v>
      </c>
      <c r="DL169" s="1" t="str">
        <f t="shared" si="770"/>
        <v>ND</v>
      </c>
      <c r="DM169" s="1" t="str">
        <f t="shared" si="771"/>
        <v>ND</v>
      </c>
      <c r="DN169" s="1" t="str">
        <f t="shared" si="772"/>
        <v>ND</v>
      </c>
      <c r="DO169" s="1" t="str">
        <f t="shared" si="773"/>
        <v>ND</v>
      </c>
      <c r="DP169" s="1" t="str">
        <f t="shared" si="774"/>
        <v>ND</v>
      </c>
      <c r="DQ169" s="1" t="str">
        <f t="shared" si="775"/>
        <v>ND</v>
      </c>
      <c r="DR169" s="1" t="str">
        <f t="shared" si="776"/>
        <v>ND</v>
      </c>
      <c r="DS169" s="1" t="str">
        <f t="shared" si="777"/>
        <v>ND</v>
      </c>
      <c r="DT169" s="1" t="str">
        <f t="shared" si="778"/>
        <v>ND</v>
      </c>
      <c r="DU169" s="1" t="str">
        <f t="shared" si="779"/>
        <v>ND</v>
      </c>
      <c r="DV169" s="1" t="str">
        <f t="shared" si="780"/>
        <v>ND</v>
      </c>
      <c r="DW169" s="1" t="str">
        <f t="shared" si="781"/>
        <v>ND</v>
      </c>
      <c r="DX169" s="1" t="str">
        <f t="shared" si="782"/>
        <v>ND</v>
      </c>
      <c r="DY169" s="1" t="str">
        <f t="shared" si="783"/>
        <v>ND</v>
      </c>
      <c r="DZ169" s="1" t="str">
        <f t="shared" si="784"/>
        <v>ND</v>
      </c>
      <c r="EA169" s="1" t="str">
        <f t="shared" si="785"/>
        <v>ND</v>
      </c>
      <c r="EB169" s="1" t="str">
        <f t="shared" si="786"/>
        <v>ND</v>
      </c>
      <c r="EC169" s="1" t="str">
        <f t="shared" si="787"/>
        <v>ND</v>
      </c>
      <c r="ED169" s="1" t="str">
        <f t="shared" si="788"/>
        <v>ND</v>
      </c>
      <c r="EE169" s="1" t="str">
        <f t="shared" si="789"/>
        <v>ND</v>
      </c>
      <c r="EF169" s="1" t="str">
        <f t="shared" si="790"/>
        <v>ND</v>
      </c>
      <c r="EG169" s="1" t="str">
        <f t="shared" si="791"/>
        <v>ND</v>
      </c>
      <c r="EH169" s="1" t="str">
        <f t="shared" si="792"/>
        <v>ND</v>
      </c>
      <c r="EI169" s="1" t="str">
        <f t="shared" si="793"/>
        <v>ND</v>
      </c>
      <c r="EJ169" s="1" t="str">
        <f t="shared" si="794"/>
        <v>ND</v>
      </c>
      <c r="EK169" s="1" t="str">
        <f t="shared" si="795"/>
        <v>ND</v>
      </c>
      <c r="EL169" s="1" t="str">
        <f t="shared" si="796"/>
        <v>ND</v>
      </c>
      <c r="EM169" s="1" t="str">
        <f t="shared" si="797"/>
        <v>ND</v>
      </c>
      <c r="EN169" s="1" t="str">
        <f t="shared" si="798"/>
        <v>ND</v>
      </c>
      <c r="EO169" s="1" t="str">
        <f t="shared" si="881"/>
        <v>ND</v>
      </c>
      <c r="EP169" s="1" t="str">
        <f t="shared" si="881"/>
        <v>ND</v>
      </c>
      <c r="EQ169" s="1" t="str">
        <f t="shared" si="881"/>
        <v>ND</v>
      </c>
      <c r="ER169" s="1" t="str">
        <f t="shared" si="881"/>
        <v>ND</v>
      </c>
      <c r="ES169" s="1" t="str">
        <f t="shared" si="881"/>
        <v>ND</v>
      </c>
      <c r="ET169" s="1" t="str">
        <f t="shared" si="881"/>
        <v>ND</v>
      </c>
      <c r="EU169" s="1" t="str">
        <f t="shared" si="881"/>
        <v>ND</v>
      </c>
      <c r="EV169" s="1" t="str">
        <f t="shared" si="881"/>
        <v>ND</v>
      </c>
      <c r="EW169" s="1" t="str">
        <f t="shared" si="881"/>
        <v>ND</v>
      </c>
      <c r="EX169" s="1" t="str">
        <f t="shared" si="881"/>
        <v>ND</v>
      </c>
      <c r="EY169" s="1" t="str">
        <f t="shared" si="881"/>
        <v>ND</v>
      </c>
      <c r="EZ169" s="1" t="str">
        <f t="shared" si="882"/>
        <v>ND</v>
      </c>
      <c r="FA169" s="1" t="str">
        <f t="shared" si="882"/>
        <v>ND</v>
      </c>
      <c r="FB169" s="1" t="str">
        <f t="shared" si="882"/>
        <v>ND</v>
      </c>
      <c r="FC169" s="1" t="str">
        <f t="shared" si="882"/>
        <v>ND</v>
      </c>
      <c r="FD169" s="1" t="str">
        <f t="shared" si="882"/>
        <v>ND</v>
      </c>
      <c r="FE169" s="1" t="str">
        <f t="shared" si="882"/>
        <v>ND</v>
      </c>
      <c r="FF169" s="1" t="str">
        <f t="shared" si="882"/>
        <v>ND</v>
      </c>
      <c r="FG169" s="1" t="str">
        <f t="shared" si="882"/>
        <v>ND</v>
      </c>
      <c r="FH169" s="1" t="str">
        <f t="shared" si="882"/>
        <v>ND</v>
      </c>
      <c r="FI169" s="1" t="str">
        <f t="shared" si="882"/>
        <v>ND</v>
      </c>
      <c r="FJ169" s="1" t="str">
        <f t="shared" si="882"/>
        <v>ND</v>
      </c>
      <c r="FK169" s="1" t="str">
        <f t="shared" si="883"/>
        <v>ND</v>
      </c>
      <c r="FL169" s="1" t="str">
        <f t="shared" si="883"/>
        <v>ND</v>
      </c>
      <c r="FM169" s="1" t="str">
        <f t="shared" si="883"/>
        <v>ND</v>
      </c>
      <c r="FN169" s="1" t="str">
        <f t="shared" si="883"/>
        <v>ND</v>
      </c>
      <c r="FO169" s="1" t="str">
        <f t="shared" si="883"/>
        <v>ND</v>
      </c>
      <c r="FP169" s="1" t="str">
        <f t="shared" si="883"/>
        <v>ND</v>
      </c>
      <c r="FQ169" s="1" t="str">
        <f t="shared" si="883"/>
        <v>ND</v>
      </c>
      <c r="FR169" s="1" t="str">
        <f t="shared" si="883"/>
        <v>ND</v>
      </c>
      <c r="FS169" s="1" t="str">
        <f t="shared" si="883"/>
        <v>ND</v>
      </c>
      <c r="FT169" s="1" t="str">
        <f t="shared" si="883"/>
        <v>ND</v>
      </c>
      <c r="FU169" s="1" t="str">
        <f t="shared" si="883"/>
        <v>ND</v>
      </c>
      <c r="FV169" s="1" t="str">
        <f t="shared" si="799"/>
        <v>ND</v>
      </c>
      <c r="FW169" s="1" t="str">
        <f t="shared" si="800"/>
        <v>ND</v>
      </c>
      <c r="FX169" s="1" t="str">
        <f t="shared" si="801"/>
        <v>ND</v>
      </c>
      <c r="FY169" s="1" t="str">
        <f t="shared" si="802"/>
        <v>ND</v>
      </c>
      <c r="FZ169" s="1" t="str">
        <f t="shared" si="803"/>
        <v>ND</v>
      </c>
      <c r="GA169" s="1" t="str">
        <f t="shared" si="804"/>
        <v>ND</v>
      </c>
      <c r="GB169" s="1" t="str">
        <f t="shared" si="805"/>
        <v>ND</v>
      </c>
      <c r="GC169" s="1" t="str">
        <f t="shared" si="806"/>
        <v>ND</v>
      </c>
      <c r="GD169" s="1" t="str">
        <f t="shared" si="807"/>
        <v>ND</v>
      </c>
      <c r="GE169" s="1" t="str">
        <f t="shared" si="808"/>
        <v>ND</v>
      </c>
      <c r="GF169" s="1" t="str">
        <f t="shared" si="809"/>
        <v>ND</v>
      </c>
      <c r="GG169" s="1" t="str">
        <f t="shared" si="810"/>
        <v>ND</v>
      </c>
      <c r="GH169" s="1" t="str">
        <f t="shared" si="811"/>
        <v>ND</v>
      </c>
      <c r="GI169" s="1" t="str">
        <f t="shared" si="812"/>
        <v>ND</v>
      </c>
      <c r="GJ169" s="1" t="str">
        <f t="shared" si="813"/>
        <v>ND</v>
      </c>
      <c r="GK169" s="1" t="str">
        <f t="shared" si="814"/>
        <v>ND</v>
      </c>
      <c r="GL169" s="1" t="str">
        <f t="shared" si="815"/>
        <v>ND</v>
      </c>
      <c r="GM169" s="1" t="str">
        <f t="shared" si="816"/>
        <v>ND</v>
      </c>
      <c r="GN169" s="1" t="str">
        <f t="shared" si="817"/>
        <v>ND</v>
      </c>
      <c r="GO169" s="1" t="str">
        <f t="shared" si="818"/>
        <v>ND</v>
      </c>
      <c r="GP169" s="1" t="str">
        <f t="shared" si="819"/>
        <v>ND</v>
      </c>
      <c r="GQ169" s="1" t="str">
        <f t="shared" si="820"/>
        <v>ND</v>
      </c>
      <c r="GR169" s="1" t="str">
        <f t="shared" si="821"/>
        <v>ND</v>
      </c>
      <c r="GS169" s="1" t="str">
        <f t="shared" si="822"/>
        <v>ND</v>
      </c>
      <c r="GT169" s="1" t="str">
        <f t="shared" si="823"/>
        <v>ND</v>
      </c>
      <c r="GU169" s="1" t="str">
        <f t="shared" si="824"/>
        <v>ND</v>
      </c>
      <c r="GV169" s="1" t="str">
        <f t="shared" si="825"/>
        <v>ND</v>
      </c>
      <c r="GW169" s="1" t="str">
        <f t="shared" si="826"/>
        <v>ND</v>
      </c>
      <c r="GX169" s="1" t="str">
        <f t="shared" si="827"/>
        <v>ND</v>
      </c>
      <c r="GY169" s="1" t="str">
        <f t="shared" si="828"/>
        <v>ND</v>
      </c>
      <c r="GZ169" s="1" t="str">
        <f t="shared" si="829"/>
        <v>ND</v>
      </c>
      <c r="HA169" s="1" t="str">
        <f t="shared" si="830"/>
        <v>ND</v>
      </c>
      <c r="HB169" s="1" t="str">
        <f t="shared" si="831"/>
        <v>ND</v>
      </c>
      <c r="HC169" s="1" t="str">
        <f t="shared" si="832"/>
        <v>ND</v>
      </c>
      <c r="HD169" s="1" t="str">
        <f t="shared" si="833"/>
        <v>ND</v>
      </c>
      <c r="HE169" s="1" t="str">
        <f t="shared" si="834"/>
        <v>ND</v>
      </c>
      <c r="HF169" s="1" t="str">
        <f t="shared" si="835"/>
        <v>ND</v>
      </c>
      <c r="HG169" s="1" t="str">
        <f t="shared" si="836"/>
        <v>ND</v>
      </c>
      <c r="HH169" s="1" t="str">
        <f t="shared" si="837"/>
        <v>ND</v>
      </c>
      <c r="HI169" s="1" t="str">
        <f t="shared" si="838"/>
        <v>ND</v>
      </c>
      <c r="HJ169" s="1" t="str">
        <f t="shared" si="839"/>
        <v>ND</v>
      </c>
      <c r="HK169" s="1" t="str">
        <f t="shared" si="840"/>
        <v>ND</v>
      </c>
      <c r="HL169" s="1" t="str">
        <f t="shared" si="841"/>
        <v>ND</v>
      </c>
      <c r="HM169" s="1" t="str">
        <f t="shared" si="842"/>
        <v>ND</v>
      </c>
      <c r="HN169" s="1" t="str">
        <f t="shared" si="843"/>
        <v>ND</v>
      </c>
      <c r="HO169" s="1" t="str">
        <f t="shared" si="844"/>
        <v>ND</v>
      </c>
      <c r="HP169" s="1" t="str">
        <f t="shared" si="845"/>
        <v>ND</v>
      </c>
      <c r="HQ169" s="1" t="str">
        <f t="shared" si="846"/>
        <v>ND</v>
      </c>
      <c r="HR169" s="1" t="str">
        <f t="shared" si="847"/>
        <v>ND</v>
      </c>
      <c r="HS169" s="1" t="str">
        <f t="shared" si="848"/>
        <v>ND</v>
      </c>
      <c r="HT169" s="1" t="str">
        <f t="shared" si="849"/>
        <v>ND</v>
      </c>
      <c r="HU169" s="1" t="str">
        <f t="shared" si="850"/>
        <v>ND</v>
      </c>
      <c r="HV169" s="1" t="str">
        <f t="shared" si="851"/>
        <v>ND</v>
      </c>
      <c r="HW169" s="1" t="str">
        <f t="shared" si="852"/>
        <v>ND</v>
      </c>
      <c r="HX169" s="1" t="str">
        <f t="shared" si="853"/>
        <v>ND</v>
      </c>
      <c r="HY169" s="1" t="str">
        <f t="shared" si="854"/>
        <v>ND</v>
      </c>
      <c r="HZ169" s="1" t="str">
        <f t="shared" si="855"/>
        <v>ND</v>
      </c>
      <c r="IA169" s="1" t="str">
        <f t="shared" si="856"/>
        <v>ND</v>
      </c>
      <c r="IB169" s="1" t="str">
        <f t="shared" si="857"/>
        <v>ND</v>
      </c>
      <c r="IC169" s="1" t="str">
        <f t="shared" si="858"/>
        <v>ND</v>
      </c>
      <c r="ID169" s="1" t="str">
        <f t="shared" si="859"/>
        <v>ND</v>
      </c>
      <c r="IE169" s="1" t="str">
        <f t="shared" si="860"/>
        <v>ND</v>
      </c>
      <c r="IF169" s="1" t="str">
        <f t="shared" si="861"/>
        <v>ND</v>
      </c>
      <c r="IG169" s="1" t="str">
        <f t="shared" si="862"/>
        <v>ND</v>
      </c>
      <c r="IH169" s="1" t="str">
        <f t="shared" si="863"/>
        <v>ND</v>
      </c>
      <c r="II169" s="1" t="str">
        <f t="shared" si="864"/>
        <v>ND</v>
      </c>
    </row>
    <row r="170" spans="3:243" x14ac:dyDescent="0.25">
      <c r="C170" t="s">
        <v>114</v>
      </c>
      <c r="D170">
        <f>SUMIFS(DICCIONARIO[Cantidad],DICCIONARIO[Modelo],UNIFICADA[[#This Row],[Equipo]])</f>
        <v>7</v>
      </c>
      <c r="E170" s="1">
        <f>IFERROR(VLOOKUP($C170,EQUIPOS[],UNIFICADO!E$9,0),"")</f>
        <v>16</v>
      </c>
      <c r="F170" s="1">
        <f>IFERROR(VLOOKUP($C170,EQUIPOS[],UNIFICADO!F$9,0),"")</f>
        <v>6.1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256GB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206</v>
      </c>
      <c r="P170" s="1">
        <f>IFERROR(VLOOKUP($C170,EQUIPOS[],UNIFICADO!P$9,0),"")</f>
        <v>14.75</v>
      </c>
      <c r="Q170" s="1">
        <f>IFERROR(VLOOKUP($C170,EQUIPOS[],UNIFICADO!Q$9,0),"")</f>
        <v>7.15</v>
      </c>
      <c r="R170" s="1">
        <f>IFERROR(VLOOKUP($C170,EQUIPOS[],UNIFICADO!R$9,0),"")</f>
        <v>0.78500000000000003</v>
      </c>
      <c r="S170" s="1">
        <f>IFERROR(VLOOKUP($C170,EQUIPOS[],UNIFICADO!S$9,0),"")</f>
        <v>3200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709"/>
        <v>ND</v>
      </c>
      <c r="W170" s="1" t="str">
        <f t="shared" si="710"/>
        <v>ND</v>
      </c>
      <c r="X170" s="1" t="str">
        <f t="shared" si="871"/>
        <v>ND</v>
      </c>
      <c r="Y170" s="1" t="str">
        <f t="shared" si="871"/>
        <v>ND</v>
      </c>
      <c r="Z170" s="1" t="str">
        <f t="shared" si="878"/>
        <v>ND</v>
      </c>
      <c r="AA170" s="1" t="str">
        <f t="shared" si="878"/>
        <v>ND</v>
      </c>
      <c r="AB170" s="1" t="str">
        <f t="shared" si="878"/>
        <v>ND</v>
      </c>
      <c r="AC170" s="1" t="str">
        <f t="shared" si="878"/>
        <v>ND</v>
      </c>
      <c r="AD170" s="1" t="str">
        <f t="shared" si="878"/>
        <v>ND</v>
      </c>
      <c r="AE170" s="1" t="str">
        <f t="shared" si="878"/>
        <v>ND</v>
      </c>
      <c r="AF170" s="1" t="str">
        <f t="shared" si="878"/>
        <v>ND</v>
      </c>
      <c r="AG170" s="1" t="str">
        <f t="shared" si="878"/>
        <v>ND</v>
      </c>
      <c r="AH170" s="1" t="str">
        <f t="shared" si="878"/>
        <v>ND</v>
      </c>
      <c r="AI170" s="1" t="str">
        <f t="shared" si="711"/>
        <v>ND</v>
      </c>
      <c r="AJ170" s="1" t="str">
        <f t="shared" si="712"/>
        <v>ND</v>
      </c>
      <c r="AK170" s="1" t="str">
        <f t="shared" si="713"/>
        <v>ND</v>
      </c>
      <c r="AL170" s="1" t="str">
        <f t="shared" si="714"/>
        <v>ND</v>
      </c>
      <c r="AM170" s="1" t="str">
        <f t="shared" si="715"/>
        <v>ND</v>
      </c>
      <c r="AN170" s="1" t="str">
        <f t="shared" si="716"/>
        <v>ND</v>
      </c>
      <c r="AO170" s="1" t="str">
        <f t="shared" si="717"/>
        <v>ND</v>
      </c>
      <c r="AP170" s="1" t="str">
        <f t="shared" si="718"/>
        <v>ND</v>
      </c>
      <c r="AQ170" s="1" t="str">
        <f t="shared" si="719"/>
        <v>ND</v>
      </c>
      <c r="AR170" s="1" t="str">
        <f t="shared" si="720"/>
        <v>ND</v>
      </c>
      <c r="AS170" s="1" t="str">
        <f t="shared" si="721"/>
        <v>ND</v>
      </c>
      <c r="AT170" s="1" t="str">
        <f t="shared" si="722"/>
        <v>ND</v>
      </c>
      <c r="AU170" s="1" t="str">
        <f t="shared" si="723"/>
        <v>ND</v>
      </c>
      <c r="AV170" s="1" t="str">
        <f t="shared" si="724"/>
        <v>ND</v>
      </c>
      <c r="AW170" s="1" t="str">
        <f t="shared" si="725"/>
        <v>ND</v>
      </c>
      <c r="AX170" s="1" t="str">
        <f t="shared" si="726"/>
        <v>ND</v>
      </c>
      <c r="AY170" s="1" t="str">
        <f t="shared" si="727"/>
        <v>ND</v>
      </c>
      <c r="AZ170" s="1" t="str">
        <f t="shared" si="728"/>
        <v>ND</v>
      </c>
      <c r="BA170" s="1" t="str">
        <f t="shared" si="729"/>
        <v>ND</v>
      </c>
      <c r="BB170" s="1" t="str">
        <f t="shared" si="730"/>
        <v>ND</v>
      </c>
      <c r="BC170" s="1" t="str">
        <f t="shared" si="731"/>
        <v>ND</v>
      </c>
      <c r="BD170" s="1" t="str">
        <f t="shared" si="732"/>
        <v>ND</v>
      </c>
      <c r="BE170" s="1" t="str">
        <f t="shared" si="733"/>
        <v>ND</v>
      </c>
      <c r="BF170" s="1" t="str">
        <f t="shared" si="734"/>
        <v>ND</v>
      </c>
      <c r="BG170" s="1" t="str">
        <f t="shared" si="735"/>
        <v>ND</v>
      </c>
      <c r="BH170" s="1" t="str">
        <f t="shared" si="736"/>
        <v>ND</v>
      </c>
      <c r="BI170" s="1" t="str">
        <f t="shared" si="737"/>
        <v>ND</v>
      </c>
      <c r="BJ170" s="1" t="str">
        <f t="shared" si="738"/>
        <v>ND</v>
      </c>
      <c r="BK170" s="1" t="str">
        <f t="shared" si="739"/>
        <v>ND</v>
      </c>
      <c r="BL170" s="1" t="str">
        <f t="shared" si="740"/>
        <v>ND</v>
      </c>
      <c r="BM170" s="1" t="str">
        <f t="shared" si="741"/>
        <v>ND</v>
      </c>
      <c r="BN170" s="1" t="str">
        <f t="shared" si="742"/>
        <v>ND</v>
      </c>
      <c r="BO170" s="1" t="str">
        <f t="shared" si="743"/>
        <v>ND</v>
      </c>
      <c r="BP170" s="1" t="str">
        <f t="shared" si="744"/>
        <v>ND</v>
      </c>
      <c r="BQ170" s="1" t="str">
        <f t="shared" si="745"/>
        <v>ND</v>
      </c>
      <c r="BR170" s="1" t="str">
        <f t="shared" si="746"/>
        <v>ND</v>
      </c>
      <c r="BS170" s="1" t="str">
        <f t="shared" si="747"/>
        <v>ND</v>
      </c>
      <c r="BT170" s="1" t="str">
        <f t="shared" si="748"/>
        <v>ND</v>
      </c>
      <c r="BU170" s="1" t="str">
        <f t="shared" si="749"/>
        <v>ND</v>
      </c>
      <c r="BV170" s="1" t="str">
        <f t="shared" si="750"/>
        <v>ND</v>
      </c>
      <c r="BW170" s="1" t="str">
        <f t="shared" si="751"/>
        <v>ND</v>
      </c>
      <c r="BX170" s="1" t="str">
        <f t="shared" si="752"/>
        <v>ND</v>
      </c>
      <c r="BY170" s="1" t="str">
        <f t="shared" si="753"/>
        <v>ND</v>
      </c>
      <c r="BZ170" s="1" t="str">
        <f t="shared" si="754"/>
        <v>ND</v>
      </c>
      <c r="CA170" s="1" t="str">
        <f t="shared" si="879"/>
        <v>ND</v>
      </c>
      <c r="CB170" s="1" t="str">
        <f t="shared" si="879"/>
        <v>ND</v>
      </c>
      <c r="CC170" s="1" t="str">
        <f t="shared" si="879"/>
        <v>ND</v>
      </c>
      <c r="CD170" s="1" t="str">
        <f t="shared" si="879"/>
        <v>ND</v>
      </c>
      <c r="CE170" s="1" t="str">
        <f t="shared" si="879"/>
        <v>ND</v>
      </c>
      <c r="CF170" s="1" t="str">
        <f t="shared" si="879"/>
        <v>ND</v>
      </c>
      <c r="CG170" s="1" t="str">
        <f t="shared" si="879"/>
        <v>ND</v>
      </c>
      <c r="CH170" s="1" t="str">
        <f t="shared" si="879"/>
        <v>ND</v>
      </c>
      <c r="CI170" s="1" t="str">
        <f t="shared" si="879"/>
        <v>ND</v>
      </c>
      <c r="CJ170" s="1" t="str">
        <f t="shared" si="879"/>
        <v>ND</v>
      </c>
      <c r="CK170" s="1" t="str">
        <f t="shared" si="879"/>
        <v>ND</v>
      </c>
      <c r="CL170" s="1" t="str">
        <f t="shared" si="880"/>
        <v>ND</v>
      </c>
      <c r="CM170" s="1" t="str">
        <f t="shared" si="880"/>
        <v>ND</v>
      </c>
      <c r="CN170" s="1" t="str">
        <f t="shared" si="880"/>
        <v>ND</v>
      </c>
      <c r="CO170" s="1" t="str">
        <f t="shared" si="880"/>
        <v>ND</v>
      </c>
      <c r="CP170" s="1" t="str">
        <f t="shared" si="880"/>
        <v>ND</v>
      </c>
      <c r="CQ170" s="1" t="str">
        <f t="shared" si="880"/>
        <v>ND</v>
      </c>
      <c r="CR170" s="1" t="str">
        <f t="shared" si="880"/>
        <v>ND</v>
      </c>
      <c r="CS170" s="1" t="str">
        <f t="shared" si="880"/>
        <v>ND</v>
      </c>
      <c r="CT170" s="1" t="str">
        <f t="shared" si="880"/>
        <v>ND</v>
      </c>
      <c r="CU170" s="1" t="str">
        <f t="shared" si="880"/>
        <v>ND</v>
      </c>
      <c r="CV170" s="1" t="str">
        <f t="shared" si="880"/>
        <v>ND</v>
      </c>
      <c r="CW170" s="1" t="str">
        <f t="shared" si="755"/>
        <v>ND</v>
      </c>
      <c r="CX170" s="1" t="str">
        <f t="shared" si="756"/>
        <v>ND</v>
      </c>
      <c r="CY170" s="1" t="str">
        <f t="shared" si="757"/>
        <v>ND</v>
      </c>
      <c r="CZ170" s="1" t="str">
        <f t="shared" si="758"/>
        <v>ND</v>
      </c>
      <c r="DA170" s="1" t="str">
        <f t="shared" si="759"/>
        <v>ND</v>
      </c>
      <c r="DB170" s="1" t="str">
        <f t="shared" si="760"/>
        <v>ND</v>
      </c>
      <c r="DC170" s="1" t="str">
        <f t="shared" si="761"/>
        <v>ND</v>
      </c>
      <c r="DD170" s="1" t="str">
        <f t="shared" si="762"/>
        <v>ND</v>
      </c>
      <c r="DE170" s="1" t="str">
        <f t="shared" si="763"/>
        <v>ND</v>
      </c>
      <c r="DF170" s="1" t="str">
        <f t="shared" si="764"/>
        <v>ND</v>
      </c>
      <c r="DG170" s="1" t="str">
        <f t="shared" si="765"/>
        <v>ND</v>
      </c>
      <c r="DH170" s="1" t="str">
        <f t="shared" si="766"/>
        <v>ND</v>
      </c>
      <c r="DI170" s="1" t="str">
        <f t="shared" si="767"/>
        <v>ND</v>
      </c>
      <c r="DJ170" s="1" t="str">
        <f t="shared" si="768"/>
        <v>ND</v>
      </c>
      <c r="DK170" s="1" t="str">
        <f t="shared" si="769"/>
        <v>ND</v>
      </c>
      <c r="DL170" s="1" t="str">
        <f t="shared" si="770"/>
        <v>ND</v>
      </c>
      <c r="DM170" s="1" t="str">
        <f t="shared" si="771"/>
        <v>ND</v>
      </c>
      <c r="DN170" s="1" t="str">
        <f t="shared" si="772"/>
        <v>ND</v>
      </c>
      <c r="DO170" s="1" t="str">
        <f t="shared" si="773"/>
        <v>ND</v>
      </c>
      <c r="DP170" s="1" t="str">
        <f t="shared" si="774"/>
        <v>ND</v>
      </c>
      <c r="DQ170" s="1" t="str">
        <f t="shared" si="775"/>
        <v>ND</v>
      </c>
      <c r="DR170" s="1" t="str">
        <f t="shared" si="776"/>
        <v>ND</v>
      </c>
      <c r="DS170" s="1" t="str">
        <f t="shared" si="777"/>
        <v>ND</v>
      </c>
      <c r="DT170" s="1" t="str">
        <f t="shared" si="778"/>
        <v>ND</v>
      </c>
      <c r="DU170" s="1" t="str">
        <f t="shared" si="779"/>
        <v>ND</v>
      </c>
      <c r="DV170" s="1" t="str">
        <f t="shared" si="780"/>
        <v>ND</v>
      </c>
      <c r="DW170" s="1" t="str">
        <f t="shared" si="781"/>
        <v>ND</v>
      </c>
      <c r="DX170" s="1" t="str">
        <f t="shared" si="782"/>
        <v>ND</v>
      </c>
      <c r="DY170" s="1" t="str">
        <f t="shared" si="783"/>
        <v>ND</v>
      </c>
      <c r="DZ170" s="1" t="str">
        <f t="shared" si="784"/>
        <v>ND</v>
      </c>
      <c r="EA170" s="1" t="str">
        <f t="shared" si="785"/>
        <v>ND</v>
      </c>
      <c r="EB170" s="1" t="str">
        <f t="shared" si="786"/>
        <v>ND</v>
      </c>
      <c r="EC170" s="1" t="str">
        <f t="shared" si="787"/>
        <v>ND</v>
      </c>
      <c r="ED170" s="1" t="str">
        <f t="shared" si="788"/>
        <v>ND</v>
      </c>
      <c r="EE170" s="1" t="str">
        <f t="shared" si="789"/>
        <v>ND</v>
      </c>
      <c r="EF170" s="1" t="str">
        <f t="shared" si="790"/>
        <v>ND</v>
      </c>
      <c r="EG170" s="1" t="str">
        <f t="shared" si="791"/>
        <v>ND</v>
      </c>
      <c r="EH170" s="1" t="str">
        <f t="shared" si="792"/>
        <v>ND</v>
      </c>
      <c r="EI170" s="1" t="str">
        <f t="shared" si="793"/>
        <v>ND</v>
      </c>
      <c r="EJ170" s="1" t="str">
        <f t="shared" si="794"/>
        <v>ND</v>
      </c>
      <c r="EK170" s="1" t="str">
        <f t="shared" si="795"/>
        <v>ND</v>
      </c>
      <c r="EL170" s="1" t="str">
        <f t="shared" si="796"/>
        <v>ND</v>
      </c>
      <c r="EM170" s="1" t="str">
        <f t="shared" si="797"/>
        <v>ND</v>
      </c>
      <c r="EN170" s="1" t="str">
        <f t="shared" si="798"/>
        <v>ND</v>
      </c>
      <c r="EO170" s="1" t="str">
        <f t="shared" si="881"/>
        <v>ND</v>
      </c>
      <c r="EP170" s="1" t="str">
        <f t="shared" si="881"/>
        <v>ND</v>
      </c>
      <c r="EQ170" s="1" t="str">
        <f t="shared" si="881"/>
        <v>ND</v>
      </c>
      <c r="ER170" s="1" t="str">
        <f t="shared" si="881"/>
        <v>ND</v>
      </c>
      <c r="ES170" s="1" t="str">
        <f t="shared" si="881"/>
        <v>ND</v>
      </c>
      <c r="ET170" s="1" t="str">
        <f t="shared" si="881"/>
        <v>ND</v>
      </c>
      <c r="EU170" s="1" t="str">
        <f t="shared" si="881"/>
        <v>ND</v>
      </c>
      <c r="EV170" s="1" t="str">
        <f t="shared" si="881"/>
        <v>ND</v>
      </c>
      <c r="EW170" s="1" t="str">
        <f t="shared" si="881"/>
        <v>ND</v>
      </c>
      <c r="EX170" s="1" t="str">
        <f t="shared" si="881"/>
        <v>ND</v>
      </c>
      <c r="EY170" s="1" t="str">
        <f t="shared" si="881"/>
        <v>ND</v>
      </c>
      <c r="EZ170" s="1" t="str">
        <f t="shared" si="882"/>
        <v>ND</v>
      </c>
      <c r="FA170" s="1" t="str">
        <f t="shared" si="882"/>
        <v>ND</v>
      </c>
      <c r="FB170" s="1" t="str">
        <f t="shared" si="882"/>
        <v>ND</v>
      </c>
      <c r="FC170" s="1" t="str">
        <f t="shared" si="882"/>
        <v>ND</v>
      </c>
      <c r="FD170" s="1" t="str">
        <f t="shared" si="882"/>
        <v>ND</v>
      </c>
      <c r="FE170" s="1" t="str">
        <f t="shared" si="882"/>
        <v>ND</v>
      </c>
      <c r="FF170" s="1" t="str">
        <f t="shared" si="882"/>
        <v>ND</v>
      </c>
      <c r="FG170" s="1" t="str">
        <f t="shared" si="882"/>
        <v>ND</v>
      </c>
      <c r="FH170" s="1" t="str">
        <f t="shared" si="882"/>
        <v>ND</v>
      </c>
      <c r="FI170" s="1" t="str">
        <f t="shared" si="882"/>
        <v>ND</v>
      </c>
      <c r="FJ170" s="1" t="str">
        <f t="shared" si="882"/>
        <v>ND</v>
      </c>
      <c r="FK170" s="1" t="str">
        <f t="shared" si="883"/>
        <v>ND</v>
      </c>
      <c r="FL170" s="1" t="str">
        <f t="shared" si="883"/>
        <v>ND</v>
      </c>
      <c r="FM170" s="1" t="str">
        <f t="shared" si="883"/>
        <v>ND</v>
      </c>
      <c r="FN170" s="1" t="str">
        <f t="shared" si="883"/>
        <v>ND</v>
      </c>
      <c r="FO170" s="1" t="str">
        <f t="shared" si="883"/>
        <v>ND</v>
      </c>
      <c r="FP170" s="1" t="str">
        <f t="shared" si="883"/>
        <v>ND</v>
      </c>
      <c r="FQ170" s="1" t="str">
        <f t="shared" si="883"/>
        <v>ND</v>
      </c>
      <c r="FR170" s="1" t="str">
        <f t="shared" si="883"/>
        <v>ND</v>
      </c>
      <c r="FS170" s="1" t="str">
        <f t="shared" si="883"/>
        <v>ND</v>
      </c>
      <c r="FT170" s="1" t="str">
        <f t="shared" si="883"/>
        <v>ND</v>
      </c>
      <c r="FU170" s="1" t="str">
        <f t="shared" si="883"/>
        <v>ND</v>
      </c>
      <c r="FV170" s="1" t="str">
        <f t="shared" si="799"/>
        <v>ND</v>
      </c>
      <c r="FW170" s="1" t="str">
        <f t="shared" si="800"/>
        <v>ND</v>
      </c>
      <c r="FX170" s="1" t="str">
        <f t="shared" si="801"/>
        <v>ND</v>
      </c>
      <c r="FY170" s="1" t="str">
        <f t="shared" si="802"/>
        <v>ND</v>
      </c>
      <c r="FZ170" s="1" t="str">
        <f t="shared" si="803"/>
        <v>ND</v>
      </c>
      <c r="GA170" s="1" t="str">
        <f t="shared" si="804"/>
        <v>ND</v>
      </c>
      <c r="GB170" s="1" t="str">
        <f t="shared" si="805"/>
        <v>ND</v>
      </c>
      <c r="GC170" s="1" t="str">
        <f t="shared" si="806"/>
        <v>ND</v>
      </c>
      <c r="GD170" s="1" t="str">
        <f t="shared" si="807"/>
        <v>ND</v>
      </c>
      <c r="GE170" s="1" t="str">
        <f t="shared" si="808"/>
        <v>ND</v>
      </c>
      <c r="GF170" s="1" t="str">
        <f t="shared" si="809"/>
        <v>ND</v>
      </c>
      <c r="GG170" s="1" t="str">
        <f t="shared" si="810"/>
        <v>ND</v>
      </c>
      <c r="GH170" s="1" t="str">
        <f t="shared" si="811"/>
        <v>ND</v>
      </c>
      <c r="GI170" s="1" t="str">
        <f t="shared" si="812"/>
        <v>ND</v>
      </c>
      <c r="GJ170" s="1" t="str">
        <f t="shared" si="813"/>
        <v>ND</v>
      </c>
      <c r="GK170" s="1" t="str">
        <f t="shared" si="814"/>
        <v>ND</v>
      </c>
      <c r="GL170" s="1" t="str">
        <f t="shared" si="815"/>
        <v>ND</v>
      </c>
      <c r="GM170" s="1" t="str">
        <f t="shared" si="816"/>
        <v>ND</v>
      </c>
      <c r="GN170" s="1" t="str">
        <f t="shared" si="817"/>
        <v>ND</v>
      </c>
      <c r="GO170" s="1" t="str">
        <f t="shared" si="818"/>
        <v>ND</v>
      </c>
      <c r="GP170" s="1" t="str">
        <f t="shared" si="819"/>
        <v>ND</v>
      </c>
      <c r="GQ170" s="1" t="str">
        <f t="shared" si="820"/>
        <v>ND</v>
      </c>
      <c r="GR170" s="1" t="str">
        <f t="shared" si="821"/>
        <v>ND</v>
      </c>
      <c r="GS170" s="1" t="str">
        <f t="shared" si="822"/>
        <v>ND</v>
      </c>
      <c r="GT170" s="1" t="str">
        <f t="shared" si="823"/>
        <v>ND</v>
      </c>
      <c r="GU170" s="1" t="str">
        <f t="shared" si="824"/>
        <v>ND</v>
      </c>
      <c r="GV170" s="1" t="str">
        <f t="shared" si="825"/>
        <v>ND</v>
      </c>
      <c r="GW170" s="1" t="str">
        <f t="shared" si="826"/>
        <v>ND</v>
      </c>
      <c r="GX170" s="1" t="str">
        <f t="shared" si="827"/>
        <v>ND</v>
      </c>
      <c r="GY170" s="1" t="str">
        <f t="shared" si="828"/>
        <v>ND</v>
      </c>
      <c r="GZ170" s="1" t="str">
        <f t="shared" si="829"/>
        <v>ND</v>
      </c>
      <c r="HA170" s="1" t="str">
        <f t="shared" si="830"/>
        <v>ND</v>
      </c>
      <c r="HB170" s="1" t="str">
        <f t="shared" si="831"/>
        <v>ND</v>
      </c>
      <c r="HC170" s="1" t="str">
        <f t="shared" si="832"/>
        <v>ND</v>
      </c>
      <c r="HD170" s="1" t="str">
        <f t="shared" si="833"/>
        <v>ND</v>
      </c>
      <c r="HE170" s="1" t="str">
        <f t="shared" si="834"/>
        <v>ND</v>
      </c>
      <c r="HF170" s="1" t="str">
        <f t="shared" si="835"/>
        <v>ND</v>
      </c>
      <c r="HG170" s="1" t="str">
        <f t="shared" si="836"/>
        <v>ND</v>
      </c>
      <c r="HH170" s="1" t="str">
        <f t="shared" si="837"/>
        <v>ND</v>
      </c>
      <c r="HI170" s="1" t="str">
        <f t="shared" si="838"/>
        <v>ND</v>
      </c>
      <c r="HJ170" s="1" t="str">
        <f t="shared" si="839"/>
        <v>ND</v>
      </c>
      <c r="HK170" s="1" t="str">
        <f t="shared" si="840"/>
        <v>ND</v>
      </c>
      <c r="HL170" s="1" t="str">
        <f t="shared" si="841"/>
        <v>ND</v>
      </c>
      <c r="HM170" s="1" t="str">
        <f t="shared" si="842"/>
        <v>ND</v>
      </c>
      <c r="HN170" s="1" t="str">
        <f t="shared" si="843"/>
        <v>ND</v>
      </c>
      <c r="HO170" s="1" t="str">
        <f t="shared" si="844"/>
        <v>ND</v>
      </c>
      <c r="HP170" s="1" t="str">
        <f t="shared" si="845"/>
        <v>ND</v>
      </c>
      <c r="HQ170" s="1" t="str">
        <f t="shared" si="846"/>
        <v>ND</v>
      </c>
      <c r="HR170" s="1" t="str">
        <f t="shared" si="847"/>
        <v>ND</v>
      </c>
      <c r="HS170" s="1" t="str">
        <f t="shared" si="848"/>
        <v>ND</v>
      </c>
      <c r="HT170" s="1" t="str">
        <f t="shared" si="849"/>
        <v>ND</v>
      </c>
      <c r="HU170" s="1" t="str">
        <f t="shared" si="850"/>
        <v>ND</v>
      </c>
      <c r="HV170" s="1" t="str">
        <f t="shared" si="851"/>
        <v>ND</v>
      </c>
      <c r="HW170" s="1" t="str">
        <f t="shared" si="852"/>
        <v>ND</v>
      </c>
      <c r="HX170" s="1" t="str">
        <f t="shared" si="853"/>
        <v>ND</v>
      </c>
      <c r="HY170" s="1" t="str">
        <f t="shared" si="854"/>
        <v>ND</v>
      </c>
      <c r="HZ170" s="1" t="str">
        <f t="shared" si="855"/>
        <v>ND</v>
      </c>
      <c r="IA170" s="1" t="str">
        <f t="shared" si="856"/>
        <v>ND</v>
      </c>
      <c r="IB170" s="1" t="str">
        <f t="shared" si="857"/>
        <v>ND</v>
      </c>
      <c r="IC170" s="1" t="str">
        <f t="shared" si="858"/>
        <v>ND</v>
      </c>
      <c r="ID170" s="1" t="str">
        <f t="shared" si="859"/>
        <v>ND</v>
      </c>
      <c r="IE170" s="1" t="str">
        <f t="shared" si="860"/>
        <v>ND</v>
      </c>
      <c r="IF170" s="1" t="str">
        <f t="shared" si="861"/>
        <v>ND</v>
      </c>
      <c r="IG170" s="1" t="str">
        <f t="shared" si="862"/>
        <v>ND</v>
      </c>
      <c r="IH170" s="1" t="str">
        <f t="shared" si="863"/>
        <v>ND</v>
      </c>
      <c r="II170" s="1" t="str">
        <f t="shared" si="864"/>
        <v>ND</v>
      </c>
    </row>
    <row r="171" spans="3:243" x14ac:dyDescent="0.25">
      <c r="C171" t="s">
        <v>115</v>
      </c>
      <c r="D171">
        <f>SUMIFS(DICCIONARIO[Cantidad],DICCIONARIO[Modelo],UNIFICADA[[#This Row],[Equipo]])</f>
        <v>0</v>
      </c>
      <c r="E171" s="1">
        <f>IFERROR(VLOOKUP($C171,EQUIPOS[],UNIFICADO!E$9,0),"")</f>
        <v>16</v>
      </c>
      <c r="F171" s="1">
        <f>IFERROR(VLOOKUP($C171,EQUIPOS[],UNIFICADO!F$9,0),"")</f>
        <v>6.1</v>
      </c>
      <c r="G171" s="1">
        <f>IFERROR(VLOOKUP($C171,EQUIPOS[],UNIFICADO!G$9,0),"")</f>
        <v>48</v>
      </c>
      <c r="H171" s="1">
        <f>IFERROR(VLOOKUP($C171,EQUIPOS[],UNIFICADO!H$9,0),"")</f>
        <v>4</v>
      </c>
      <c r="I171" s="1">
        <f>IFERROR(VLOOKUP($C171,EQUIPOS[],UNIFICADO!I$9,0),"")</f>
        <v>12</v>
      </c>
      <c r="J171" s="1" t="str">
        <f>IFERROR(VLOOKUP($C171,EQUIPOS[],UNIFICADO!J$9,0),"")</f>
        <v>512GB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6</v>
      </c>
      <c r="O171" s="1">
        <f>IFERROR(VLOOKUP($C171,EQUIPOS[],UNIFICADO!O$9,0),"")</f>
        <v>206</v>
      </c>
      <c r="P171" s="1">
        <f>IFERROR(VLOOKUP($C171,EQUIPOS[],UNIFICADO!P$9,0),"")</f>
        <v>14.75</v>
      </c>
      <c r="Q171" s="1">
        <f>IFERROR(VLOOKUP($C171,EQUIPOS[],UNIFICADO!Q$9,0),"")</f>
        <v>7.15</v>
      </c>
      <c r="R171" s="1">
        <f>IFERROR(VLOOKUP($C171,EQUIPOS[],UNIFICADO!R$9,0),"")</f>
        <v>0.78500000000000003</v>
      </c>
      <c r="S171" s="1">
        <f>IFERROR(VLOOKUP($C171,EQUIPOS[],UNIFICADO!S$9,0),"")</f>
        <v>3200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ref="V171:V180" si="884">IFERROR(IF(V$9="ND","ND",VLOOKUP($C171,PAR,V$9,0)),"ND")</f>
        <v>ND</v>
      </c>
      <c r="W171" s="1" t="str">
        <f t="shared" ref="W171:W180" si="885">IFERROR(IF(W$9="ND","ND",VLOOKUP($C171,PRP,W$9,0)),"ND")</f>
        <v>ND</v>
      </c>
      <c r="X171" s="1" t="str">
        <f t="shared" ref="X171:Y180" si="886">IF(X$9="ND","ND",VLOOKUP($C171,AC,X$9,0))</f>
        <v>ND</v>
      </c>
      <c r="Y171" s="1" t="str">
        <f t="shared" si="886"/>
        <v>ND</v>
      </c>
      <c r="Z171" s="1" t="str">
        <f t="shared" ref="Z171:AH180" si="887">IFERROR(IF(Z$9="ND","ND",VLOOKUP($C171,AC,Z$9,0)),"ND")</f>
        <v>ND</v>
      </c>
      <c r="AA171" s="1" t="str">
        <f t="shared" si="887"/>
        <v>ND</v>
      </c>
      <c r="AB171" s="1" t="str">
        <f t="shared" si="887"/>
        <v>ND</v>
      </c>
      <c r="AC171" s="1" t="str">
        <f t="shared" si="887"/>
        <v>ND</v>
      </c>
      <c r="AD171" s="1" t="str">
        <f t="shared" si="887"/>
        <v>ND</v>
      </c>
      <c r="AE171" s="1" t="str">
        <f t="shared" si="887"/>
        <v>ND</v>
      </c>
      <c r="AF171" s="1" t="str">
        <f t="shared" si="887"/>
        <v>ND</v>
      </c>
      <c r="AG171" s="1" t="str">
        <f t="shared" si="887"/>
        <v>ND</v>
      </c>
      <c r="AH171" s="1" t="str">
        <f t="shared" si="887"/>
        <v>ND</v>
      </c>
      <c r="AI171" s="1" t="str">
        <f t="shared" ref="AI171:AI180" si="888">IFERROR(ROUNDUP(AJ171/6,2)+29.9,"ND")</f>
        <v>ND</v>
      </c>
      <c r="AJ171" s="1" t="str">
        <f t="shared" ref="AJ171:AJ180" si="889">IFERROR(IF(AJ$9="ND","ND",ROUNDUP(VALUE(VLOOKUP($C171,A6M,AJ$9,0))/6,2)),"ND")</f>
        <v>ND</v>
      </c>
      <c r="AK171" s="1" t="str">
        <f t="shared" ref="AK171:AK180" si="890">IFERROR(ROUNDUP(AL171/6,2)+39.9,"ND")</f>
        <v>ND</v>
      </c>
      <c r="AL171" s="1" t="str">
        <f t="shared" ref="AL171:AL180" si="891">IFERROR(IF(AL$9="ND","ND",ROUNDUP(VALUE(VLOOKUP($C171,A6M,AL$9,0))/6,2)),"ND")</f>
        <v>ND</v>
      </c>
      <c r="AM171" s="1" t="str">
        <f t="shared" ref="AM171:AM180" si="892">IFERROR(ROUNDUP(AN171/6,2)+49.9,"ND")</f>
        <v>ND</v>
      </c>
      <c r="AN171" s="1" t="str">
        <f t="shared" ref="AN171:AN180" si="893">IFERROR(IF(AN$9="ND","ND",VLOOKUP($C171,A6M,AN$9,0)),"ND")</f>
        <v>ND</v>
      </c>
      <c r="AO171" s="1" t="str">
        <f t="shared" ref="AO171:AO180" si="894">IFERROR(ROUNDUP(AP171/6,2)+55.9,"ND")</f>
        <v>ND</v>
      </c>
      <c r="AP171" s="1" t="str">
        <f t="shared" ref="AP171:AP180" si="895">IFERROR(IF(AP$9="ND","ND",VLOOKUP($C171,A6M,AP$9,0)),"ND")</f>
        <v>ND</v>
      </c>
      <c r="AQ171" s="1" t="str">
        <f t="shared" ref="AQ171:AQ180" si="896">IFERROR(ROUNDUP(AR171/6,2)+69.9,"ND")</f>
        <v>ND</v>
      </c>
      <c r="AR171" s="1" t="str">
        <f t="shared" ref="AR171:AR180" si="897">IFERROR(IF(AR$9="ND","ND",VLOOKUP($C171,A6M,AR$9,0)),"ND")</f>
        <v>ND</v>
      </c>
      <c r="AS171" s="1" t="str">
        <f t="shared" ref="AS171:AS180" si="898">IFERROR(ROUNDUP(AT171/6,2)+79.9,"ND")</f>
        <v>ND</v>
      </c>
      <c r="AT171" s="1" t="str">
        <f t="shared" ref="AT171:AT180" si="899">IFERROR(IF(AT$9="ND","ND",VLOOKUP($C171,A6M,AT$9,0)),"ND")</f>
        <v>ND</v>
      </c>
      <c r="AU171" s="1" t="str">
        <f t="shared" ref="AU171:AU180" si="900">IFERROR(ROUNDUP(AV171/6,2)+95.9,"ND")</f>
        <v>ND</v>
      </c>
      <c r="AV171" s="1" t="str">
        <f t="shared" ref="AV171:AV180" si="901">IFERROR(IF(AV$9="ND","ND",VLOOKUP($C171,A6M,AV$9,0)),"ND")</f>
        <v>ND</v>
      </c>
      <c r="AW171" s="1" t="str">
        <f t="shared" ref="AW171:AW180" si="902">IFERROR(ROUNDUP(AX171/6,2)+109.9,"ND")</f>
        <v>ND</v>
      </c>
      <c r="AX171" s="1" t="str">
        <f t="shared" ref="AX171:AX180" si="903">IFERROR(IF(AX$9="ND","ND",VLOOKUP($C171,A6M,AX$9,0)),"ND")</f>
        <v>ND</v>
      </c>
      <c r="AY171" s="1" t="str">
        <f t="shared" ref="AY171:AY180" si="904">IFERROR(ROUNDUP(AZ171/6,2)+159.9,"ND")</f>
        <v>ND</v>
      </c>
      <c r="AZ171" s="1" t="str">
        <f t="shared" ref="AZ171:AZ180" si="905">IFERROR(IF(AZ$9="ND","ND",VLOOKUP($C171,A6M,AZ$9,0)),"ND")</f>
        <v>ND</v>
      </c>
      <c r="BA171" s="1" t="str">
        <f t="shared" ref="BA171:BA180" si="906">IFERROR(ROUNDUP(BB171/6,2)+189.9,"ND")</f>
        <v>ND</v>
      </c>
      <c r="BB171" s="1" t="str">
        <f t="shared" ref="BB171:BB180" si="907">IFERROR(IF(BB$9="ND","ND",VLOOKUP($C171,A6M,BB$9,0)),"ND")</f>
        <v>ND</v>
      </c>
      <c r="BC171" s="1" t="str">
        <f t="shared" ref="BC171:BC180" si="908">IFERROR(ROUNDUP(BD171/6,2)+289.9,"ND")</f>
        <v>ND</v>
      </c>
      <c r="BD171" s="1" t="str">
        <f t="shared" ref="BD171:BD180" si="909">IFERROR(IF(BD$9="ND","ND",VLOOKUP($C171,A6M,BD$9,0)),"ND")</f>
        <v>ND</v>
      </c>
      <c r="BE171" s="1" t="str">
        <f t="shared" ref="BE171:BE180" si="910">IFERROR(ROUNDUP(BF171/12,2)+29.9,"ND")</f>
        <v>ND</v>
      </c>
      <c r="BF171" s="1" t="str">
        <f t="shared" ref="BF171:BF180" si="911">IFERROR(IF(BF$9="ND","ND",VLOOKUP($C171,A12M,BF$9,0)),"ND")</f>
        <v>ND</v>
      </c>
      <c r="BG171" s="1" t="str">
        <f t="shared" ref="BG171:BG180" si="912">IFERROR(ROUNDUP(BH171/12,2)+39.9,"ND")</f>
        <v>ND</v>
      </c>
      <c r="BH171" s="1" t="str">
        <f t="shared" ref="BH171:BH180" si="913">IFERROR(IF(BH$9="ND","ND",VLOOKUP($C171,A12M,BH$9,0)),"ND")</f>
        <v>ND</v>
      </c>
      <c r="BI171" s="1" t="str">
        <f t="shared" ref="BI171:BI180" si="914">IFERROR(ROUNDUP(BJ171/12,2)+49.9,"ND")</f>
        <v>ND</v>
      </c>
      <c r="BJ171" s="1" t="str">
        <f t="shared" ref="BJ171:BJ180" si="915">IFERROR(IF(BJ$9="ND","ND",VLOOKUP($C171,A12M,BJ$9,0)),"ND")</f>
        <v>ND</v>
      </c>
      <c r="BK171" s="1" t="str">
        <f t="shared" ref="BK171:BK180" si="916">IFERROR(ROUNDUP(BL171/12,2)+55.9,"ND")</f>
        <v>ND</v>
      </c>
      <c r="BL171" s="1" t="str">
        <f t="shared" ref="BL171:BL180" si="917">IFERROR(IF(BL$9="ND","ND",VLOOKUP($C171,A12M,BL$9,0)),"ND")</f>
        <v>ND</v>
      </c>
      <c r="BM171" s="1" t="str">
        <f t="shared" ref="BM171:BM180" si="918">IFERROR(ROUNDUP(BN171/12,2)+69.9,"ND")</f>
        <v>ND</v>
      </c>
      <c r="BN171" s="1" t="str">
        <f t="shared" ref="BN171:BN180" si="919">IFERROR(IF(BN$9="ND","ND",VLOOKUP($C171,A12M,BN$9,0)),"ND")</f>
        <v>ND</v>
      </c>
      <c r="BO171" s="1" t="str">
        <f t="shared" ref="BO171:BO180" si="920">IFERROR(ROUNDUP(BP171/12,2)+79.9,"ND")</f>
        <v>ND</v>
      </c>
      <c r="BP171" s="1" t="str">
        <f t="shared" ref="BP171:BP180" si="921">IFERROR(IF(BP$9="ND","ND",VLOOKUP($C171,A12M,BP$9,0)),"ND")</f>
        <v>ND</v>
      </c>
      <c r="BQ171" s="1" t="str">
        <f t="shared" ref="BQ171:BQ180" si="922">IFERROR(ROUNDUP(BR171/12,2)+95.9,"ND")</f>
        <v>ND</v>
      </c>
      <c r="BR171" s="1" t="str">
        <f t="shared" ref="BR171:BR180" si="923">IFERROR(IF(BR$9="ND","ND",VLOOKUP($C171,A12M,BR$9,0)),"ND")</f>
        <v>ND</v>
      </c>
      <c r="BS171" s="1" t="str">
        <f t="shared" ref="BS171:BS180" si="924">IFERROR(ROUNDUP(BT171/12,2)+109.9,"ND")</f>
        <v>ND</v>
      </c>
      <c r="BT171" s="1" t="str">
        <f t="shared" ref="BT171:BT180" si="925">IFERROR(IF(BT$9="ND","ND",VLOOKUP($C171,A12M,BT$9,0)),"ND")</f>
        <v>ND</v>
      </c>
      <c r="BU171" s="1" t="str">
        <f t="shared" ref="BU171:BU180" si="926">IFERROR(ROUNDUP(BV171/12,2)+159.9,"ND")</f>
        <v>ND</v>
      </c>
      <c r="BV171" s="1" t="str">
        <f t="shared" ref="BV171:BV180" si="927">IFERROR(IF(BV$9="ND","ND",VLOOKUP($C171,A12M,BV$9,0)),"ND")</f>
        <v>ND</v>
      </c>
      <c r="BW171" s="1" t="str">
        <f t="shared" ref="BW171:BW180" si="928">IFERROR(ROUNDUP(BX171/12,2)+189.9,"ND")</f>
        <v>ND</v>
      </c>
      <c r="BX171" s="1" t="str">
        <f t="shared" ref="BX171:BX180" si="929">IFERROR(IF(BX$9="ND","ND",VLOOKUP($C171,A12M,BX$9,0)),"ND")</f>
        <v>ND</v>
      </c>
      <c r="BY171" s="1" t="str">
        <f t="shared" ref="BY171:BY180" si="930">IFERROR(ROUNDUP(BZ171/12,2)+289.9,"ND")</f>
        <v>ND</v>
      </c>
      <c r="BZ171" s="1" t="str">
        <f t="shared" ref="BZ171:BZ180" si="931">IFERROR(IF(BZ$9="ND","ND",VLOOKUP($C171,A12M,BZ$9,0)),"ND")</f>
        <v>ND</v>
      </c>
      <c r="CA171" s="1" t="str">
        <f t="shared" ref="CA171:CK180" si="932">IFERROR(IF(CA$9="ND","ND",VLOOKUP($C171,FULLC,CA$9,0)),"ND")</f>
        <v>ND</v>
      </c>
      <c r="CB171" s="1" t="str">
        <f t="shared" si="932"/>
        <v>ND</v>
      </c>
      <c r="CC171" s="1" t="str">
        <f t="shared" si="932"/>
        <v>ND</v>
      </c>
      <c r="CD171" s="1" t="str">
        <f t="shared" si="932"/>
        <v>ND</v>
      </c>
      <c r="CE171" s="1" t="str">
        <f t="shared" si="932"/>
        <v>ND</v>
      </c>
      <c r="CF171" s="1" t="str">
        <f t="shared" si="932"/>
        <v>ND</v>
      </c>
      <c r="CG171" s="1" t="str">
        <f t="shared" si="932"/>
        <v>ND</v>
      </c>
      <c r="CH171" s="1" t="str">
        <f t="shared" si="932"/>
        <v>ND</v>
      </c>
      <c r="CI171" s="1" t="str">
        <f t="shared" si="932"/>
        <v>ND</v>
      </c>
      <c r="CJ171" s="1" t="str">
        <f t="shared" si="932"/>
        <v>ND</v>
      </c>
      <c r="CK171" s="1" t="str">
        <f t="shared" si="932"/>
        <v>ND</v>
      </c>
      <c r="CL171" s="1" t="str">
        <f t="shared" ref="CL171:CV180" si="933">IFERROR(IF(CL$9="ND","ND",VLOOKUP($C171,LINA,CL$9,0)),"ND")</f>
        <v>ND</v>
      </c>
      <c r="CM171" s="1" t="str">
        <f t="shared" si="933"/>
        <v>ND</v>
      </c>
      <c r="CN171" s="1" t="str">
        <f t="shared" si="933"/>
        <v>ND</v>
      </c>
      <c r="CO171" s="1" t="str">
        <f t="shared" si="933"/>
        <v>ND</v>
      </c>
      <c r="CP171" s="1" t="str">
        <f t="shared" si="933"/>
        <v>ND</v>
      </c>
      <c r="CQ171" s="1" t="str">
        <f t="shared" si="933"/>
        <v>ND</v>
      </c>
      <c r="CR171" s="1" t="str">
        <f t="shared" si="933"/>
        <v>ND</v>
      </c>
      <c r="CS171" s="1" t="str">
        <f t="shared" si="933"/>
        <v>ND</v>
      </c>
      <c r="CT171" s="1" t="str">
        <f t="shared" si="933"/>
        <v>ND</v>
      </c>
      <c r="CU171" s="1" t="str">
        <f t="shared" si="933"/>
        <v>ND</v>
      </c>
      <c r="CV171" s="1" t="str">
        <f t="shared" si="933"/>
        <v>ND</v>
      </c>
      <c r="CW171" s="1" t="str">
        <f t="shared" ref="CW171:CW180" si="934">IFERROR(ROUNDUP(CX171/6,2)+29.9,"ND")</f>
        <v>ND</v>
      </c>
      <c r="CX171" s="1" t="str">
        <f t="shared" ref="CX171:CX180" si="935">IFERROR(IF(CX$9="ND","ND",VLOOKUP($C171,AC6M,CX$9,0)),"ND")</f>
        <v>ND</v>
      </c>
      <c r="CY171" s="1" t="str">
        <f t="shared" ref="CY171:CY180" si="936">IFERROR(ROUNDUP(CZ171/6,2)+39.9,"ND")</f>
        <v>ND</v>
      </c>
      <c r="CZ171" s="1" t="str">
        <f t="shared" ref="CZ171:CZ180" si="937">IFERROR(IF(CZ$9="ND","ND",VLOOKUP($C171,AC6M,CZ$9,0)),"ND")</f>
        <v>ND</v>
      </c>
      <c r="DA171" s="1" t="str">
        <f t="shared" ref="DA171:DA180" si="938">IFERROR(ROUNDUP(DB171/6,2)+49.9,"ND")</f>
        <v>ND</v>
      </c>
      <c r="DB171" s="1" t="str">
        <f t="shared" ref="DB171:DB180" si="939">IFERROR(IF(DB$9="ND","ND",VLOOKUP($C171,AC6M,DB$9,0)),"ND")</f>
        <v>ND</v>
      </c>
      <c r="DC171" s="1" t="str">
        <f t="shared" ref="DC171:DC180" si="940">IFERROR(ROUNDUP(DD171/6,2)+55.9,"ND")</f>
        <v>ND</v>
      </c>
      <c r="DD171" s="1" t="str">
        <f t="shared" ref="DD171:DD180" si="941">IFERROR(IF(DD$9="ND","ND",VLOOKUP($C171,AC6M,DD$9,0)),"ND")</f>
        <v>ND</v>
      </c>
      <c r="DE171" s="1" t="str">
        <f t="shared" ref="DE171:DE180" si="942">IFERROR(ROUNDUP(DF171/6,2)+69.9,"ND")</f>
        <v>ND</v>
      </c>
      <c r="DF171" s="1" t="str">
        <f t="shared" ref="DF171:DF180" si="943">IFERROR(IF(DF$9="ND","ND",VLOOKUP($C171,AC6M,DF$9,0)),"ND")</f>
        <v>ND</v>
      </c>
      <c r="DG171" s="1" t="str">
        <f t="shared" ref="DG171:DG180" si="944">IFERROR(ROUNDUP(DH171/6,2)+79.9,"ND")</f>
        <v>ND</v>
      </c>
      <c r="DH171" s="1" t="str">
        <f t="shared" ref="DH171:DH180" si="945">IFERROR(IF(DH$9="ND","ND",VLOOKUP($C171,AC6M,DH$9,0)),"ND")</f>
        <v>ND</v>
      </c>
      <c r="DI171" s="1" t="str">
        <f t="shared" ref="DI171:DI180" si="946">IFERROR(ROUNDUP(DJ171/6,2)+95.9,"ND")</f>
        <v>ND</v>
      </c>
      <c r="DJ171" s="1" t="str">
        <f t="shared" ref="DJ171:DJ180" si="947">IFERROR(IF(DJ$9="ND","ND",VLOOKUP($C171,AC6M,DJ$9,0)),"ND")</f>
        <v>ND</v>
      </c>
      <c r="DK171" s="1" t="str">
        <f t="shared" ref="DK171:DK180" si="948">IFERROR(ROUNDUP(DL171/6,2)+109.9,"ND")</f>
        <v>ND</v>
      </c>
      <c r="DL171" s="1" t="str">
        <f t="shared" ref="DL171:DL180" si="949">IFERROR(IF(DL$9="ND","ND",VLOOKUP($C171,AC6M,DL$9,0)),"ND")</f>
        <v>ND</v>
      </c>
      <c r="DM171" s="1" t="str">
        <f t="shared" ref="DM171:DM180" si="950">IFERROR(ROUNDUP(DN171/6,2)+159.9,"ND")</f>
        <v>ND</v>
      </c>
      <c r="DN171" s="1" t="str">
        <f t="shared" ref="DN171:DN180" si="951">IFERROR(IF(DN$9="ND","ND",VLOOKUP($C171,AC6M,DN$9,0)),"ND")</f>
        <v>ND</v>
      </c>
      <c r="DO171" s="1" t="str">
        <f t="shared" ref="DO171:DO180" si="952">IFERROR(ROUNDUP(DP171/6,2)+189.9,"ND")</f>
        <v>ND</v>
      </c>
      <c r="DP171" s="1" t="str">
        <f t="shared" ref="DP171:DP180" si="953">IFERROR(IF(DP$9="ND","ND",VLOOKUP($C171,AC6M,DP$9,0)),"ND")</f>
        <v>ND</v>
      </c>
      <c r="DQ171" s="1" t="str">
        <f t="shared" ref="DQ171:DQ180" si="954">IFERROR(ROUNDUP(DR171/6,2)+289.9,"ND")</f>
        <v>ND</v>
      </c>
      <c r="DR171" s="1" t="str">
        <f t="shared" ref="DR171:DR180" si="955">IFERROR(IF(DR$9="ND","ND",VLOOKUP($C171,AC6M,DR$9,0)),"ND")</f>
        <v>ND</v>
      </c>
      <c r="DS171" s="1" t="str">
        <f t="shared" ref="DS171:DS180" si="956">IFERROR(ROUNDUP(DT171/12,2)+29.9,"ND")</f>
        <v>ND</v>
      </c>
      <c r="DT171" s="1" t="str">
        <f t="shared" ref="DT171:DT180" si="957">IFERROR(IF(DT$9="ND","ND",VLOOKUP($C171,AC12M,DT$9,0)),"ND")</f>
        <v>ND</v>
      </c>
      <c r="DU171" s="1" t="str">
        <f t="shared" ref="DU171:DU180" si="958">IFERROR(ROUNDUP(DV171/12,2)+39.9,"ND")</f>
        <v>ND</v>
      </c>
      <c r="DV171" s="1" t="str">
        <f t="shared" ref="DV171:DV180" si="959">IFERROR(IF(DV$9="ND","ND",VLOOKUP($C171,AC12M,DV$9,0)),"ND")</f>
        <v>ND</v>
      </c>
      <c r="DW171" s="1" t="str">
        <f t="shared" ref="DW171:DW180" si="960">IFERROR(ROUNDUP(DX171/12,2)+49.9,"ND")</f>
        <v>ND</v>
      </c>
      <c r="DX171" s="1" t="str">
        <f t="shared" ref="DX171:DX180" si="961">IFERROR(IF(DX$9="ND","ND",VLOOKUP($C171,AC12M,DX$9,0)),"ND")</f>
        <v>ND</v>
      </c>
      <c r="DY171" s="1" t="str">
        <f t="shared" ref="DY171:DY180" si="962">IFERROR(ROUNDUP(DZ171/12,2)+55.9,"ND")</f>
        <v>ND</v>
      </c>
      <c r="DZ171" s="1" t="str">
        <f t="shared" ref="DZ171:DZ180" si="963">IFERROR(IF(DZ$9="ND","ND",VLOOKUP($C171,AC12M,DZ$9,0)),"ND")</f>
        <v>ND</v>
      </c>
      <c r="EA171" s="1" t="str">
        <f t="shared" ref="EA171:EA180" si="964">IFERROR(ROUNDUP(EB171/12,2)+69.9,"ND")</f>
        <v>ND</v>
      </c>
      <c r="EB171" s="1" t="str">
        <f t="shared" ref="EB171:EB180" si="965">IFERROR(IF(EB$9="ND","ND",VLOOKUP($C171,AC12M,EB$9,0)),"ND")</f>
        <v>ND</v>
      </c>
      <c r="EC171" s="1" t="str">
        <f t="shared" ref="EC171:EC180" si="966">IFERROR(ROUNDUP(ED171/12,2)+79.9,"ND")</f>
        <v>ND</v>
      </c>
      <c r="ED171" s="1" t="str">
        <f t="shared" ref="ED171:ED180" si="967">IFERROR(IF(ED$9="ND","ND",VLOOKUP($C171,AC12M,ED$9,0)),"ND")</f>
        <v>ND</v>
      </c>
      <c r="EE171" s="1" t="str">
        <f t="shared" ref="EE171:EE180" si="968">IFERROR(ROUNDUP(EF171/12,2)+95.9,"ND")</f>
        <v>ND</v>
      </c>
      <c r="EF171" s="1" t="str">
        <f t="shared" ref="EF171:EF180" si="969">IFERROR(IF(EF$9="ND","ND",VLOOKUP($C171,AC12M,EF$9,0)),"ND")</f>
        <v>ND</v>
      </c>
      <c r="EG171" s="1" t="str">
        <f t="shared" ref="EG171:EG180" si="970">IFERROR(ROUNDUP(EH171/12,2)+109.9,"ND")</f>
        <v>ND</v>
      </c>
      <c r="EH171" s="1" t="str">
        <f t="shared" ref="EH171:EH180" si="971">IFERROR(IF(EH$9="ND","ND",VLOOKUP($C171,AC12M,EH$9,0)),"ND")</f>
        <v>ND</v>
      </c>
      <c r="EI171" s="1" t="str">
        <f t="shared" ref="EI171:EI180" si="972">IFERROR(ROUNDUP(EJ171/12,2)+159.9,"ND")</f>
        <v>ND</v>
      </c>
      <c r="EJ171" s="1" t="str">
        <f t="shared" ref="EJ171:EJ180" si="973">IFERROR(IF(EJ$9="ND","ND",VLOOKUP($C171,AC12M,EJ$9,0)),"ND")</f>
        <v>ND</v>
      </c>
      <c r="EK171" s="1" t="str">
        <f t="shared" ref="EK171:EK180" si="974">IFERROR(ROUNDUP(EL171/12,2)+189.9,"ND")</f>
        <v>ND</v>
      </c>
      <c r="EL171" s="1" t="str">
        <f t="shared" ref="EL171:EL180" si="975">IFERROR(IF(EL$9="ND","ND",VLOOKUP($C171,AC12M,EL$9,0)),"ND")</f>
        <v>ND</v>
      </c>
      <c r="EM171" s="1" t="str">
        <f t="shared" ref="EM171:EM180" si="976">IFERROR(ROUNDUP(EN171/12,2)+289.9,"ND")</f>
        <v>ND</v>
      </c>
      <c r="EN171" s="1" t="str">
        <f t="shared" ref="EN171:EN180" si="977">IFERROR(IF(EN$9="ND","ND",VLOOKUP($C171,AC12M,EN$9,0)),"ND")</f>
        <v>ND</v>
      </c>
      <c r="EO171" s="1" t="str">
        <f t="shared" ref="EO171:EY180" si="978">IFERROR(IF(EO$9="ND","ND",VLOOKUP($C171,PAR,EO$9,0)),"ND")</f>
        <v>ND</v>
      </c>
      <c r="EP171" s="1" t="str">
        <f t="shared" si="978"/>
        <v>ND</v>
      </c>
      <c r="EQ171" s="1" t="str">
        <f t="shared" si="978"/>
        <v>ND</v>
      </c>
      <c r="ER171" s="1" t="str">
        <f t="shared" si="978"/>
        <v>ND</v>
      </c>
      <c r="ES171" s="1" t="str">
        <f t="shared" si="978"/>
        <v>ND</v>
      </c>
      <c r="ET171" s="1" t="str">
        <f t="shared" si="978"/>
        <v>ND</v>
      </c>
      <c r="EU171" s="1" t="str">
        <f t="shared" si="978"/>
        <v>ND</v>
      </c>
      <c r="EV171" s="1" t="str">
        <f t="shared" si="978"/>
        <v>ND</v>
      </c>
      <c r="EW171" s="1" t="str">
        <f t="shared" si="978"/>
        <v>ND</v>
      </c>
      <c r="EX171" s="1" t="str">
        <f t="shared" si="978"/>
        <v>ND</v>
      </c>
      <c r="EY171" s="1" t="str">
        <f t="shared" si="978"/>
        <v>ND</v>
      </c>
      <c r="EZ171" s="1" t="str">
        <f t="shared" ref="EZ171:FJ180" si="979">IFERROR(IF(EZ$9="ND","ND",VLOOKUP($C171,PE,EZ$9,0)),"ND")</f>
        <v>ND</v>
      </c>
      <c r="FA171" s="1" t="str">
        <f t="shared" si="979"/>
        <v>ND</v>
      </c>
      <c r="FB171" s="1" t="str">
        <f t="shared" si="979"/>
        <v>ND</v>
      </c>
      <c r="FC171" s="1" t="str">
        <f t="shared" si="979"/>
        <v>ND</v>
      </c>
      <c r="FD171" s="1" t="str">
        <f t="shared" si="979"/>
        <v>ND</v>
      </c>
      <c r="FE171" s="1" t="str">
        <f t="shared" si="979"/>
        <v>ND</v>
      </c>
      <c r="FF171" s="1" t="str">
        <f t="shared" si="979"/>
        <v>ND</v>
      </c>
      <c r="FG171" s="1" t="str">
        <f t="shared" si="979"/>
        <v>ND</v>
      </c>
      <c r="FH171" s="1" t="str">
        <f t="shared" si="979"/>
        <v>ND</v>
      </c>
      <c r="FI171" s="1" t="str">
        <f t="shared" si="979"/>
        <v>ND</v>
      </c>
      <c r="FJ171" s="1" t="str">
        <f t="shared" si="979"/>
        <v>ND</v>
      </c>
      <c r="FK171" s="1" t="str">
        <f t="shared" ref="FK171:FU180" si="980">IFERROR(IF(FK$9="ND","ND",VLOOKUP($C171,RE,FK$9,0)),"ND")</f>
        <v>ND</v>
      </c>
      <c r="FL171" s="1" t="str">
        <f t="shared" si="980"/>
        <v>ND</v>
      </c>
      <c r="FM171" s="1" t="str">
        <f t="shared" si="980"/>
        <v>ND</v>
      </c>
      <c r="FN171" s="1" t="str">
        <f t="shared" si="980"/>
        <v>ND</v>
      </c>
      <c r="FO171" s="1" t="str">
        <f t="shared" si="980"/>
        <v>ND</v>
      </c>
      <c r="FP171" s="1" t="str">
        <f t="shared" si="980"/>
        <v>ND</v>
      </c>
      <c r="FQ171" s="1" t="str">
        <f t="shared" si="980"/>
        <v>ND</v>
      </c>
      <c r="FR171" s="1" t="str">
        <f t="shared" si="980"/>
        <v>ND</v>
      </c>
      <c r="FS171" s="1" t="str">
        <f t="shared" si="980"/>
        <v>ND</v>
      </c>
      <c r="FT171" s="1" t="str">
        <f t="shared" si="980"/>
        <v>ND</v>
      </c>
      <c r="FU171" s="1" t="str">
        <f t="shared" si="980"/>
        <v>ND</v>
      </c>
      <c r="FV171" s="1" t="str">
        <f t="shared" ref="FV171:FV180" si="981">IFERROR(ROUNDUP(FW171/6,2)+29.9,"ND")</f>
        <v>ND</v>
      </c>
      <c r="FW171" s="1" t="str">
        <f t="shared" ref="FW171:FW180" si="982">IFERROR(IF(FW$9="ND","ND",VLOOKUP($C171,LC6M,FW$9,0)),"ND")</f>
        <v>ND</v>
      </c>
      <c r="FX171" s="1" t="str">
        <f t="shared" ref="FX171:FX180" si="983">IFERROR(ROUNDUP(FY171/6,2)+39.9,"ND")</f>
        <v>ND</v>
      </c>
      <c r="FY171" s="1" t="str">
        <f t="shared" ref="FY171:FY180" si="984">IFERROR(IF(FY$9="ND","ND",VLOOKUP($C171,LC6M,FY$9,0)),"ND")</f>
        <v>ND</v>
      </c>
      <c r="FZ171" s="1" t="str">
        <f t="shared" ref="FZ171:FZ180" si="985">IFERROR(ROUNDUP(GA171/6,2)+49.9,"ND")</f>
        <v>ND</v>
      </c>
      <c r="GA171" s="1" t="str">
        <f t="shared" ref="GA171:GA180" si="986">IFERROR(IF(GA$9="ND","ND",VLOOKUP($C171,LC6M,GA$9,0)),"ND")</f>
        <v>ND</v>
      </c>
      <c r="GB171" s="1" t="str">
        <f t="shared" ref="GB171:GB180" si="987">IFERROR(ROUNDUP(GC171/6,2)+55.9,"ND")</f>
        <v>ND</v>
      </c>
      <c r="GC171" s="1" t="str">
        <f t="shared" ref="GC171:GC180" si="988">IFERROR(IF(GC$9="ND","ND",VLOOKUP($C171,LC6M,GC$9,0)),"ND")</f>
        <v>ND</v>
      </c>
      <c r="GD171" s="1" t="str">
        <f t="shared" ref="GD171:GD180" si="989">IFERROR(ROUNDUP(GE171/6,2)+69.9,"ND")</f>
        <v>ND</v>
      </c>
      <c r="GE171" s="1" t="str">
        <f t="shared" ref="GE171:GE180" si="990">IFERROR(IF(GE$9="ND","ND",VLOOKUP($C171,LC6M,GE$9,0)),"ND")</f>
        <v>ND</v>
      </c>
      <c r="GF171" s="1" t="str">
        <f t="shared" ref="GF171:GF180" si="991">IFERROR(ROUNDUP(GG171/6,2)+79.9,"ND")</f>
        <v>ND</v>
      </c>
      <c r="GG171" s="1" t="str">
        <f t="shared" ref="GG171:GG180" si="992">IFERROR(IF(GG$9="ND","ND",VLOOKUP($C171,LC6M,GG$9,0)),"ND")</f>
        <v>ND</v>
      </c>
      <c r="GH171" s="1" t="str">
        <f t="shared" ref="GH171:GH180" si="993">IFERROR(ROUNDUP(GI171/6,2)+95.9,"ND")</f>
        <v>ND</v>
      </c>
      <c r="GI171" s="1" t="str">
        <f t="shared" ref="GI171:GI180" si="994">IFERROR(IF(GI$9="ND","ND",VLOOKUP($C171,LC6M,GI$9,0)),"ND")</f>
        <v>ND</v>
      </c>
      <c r="GJ171" s="1" t="str">
        <f t="shared" ref="GJ171:GJ180" si="995">IFERROR(ROUNDUP(GK171/6,2)+109.9,"ND")</f>
        <v>ND</v>
      </c>
      <c r="GK171" s="1" t="str">
        <f t="shared" ref="GK171:GK180" si="996">IFERROR(IF(GK$9="ND","ND",VLOOKUP($C171,LC6M,GK$9,0)),"ND")</f>
        <v>ND</v>
      </c>
      <c r="GL171" s="1" t="str">
        <f t="shared" ref="GL171:GL180" si="997">IFERROR(ROUNDUP(GM171/6,2)+159.9,"ND")</f>
        <v>ND</v>
      </c>
      <c r="GM171" s="1" t="str">
        <f t="shared" ref="GM171:GM180" si="998">IFERROR(IF(GM$9="ND","ND",VLOOKUP($C171,LC6M,GM$9,0)),"ND")</f>
        <v>ND</v>
      </c>
      <c r="GN171" s="1" t="str">
        <f t="shared" ref="GN171:GN180" si="999">IFERROR(ROUNDUP(GO171/6,2)+189.9,"ND")</f>
        <v>ND</v>
      </c>
      <c r="GO171" s="1" t="str">
        <f t="shared" ref="GO171:GO180" si="1000">IFERROR(IF(GO$9="ND","ND",VLOOKUP($C171,LC6M,GO$9,0)),"ND")</f>
        <v>ND</v>
      </c>
      <c r="GP171" s="1" t="str">
        <f t="shared" ref="GP171:GP180" si="1001">IFERROR(ROUNDUP(GQ171/6,2)+289.9,"ND")</f>
        <v>ND</v>
      </c>
      <c r="GQ171" s="1" t="str">
        <f t="shared" ref="GQ171:GQ180" si="1002">IFERROR(IF(GQ$9="ND","ND",VLOOKUP($C171,LC6M,GQ$9,0)),"ND")</f>
        <v>ND</v>
      </c>
      <c r="GR171" s="1" t="str">
        <f t="shared" ref="GR171:GR180" si="1003">IFERROR(ROUNDUP(GS171/12,2)+29.9,"ND")</f>
        <v>ND</v>
      </c>
      <c r="GS171" s="1" t="str">
        <f t="shared" ref="GS171:GS180" si="1004">IFERROR(IF(GS$9="ND","ND",VLOOKUP($C171,LP12M,GS$9,0)),"ND")</f>
        <v>ND</v>
      </c>
      <c r="GT171" s="1" t="str">
        <f t="shared" ref="GT171:GT180" si="1005">IFERROR(ROUNDUP(GU171/12,2)+39.9,"ND")</f>
        <v>ND</v>
      </c>
      <c r="GU171" s="1" t="str">
        <f t="shared" ref="GU171:GU180" si="1006">IFERROR(IF(GU$9="ND","ND",VLOOKUP($C171,LP12M,GU$9,0)),"ND")</f>
        <v>ND</v>
      </c>
      <c r="GV171" s="1" t="str">
        <f t="shared" ref="GV171:GV180" si="1007">IFERROR(ROUNDUP(GW171/12,2)+49.9,"ND")</f>
        <v>ND</v>
      </c>
      <c r="GW171" s="1" t="str">
        <f t="shared" ref="GW171:GW180" si="1008">IFERROR(IF(GW$9="ND","ND",VLOOKUP($C171,LP12M,GW$9,0)),"ND")</f>
        <v>ND</v>
      </c>
      <c r="GX171" s="1" t="str">
        <f t="shared" ref="GX171:GX180" si="1009">IFERROR(ROUNDUP(GY171/12,2)+55.9,"ND")</f>
        <v>ND</v>
      </c>
      <c r="GY171" s="1" t="str">
        <f t="shared" ref="GY171:GY180" si="1010">IFERROR(IF(GY$9="ND","ND",VLOOKUP($C171,LP12M,GY$9,0)),"ND")</f>
        <v>ND</v>
      </c>
      <c r="GZ171" s="1" t="str">
        <f t="shared" ref="GZ171:GZ180" si="1011">IFERROR(ROUNDUP(HA171/12,2)+69.9,"ND")</f>
        <v>ND</v>
      </c>
      <c r="HA171" s="1" t="str">
        <f t="shared" ref="HA171:HA180" si="1012">IFERROR(IF(HA$9="ND","ND",VLOOKUP($C171,LP12M,HA$9,0)),"ND")</f>
        <v>ND</v>
      </c>
      <c r="HB171" s="1" t="str">
        <f t="shared" ref="HB171:HB180" si="1013">IFERROR(ROUNDUP(HC171/12,2)+79.9,"ND")</f>
        <v>ND</v>
      </c>
      <c r="HC171" s="1" t="str">
        <f t="shared" ref="HC171:HC180" si="1014">IFERROR(IF(HC$9="ND","ND",VLOOKUP($C171,LP12M,HC$9,0)),"ND")</f>
        <v>ND</v>
      </c>
      <c r="HD171" s="1" t="str">
        <f t="shared" ref="HD171:HD180" si="1015">IFERROR(ROUNDUP(HE171/12,2)+95.9,"ND")</f>
        <v>ND</v>
      </c>
      <c r="HE171" s="1" t="str">
        <f t="shared" ref="HE171:HE180" si="1016">IFERROR(IF(HE$9="ND","ND",VLOOKUP($C171,LP12M,HE$9,0)),"ND")</f>
        <v>ND</v>
      </c>
      <c r="HF171" s="1" t="str">
        <f t="shared" ref="HF171:HF180" si="1017">IFERROR(ROUNDUP(HG171/12,2)+109.9,"ND")</f>
        <v>ND</v>
      </c>
      <c r="HG171" s="1" t="str">
        <f t="shared" ref="HG171:HG180" si="1018">IFERROR(IF(HG$9="ND","ND",VLOOKUP($C171,LP12M,HG$9,0)),"ND")</f>
        <v>ND</v>
      </c>
      <c r="HH171" s="1" t="str">
        <f t="shared" ref="HH171:HH180" si="1019">IFERROR(ROUNDUP(HI171/12,2)+159.9,"ND")</f>
        <v>ND</v>
      </c>
      <c r="HI171" s="1" t="str">
        <f t="shared" ref="HI171:HI180" si="1020">IFERROR(IF(HI$9="ND","ND",VLOOKUP($C171,LP12M,HI$9,0)),"ND")</f>
        <v>ND</v>
      </c>
      <c r="HJ171" s="1" t="str">
        <f t="shared" ref="HJ171:HJ180" si="1021">IFERROR(ROUNDUP(HK171/12,2)+189.9,"ND")</f>
        <v>ND</v>
      </c>
      <c r="HK171" s="1" t="str">
        <f t="shared" ref="HK171:HK180" si="1022">IFERROR(IF(HK$9="ND","ND",VLOOKUP($C171,LP12M,HK$9,0)),"ND")</f>
        <v>ND</v>
      </c>
      <c r="HL171" s="1" t="str">
        <f t="shared" ref="HL171:HL180" si="1023">IFERROR(ROUNDUP(HM171/12,2)+289.9,"ND")</f>
        <v>ND</v>
      </c>
      <c r="HM171" s="1" t="str">
        <f t="shared" ref="HM171:HM180" si="1024">IFERROR(IF(HM$9="ND","ND",VLOOKUP($C171,LP12M,HM$9,0)),"ND")</f>
        <v>ND</v>
      </c>
      <c r="HN171" s="1" t="str">
        <f t="shared" ref="HN171:HN180" si="1025">IFERROR(ROUNDUP(HO171/12,2)+29.9,"ND")</f>
        <v>ND</v>
      </c>
      <c r="HO171" s="1" t="str">
        <f t="shared" ref="HO171:HO180" si="1026">IFERROR(IF(HO$9="ND","ND",VLOOKUP($C171,LR12M,HO$9,0)),"ND")</f>
        <v>ND</v>
      </c>
      <c r="HP171" s="1" t="str">
        <f t="shared" ref="HP171:HP180" si="1027">IFERROR(ROUNDUP(HQ171/12,2)+39.9,"ND")</f>
        <v>ND</v>
      </c>
      <c r="HQ171" s="1" t="str">
        <f t="shared" ref="HQ171:HQ180" si="1028">IFERROR(IF(HQ$9="ND","ND",VLOOKUP($C171,LR12M,HQ$9,0)),"ND")</f>
        <v>ND</v>
      </c>
      <c r="HR171" s="1" t="str">
        <f t="shared" ref="HR171:HR180" si="1029">IFERROR(ROUNDUP(HS171/12,2)+49.9,"ND")</f>
        <v>ND</v>
      </c>
      <c r="HS171" s="1" t="str">
        <f t="shared" ref="HS171:HS180" si="1030">IFERROR(IF(HS$9="ND","ND",VLOOKUP($C171,LR12M,HS$9,0)),"ND")</f>
        <v>ND</v>
      </c>
      <c r="HT171" s="1" t="str">
        <f t="shared" ref="HT171:HT180" si="1031">IFERROR(ROUNDUP(HU171/12,2)+55.9,"ND")</f>
        <v>ND</v>
      </c>
      <c r="HU171" s="1" t="str">
        <f t="shared" ref="HU171:HU180" si="1032">IFERROR(IF(HU$9="ND","ND",VLOOKUP($C171,LR12M,HU$9,0)),"ND")</f>
        <v>ND</v>
      </c>
      <c r="HV171" s="1" t="str">
        <f t="shared" ref="HV171:HV180" si="1033">IFERROR(ROUNDUP(HW171/12,2)+69.9,"ND")</f>
        <v>ND</v>
      </c>
      <c r="HW171" s="1" t="str">
        <f t="shared" ref="HW171:HW180" si="1034">IFERROR(IF(HW$9="ND","ND",VLOOKUP($C171,LR12M,HW$9,0)),"ND")</f>
        <v>ND</v>
      </c>
      <c r="HX171" s="1" t="str">
        <f t="shared" ref="HX171:HX180" si="1035">IFERROR(ROUNDUP(HY171/12,2)+79.9,"ND")</f>
        <v>ND</v>
      </c>
      <c r="HY171" s="1" t="str">
        <f t="shared" ref="HY171:HY180" si="1036">IFERROR(IF(HY$9="ND","ND",VLOOKUP($C171,LR12M,HY$9,0)),"ND")</f>
        <v>ND</v>
      </c>
      <c r="HZ171" s="1" t="str">
        <f t="shared" ref="HZ171:HZ180" si="1037">IFERROR(ROUNDUP(IA171/12,2)+95.9,"ND")</f>
        <v>ND</v>
      </c>
      <c r="IA171" s="1" t="str">
        <f t="shared" ref="IA171:IA180" si="1038">IFERROR(IF(IA$9="ND","ND",VLOOKUP($C171,LR12M,IA$9,0)),"ND")</f>
        <v>ND</v>
      </c>
      <c r="IB171" s="1" t="str">
        <f t="shared" ref="IB171:IB180" si="1039">IFERROR(ROUNDUP(IC171/12,2)+109.9,"ND")</f>
        <v>ND</v>
      </c>
      <c r="IC171" s="1" t="str">
        <f t="shared" ref="IC171:IC180" si="1040">IFERROR(IF(IC$9="ND","ND",VLOOKUP($C171,LR12M,IC$9,0)),"ND")</f>
        <v>ND</v>
      </c>
      <c r="ID171" s="1" t="str">
        <f t="shared" ref="ID171:ID180" si="1041">IFERROR(ROUNDUP(IE171/12,2)+159.9,"ND")</f>
        <v>ND</v>
      </c>
      <c r="IE171" s="1" t="str">
        <f t="shared" ref="IE171:IE180" si="1042">IFERROR(IF(IE$9="ND","ND",VLOOKUP($C171,LR12M,IE$9,0)),"ND")</f>
        <v>ND</v>
      </c>
      <c r="IF171" s="1" t="str">
        <f t="shared" ref="IF171:IF180" si="1043">IFERROR(ROUNDUP(IG171/12,2)+189.9,"ND")</f>
        <v>ND</v>
      </c>
      <c r="IG171" s="1" t="str">
        <f t="shared" ref="IG171:IG180" si="1044">IFERROR(IF(IG$9="ND","ND",VLOOKUP($C171,LR12M,IG$9,0)),"ND")</f>
        <v>ND</v>
      </c>
      <c r="IH171" s="1" t="str">
        <f t="shared" ref="IH171:IH180" si="1045">IFERROR(ROUNDUP(II171/12,2)+289.9,"ND")</f>
        <v>ND</v>
      </c>
      <c r="II171" s="1" t="str">
        <f t="shared" ref="II171:II180" si="1046">IFERROR(IF(II$9="ND","ND",VLOOKUP($C171,LR12M,II$9,0)),"ND")</f>
        <v>ND</v>
      </c>
    </row>
    <row r="172" spans="3:243" x14ac:dyDescent="0.25">
      <c r="C172" t="s">
        <v>116</v>
      </c>
      <c r="D172">
        <f>SUMIFS(DICCIONARIO[Cantidad],DICCIONARIO[Modelo],UNIFICADA[[#This Row],[Equipo]])</f>
        <v>11</v>
      </c>
      <c r="E172" s="1">
        <f>IFERROR(VLOOKUP($C172,EQUIPOS[],UNIFICADO!E$9,0),"")</f>
        <v>16</v>
      </c>
      <c r="F172" s="1">
        <f>IFERROR(VLOOKUP($C172,EQUIPOS[],UNIFICADO!F$9,0),"")</f>
        <v>6.7</v>
      </c>
      <c r="G172" s="1">
        <f>IFERROR(VLOOKUP($C172,EQUIPOS[],UNIFICADO!G$9,0),"")</f>
        <v>48</v>
      </c>
      <c r="H172" s="1">
        <f>IFERROR(VLOOKUP($C172,EQUIPOS[],UNIFICADO!H$9,0),"")</f>
        <v>4</v>
      </c>
      <c r="I172" s="1">
        <f>IFERROR(VLOOKUP($C172,EQUIPOS[],UNIFICADO!I$9,0),"")</f>
        <v>12</v>
      </c>
      <c r="J172" s="1" t="str">
        <f>IFERROR(VLOOKUP($C172,EQUIPOS[],UNIFICADO!J$9,0),"")</f>
        <v>128GB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3.22/2.0</v>
      </c>
      <c r="N172" s="1">
        <f>IFERROR(VLOOKUP($C172,EQUIPOS[],UNIFICADO!N$9,0),"")</f>
        <v>6</v>
      </c>
      <c r="O172" s="1">
        <f>IFERROR(VLOOKUP($C172,EQUIPOS[],UNIFICADO!O$9,0),"")</f>
        <v>240</v>
      </c>
      <c r="P172" s="1">
        <f>IFERROR(VLOOKUP($C172,EQUIPOS[],UNIFICADO!P$9,0),"")</f>
        <v>16</v>
      </c>
      <c r="Q172" s="1">
        <f>IFERROR(VLOOKUP($C172,EQUIPOS[],UNIFICADO!Q$9,0),"")</f>
        <v>7.76</v>
      </c>
      <c r="R172" s="1">
        <f>IFERROR(VLOOKUP($C172,EQUIPOS[],UNIFICADO!R$9,0),"")</f>
        <v>0.78500000000000003</v>
      </c>
      <c r="S172" s="1">
        <f>IFERROR(VLOOKUP($C172,EQUIPOS[],UNIFICADO!S$9,0),"")</f>
        <v>4323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 t="shared" si="884"/>
        <v>ND</v>
      </c>
      <c r="W172" s="1" t="str">
        <f t="shared" si="885"/>
        <v>ND</v>
      </c>
      <c r="X172" s="1" t="str">
        <f t="shared" si="886"/>
        <v>ND</v>
      </c>
      <c r="Y172" s="1" t="str">
        <f t="shared" si="886"/>
        <v>ND</v>
      </c>
      <c r="Z172" s="1" t="str">
        <f t="shared" si="887"/>
        <v>ND</v>
      </c>
      <c r="AA172" s="1" t="str">
        <f t="shared" si="887"/>
        <v>ND</v>
      </c>
      <c r="AB172" s="1" t="str">
        <f t="shared" si="887"/>
        <v>ND</v>
      </c>
      <c r="AC172" s="1" t="str">
        <f t="shared" si="887"/>
        <v>ND</v>
      </c>
      <c r="AD172" s="1" t="str">
        <f t="shared" si="887"/>
        <v>ND</v>
      </c>
      <c r="AE172" s="1" t="str">
        <f t="shared" si="887"/>
        <v>ND</v>
      </c>
      <c r="AF172" s="1" t="str">
        <f t="shared" si="887"/>
        <v>ND</v>
      </c>
      <c r="AG172" s="1" t="str">
        <f t="shared" si="887"/>
        <v>ND</v>
      </c>
      <c r="AH172" s="1" t="str">
        <f t="shared" si="887"/>
        <v>ND</v>
      </c>
      <c r="AI172" s="1" t="str">
        <f t="shared" si="888"/>
        <v>ND</v>
      </c>
      <c r="AJ172" s="1" t="str">
        <f t="shared" si="889"/>
        <v>ND</v>
      </c>
      <c r="AK172" s="1" t="str">
        <f t="shared" si="890"/>
        <v>ND</v>
      </c>
      <c r="AL172" s="1" t="str">
        <f t="shared" si="891"/>
        <v>ND</v>
      </c>
      <c r="AM172" s="1" t="str">
        <f t="shared" si="892"/>
        <v>ND</v>
      </c>
      <c r="AN172" s="1" t="str">
        <f t="shared" si="893"/>
        <v>ND</v>
      </c>
      <c r="AO172" s="1" t="str">
        <f t="shared" si="894"/>
        <v>ND</v>
      </c>
      <c r="AP172" s="1" t="str">
        <f t="shared" si="895"/>
        <v>ND</v>
      </c>
      <c r="AQ172" s="1" t="str">
        <f t="shared" si="896"/>
        <v>ND</v>
      </c>
      <c r="AR172" s="1" t="str">
        <f t="shared" si="897"/>
        <v>ND</v>
      </c>
      <c r="AS172" s="1" t="str">
        <f t="shared" si="898"/>
        <v>ND</v>
      </c>
      <c r="AT172" s="1" t="str">
        <f t="shared" si="899"/>
        <v>ND</v>
      </c>
      <c r="AU172" s="1" t="str">
        <f t="shared" si="900"/>
        <v>ND</v>
      </c>
      <c r="AV172" s="1" t="str">
        <f t="shared" si="901"/>
        <v>ND</v>
      </c>
      <c r="AW172" s="1" t="str">
        <f t="shared" si="902"/>
        <v>ND</v>
      </c>
      <c r="AX172" s="1" t="str">
        <f t="shared" si="903"/>
        <v>ND</v>
      </c>
      <c r="AY172" s="1" t="str">
        <f t="shared" si="904"/>
        <v>ND</v>
      </c>
      <c r="AZ172" s="1" t="str">
        <f t="shared" si="905"/>
        <v>ND</v>
      </c>
      <c r="BA172" s="1" t="str">
        <f t="shared" si="906"/>
        <v>ND</v>
      </c>
      <c r="BB172" s="1" t="str">
        <f t="shared" si="907"/>
        <v>ND</v>
      </c>
      <c r="BC172" s="1" t="str">
        <f t="shared" si="908"/>
        <v>ND</v>
      </c>
      <c r="BD172" s="1" t="str">
        <f t="shared" si="909"/>
        <v>ND</v>
      </c>
      <c r="BE172" s="1" t="str">
        <f t="shared" si="910"/>
        <v>ND</v>
      </c>
      <c r="BF172" s="1" t="str">
        <f t="shared" si="911"/>
        <v>ND</v>
      </c>
      <c r="BG172" s="1" t="str">
        <f t="shared" si="912"/>
        <v>ND</v>
      </c>
      <c r="BH172" s="1" t="str">
        <f t="shared" si="913"/>
        <v>ND</v>
      </c>
      <c r="BI172" s="1" t="str">
        <f t="shared" si="914"/>
        <v>ND</v>
      </c>
      <c r="BJ172" s="1" t="str">
        <f t="shared" si="915"/>
        <v>ND</v>
      </c>
      <c r="BK172" s="1" t="str">
        <f t="shared" si="916"/>
        <v>ND</v>
      </c>
      <c r="BL172" s="1" t="str">
        <f t="shared" si="917"/>
        <v>ND</v>
      </c>
      <c r="BM172" s="1" t="str">
        <f t="shared" si="918"/>
        <v>ND</v>
      </c>
      <c r="BN172" s="1" t="str">
        <f t="shared" si="919"/>
        <v>ND</v>
      </c>
      <c r="BO172" s="1" t="str">
        <f t="shared" si="920"/>
        <v>ND</v>
      </c>
      <c r="BP172" s="1" t="str">
        <f t="shared" si="921"/>
        <v>ND</v>
      </c>
      <c r="BQ172" s="1" t="str">
        <f t="shared" si="922"/>
        <v>ND</v>
      </c>
      <c r="BR172" s="1" t="str">
        <f t="shared" si="923"/>
        <v>ND</v>
      </c>
      <c r="BS172" s="1" t="str">
        <f t="shared" si="924"/>
        <v>ND</v>
      </c>
      <c r="BT172" s="1" t="str">
        <f t="shared" si="925"/>
        <v>ND</v>
      </c>
      <c r="BU172" s="1" t="str">
        <f t="shared" si="926"/>
        <v>ND</v>
      </c>
      <c r="BV172" s="1" t="str">
        <f t="shared" si="927"/>
        <v>ND</v>
      </c>
      <c r="BW172" s="1" t="str">
        <f t="shared" si="928"/>
        <v>ND</v>
      </c>
      <c r="BX172" s="1" t="str">
        <f t="shared" si="929"/>
        <v>ND</v>
      </c>
      <c r="BY172" s="1" t="str">
        <f t="shared" si="930"/>
        <v>ND</v>
      </c>
      <c r="BZ172" s="1" t="str">
        <f t="shared" si="931"/>
        <v>ND</v>
      </c>
      <c r="CA172" s="1" t="str">
        <f t="shared" si="932"/>
        <v>ND</v>
      </c>
      <c r="CB172" s="1" t="str">
        <f t="shared" si="932"/>
        <v>ND</v>
      </c>
      <c r="CC172" s="1" t="str">
        <f t="shared" si="932"/>
        <v>ND</v>
      </c>
      <c r="CD172" s="1" t="str">
        <f t="shared" si="932"/>
        <v>ND</v>
      </c>
      <c r="CE172" s="1" t="str">
        <f t="shared" si="932"/>
        <v>ND</v>
      </c>
      <c r="CF172" s="1" t="str">
        <f t="shared" si="932"/>
        <v>ND</v>
      </c>
      <c r="CG172" s="1" t="str">
        <f t="shared" si="932"/>
        <v>ND</v>
      </c>
      <c r="CH172" s="1" t="str">
        <f t="shared" si="932"/>
        <v>ND</v>
      </c>
      <c r="CI172" s="1" t="str">
        <f t="shared" si="932"/>
        <v>ND</v>
      </c>
      <c r="CJ172" s="1" t="str">
        <f t="shared" si="932"/>
        <v>ND</v>
      </c>
      <c r="CK172" s="1" t="str">
        <f t="shared" si="932"/>
        <v>ND</v>
      </c>
      <c r="CL172" s="1" t="str">
        <f t="shared" si="933"/>
        <v>ND</v>
      </c>
      <c r="CM172" s="1" t="str">
        <f t="shared" si="933"/>
        <v>ND</v>
      </c>
      <c r="CN172" s="1" t="str">
        <f t="shared" si="933"/>
        <v>ND</v>
      </c>
      <c r="CO172" s="1" t="str">
        <f t="shared" si="933"/>
        <v>ND</v>
      </c>
      <c r="CP172" s="1" t="str">
        <f t="shared" si="933"/>
        <v>ND</v>
      </c>
      <c r="CQ172" s="1" t="str">
        <f t="shared" si="933"/>
        <v>ND</v>
      </c>
      <c r="CR172" s="1" t="str">
        <f t="shared" si="933"/>
        <v>ND</v>
      </c>
      <c r="CS172" s="1" t="str">
        <f t="shared" si="933"/>
        <v>ND</v>
      </c>
      <c r="CT172" s="1" t="str">
        <f t="shared" si="933"/>
        <v>ND</v>
      </c>
      <c r="CU172" s="1" t="str">
        <f t="shared" si="933"/>
        <v>ND</v>
      </c>
      <c r="CV172" s="1" t="str">
        <f t="shared" si="933"/>
        <v>ND</v>
      </c>
      <c r="CW172" s="1" t="str">
        <f t="shared" si="934"/>
        <v>ND</v>
      </c>
      <c r="CX172" s="1" t="str">
        <f t="shared" si="935"/>
        <v>ND</v>
      </c>
      <c r="CY172" s="1" t="str">
        <f t="shared" si="936"/>
        <v>ND</v>
      </c>
      <c r="CZ172" s="1" t="str">
        <f t="shared" si="937"/>
        <v>ND</v>
      </c>
      <c r="DA172" s="1" t="str">
        <f t="shared" si="938"/>
        <v>ND</v>
      </c>
      <c r="DB172" s="1" t="str">
        <f t="shared" si="939"/>
        <v>ND</v>
      </c>
      <c r="DC172" s="1" t="str">
        <f t="shared" si="940"/>
        <v>ND</v>
      </c>
      <c r="DD172" s="1" t="str">
        <f t="shared" si="941"/>
        <v>ND</v>
      </c>
      <c r="DE172" s="1" t="str">
        <f t="shared" si="942"/>
        <v>ND</v>
      </c>
      <c r="DF172" s="1" t="str">
        <f t="shared" si="943"/>
        <v>ND</v>
      </c>
      <c r="DG172" s="1" t="str">
        <f t="shared" si="944"/>
        <v>ND</v>
      </c>
      <c r="DH172" s="1" t="str">
        <f t="shared" si="945"/>
        <v>ND</v>
      </c>
      <c r="DI172" s="1" t="str">
        <f t="shared" si="946"/>
        <v>ND</v>
      </c>
      <c r="DJ172" s="1" t="str">
        <f t="shared" si="947"/>
        <v>ND</v>
      </c>
      <c r="DK172" s="1" t="str">
        <f t="shared" si="948"/>
        <v>ND</v>
      </c>
      <c r="DL172" s="1" t="str">
        <f t="shared" si="949"/>
        <v>ND</v>
      </c>
      <c r="DM172" s="1" t="str">
        <f t="shared" si="950"/>
        <v>ND</v>
      </c>
      <c r="DN172" s="1" t="str">
        <f t="shared" si="951"/>
        <v>ND</v>
      </c>
      <c r="DO172" s="1" t="str">
        <f t="shared" si="952"/>
        <v>ND</v>
      </c>
      <c r="DP172" s="1" t="str">
        <f t="shared" si="953"/>
        <v>ND</v>
      </c>
      <c r="DQ172" s="1" t="str">
        <f t="shared" si="954"/>
        <v>ND</v>
      </c>
      <c r="DR172" s="1" t="str">
        <f t="shared" si="955"/>
        <v>ND</v>
      </c>
      <c r="DS172" s="1" t="str">
        <f t="shared" si="956"/>
        <v>ND</v>
      </c>
      <c r="DT172" s="1" t="str">
        <f t="shared" si="957"/>
        <v>ND</v>
      </c>
      <c r="DU172" s="1" t="str">
        <f t="shared" si="958"/>
        <v>ND</v>
      </c>
      <c r="DV172" s="1" t="str">
        <f t="shared" si="959"/>
        <v>ND</v>
      </c>
      <c r="DW172" s="1" t="str">
        <f t="shared" si="960"/>
        <v>ND</v>
      </c>
      <c r="DX172" s="1" t="str">
        <f t="shared" si="961"/>
        <v>ND</v>
      </c>
      <c r="DY172" s="1" t="str">
        <f t="shared" si="962"/>
        <v>ND</v>
      </c>
      <c r="DZ172" s="1" t="str">
        <f t="shared" si="963"/>
        <v>ND</v>
      </c>
      <c r="EA172" s="1" t="str">
        <f t="shared" si="964"/>
        <v>ND</v>
      </c>
      <c r="EB172" s="1" t="str">
        <f t="shared" si="965"/>
        <v>ND</v>
      </c>
      <c r="EC172" s="1" t="str">
        <f t="shared" si="966"/>
        <v>ND</v>
      </c>
      <c r="ED172" s="1" t="str">
        <f t="shared" si="967"/>
        <v>ND</v>
      </c>
      <c r="EE172" s="1" t="str">
        <f t="shared" si="968"/>
        <v>ND</v>
      </c>
      <c r="EF172" s="1" t="str">
        <f t="shared" si="969"/>
        <v>ND</v>
      </c>
      <c r="EG172" s="1" t="str">
        <f t="shared" si="970"/>
        <v>ND</v>
      </c>
      <c r="EH172" s="1" t="str">
        <f t="shared" si="971"/>
        <v>ND</v>
      </c>
      <c r="EI172" s="1" t="str">
        <f t="shared" si="972"/>
        <v>ND</v>
      </c>
      <c r="EJ172" s="1" t="str">
        <f t="shared" si="973"/>
        <v>ND</v>
      </c>
      <c r="EK172" s="1" t="str">
        <f t="shared" si="974"/>
        <v>ND</v>
      </c>
      <c r="EL172" s="1" t="str">
        <f t="shared" si="975"/>
        <v>ND</v>
      </c>
      <c r="EM172" s="1" t="str">
        <f t="shared" si="976"/>
        <v>ND</v>
      </c>
      <c r="EN172" s="1" t="str">
        <f t="shared" si="977"/>
        <v>ND</v>
      </c>
      <c r="EO172" s="1" t="str">
        <f t="shared" si="978"/>
        <v>ND</v>
      </c>
      <c r="EP172" s="1" t="str">
        <f t="shared" si="978"/>
        <v>ND</v>
      </c>
      <c r="EQ172" s="1" t="str">
        <f t="shared" si="978"/>
        <v>ND</v>
      </c>
      <c r="ER172" s="1" t="str">
        <f t="shared" si="978"/>
        <v>ND</v>
      </c>
      <c r="ES172" s="1" t="str">
        <f t="shared" si="978"/>
        <v>ND</v>
      </c>
      <c r="ET172" s="1" t="str">
        <f t="shared" si="978"/>
        <v>ND</v>
      </c>
      <c r="EU172" s="1" t="str">
        <f t="shared" si="978"/>
        <v>ND</v>
      </c>
      <c r="EV172" s="1" t="str">
        <f t="shared" si="978"/>
        <v>ND</v>
      </c>
      <c r="EW172" s="1" t="str">
        <f t="shared" si="978"/>
        <v>ND</v>
      </c>
      <c r="EX172" s="1" t="str">
        <f t="shared" si="978"/>
        <v>ND</v>
      </c>
      <c r="EY172" s="1" t="str">
        <f t="shared" si="978"/>
        <v>ND</v>
      </c>
      <c r="EZ172" s="1" t="str">
        <f t="shared" si="979"/>
        <v>ND</v>
      </c>
      <c r="FA172" s="1" t="str">
        <f t="shared" si="979"/>
        <v>ND</v>
      </c>
      <c r="FB172" s="1" t="str">
        <f t="shared" si="979"/>
        <v>ND</v>
      </c>
      <c r="FC172" s="1" t="str">
        <f t="shared" si="979"/>
        <v>ND</v>
      </c>
      <c r="FD172" s="1" t="str">
        <f t="shared" si="979"/>
        <v>ND</v>
      </c>
      <c r="FE172" s="1" t="str">
        <f t="shared" si="979"/>
        <v>ND</v>
      </c>
      <c r="FF172" s="1" t="str">
        <f t="shared" si="979"/>
        <v>ND</v>
      </c>
      <c r="FG172" s="1" t="str">
        <f t="shared" si="979"/>
        <v>ND</v>
      </c>
      <c r="FH172" s="1" t="str">
        <f t="shared" si="979"/>
        <v>ND</v>
      </c>
      <c r="FI172" s="1" t="str">
        <f t="shared" si="979"/>
        <v>ND</v>
      </c>
      <c r="FJ172" s="1" t="str">
        <f t="shared" si="979"/>
        <v>ND</v>
      </c>
      <c r="FK172" s="1" t="str">
        <f t="shared" si="980"/>
        <v>ND</v>
      </c>
      <c r="FL172" s="1" t="str">
        <f t="shared" si="980"/>
        <v>ND</v>
      </c>
      <c r="FM172" s="1" t="str">
        <f t="shared" si="980"/>
        <v>ND</v>
      </c>
      <c r="FN172" s="1" t="str">
        <f t="shared" si="980"/>
        <v>ND</v>
      </c>
      <c r="FO172" s="1" t="str">
        <f t="shared" si="980"/>
        <v>ND</v>
      </c>
      <c r="FP172" s="1" t="str">
        <f t="shared" si="980"/>
        <v>ND</v>
      </c>
      <c r="FQ172" s="1" t="str">
        <f t="shared" si="980"/>
        <v>ND</v>
      </c>
      <c r="FR172" s="1" t="str">
        <f t="shared" si="980"/>
        <v>ND</v>
      </c>
      <c r="FS172" s="1" t="str">
        <f t="shared" si="980"/>
        <v>ND</v>
      </c>
      <c r="FT172" s="1" t="str">
        <f t="shared" si="980"/>
        <v>ND</v>
      </c>
      <c r="FU172" s="1" t="str">
        <f t="shared" si="980"/>
        <v>ND</v>
      </c>
      <c r="FV172" s="1" t="str">
        <f t="shared" si="981"/>
        <v>ND</v>
      </c>
      <c r="FW172" s="1" t="str">
        <f t="shared" si="982"/>
        <v>ND</v>
      </c>
      <c r="FX172" s="1" t="str">
        <f t="shared" si="983"/>
        <v>ND</v>
      </c>
      <c r="FY172" s="1" t="str">
        <f t="shared" si="984"/>
        <v>ND</v>
      </c>
      <c r="FZ172" s="1" t="str">
        <f t="shared" si="985"/>
        <v>ND</v>
      </c>
      <c r="GA172" s="1" t="str">
        <f t="shared" si="986"/>
        <v>ND</v>
      </c>
      <c r="GB172" s="1" t="str">
        <f t="shared" si="987"/>
        <v>ND</v>
      </c>
      <c r="GC172" s="1" t="str">
        <f t="shared" si="988"/>
        <v>ND</v>
      </c>
      <c r="GD172" s="1" t="str">
        <f t="shared" si="989"/>
        <v>ND</v>
      </c>
      <c r="GE172" s="1" t="str">
        <f t="shared" si="990"/>
        <v>ND</v>
      </c>
      <c r="GF172" s="1" t="str">
        <f t="shared" si="991"/>
        <v>ND</v>
      </c>
      <c r="GG172" s="1" t="str">
        <f t="shared" si="992"/>
        <v>ND</v>
      </c>
      <c r="GH172" s="1" t="str">
        <f t="shared" si="993"/>
        <v>ND</v>
      </c>
      <c r="GI172" s="1" t="str">
        <f t="shared" si="994"/>
        <v>ND</v>
      </c>
      <c r="GJ172" s="1" t="str">
        <f t="shared" si="995"/>
        <v>ND</v>
      </c>
      <c r="GK172" s="1" t="str">
        <f t="shared" si="996"/>
        <v>ND</v>
      </c>
      <c r="GL172" s="1" t="str">
        <f t="shared" si="997"/>
        <v>ND</v>
      </c>
      <c r="GM172" s="1" t="str">
        <f t="shared" si="998"/>
        <v>ND</v>
      </c>
      <c r="GN172" s="1" t="str">
        <f t="shared" si="999"/>
        <v>ND</v>
      </c>
      <c r="GO172" s="1" t="str">
        <f t="shared" si="1000"/>
        <v>ND</v>
      </c>
      <c r="GP172" s="1" t="str">
        <f t="shared" si="1001"/>
        <v>ND</v>
      </c>
      <c r="GQ172" s="1" t="str">
        <f t="shared" si="1002"/>
        <v>ND</v>
      </c>
      <c r="GR172" s="1" t="str">
        <f t="shared" si="1003"/>
        <v>ND</v>
      </c>
      <c r="GS172" s="1" t="str">
        <f t="shared" si="1004"/>
        <v>ND</v>
      </c>
      <c r="GT172" s="1" t="str">
        <f t="shared" si="1005"/>
        <v>ND</v>
      </c>
      <c r="GU172" s="1" t="str">
        <f t="shared" si="1006"/>
        <v>ND</v>
      </c>
      <c r="GV172" s="1" t="str">
        <f t="shared" si="1007"/>
        <v>ND</v>
      </c>
      <c r="GW172" s="1" t="str">
        <f t="shared" si="1008"/>
        <v>ND</v>
      </c>
      <c r="GX172" s="1" t="str">
        <f t="shared" si="1009"/>
        <v>ND</v>
      </c>
      <c r="GY172" s="1" t="str">
        <f t="shared" si="1010"/>
        <v>ND</v>
      </c>
      <c r="GZ172" s="1" t="str">
        <f t="shared" si="1011"/>
        <v>ND</v>
      </c>
      <c r="HA172" s="1" t="str">
        <f t="shared" si="1012"/>
        <v>ND</v>
      </c>
      <c r="HB172" s="1" t="str">
        <f t="shared" si="1013"/>
        <v>ND</v>
      </c>
      <c r="HC172" s="1" t="str">
        <f t="shared" si="1014"/>
        <v>ND</v>
      </c>
      <c r="HD172" s="1" t="str">
        <f t="shared" si="1015"/>
        <v>ND</v>
      </c>
      <c r="HE172" s="1" t="str">
        <f t="shared" si="1016"/>
        <v>ND</v>
      </c>
      <c r="HF172" s="1" t="str">
        <f t="shared" si="1017"/>
        <v>ND</v>
      </c>
      <c r="HG172" s="1" t="str">
        <f t="shared" si="1018"/>
        <v>ND</v>
      </c>
      <c r="HH172" s="1" t="str">
        <f t="shared" si="1019"/>
        <v>ND</v>
      </c>
      <c r="HI172" s="1" t="str">
        <f t="shared" si="1020"/>
        <v>ND</v>
      </c>
      <c r="HJ172" s="1" t="str">
        <f t="shared" si="1021"/>
        <v>ND</v>
      </c>
      <c r="HK172" s="1" t="str">
        <f t="shared" si="1022"/>
        <v>ND</v>
      </c>
      <c r="HL172" s="1" t="str">
        <f t="shared" si="1023"/>
        <v>ND</v>
      </c>
      <c r="HM172" s="1" t="str">
        <f t="shared" si="1024"/>
        <v>ND</v>
      </c>
      <c r="HN172" s="1" t="str">
        <f t="shared" si="1025"/>
        <v>ND</v>
      </c>
      <c r="HO172" s="1" t="str">
        <f t="shared" si="1026"/>
        <v>ND</v>
      </c>
      <c r="HP172" s="1" t="str">
        <f t="shared" si="1027"/>
        <v>ND</v>
      </c>
      <c r="HQ172" s="1" t="str">
        <f t="shared" si="1028"/>
        <v>ND</v>
      </c>
      <c r="HR172" s="1" t="str">
        <f t="shared" si="1029"/>
        <v>ND</v>
      </c>
      <c r="HS172" s="1" t="str">
        <f t="shared" si="1030"/>
        <v>ND</v>
      </c>
      <c r="HT172" s="1" t="str">
        <f t="shared" si="1031"/>
        <v>ND</v>
      </c>
      <c r="HU172" s="1" t="str">
        <f t="shared" si="1032"/>
        <v>ND</v>
      </c>
      <c r="HV172" s="1" t="str">
        <f t="shared" si="1033"/>
        <v>ND</v>
      </c>
      <c r="HW172" s="1" t="str">
        <f t="shared" si="1034"/>
        <v>ND</v>
      </c>
      <c r="HX172" s="1" t="str">
        <f t="shared" si="1035"/>
        <v>ND</v>
      </c>
      <c r="HY172" s="1" t="str">
        <f t="shared" si="1036"/>
        <v>ND</v>
      </c>
      <c r="HZ172" s="1" t="str">
        <f t="shared" si="1037"/>
        <v>ND</v>
      </c>
      <c r="IA172" s="1" t="str">
        <f t="shared" si="1038"/>
        <v>ND</v>
      </c>
      <c r="IB172" s="1" t="str">
        <f t="shared" si="1039"/>
        <v>ND</v>
      </c>
      <c r="IC172" s="1" t="str">
        <f t="shared" si="1040"/>
        <v>ND</v>
      </c>
      <c r="ID172" s="1" t="str">
        <f t="shared" si="1041"/>
        <v>ND</v>
      </c>
      <c r="IE172" s="1" t="str">
        <f t="shared" si="1042"/>
        <v>ND</v>
      </c>
      <c r="IF172" s="1" t="str">
        <f t="shared" si="1043"/>
        <v>ND</v>
      </c>
      <c r="IG172" s="1" t="str">
        <f t="shared" si="1044"/>
        <v>ND</v>
      </c>
      <c r="IH172" s="1" t="str">
        <f t="shared" si="1045"/>
        <v>ND</v>
      </c>
      <c r="II172" s="1" t="str">
        <f t="shared" si="1046"/>
        <v>ND</v>
      </c>
    </row>
    <row r="173" spans="3:243" x14ac:dyDescent="0.25">
      <c r="C173" t="s">
        <v>117</v>
      </c>
      <c r="D173">
        <f>SUMIFS(DICCIONARIO[Cantidad],DICCIONARIO[Modelo],UNIFICADA[[#This Row],[Equipo]])</f>
        <v>0</v>
      </c>
      <c r="E173" s="1">
        <f>IFERROR(VLOOKUP($C173,EQUIPOS[],UNIFICADO!E$9,0),"")</f>
        <v>16</v>
      </c>
      <c r="F173" s="1">
        <f>IFERROR(VLOOKUP($C173,EQUIPOS[],UNIFICADO!F$9,0),"")</f>
        <v>6.7</v>
      </c>
      <c r="G173" s="1">
        <f>IFERROR(VLOOKUP($C173,EQUIPOS[],UNIFICADO!G$9,0),"")</f>
        <v>48</v>
      </c>
      <c r="H173" s="1">
        <f>IFERROR(VLOOKUP($C173,EQUIPOS[],UNIFICADO!H$9,0),"")</f>
        <v>4</v>
      </c>
      <c r="I173" s="1">
        <f>IFERROR(VLOOKUP($C173,EQUIPOS[],UNIFICADO!I$9,0),"")</f>
        <v>12</v>
      </c>
      <c r="J173" s="1" t="str">
        <f>IFERROR(VLOOKUP($C173,EQUIPOS[],UNIFICADO!J$9,0),"")</f>
        <v>1TB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3.22/2.0</v>
      </c>
      <c r="N173" s="1">
        <f>IFERROR(VLOOKUP($C173,EQUIPOS[],UNIFICADO!N$9,0),"")</f>
        <v>6</v>
      </c>
      <c r="O173" s="1">
        <f>IFERROR(VLOOKUP($C173,EQUIPOS[],UNIFICADO!O$9,0),"")</f>
        <v>240</v>
      </c>
      <c r="P173" s="1">
        <f>IFERROR(VLOOKUP($C173,EQUIPOS[],UNIFICADO!P$9,0),"")</f>
        <v>16</v>
      </c>
      <c r="Q173" s="1">
        <f>IFERROR(VLOOKUP($C173,EQUIPOS[],UNIFICADO!Q$9,0),"")</f>
        <v>7.76</v>
      </c>
      <c r="R173" s="1">
        <f>IFERROR(VLOOKUP($C173,EQUIPOS[],UNIFICADO!R$9,0),"")</f>
        <v>0.78500000000000003</v>
      </c>
      <c r="S173" s="1">
        <f>IFERROR(VLOOKUP($C173,EQUIPOS[],UNIFICADO!S$9,0),"")</f>
        <v>4323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 t="shared" si="884"/>
        <v>ND</v>
      </c>
      <c r="W173" s="1" t="str">
        <f t="shared" si="885"/>
        <v>ND</v>
      </c>
      <c r="X173" s="1" t="str">
        <f t="shared" si="886"/>
        <v>ND</v>
      </c>
      <c r="Y173" s="1" t="str">
        <f t="shared" si="886"/>
        <v>ND</v>
      </c>
      <c r="Z173" s="1" t="str">
        <f t="shared" si="887"/>
        <v>ND</v>
      </c>
      <c r="AA173" s="1" t="str">
        <f t="shared" si="887"/>
        <v>ND</v>
      </c>
      <c r="AB173" s="1" t="str">
        <f t="shared" si="887"/>
        <v>ND</v>
      </c>
      <c r="AC173" s="1" t="str">
        <f t="shared" si="887"/>
        <v>ND</v>
      </c>
      <c r="AD173" s="1" t="str">
        <f t="shared" si="887"/>
        <v>ND</v>
      </c>
      <c r="AE173" s="1" t="str">
        <f t="shared" si="887"/>
        <v>ND</v>
      </c>
      <c r="AF173" s="1" t="str">
        <f t="shared" si="887"/>
        <v>ND</v>
      </c>
      <c r="AG173" s="1" t="str">
        <f t="shared" si="887"/>
        <v>ND</v>
      </c>
      <c r="AH173" s="1" t="str">
        <f t="shared" si="887"/>
        <v>ND</v>
      </c>
      <c r="AI173" s="1" t="str">
        <f t="shared" si="888"/>
        <v>ND</v>
      </c>
      <c r="AJ173" s="1" t="str">
        <f t="shared" si="889"/>
        <v>ND</v>
      </c>
      <c r="AK173" s="1" t="str">
        <f t="shared" si="890"/>
        <v>ND</v>
      </c>
      <c r="AL173" s="1" t="str">
        <f t="shared" si="891"/>
        <v>ND</v>
      </c>
      <c r="AM173" s="1" t="str">
        <f t="shared" si="892"/>
        <v>ND</v>
      </c>
      <c r="AN173" s="1" t="str">
        <f t="shared" si="893"/>
        <v>ND</v>
      </c>
      <c r="AO173" s="1" t="str">
        <f t="shared" si="894"/>
        <v>ND</v>
      </c>
      <c r="AP173" s="1" t="str">
        <f t="shared" si="895"/>
        <v>ND</v>
      </c>
      <c r="AQ173" s="1" t="str">
        <f t="shared" si="896"/>
        <v>ND</v>
      </c>
      <c r="AR173" s="1" t="str">
        <f t="shared" si="897"/>
        <v>ND</v>
      </c>
      <c r="AS173" s="1" t="str">
        <f t="shared" si="898"/>
        <v>ND</v>
      </c>
      <c r="AT173" s="1" t="str">
        <f t="shared" si="899"/>
        <v>ND</v>
      </c>
      <c r="AU173" s="1" t="str">
        <f t="shared" si="900"/>
        <v>ND</v>
      </c>
      <c r="AV173" s="1" t="str">
        <f t="shared" si="901"/>
        <v>ND</v>
      </c>
      <c r="AW173" s="1" t="str">
        <f t="shared" si="902"/>
        <v>ND</v>
      </c>
      <c r="AX173" s="1" t="str">
        <f t="shared" si="903"/>
        <v>ND</v>
      </c>
      <c r="AY173" s="1" t="str">
        <f t="shared" si="904"/>
        <v>ND</v>
      </c>
      <c r="AZ173" s="1" t="str">
        <f t="shared" si="905"/>
        <v>ND</v>
      </c>
      <c r="BA173" s="1" t="str">
        <f t="shared" si="906"/>
        <v>ND</v>
      </c>
      <c r="BB173" s="1" t="str">
        <f t="shared" si="907"/>
        <v>ND</v>
      </c>
      <c r="BC173" s="1" t="str">
        <f t="shared" si="908"/>
        <v>ND</v>
      </c>
      <c r="BD173" s="1" t="str">
        <f t="shared" si="909"/>
        <v>ND</v>
      </c>
      <c r="BE173" s="1" t="str">
        <f t="shared" si="910"/>
        <v>ND</v>
      </c>
      <c r="BF173" s="1" t="str">
        <f t="shared" si="911"/>
        <v>ND</v>
      </c>
      <c r="BG173" s="1" t="str">
        <f t="shared" si="912"/>
        <v>ND</v>
      </c>
      <c r="BH173" s="1" t="str">
        <f t="shared" si="913"/>
        <v>ND</v>
      </c>
      <c r="BI173" s="1" t="str">
        <f t="shared" si="914"/>
        <v>ND</v>
      </c>
      <c r="BJ173" s="1" t="str">
        <f t="shared" si="915"/>
        <v>ND</v>
      </c>
      <c r="BK173" s="1" t="str">
        <f t="shared" si="916"/>
        <v>ND</v>
      </c>
      <c r="BL173" s="1" t="str">
        <f t="shared" si="917"/>
        <v>ND</v>
      </c>
      <c r="BM173" s="1" t="str">
        <f t="shared" si="918"/>
        <v>ND</v>
      </c>
      <c r="BN173" s="1" t="str">
        <f t="shared" si="919"/>
        <v>ND</v>
      </c>
      <c r="BO173" s="1" t="str">
        <f t="shared" si="920"/>
        <v>ND</v>
      </c>
      <c r="BP173" s="1" t="str">
        <f t="shared" si="921"/>
        <v>ND</v>
      </c>
      <c r="BQ173" s="1" t="str">
        <f t="shared" si="922"/>
        <v>ND</v>
      </c>
      <c r="BR173" s="1" t="str">
        <f t="shared" si="923"/>
        <v>ND</v>
      </c>
      <c r="BS173" s="1" t="str">
        <f t="shared" si="924"/>
        <v>ND</v>
      </c>
      <c r="BT173" s="1" t="str">
        <f t="shared" si="925"/>
        <v>ND</v>
      </c>
      <c r="BU173" s="1" t="str">
        <f t="shared" si="926"/>
        <v>ND</v>
      </c>
      <c r="BV173" s="1" t="str">
        <f t="shared" si="927"/>
        <v>ND</v>
      </c>
      <c r="BW173" s="1" t="str">
        <f t="shared" si="928"/>
        <v>ND</v>
      </c>
      <c r="BX173" s="1" t="str">
        <f t="shared" si="929"/>
        <v>ND</v>
      </c>
      <c r="BY173" s="1" t="str">
        <f t="shared" si="930"/>
        <v>ND</v>
      </c>
      <c r="BZ173" s="1" t="str">
        <f t="shared" si="931"/>
        <v>ND</v>
      </c>
      <c r="CA173" s="1" t="str">
        <f t="shared" si="932"/>
        <v>ND</v>
      </c>
      <c r="CB173" s="1" t="str">
        <f t="shared" si="932"/>
        <v>ND</v>
      </c>
      <c r="CC173" s="1" t="str">
        <f t="shared" si="932"/>
        <v>ND</v>
      </c>
      <c r="CD173" s="1" t="str">
        <f t="shared" si="932"/>
        <v>ND</v>
      </c>
      <c r="CE173" s="1" t="str">
        <f t="shared" si="932"/>
        <v>ND</v>
      </c>
      <c r="CF173" s="1" t="str">
        <f t="shared" si="932"/>
        <v>ND</v>
      </c>
      <c r="CG173" s="1" t="str">
        <f t="shared" si="932"/>
        <v>ND</v>
      </c>
      <c r="CH173" s="1" t="str">
        <f t="shared" si="932"/>
        <v>ND</v>
      </c>
      <c r="CI173" s="1" t="str">
        <f t="shared" si="932"/>
        <v>ND</v>
      </c>
      <c r="CJ173" s="1" t="str">
        <f t="shared" si="932"/>
        <v>ND</v>
      </c>
      <c r="CK173" s="1" t="str">
        <f t="shared" si="932"/>
        <v>ND</v>
      </c>
      <c r="CL173" s="1" t="str">
        <f t="shared" si="933"/>
        <v>ND</v>
      </c>
      <c r="CM173" s="1" t="str">
        <f t="shared" si="933"/>
        <v>ND</v>
      </c>
      <c r="CN173" s="1" t="str">
        <f t="shared" si="933"/>
        <v>ND</v>
      </c>
      <c r="CO173" s="1" t="str">
        <f t="shared" si="933"/>
        <v>ND</v>
      </c>
      <c r="CP173" s="1" t="str">
        <f t="shared" si="933"/>
        <v>ND</v>
      </c>
      <c r="CQ173" s="1" t="str">
        <f t="shared" si="933"/>
        <v>ND</v>
      </c>
      <c r="CR173" s="1" t="str">
        <f t="shared" si="933"/>
        <v>ND</v>
      </c>
      <c r="CS173" s="1" t="str">
        <f t="shared" si="933"/>
        <v>ND</v>
      </c>
      <c r="CT173" s="1" t="str">
        <f t="shared" si="933"/>
        <v>ND</v>
      </c>
      <c r="CU173" s="1" t="str">
        <f t="shared" si="933"/>
        <v>ND</v>
      </c>
      <c r="CV173" s="1" t="str">
        <f t="shared" si="933"/>
        <v>ND</v>
      </c>
      <c r="CW173" s="1" t="str">
        <f t="shared" si="934"/>
        <v>ND</v>
      </c>
      <c r="CX173" s="1" t="str">
        <f t="shared" si="935"/>
        <v>ND</v>
      </c>
      <c r="CY173" s="1" t="str">
        <f t="shared" si="936"/>
        <v>ND</v>
      </c>
      <c r="CZ173" s="1" t="str">
        <f t="shared" si="937"/>
        <v>ND</v>
      </c>
      <c r="DA173" s="1" t="str">
        <f t="shared" si="938"/>
        <v>ND</v>
      </c>
      <c r="DB173" s="1" t="str">
        <f t="shared" si="939"/>
        <v>ND</v>
      </c>
      <c r="DC173" s="1" t="str">
        <f t="shared" si="940"/>
        <v>ND</v>
      </c>
      <c r="DD173" s="1" t="str">
        <f t="shared" si="941"/>
        <v>ND</v>
      </c>
      <c r="DE173" s="1" t="str">
        <f t="shared" si="942"/>
        <v>ND</v>
      </c>
      <c r="DF173" s="1" t="str">
        <f t="shared" si="943"/>
        <v>ND</v>
      </c>
      <c r="DG173" s="1" t="str">
        <f t="shared" si="944"/>
        <v>ND</v>
      </c>
      <c r="DH173" s="1" t="str">
        <f t="shared" si="945"/>
        <v>ND</v>
      </c>
      <c r="DI173" s="1" t="str">
        <f t="shared" si="946"/>
        <v>ND</v>
      </c>
      <c r="DJ173" s="1" t="str">
        <f t="shared" si="947"/>
        <v>ND</v>
      </c>
      <c r="DK173" s="1" t="str">
        <f t="shared" si="948"/>
        <v>ND</v>
      </c>
      <c r="DL173" s="1" t="str">
        <f t="shared" si="949"/>
        <v>ND</v>
      </c>
      <c r="DM173" s="1" t="str">
        <f t="shared" si="950"/>
        <v>ND</v>
      </c>
      <c r="DN173" s="1" t="str">
        <f t="shared" si="951"/>
        <v>ND</v>
      </c>
      <c r="DO173" s="1" t="str">
        <f t="shared" si="952"/>
        <v>ND</v>
      </c>
      <c r="DP173" s="1" t="str">
        <f t="shared" si="953"/>
        <v>ND</v>
      </c>
      <c r="DQ173" s="1" t="str">
        <f t="shared" si="954"/>
        <v>ND</v>
      </c>
      <c r="DR173" s="1" t="str">
        <f t="shared" si="955"/>
        <v>ND</v>
      </c>
      <c r="DS173" s="1" t="str">
        <f t="shared" si="956"/>
        <v>ND</v>
      </c>
      <c r="DT173" s="1" t="str">
        <f t="shared" si="957"/>
        <v>ND</v>
      </c>
      <c r="DU173" s="1" t="str">
        <f t="shared" si="958"/>
        <v>ND</v>
      </c>
      <c r="DV173" s="1" t="str">
        <f t="shared" si="959"/>
        <v>ND</v>
      </c>
      <c r="DW173" s="1" t="str">
        <f t="shared" si="960"/>
        <v>ND</v>
      </c>
      <c r="DX173" s="1" t="str">
        <f t="shared" si="961"/>
        <v>ND</v>
      </c>
      <c r="DY173" s="1" t="str">
        <f t="shared" si="962"/>
        <v>ND</v>
      </c>
      <c r="DZ173" s="1" t="str">
        <f t="shared" si="963"/>
        <v>ND</v>
      </c>
      <c r="EA173" s="1" t="str">
        <f t="shared" si="964"/>
        <v>ND</v>
      </c>
      <c r="EB173" s="1" t="str">
        <f t="shared" si="965"/>
        <v>ND</v>
      </c>
      <c r="EC173" s="1" t="str">
        <f t="shared" si="966"/>
        <v>ND</v>
      </c>
      <c r="ED173" s="1" t="str">
        <f t="shared" si="967"/>
        <v>ND</v>
      </c>
      <c r="EE173" s="1" t="str">
        <f t="shared" si="968"/>
        <v>ND</v>
      </c>
      <c r="EF173" s="1" t="str">
        <f t="shared" si="969"/>
        <v>ND</v>
      </c>
      <c r="EG173" s="1" t="str">
        <f t="shared" si="970"/>
        <v>ND</v>
      </c>
      <c r="EH173" s="1" t="str">
        <f t="shared" si="971"/>
        <v>ND</v>
      </c>
      <c r="EI173" s="1" t="str">
        <f t="shared" si="972"/>
        <v>ND</v>
      </c>
      <c r="EJ173" s="1" t="str">
        <f t="shared" si="973"/>
        <v>ND</v>
      </c>
      <c r="EK173" s="1" t="str">
        <f t="shared" si="974"/>
        <v>ND</v>
      </c>
      <c r="EL173" s="1" t="str">
        <f t="shared" si="975"/>
        <v>ND</v>
      </c>
      <c r="EM173" s="1" t="str">
        <f t="shared" si="976"/>
        <v>ND</v>
      </c>
      <c r="EN173" s="1" t="str">
        <f t="shared" si="977"/>
        <v>ND</v>
      </c>
      <c r="EO173" s="1" t="str">
        <f t="shared" si="978"/>
        <v>ND</v>
      </c>
      <c r="EP173" s="1" t="str">
        <f t="shared" si="978"/>
        <v>ND</v>
      </c>
      <c r="EQ173" s="1" t="str">
        <f t="shared" si="978"/>
        <v>ND</v>
      </c>
      <c r="ER173" s="1" t="str">
        <f t="shared" si="978"/>
        <v>ND</v>
      </c>
      <c r="ES173" s="1" t="str">
        <f t="shared" si="978"/>
        <v>ND</v>
      </c>
      <c r="ET173" s="1" t="str">
        <f t="shared" si="978"/>
        <v>ND</v>
      </c>
      <c r="EU173" s="1" t="str">
        <f t="shared" si="978"/>
        <v>ND</v>
      </c>
      <c r="EV173" s="1" t="str">
        <f t="shared" si="978"/>
        <v>ND</v>
      </c>
      <c r="EW173" s="1" t="str">
        <f t="shared" si="978"/>
        <v>ND</v>
      </c>
      <c r="EX173" s="1" t="str">
        <f t="shared" si="978"/>
        <v>ND</v>
      </c>
      <c r="EY173" s="1" t="str">
        <f t="shared" si="978"/>
        <v>ND</v>
      </c>
      <c r="EZ173" s="1" t="str">
        <f t="shared" si="979"/>
        <v>ND</v>
      </c>
      <c r="FA173" s="1" t="str">
        <f t="shared" si="979"/>
        <v>ND</v>
      </c>
      <c r="FB173" s="1" t="str">
        <f t="shared" si="979"/>
        <v>ND</v>
      </c>
      <c r="FC173" s="1" t="str">
        <f t="shared" si="979"/>
        <v>ND</v>
      </c>
      <c r="FD173" s="1" t="str">
        <f t="shared" si="979"/>
        <v>ND</v>
      </c>
      <c r="FE173" s="1" t="str">
        <f t="shared" si="979"/>
        <v>ND</v>
      </c>
      <c r="FF173" s="1" t="str">
        <f t="shared" si="979"/>
        <v>ND</v>
      </c>
      <c r="FG173" s="1" t="str">
        <f t="shared" si="979"/>
        <v>ND</v>
      </c>
      <c r="FH173" s="1" t="str">
        <f t="shared" si="979"/>
        <v>ND</v>
      </c>
      <c r="FI173" s="1" t="str">
        <f t="shared" si="979"/>
        <v>ND</v>
      </c>
      <c r="FJ173" s="1" t="str">
        <f t="shared" si="979"/>
        <v>ND</v>
      </c>
      <c r="FK173" s="1" t="str">
        <f t="shared" si="980"/>
        <v>ND</v>
      </c>
      <c r="FL173" s="1" t="str">
        <f t="shared" si="980"/>
        <v>ND</v>
      </c>
      <c r="FM173" s="1" t="str">
        <f t="shared" si="980"/>
        <v>ND</v>
      </c>
      <c r="FN173" s="1" t="str">
        <f t="shared" si="980"/>
        <v>ND</v>
      </c>
      <c r="FO173" s="1" t="str">
        <f t="shared" si="980"/>
        <v>ND</v>
      </c>
      <c r="FP173" s="1" t="str">
        <f t="shared" si="980"/>
        <v>ND</v>
      </c>
      <c r="FQ173" s="1" t="str">
        <f t="shared" si="980"/>
        <v>ND</v>
      </c>
      <c r="FR173" s="1" t="str">
        <f t="shared" si="980"/>
        <v>ND</v>
      </c>
      <c r="FS173" s="1" t="str">
        <f t="shared" si="980"/>
        <v>ND</v>
      </c>
      <c r="FT173" s="1" t="str">
        <f t="shared" si="980"/>
        <v>ND</v>
      </c>
      <c r="FU173" s="1" t="str">
        <f t="shared" si="980"/>
        <v>ND</v>
      </c>
      <c r="FV173" s="1" t="str">
        <f t="shared" si="981"/>
        <v>ND</v>
      </c>
      <c r="FW173" s="1" t="str">
        <f t="shared" si="982"/>
        <v>ND</v>
      </c>
      <c r="FX173" s="1" t="str">
        <f t="shared" si="983"/>
        <v>ND</v>
      </c>
      <c r="FY173" s="1" t="str">
        <f t="shared" si="984"/>
        <v>ND</v>
      </c>
      <c r="FZ173" s="1" t="str">
        <f t="shared" si="985"/>
        <v>ND</v>
      </c>
      <c r="GA173" s="1" t="str">
        <f t="shared" si="986"/>
        <v>ND</v>
      </c>
      <c r="GB173" s="1" t="str">
        <f t="shared" si="987"/>
        <v>ND</v>
      </c>
      <c r="GC173" s="1" t="str">
        <f t="shared" si="988"/>
        <v>ND</v>
      </c>
      <c r="GD173" s="1" t="str">
        <f t="shared" si="989"/>
        <v>ND</v>
      </c>
      <c r="GE173" s="1" t="str">
        <f t="shared" si="990"/>
        <v>ND</v>
      </c>
      <c r="GF173" s="1" t="str">
        <f t="shared" si="991"/>
        <v>ND</v>
      </c>
      <c r="GG173" s="1" t="str">
        <f t="shared" si="992"/>
        <v>ND</v>
      </c>
      <c r="GH173" s="1" t="str">
        <f t="shared" si="993"/>
        <v>ND</v>
      </c>
      <c r="GI173" s="1" t="str">
        <f t="shared" si="994"/>
        <v>ND</v>
      </c>
      <c r="GJ173" s="1" t="str">
        <f t="shared" si="995"/>
        <v>ND</v>
      </c>
      <c r="GK173" s="1" t="str">
        <f t="shared" si="996"/>
        <v>ND</v>
      </c>
      <c r="GL173" s="1" t="str">
        <f t="shared" si="997"/>
        <v>ND</v>
      </c>
      <c r="GM173" s="1" t="str">
        <f t="shared" si="998"/>
        <v>ND</v>
      </c>
      <c r="GN173" s="1" t="str">
        <f t="shared" si="999"/>
        <v>ND</v>
      </c>
      <c r="GO173" s="1" t="str">
        <f t="shared" si="1000"/>
        <v>ND</v>
      </c>
      <c r="GP173" s="1" t="str">
        <f t="shared" si="1001"/>
        <v>ND</v>
      </c>
      <c r="GQ173" s="1" t="str">
        <f t="shared" si="1002"/>
        <v>ND</v>
      </c>
      <c r="GR173" s="1" t="str">
        <f t="shared" si="1003"/>
        <v>ND</v>
      </c>
      <c r="GS173" s="1" t="str">
        <f t="shared" si="1004"/>
        <v>ND</v>
      </c>
      <c r="GT173" s="1" t="str">
        <f t="shared" si="1005"/>
        <v>ND</v>
      </c>
      <c r="GU173" s="1" t="str">
        <f t="shared" si="1006"/>
        <v>ND</v>
      </c>
      <c r="GV173" s="1" t="str">
        <f t="shared" si="1007"/>
        <v>ND</v>
      </c>
      <c r="GW173" s="1" t="str">
        <f t="shared" si="1008"/>
        <v>ND</v>
      </c>
      <c r="GX173" s="1" t="str">
        <f t="shared" si="1009"/>
        <v>ND</v>
      </c>
      <c r="GY173" s="1" t="str">
        <f t="shared" si="1010"/>
        <v>ND</v>
      </c>
      <c r="GZ173" s="1" t="str">
        <f t="shared" si="1011"/>
        <v>ND</v>
      </c>
      <c r="HA173" s="1" t="str">
        <f t="shared" si="1012"/>
        <v>ND</v>
      </c>
      <c r="HB173" s="1" t="str">
        <f t="shared" si="1013"/>
        <v>ND</v>
      </c>
      <c r="HC173" s="1" t="str">
        <f t="shared" si="1014"/>
        <v>ND</v>
      </c>
      <c r="HD173" s="1" t="str">
        <f t="shared" si="1015"/>
        <v>ND</v>
      </c>
      <c r="HE173" s="1" t="str">
        <f t="shared" si="1016"/>
        <v>ND</v>
      </c>
      <c r="HF173" s="1" t="str">
        <f t="shared" si="1017"/>
        <v>ND</v>
      </c>
      <c r="HG173" s="1" t="str">
        <f t="shared" si="1018"/>
        <v>ND</v>
      </c>
      <c r="HH173" s="1" t="str">
        <f t="shared" si="1019"/>
        <v>ND</v>
      </c>
      <c r="HI173" s="1" t="str">
        <f t="shared" si="1020"/>
        <v>ND</v>
      </c>
      <c r="HJ173" s="1" t="str">
        <f t="shared" si="1021"/>
        <v>ND</v>
      </c>
      <c r="HK173" s="1" t="str">
        <f t="shared" si="1022"/>
        <v>ND</v>
      </c>
      <c r="HL173" s="1" t="str">
        <f t="shared" si="1023"/>
        <v>ND</v>
      </c>
      <c r="HM173" s="1" t="str">
        <f t="shared" si="1024"/>
        <v>ND</v>
      </c>
      <c r="HN173" s="1" t="str">
        <f t="shared" si="1025"/>
        <v>ND</v>
      </c>
      <c r="HO173" s="1" t="str">
        <f t="shared" si="1026"/>
        <v>ND</v>
      </c>
      <c r="HP173" s="1" t="str">
        <f t="shared" si="1027"/>
        <v>ND</v>
      </c>
      <c r="HQ173" s="1" t="str">
        <f t="shared" si="1028"/>
        <v>ND</v>
      </c>
      <c r="HR173" s="1" t="str">
        <f t="shared" si="1029"/>
        <v>ND</v>
      </c>
      <c r="HS173" s="1" t="str">
        <f t="shared" si="1030"/>
        <v>ND</v>
      </c>
      <c r="HT173" s="1" t="str">
        <f t="shared" si="1031"/>
        <v>ND</v>
      </c>
      <c r="HU173" s="1" t="str">
        <f t="shared" si="1032"/>
        <v>ND</v>
      </c>
      <c r="HV173" s="1" t="str">
        <f t="shared" si="1033"/>
        <v>ND</v>
      </c>
      <c r="HW173" s="1" t="str">
        <f t="shared" si="1034"/>
        <v>ND</v>
      </c>
      <c r="HX173" s="1" t="str">
        <f t="shared" si="1035"/>
        <v>ND</v>
      </c>
      <c r="HY173" s="1" t="str">
        <f t="shared" si="1036"/>
        <v>ND</v>
      </c>
      <c r="HZ173" s="1" t="str">
        <f t="shared" si="1037"/>
        <v>ND</v>
      </c>
      <c r="IA173" s="1" t="str">
        <f t="shared" si="1038"/>
        <v>ND</v>
      </c>
      <c r="IB173" s="1" t="str">
        <f t="shared" si="1039"/>
        <v>ND</v>
      </c>
      <c r="IC173" s="1" t="str">
        <f t="shared" si="1040"/>
        <v>ND</v>
      </c>
      <c r="ID173" s="1" t="str">
        <f t="shared" si="1041"/>
        <v>ND</v>
      </c>
      <c r="IE173" s="1" t="str">
        <f t="shared" si="1042"/>
        <v>ND</v>
      </c>
      <c r="IF173" s="1" t="str">
        <f t="shared" si="1043"/>
        <v>ND</v>
      </c>
      <c r="IG173" s="1" t="str">
        <f t="shared" si="1044"/>
        <v>ND</v>
      </c>
      <c r="IH173" s="1" t="str">
        <f t="shared" si="1045"/>
        <v>ND</v>
      </c>
      <c r="II173" s="1" t="str">
        <f t="shared" si="1046"/>
        <v>ND</v>
      </c>
    </row>
    <row r="174" spans="3:243" x14ac:dyDescent="0.25">
      <c r="C174" t="s">
        <v>118</v>
      </c>
      <c r="D174">
        <f>SUMIFS(DICCIONARIO[Cantidad],DICCIONARIO[Modelo],UNIFICADA[[#This Row],[Equipo]])</f>
        <v>4</v>
      </c>
      <c r="E174" s="1">
        <f>IFERROR(VLOOKUP($C174,EQUIPOS[],UNIFICADO!E$9,0),"")</f>
        <v>16</v>
      </c>
      <c r="F174" s="1">
        <f>IFERROR(VLOOKUP($C174,EQUIPOS[],UNIFICADO!F$9,0),"")</f>
        <v>6.7</v>
      </c>
      <c r="G174" s="1">
        <f>IFERROR(VLOOKUP($C174,EQUIPOS[],UNIFICADO!G$9,0),"")</f>
        <v>48</v>
      </c>
      <c r="H174" s="1">
        <f>IFERROR(VLOOKUP($C174,EQUIPOS[],UNIFICADO!H$9,0),"")</f>
        <v>4</v>
      </c>
      <c r="I174" s="1">
        <f>IFERROR(VLOOKUP($C174,EQUIPOS[],UNIFICADO!I$9,0),"")</f>
        <v>12</v>
      </c>
      <c r="J174" s="1" t="str">
        <f>IFERROR(VLOOKUP($C174,EQUIPOS[],UNIFICADO!J$9,0),"")</f>
        <v>256GB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3.22/2.0</v>
      </c>
      <c r="N174" s="1">
        <f>IFERROR(VLOOKUP($C174,EQUIPOS[],UNIFICADO!N$9,0),"")</f>
        <v>6</v>
      </c>
      <c r="O174" s="1">
        <f>IFERROR(VLOOKUP($C174,EQUIPOS[],UNIFICADO!O$9,0),"")</f>
        <v>240</v>
      </c>
      <c r="P174" s="1">
        <f>IFERROR(VLOOKUP($C174,EQUIPOS[],UNIFICADO!P$9,0),"")</f>
        <v>16</v>
      </c>
      <c r="Q174" s="1">
        <f>IFERROR(VLOOKUP($C174,EQUIPOS[],UNIFICADO!Q$9,0),"")</f>
        <v>7.76</v>
      </c>
      <c r="R174" s="1">
        <f>IFERROR(VLOOKUP($C174,EQUIPOS[],UNIFICADO!R$9,0),"")</f>
        <v>0.78500000000000003</v>
      </c>
      <c r="S174" s="1">
        <f>IFERROR(VLOOKUP($C174,EQUIPOS[],UNIFICADO!S$9,0),"")</f>
        <v>4323</v>
      </c>
      <c r="T174" s="1">
        <f>IFERROR(VLOOKUP($C174,EQUIPOS[],UNIFICADO!T$9,0),"")</f>
        <v>5</v>
      </c>
      <c r="U174" s="1">
        <f>VLOOKUP(UNIFICADA[[#This Row],[Equipo]],EQUIPOS[],19,0)</f>
        <v>164</v>
      </c>
      <c r="V174" s="1" t="str">
        <f t="shared" si="884"/>
        <v>ND</v>
      </c>
      <c r="W174" s="1" t="str">
        <f t="shared" si="885"/>
        <v>ND</v>
      </c>
      <c r="X174" s="1" t="str">
        <f t="shared" si="886"/>
        <v>ND</v>
      </c>
      <c r="Y174" s="1" t="str">
        <f t="shared" si="886"/>
        <v>ND</v>
      </c>
      <c r="Z174" s="1" t="str">
        <f t="shared" si="887"/>
        <v>ND</v>
      </c>
      <c r="AA174" s="1" t="str">
        <f t="shared" si="887"/>
        <v>ND</v>
      </c>
      <c r="AB174" s="1" t="str">
        <f t="shared" si="887"/>
        <v>ND</v>
      </c>
      <c r="AC174" s="1" t="str">
        <f t="shared" si="887"/>
        <v>ND</v>
      </c>
      <c r="AD174" s="1" t="str">
        <f t="shared" si="887"/>
        <v>ND</v>
      </c>
      <c r="AE174" s="1" t="str">
        <f t="shared" si="887"/>
        <v>ND</v>
      </c>
      <c r="AF174" s="1" t="str">
        <f t="shared" si="887"/>
        <v>ND</v>
      </c>
      <c r="AG174" s="1" t="str">
        <f t="shared" si="887"/>
        <v>ND</v>
      </c>
      <c r="AH174" s="1" t="str">
        <f t="shared" si="887"/>
        <v>ND</v>
      </c>
      <c r="AI174" s="1" t="str">
        <f t="shared" si="888"/>
        <v>ND</v>
      </c>
      <c r="AJ174" s="1" t="str">
        <f t="shared" si="889"/>
        <v>ND</v>
      </c>
      <c r="AK174" s="1" t="str">
        <f t="shared" si="890"/>
        <v>ND</v>
      </c>
      <c r="AL174" s="1" t="str">
        <f t="shared" si="891"/>
        <v>ND</v>
      </c>
      <c r="AM174" s="1" t="str">
        <f t="shared" si="892"/>
        <v>ND</v>
      </c>
      <c r="AN174" s="1" t="str">
        <f t="shared" si="893"/>
        <v>ND</v>
      </c>
      <c r="AO174" s="1" t="str">
        <f t="shared" si="894"/>
        <v>ND</v>
      </c>
      <c r="AP174" s="1" t="str">
        <f t="shared" si="895"/>
        <v>ND</v>
      </c>
      <c r="AQ174" s="1" t="str">
        <f t="shared" si="896"/>
        <v>ND</v>
      </c>
      <c r="AR174" s="1" t="str">
        <f t="shared" si="897"/>
        <v>ND</v>
      </c>
      <c r="AS174" s="1" t="str">
        <f t="shared" si="898"/>
        <v>ND</v>
      </c>
      <c r="AT174" s="1" t="str">
        <f t="shared" si="899"/>
        <v>ND</v>
      </c>
      <c r="AU174" s="1" t="str">
        <f t="shared" si="900"/>
        <v>ND</v>
      </c>
      <c r="AV174" s="1" t="str">
        <f t="shared" si="901"/>
        <v>ND</v>
      </c>
      <c r="AW174" s="1" t="str">
        <f t="shared" si="902"/>
        <v>ND</v>
      </c>
      <c r="AX174" s="1" t="str">
        <f t="shared" si="903"/>
        <v>ND</v>
      </c>
      <c r="AY174" s="1" t="str">
        <f t="shared" si="904"/>
        <v>ND</v>
      </c>
      <c r="AZ174" s="1" t="str">
        <f t="shared" si="905"/>
        <v>ND</v>
      </c>
      <c r="BA174" s="1" t="str">
        <f t="shared" si="906"/>
        <v>ND</v>
      </c>
      <c r="BB174" s="1" t="str">
        <f t="shared" si="907"/>
        <v>ND</v>
      </c>
      <c r="BC174" s="1" t="str">
        <f t="shared" si="908"/>
        <v>ND</v>
      </c>
      <c r="BD174" s="1" t="str">
        <f t="shared" si="909"/>
        <v>ND</v>
      </c>
      <c r="BE174" s="1" t="str">
        <f t="shared" si="910"/>
        <v>ND</v>
      </c>
      <c r="BF174" s="1" t="str">
        <f t="shared" si="911"/>
        <v>ND</v>
      </c>
      <c r="BG174" s="1" t="str">
        <f t="shared" si="912"/>
        <v>ND</v>
      </c>
      <c r="BH174" s="1" t="str">
        <f t="shared" si="913"/>
        <v>ND</v>
      </c>
      <c r="BI174" s="1" t="str">
        <f t="shared" si="914"/>
        <v>ND</v>
      </c>
      <c r="BJ174" s="1" t="str">
        <f t="shared" si="915"/>
        <v>ND</v>
      </c>
      <c r="BK174" s="1" t="str">
        <f t="shared" si="916"/>
        <v>ND</v>
      </c>
      <c r="BL174" s="1" t="str">
        <f t="shared" si="917"/>
        <v>ND</v>
      </c>
      <c r="BM174" s="1" t="str">
        <f t="shared" si="918"/>
        <v>ND</v>
      </c>
      <c r="BN174" s="1" t="str">
        <f t="shared" si="919"/>
        <v>ND</v>
      </c>
      <c r="BO174" s="1" t="str">
        <f t="shared" si="920"/>
        <v>ND</v>
      </c>
      <c r="BP174" s="1" t="str">
        <f t="shared" si="921"/>
        <v>ND</v>
      </c>
      <c r="BQ174" s="1" t="str">
        <f t="shared" si="922"/>
        <v>ND</v>
      </c>
      <c r="BR174" s="1" t="str">
        <f t="shared" si="923"/>
        <v>ND</v>
      </c>
      <c r="BS174" s="1" t="str">
        <f t="shared" si="924"/>
        <v>ND</v>
      </c>
      <c r="BT174" s="1" t="str">
        <f t="shared" si="925"/>
        <v>ND</v>
      </c>
      <c r="BU174" s="1" t="str">
        <f t="shared" si="926"/>
        <v>ND</v>
      </c>
      <c r="BV174" s="1" t="str">
        <f t="shared" si="927"/>
        <v>ND</v>
      </c>
      <c r="BW174" s="1" t="str">
        <f t="shared" si="928"/>
        <v>ND</v>
      </c>
      <c r="BX174" s="1" t="str">
        <f t="shared" si="929"/>
        <v>ND</v>
      </c>
      <c r="BY174" s="1" t="str">
        <f t="shared" si="930"/>
        <v>ND</v>
      </c>
      <c r="BZ174" s="1" t="str">
        <f t="shared" si="931"/>
        <v>ND</v>
      </c>
      <c r="CA174" s="1" t="str">
        <f t="shared" si="932"/>
        <v>ND</v>
      </c>
      <c r="CB174" s="1" t="str">
        <f t="shared" si="932"/>
        <v>ND</v>
      </c>
      <c r="CC174" s="1" t="str">
        <f t="shared" si="932"/>
        <v>ND</v>
      </c>
      <c r="CD174" s="1" t="str">
        <f t="shared" si="932"/>
        <v>ND</v>
      </c>
      <c r="CE174" s="1" t="str">
        <f t="shared" si="932"/>
        <v>ND</v>
      </c>
      <c r="CF174" s="1" t="str">
        <f t="shared" si="932"/>
        <v>ND</v>
      </c>
      <c r="CG174" s="1" t="str">
        <f t="shared" si="932"/>
        <v>ND</v>
      </c>
      <c r="CH174" s="1" t="str">
        <f t="shared" si="932"/>
        <v>ND</v>
      </c>
      <c r="CI174" s="1" t="str">
        <f t="shared" si="932"/>
        <v>ND</v>
      </c>
      <c r="CJ174" s="1" t="str">
        <f t="shared" si="932"/>
        <v>ND</v>
      </c>
      <c r="CK174" s="1" t="str">
        <f t="shared" si="932"/>
        <v>ND</v>
      </c>
      <c r="CL174" s="1" t="str">
        <f t="shared" si="933"/>
        <v>ND</v>
      </c>
      <c r="CM174" s="1" t="str">
        <f t="shared" si="933"/>
        <v>ND</v>
      </c>
      <c r="CN174" s="1" t="str">
        <f t="shared" si="933"/>
        <v>ND</v>
      </c>
      <c r="CO174" s="1" t="str">
        <f t="shared" si="933"/>
        <v>ND</v>
      </c>
      <c r="CP174" s="1" t="str">
        <f t="shared" si="933"/>
        <v>ND</v>
      </c>
      <c r="CQ174" s="1" t="str">
        <f t="shared" si="933"/>
        <v>ND</v>
      </c>
      <c r="CR174" s="1" t="str">
        <f t="shared" si="933"/>
        <v>ND</v>
      </c>
      <c r="CS174" s="1" t="str">
        <f t="shared" si="933"/>
        <v>ND</v>
      </c>
      <c r="CT174" s="1" t="str">
        <f t="shared" si="933"/>
        <v>ND</v>
      </c>
      <c r="CU174" s="1" t="str">
        <f t="shared" si="933"/>
        <v>ND</v>
      </c>
      <c r="CV174" s="1" t="str">
        <f t="shared" si="933"/>
        <v>ND</v>
      </c>
      <c r="CW174" s="1" t="str">
        <f t="shared" si="934"/>
        <v>ND</v>
      </c>
      <c r="CX174" s="1" t="str">
        <f t="shared" si="935"/>
        <v>ND</v>
      </c>
      <c r="CY174" s="1" t="str">
        <f t="shared" si="936"/>
        <v>ND</v>
      </c>
      <c r="CZ174" s="1" t="str">
        <f t="shared" si="937"/>
        <v>ND</v>
      </c>
      <c r="DA174" s="1" t="str">
        <f t="shared" si="938"/>
        <v>ND</v>
      </c>
      <c r="DB174" s="1" t="str">
        <f t="shared" si="939"/>
        <v>ND</v>
      </c>
      <c r="DC174" s="1" t="str">
        <f t="shared" si="940"/>
        <v>ND</v>
      </c>
      <c r="DD174" s="1" t="str">
        <f t="shared" si="941"/>
        <v>ND</v>
      </c>
      <c r="DE174" s="1" t="str">
        <f t="shared" si="942"/>
        <v>ND</v>
      </c>
      <c r="DF174" s="1" t="str">
        <f t="shared" si="943"/>
        <v>ND</v>
      </c>
      <c r="DG174" s="1" t="str">
        <f t="shared" si="944"/>
        <v>ND</v>
      </c>
      <c r="DH174" s="1" t="str">
        <f t="shared" si="945"/>
        <v>ND</v>
      </c>
      <c r="DI174" s="1" t="str">
        <f t="shared" si="946"/>
        <v>ND</v>
      </c>
      <c r="DJ174" s="1" t="str">
        <f t="shared" si="947"/>
        <v>ND</v>
      </c>
      <c r="DK174" s="1" t="str">
        <f t="shared" si="948"/>
        <v>ND</v>
      </c>
      <c r="DL174" s="1" t="str">
        <f t="shared" si="949"/>
        <v>ND</v>
      </c>
      <c r="DM174" s="1" t="str">
        <f t="shared" si="950"/>
        <v>ND</v>
      </c>
      <c r="DN174" s="1" t="str">
        <f t="shared" si="951"/>
        <v>ND</v>
      </c>
      <c r="DO174" s="1" t="str">
        <f t="shared" si="952"/>
        <v>ND</v>
      </c>
      <c r="DP174" s="1" t="str">
        <f t="shared" si="953"/>
        <v>ND</v>
      </c>
      <c r="DQ174" s="1" t="str">
        <f t="shared" si="954"/>
        <v>ND</v>
      </c>
      <c r="DR174" s="1" t="str">
        <f t="shared" si="955"/>
        <v>ND</v>
      </c>
      <c r="DS174" s="1" t="str">
        <f t="shared" si="956"/>
        <v>ND</v>
      </c>
      <c r="DT174" s="1" t="str">
        <f t="shared" si="957"/>
        <v>ND</v>
      </c>
      <c r="DU174" s="1" t="str">
        <f t="shared" si="958"/>
        <v>ND</v>
      </c>
      <c r="DV174" s="1" t="str">
        <f t="shared" si="959"/>
        <v>ND</v>
      </c>
      <c r="DW174" s="1" t="str">
        <f t="shared" si="960"/>
        <v>ND</v>
      </c>
      <c r="DX174" s="1" t="str">
        <f t="shared" si="961"/>
        <v>ND</v>
      </c>
      <c r="DY174" s="1" t="str">
        <f t="shared" si="962"/>
        <v>ND</v>
      </c>
      <c r="DZ174" s="1" t="str">
        <f t="shared" si="963"/>
        <v>ND</v>
      </c>
      <c r="EA174" s="1" t="str">
        <f t="shared" si="964"/>
        <v>ND</v>
      </c>
      <c r="EB174" s="1" t="str">
        <f t="shared" si="965"/>
        <v>ND</v>
      </c>
      <c r="EC174" s="1" t="str">
        <f t="shared" si="966"/>
        <v>ND</v>
      </c>
      <c r="ED174" s="1" t="str">
        <f t="shared" si="967"/>
        <v>ND</v>
      </c>
      <c r="EE174" s="1" t="str">
        <f t="shared" si="968"/>
        <v>ND</v>
      </c>
      <c r="EF174" s="1" t="str">
        <f t="shared" si="969"/>
        <v>ND</v>
      </c>
      <c r="EG174" s="1" t="str">
        <f t="shared" si="970"/>
        <v>ND</v>
      </c>
      <c r="EH174" s="1" t="str">
        <f t="shared" si="971"/>
        <v>ND</v>
      </c>
      <c r="EI174" s="1" t="str">
        <f t="shared" si="972"/>
        <v>ND</v>
      </c>
      <c r="EJ174" s="1" t="str">
        <f t="shared" si="973"/>
        <v>ND</v>
      </c>
      <c r="EK174" s="1" t="str">
        <f t="shared" si="974"/>
        <v>ND</v>
      </c>
      <c r="EL174" s="1" t="str">
        <f t="shared" si="975"/>
        <v>ND</v>
      </c>
      <c r="EM174" s="1" t="str">
        <f t="shared" si="976"/>
        <v>ND</v>
      </c>
      <c r="EN174" s="1" t="str">
        <f t="shared" si="977"/>
        <v>ND</v>
      </c>
      <c r="EO174" s="1" t="str">
        <f t="shared" si="978"/>
        <v>ND</v>
      </c>
      <c r="EP174" s="1" t="str">
        <f t="shared" si="978"/>
        <v>ND</v>
      </c>
      <c r="EQ174" s="1" t="str">
        <f t="shared" si="978"/>
        <v>ND</v>
      </c>
      <c r="ER174" s="1" t="str">
        <f t="shared" si="978"/>
        <v>ND</v>
      </c>
      <c r="ES174" s="1" t="str">
        <f t="shared" si="978"/>
        <v>ND</v>
      </c>
      <c r="ET174" s="1" t="str">
        <f t="shared" si="978"/>
        <v>ND</v>
      </c>
      <c r="EU174" s="1" t="str">
        <f t="shared" si="978"/>
        <v>ND</v>
      </c>
      <c r="EV174" s="1" t="str">
        <f t="shared" si="978"/>
        <v>ND</v>
      </c>
      <c r="EW174" s="1" t="str">
        <f t="shared" si="978"/>
        <v>ND</v>
      </c>
      <c r="EX174" s="1" t="str">
        <f t="shared" si="978"/>
        <v>ND</v>
      </c>
      <c r="EY174" s="1" t="str">
        <f t="shared" si="978"/>
        <v>ND</v>
      </c>
      <c r="EZ174" s="1" t="str">
        <f t="shared" si="979"/>
        <v>ND</v>
      </c>
      <c r="FA174" s="1" t="str">
        <f t="shared" si="979"/>
        <v>ND</v>
      </c>
      <c r="FB174" s="1" t="str">
        <f t="shared" si="979"/>
        <v>ND</v>
      </c>
      <c r="FC174" s="1" t="str">
        <f t="shared" si="979"/>
        <v>ND</v>
      </c>
      <c r="FD174" s="1" t="str">
        <f t="shared" si="979"/>
        <v>ND</v>
      </c>
      <c r="FE174" s="1" t="str">
        <f t="shared" si="979"/>
        <v>ND</v>
      </c>
      <c r="FF174" s="1" t="str">
        <f t="shared" si="979"/>
        <v>ND</v>
      </c>
      <c r="FG174" s="1" t="str">
        <f t="shared" si="979"/>
        <v>ND</v>
      </c>
      <c r="FH174" s="1" t="str">
        <f t="shared" si="979"/>
        <v>ND</v>
      </c>
      <c r="FI174" s="1" t="str">
        <f t="shared" si="979"/>
        <v>ND</v>
      </c>
      <c r="FJ174" s="1" t="str">
        <f t="shared" si="979"/>
        <v>ND</v>
      </c>
      <c r="FK174" s="1" t="str">
        <f t="shared" si="980"/>
        <v>ND</v>
      </c>
      <c r="FL174" s="1" t="str">
        <f t="shared" si="980"/>
        <v>ND</v>
      </c>
      <c r="FM174" s="1" t="str">
        <f t="shared" si="980"/>
        <v>ND</v>
      </c>
      <c r="FN174" s="1" t="str">
        <f t="shared" si="980"/>
        <v>ND</v>
      </c>
      <c r="FO174" s="1" t="str">
        <f t="shared" si="980"/>
        <v>ND</v>
      </c>
      <c r="FP174" s="1" t="str">
        <f t="shared" si="980"/>
        <v>ND</v>
      </c>
      <c r="FQ174" s="1" t="str">
        <f t="shared" si="980"/>
        <v>ND</v>
      </c>
      <c r="FR174" s="1" t="str">
        <f t="shared" si="980"/>
        <v>ND</v>
      </c>
      <c r="FS174" s="1" t="str">
        <f t="shared" si="980"/>
        <v>ND</v>
      </c>
      <c r="FT174" s="1" t="str">
        <f t="shared" si="980"/>
        <v>ND</v>
      </c>
      <c r="FU174" s="1" t="str">
        <f t="shared" si="980"/>
        <v>ND</v>
      </c>
      <c r="FV174" s="1" t="str">
        <f t="shared" si="981"/>
        <v>ND</v>
      </c>
      <c r="FW174" s="1" t="str">
        <f t="shared" si="982"/>
        <v>ND</v>
      </c>
      <c r="FX174" s="1" t="str">
        <f t="shared" si="983"/>
        <v>ND</v>
      </c>
      <c r="FY174" s="1" t="str">
        <f t="shared" si="984"/>
        <v>ND</v>
      </c>
      <c r="FZ174" s="1" t="str">
        <f t="shared" si="985"/>
        <v>ND</v>
      </c>
      <c r="GA174" s="1" t="str">
        <f t="shared" si="986"/>
        <v>ND</v>
      </c>
      <c r="GB174" s="1" t="str">
        <f t="shared" si="987"/>
        <v>ND</v>
      </c>
      <c r="GC174" s="1" t="str">
        <f t="shared" si="988"/>
        <v>ND</v>
      </c>
      <c r="GD174" s="1" t="str">
        <f t="shared" si="989"/>
        <v>ND</v>
      </c>
      <c r="GE174" s="1" t="str">
        <f t="shared" si="990"/>
        <v>ND</v>
      </c>
      <c r="GF174" s="1" t="str">
        <f t="shared" si="991"/>
        <v>ND</v>
      </c>
      <c r="GG174" s="1" t="str">
        <f t="shared" si="992"/>
        <v>ND</v>
      </c>
      <c r="GH174" s="1" t="str">
        <f t="shared" si="993"/>
        <v>ND</v>
      </c>
      <c r="GI174" s="1" t="str">
        <f t="shared" si="994"/>
        <v>ND</v>
      </c>
      <c r="GJ174" s="1" t="str">
        <f t="shared" si="995"/>
        <v>ND</v>
      </c>
      <c r="GK174" s="1" t="str">
        <f t="shared" si="996"/>
        <v>ND</v>
      </c>
      <c r="GL174" s="1" t="str">
        <f t="shared" si="997"/>
        <v>ND</v>
      </c>
      <c r="GM174" s="1" t="str">
        <f t="shared" si="998"/>
        <v>ND</v>
      </c>
      <c r="GN174" s="1" t="str">
        <f t="shared" si="999"/>
        <v>ND</v>
      </c>
      <c r="GO174" s="1" t="str">
        <f t="shared" si="1000"/>
        <v>ND</v>
      </c>
      <c r="GP174" s="1" t="str">
        <f t="shared" si="1001"/>
        <v>ND</v>
      </c>
      <c r="GQ174" s="1" t="str">
        <f t="shared" si="1002"/>
        <v>ND</v>
      </c>
      <c r="GR174" s="1" t="str">
        <f t="shared" si="1003"/>
        <v>ND</v>
      </c>
      <c r="GS174" s="1" t="str">
        <f t="shared" si="1004"/>
        <v>ND</v>
      </c>
      <c r="GT174" s="1" t="str">
        <f t="shared" si="1005"/>
        <v>ND</v>
      </c>
      <c r="GU174" s="1" t="str">
        <f t="shared" si="1006"/>
        <v>ND</v>
      </c>
      <c r="GV174" s="1" t="str">
        <f t="shared" si="1007"/>
        <v>ND</v>
      </c>
      <c r="GW174" s="1" t="str">
        <f t="shared" si="1008"/>
        <v>ND</v>
      </c>
      <c r="GX174" s="1" t="str">
        <f t="shared" si="1009"/>
        <v>ND</v>
      </c>
      <c r="GY174" s="1" t="str">
        <f t="shared" si="1010"/>
        <v>ND</v>
      </c>
      <c r="GZ174" s="1" t="str">
        <f t="shared" si="1011"/>
        <v>ND</v>
      </c>
      <c r="HA174" s="1" t="str">
        <f t="shared" si="1012"/>
        <v>ND</v>
      </c>
      <c r="HB174" s="1" t="str">
        <f t="shared" si="1013"/>
        <v>ND</v>
      </c>
      <c r="HC174" s="1" t="str">
        <f t="shared" si="1014"/>
        <v>ND</v>
      </c>
      <c r="HD174" s="1" t="str">
        <f t="shared" si="1015"/>
        <v>ND</v>
      </c>
      <c r="HE174" s="1" t="str">
        <f t="shared" si="1016"/>
        <v>ND</v>
      </c>
      <c r="HF174" s="1" t="str">
        <f t="shared" si="1017"/>
        <v>ND</v>
      </c>
      <c r="HG174" s="1" t="str">
        <f t="shared" si="1018"/>
        <v>ND</v>
      </c>
      <c r="HH174" s="1" t="str">
        <f t="shared" si="1019"/>
        <v>ND</v>
      </c>
      <c r="HI174" s="1" t="str">
        <f t="shared" si="1020"/>
        <v>ND</v>
      </c>
      <c r="HJ174" s="1" t="str">
        <f t="shared" si="1021"/>
        <v>ND</v>
      </c>
      <c r="HK174" s="1" t="str">
        <f t="shared" si="1022"/>
        <v>ND</v>
      </c>
      <c r="HL174" s="1" t="str">
        <f t="shared" si="1023"/>
        <v>ND</v>
      </c>
      <c r="HM174" s="1" t="str">
        <f t="shared" si="1024"/>
        <v>ND</v>
      </c>
      <c r="HN174" s="1" t="str">
        <f t="shared" si="1025"/>
        <v>ND</v>
      </c>
      <c r="HO174" s="1" t="str">
        <f t="shared" si="1026"/>
        <v>ND</v>
      </c>
      <c r="HP174" s="1" t="str">
        <f t="shared" si="1027"/>
        <v>ND</v>
      </c>
      <c r="HQ174" s="1" t="str">
        <f t="shared" si="1028"/>
        <v>ND</v>
      </c>
      <c r="HR174" s="1" t="str">
        <f t="shared" si="1029"/>
        <v>ND</v>
      </c>
      <c r="HS174" s="1" t="str">
        <f t="shared" si="1030"/>
        <v>ND</v>
      </c>
      <c r="HT174" s="1" t="str">
        <f t="shared" si="1031"/>
        <v>ND</v>
      </c>
      <c r="HU174" s="1" t="str">
        <f t="shared" si="1032"/>
        <v>ND</v>
      </c>
      <c r="HV174" s="1" t="str">
        <f t="shared" si="1033"/>
        <v>ND</v>
      </c>
      <c r="HW174" s="1" t="str">
        <f t="shared" si="1034"/>
        <v>ND</v>
      </c>
      <c r="HX174" s="1" t="str">
        <f t="shared" si="1035"/>
        <v>ND</v>
      </c>
      <c r="HY174" s="1" t="str">
        <f t="shared" si="1036"/>
        <v>ND</v>
      </c>
      <c r="HZ174" s="1" t="str">
        <f t="shared" si="1037"/>
        <v>ND</v>
      </c>
      <c r="IA174" s="1" t="str">
        <f t="shared" si="1038"/>
        <v>ND</v>
      </c>
      <c r="IB174" s="1" t="str">
        <f t="shared" si="1039"/>
        <v>ND</v>
      </c>
      <c r="IC174" s="1" t="str">
        <f t="shared" si="1040"/>
        <v>ND</v>
      </c>
      <c r="ID174" s="1" t="str">
        <f t="shared" si="1041"/>
        <v>ND</v>
      </c>
      <c r="IE174" s="1" t="str">
        <f t="shared" si="1042"/>
        <v>ND</v>
      </c>
      <c r="IF174" s="1" t="str">
        <f t="shared" si="1043"/>
        <v>ND</v>
      </c>
      <c r="IG174" s="1" t="str">
        <f t="shared" si="1044"/>
        <v>ND</v>
      </c>
      <c r="IH174" s="1" t="str">
        <f t="shared" si="1045"/>
        <v>ND</v>
      </c>
      <c r="II174" s="1" t="str">
        <f t="shared" si="1046"/>
        <v>ND</v>
      </c>
    </row>
    <row r="175" spans="3:243" x14ac:dyDescent="0.25">
      <c r="C175" t="s">
        <v>119</v>
      </c>
      <c r="D175">
        <f>SUMIFS(DICCIONARIO[Cantidad],DICCIONARIO[Modelo],UNIFICADA[[#This Row],[Equipo]])</f>
        <v>0</v>
      </c>
      <c r="E175" s="1">
        <f>IFERROR(VLOOKUP($C175,EQUIPOS[],UNIFICADO!E$9,0),"")</f>
        <v>16</v>
      </c>
      <c r="F175" s="1">
        <f>IFERROR(VLOOKUP($C175,EQUIPOS[],UNIFICADO!F$9,0),"")</f>
        <v>6.7</v>
      </c>
      <c r="G175" s="1">
        <f>IFERROR(VLOOKUP($C175,EQUIPOS[],UNIFICADO!G$9,0),"")</f>
        <v>48</v>
      </c>
      <c r="H175" s="1">
        <f>IFERROR(VLOOKUP($C175,EQUIPOS[],UNIFICADO!H$9,0),"")</f>
        <v>4</v>
      </c>
      <c r="I175" s="1">
        <f>IFERROR(VLOOKUP($C175,EQUIPOS[],UNIFICADO!I$9,0),"")</f>
        <v>12</v>
      </c>
      <c r="J175" s="1" t="str">
        <f>IFERROR(VLOOKUP($C175,EQUIPOS[],UNIFICADO!J$9,0),"")</f>
        <v>512GB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3.22/2.0</v>
      </c>
      <c r="N175" s="1">
        <f>IFERROR(VLOOKUP($C175,EQUIPOS[],UNIFICADO!N$9,0),"")</f>
        <v>6</v>
      </c>
      <c r="O175" s="1">
        <f>IFERROR(VLOOKUP($C175,EQUIPOS[],UNIFICADO!O$9,0),"")</f>
        <v>240</v>
      </c>
      <c r="P175" s="1">
        <f>IFERROR(VLOOKUP($C175,EQUIPOS[],UNIFICADO!P$9,0),"")</f>
        <v>16</v>
      </c>
      <c r="Q175" s="1">
        <f>IFERROR(VLOOKUP($C175,EQUIPOS[],UNIFICADO!Q$9,0),"")</f>
        <v>7.76</v>
      </c>
      <c r="R175" s="1">
        <f>IFERROR(VLOOKUP($C175,EQUIPOS[],UNIFICADO!R$9,0),"")</f>
        <v>0.78500000000000003</v>
      </c>
      <c r="S175" s="1">
        <f>IFERROR(VLOOKUP($C175,EQUIPOS[],UNIFICADO!S$9,0),"")</f>
        <v>4323</v>
      </c>
      <c r="T175" s="1">
        <f>IFERROR(VLOOKUP($C175,EQUIPOS[],UNIFICADO!T$9,0),"")</f>
        <v>5</v>
      </c>
      <c r="U175" s="1">
        <f>VLOOKUP(UNIFICADA[[#This Row],[Equipo]],EQUIPOS[],19,0)</f>
        <v>165</v>
      </c>
      <c r="V175" s="1" t="str">
        <f t="shared" si="884"/>
        <v>ND</v>
      </c>
      <c r="W175" s="1" t="str">
        <f t="shared" si="885"/>
        <v>ND</v>
      </c>
      <c r="X175" s="1" t="str">
        <f t="shared" si="886"/>
        <v>ND</v>
      </c>
      <c r="Y175" s="1" t="str">
        <f t="shared" si="886"/>
        <v>ND</v>
      </c>
      <c r="Z175" s="1" t="str">
        <f t="shared" si="887"/>
        <v>ND</v>
      </c>
      <c r="AA175" s="1" t="str">
        <f t="shared" si="887"/>
        <v>ND</v>
      </c>
      <c r="AB175" s="1" t="str">
        <f t="shared" si="887"/>
        <v>ND</v>
      </c>
      <c r="AC175" s="1" t="str">
        <f t="shared" si="887"/>
        <v>ND</v>
      </c>
      <c r="AD175" s="1" t="str">
        <f t="shared" si="887"/>
        <v>ND</v>
      </c>
      <c r="AE175" s="1" t="str">
        <f t="shared" si="887"/>
        <v>ND</v>
      </c>
      <c r="AF175" s="1" t="str">
        <f t="shared" si="887"/>
        <v>ND</v>
      </c>
      <c r="AG175" s="1" t="str">
        <f t="shared" si="887"/>
        <v>ND</v>
      </c>
      <c r="AH175" s="1" t="str">
        <f t="shared" si="887"/>
        <v>ND</v>
      </c>
      <c r="AI175" s="1" t="str">
        <f t="shared" si="888"/>
        <v>ND</v>
      </c>
      <c r="AJ175" s="1" t="str">
        <f t="shared" si="889"/>
        <v>ND</v>
      </c>
      <c r="AK175" s="1" t="str">
        <f t="shared" si="890"/>
        <v>ND</v>
      </c>
      <c r="AL175" s="1" t="str">
        <f t="shared" si="891"/>
        <v>ND</v>
      </c>
      <c r="AM175" s="1" t="str">
        <f t="shared" si="892"/>
        <v>ND</v>
      </c>
      <c r="AN175" s="1" t="str">
        <f t="shared" si="893"/>
        <v>ND</v>
      </c>
      <c r="AO175" s="1" t="str">
        <f t="shared" si="894"/>
        <v>ND</v>
      </c>
      <c r="AP175" s="1" t="str">
        <f t="shared" si="895"/>
        <v>ND</v>
      </c>
      <c r="AQ175" s="1" t="str">
        <f t="shared" si="896"/>
        <v>ND</v>
      </c>
      <c r="AR175" s="1" t="str">
        <f t="shared" si="897"/>
        <v>ND</v>
      </c>
      <c r="AS175" s="1" t="str">
        <f t="shared" si="898"/>
        <v>ND</v>
      </c>
      <c r="AT175" s="1" t="str">
        <f t="shared" si="899"/>
        <v>ND</v>
      </c>
      <c r="AU175" s="1" t="str">
        <f t="shared" si="900"/>
        <v>ND</v>
      </c>
      <c r="AV175" s="1" t="str">
        <f t="shared" si="901"/>
        <v>ND</v>
      </c>
      <c r="AW175" s="1" t="str">
        <f t="shared" si="902"/>
        <v>ND</v>
      </c>
      <c r="AX175" s="1" t="str">
        <f t="shared" si="903"/>
        <v>ND</v>
      </c>
      <c r="AY175" s="1" t="str">
        <f t="shared" si="904"/>
        <v>ND</v>
      </c>
      <c r="AZ175" s="1" t="str">
        <f t="shared" si="905"/>
        <v>ND</v>
      </c>
      <c r="BA175" s="1" t="str">
        <f t="shared" si="906"/>
        <v>ND</v>
      </c>
      <c r="BB175" s="1" t="str">
        <f t="shared" si="907"/>
        <v>ND</v>
      </c>
      <c r="BC175" s="1" t="str">
        <f t="shared" si="908"/>
        <v>ND</v>
      </c>
      <c r="BD175" s="1" t="str">
        <f t="shared" si="909"/>
        <v>ND</v>
      </c>
      <c r="BE175" s="1" t="str">
        <f t="shared" si="910"/>
        <v>ND</v>
      </c>
      <c r="BF175" s="1" t="str">
        <f t="shared" si="911"/>
        <v>ND</v>
      </c>
      <c r="BG175" s="1" t="str">
        <f t="shared" si="912"/>
        <v>ND</v>
      </c>
      <c r="BH175" s="1" t="str">
        <f t="shared" si="913"/>
        <v>ND</v>
      </c>
      <c r="BI175" s="1" t="str">
        <f t="shared" si="914"/>
        <v>ND</v>
      </c>
      <c r="BJ175" s="1" t="str">
        <f t="shared" si="915"/>
        <v>ND</v>
      </c>
      <c r="BK175" s="1" t="str">
        <f t="shared" si="916"/>
        <v>ND</v>
      </c>
      <c r="BL175" s="1" t="str">
        <f t="shared" si="917"/>
        <v>ND</v>
      </c>
      <c r="BM175" s="1" t="str">
        <f t="shared" si="918"/>
        <v>ND</v>
      </c>
      <c r="BN175" s="1" t="str">
        <f t="shared" si="919"/>
        <v>ND</v>
      </c>
      <c r="BO175" s="1" t="str">
        <f t="shared" si="920"/>
        <v>ND</v>
      </c>
      <c r="BP175" s="1" t="str">
        <f t="shared" si="921"/>
        <v>ND</v>
      </c>
      <c r="BQ175" s="1" t="str">
        <f t="shared" si="922"/>
        <v>ND</v>
      </c>
      <c r="BR175" s="1" t="str">
        <f t="shared" si="923"/>
        <v>ND</v>
      </c>
      <c r="BS175" s="1" t="str">
        <f t="shared" si="924"/>
        <v>ND</v>
      </c>
      <c r="BT175" s="1" t="str">
        <f t="shared" si="925"/>
        <v>ND</v>
      </c>
      <c r="BU175" s="1" t="str">
        <f t="shared" si="926"/>
        <v>ND</v>
      </c>
      <c r="BV175" s="1" t="str">
        <f t="shared" si="927"/>
        <v>ND</v>
      </c>
      <c r="BW175" s="1" t="str">
        <f t="shared" si="928"/>
        <v>ND</v>
      </c>
      <c r="BX175" s="1" t="str">
        <f t="shared" si="929"/>
        <v>ND</v>
      </c>
      <c r="BY175" s="1" t="str">
        <f t="shared" si="930"/>
        <v>ND</v>
      </c>
      <c r="BZ175" s="1" t="str">
        <f t="shared" si="931"/>
        <v>ND</v>
      </c>
      <c r="CA175" s="1" t="str">
        <f t="shared" si="932"/>
        <v>ND</v>
      </c>
      <c r="CB175" s="1" t="str">
        <f t="shared" si="932"/>
        <v>ND</v>
      </c>
      <c r="CC175" s="1" t="str">
        <f t="shared" si="932"/>
        <v>ND</v>
      </c>
      <c r="CD175" s="1" t="str">
        <f t="shared" si="932"/>
        <v>ND</v>
      </c>
      <c r="CE175" s="1" t="str">
        <f t="shared" si="932"/>
        <v>ND</v>
      </c>
      <c r="CF175" s="1" t="str">
        <f t="shared" si="932"/>
        <v>ND</v>
      </c>
      <c r="CG175" s="1" t="str">
        <f t="shared" si="932"/>
        <v>ND</v>
      </c>
      <c r="CH175" s="1" t="str">
        <f t="shared" si="932"/>
        <v>ND</v>
      </c>
      <c r="CI175" s="1" t="str">
        <f t="shared" si="932"/>
        <v>ND</v>
      </c>
      <c r="CJ175" s="1" t="str">
        <f t="shared" si="932"/>
        <v>ND</v>
      </c>
      <c r="CK175" s="1" t="str">
        <f t="shared" si="932"/>
        <v>ND</v>
      </c>
      <c r="CL175" s="1" t="str">
        <f t="shared" si="933"/>
        <v>ND</v>
      </c>
      <c r="CM175" s="1" t="str">
        <f t="shared" si="933"/>
        <v>ND</v>
      </c>
      <c r="CN175" s="1" t="str">
        <f t="shared" si="933"/>
        <v>ND</v>
      </c>
      <c r="CO175" s="1" t="str">
        <f t="shared" si="933"/>
        <v>ND</v>
      </c>
      <c r="CP175" s="1" t="str">
        <f t="shared" si="933"/>
        <v>ND</v>
      </c>
      <c r="CQ175" s="1" t="str">
        <f t="shared" si="933"/>
        <v>ND</v>
      </c>
      <c r="CR175" s="1" t="str">
        <f t="shared" si="933"/>
        <v>ND</v>
      </c>
      <c r="CS175" s="1" t="str">
        <f t="shared" si="933"/>
        <v>ND</v>
      </c>
      <c r="CT175" s="1" t="str">
        <f t="shared" si="933"/>
        <v>ND</v>
      </c>
      <c r="CU175" s="1" t="str">
        <f t="shared" si="933"/>
        <v>ND</v>
      </c>
      <c r="CV175" s="1" t="str">
        <f t="shared" si="933"/>
        <v>ND</v>
      </c>
      <c r="CW175" s="1" t="str">
        <f t="shared" si="934"/>
        <v>ND</v>
      </c>
      <c r="CX175" s="1" t="str">
        <f t="shared" si="935"/>
        <v>ND</v>
      </c>
      <c r="CY175" s="1" t="str">
        <f t="shared" si="936"/>
        <v>ND</v>
      </c>
      <c r="CZ175" s="1" t="str">
        <f t="shared" si="937"/>
        <v>ND</v>
      </c>
      <c r="DA175" s="1" t="str">
        <f t="shared" si="938"/>
        <v>ND</v>
      </c>
      <c r="DB175" s="1" t="str">
        <f t="shared" si="939"/>
        <v>ND</v>
      </c>
      <c r="DC175" s="1" t="str">
        <f t="shared" si="940"/>
        <v>ND</v>
      </c>
      <c r="DD175" s="1" t="str">
        <f t="shared" si="941"/>
        <v>ND</v>
      </c>
      <c r="DE175" s="1" t="str">
        <f t="shared" si="942"/>
        <v>ND</v>
      </c>
      <c r="DF175" s="1" t="str">
        <f t="shared" si="943"/>
        <v>ND</v>
      </c>
      <c r="DG175" s="1" t="str">
        <f t="shared" si="944"/>
        <v>ND</v>
      </c>
      <c r="DH175" s="1" t="str">
        <f t="shared" si="945"/>
        <v>ND</v>
      </c>
      <c r="DI175" s="1" t="str">
        <f t="shared" si="946"/>
        <v>ND</v>
      </c>
      <c r="DJ175" s="1" t="str">
        <f t="shared" si="947"/>
        <v>ND</v>
      </c>
      <c r="DK175" s="1" t="str">
        <f t="shared" si="948"/>
        <v>ND</v>
      </c>
      <c r="DL175" s="1" t="str">
        <f t="shared" si="949"/>
        <v>ND</v>
      </c>
      <c r="DM175" s="1" t="str">
        <f t="shared" si="950"/>
        <v>ND</v>
      </c>
      <c r="DN175" s="1" t="str">
        <f t="shared" si="951"/>
        <v>ND</v>
      </c>
      <c r="DO175" s="1" t="str">
        <f t="shared" si="952"/>
        <v>ND</v>
      </c>
      <c r="DP175" s="1" t="str">
        <f t="shared" si="953"/>
        <v>ND</v>
      </c>
      <c r="DQ175" s="1" t="str">
        <f t="shared" si="954"/>
        <v>ND</v>
      </c>
      <c r="DR175" s="1" t="str">
        <f t="shared" si="955"/>
        <v>ND</v>
      </c>
      <c r="DS175" s="1" t="str">
        <f t="shared" si="956"/>
        <v>ND</v>
      </c>
      <c r="DT175" s="1" t="str">
        <f t="shared" si="957"/>
        <v>ND</v>
      </c>
      <c r="DU175" s="1" t="str">
        <f t="shared" si="958"/>
        <v>ND</v>
      </c>
      <c r="DV175" s="1" t="str">
        <f t="shared" si="959"/>
        <v>ND</v>
      </c>
      <c r="DW175" s="1" t="str">
        <f t="shared" si="960"/>
        <v>ND</v>
      </c>
      <c r="DX175" s="1" t="str">
        <f t="shared" si="961"/>
        <v>ND</v>
      </c>
      <c r="DY175" s="1" t="str">
        <f t="shared" si="962"/>
        <v>ND</v>
      </c>
      <c r="DZ175" s="1" t="str">
        <f t="shared" si="963"/>
        <v>ND</v>
      </c>
      <c r="EA175" s="1" t="str">
        <f t="shared" si="964"/>
        <v>ND</v>
      </c>
      <c r="EB175" s="1" t="str">
        <f t="shared" si="965"/>
        <v>ND</v>
      </c>
      <c r="EC175" s="1" t="str">
        <f t="shared" si="966"/>
        <v>ND</v>
      </c>
      <c r="ED175" s="1" t="str">
        <f t="shared" si="967"/>
        <v>ND</v>
      </c>
      <c r="EE175" s="1" t="str">
        <f t="shared" si="968"/>
        <v>ND</v>
      </c>
      <c r="EF175" s="1" t="str">
        <f t="shared" si="969"/>
        <v>ND</v>
      </c>
      <c r="EG175" s="1" t="str">
        <f t="shared" si="970"/>
        <v>ND</v>
      </c>
      <c r="EH175" s="1" t="str">
        <f t="shared" si="971"/>
        <v>ND</v>
      </c>
      <c r="EI175" s="1" t="str">
        <f t="shared" si="972"/>
        <v>ND</v>
      </c>
      <c r="EJ175" s="1" t="str">
        <f t="shared" si="973"/>
        <v>ND</v>
      </c>
      <c r="EK175" s="1" t="str">
        <f t="shared" si="974"/>
        <v>ND</v>
      </c>
      <c r="EL175" s="1" t="str">
        <f t="shared" si="975"/>
        <v>ND</v>
      </c>
      <c r="EM175" s="1" t="str">
        <f t="shared" si="976"/>
        <v>ND</v>
      </c>
      <c r="EN175" s="1" t="str">
        <f t="shared" si="977"/>
        <v>ND</v>
      </c>
      <c r="EO175" s="1" t="str">
        <f t="shared" si="978"/>
        <v>ND</v>
      </c>
      <c r="EP175" s="1" t="str">
        <f t="shared" si="978"/>
        <v>ND</v>
      </c>
      <c r="EQ175" s="1" t="str">
        <f t="shared" si="978"/>
        <v>ND</v>
      </c>
      <c r="ER175" s="1" t="str">
        <f t="shared" si="978"/>
        <v>ND</v>
      </c>
      <c r="ES175" s="1" t="str">
        <f t="shared" si="978"/>
        <v>ND</v>
      </c>
      <c r="ET175" s="1" t="str">
        <f t="shared" si="978"/>
        <v>ND</v>
      </c>
      <c r="EU175" s="1" t="str">
        <f t="shared" si="978"/>
        <v>ND</v>
      </c>
      <c r="EV175" s="1" t="str">
        <f t="shared" si="978"/>
        <v>ND</v>
      </c>
      <c r="EW175" s="1" t="str">
        <f t="shared" si="978"/>
        <v>ND</v>
      </c>
      <c r="EX175" s="1" t="str">
        <f t="shared" si="978"/>
        <v>ND</v>
      </c>
      <c r="EY175" s="1" t="str">
        <f t="shared" si="978"/>
        <v>ND</v>
      </c>
      <c r="EZ175" s="1" t="str">
        <f t="shared" si="979"/>
        <v>ND</v>
      </c>
      <c r="FA175" s="1" t="str">
        <f t="shared" si="979"/>
        <v>ND</v>
      </c>
      <c r="FB175" s="1" t="str">
        <f t="shared" si="979"/>
        <v>ND</v>
      </c>
      <c r="FC175" s="1" t="str">
        <f t="shared" si="979"/>
        <v>ND</v>
      </c>
      <c r="FD175" s="1" t="str">
        <f t="shared" si="979"/>
        <v>ND</v>
      </c>
      <c r="FE175" s="1" t="str">
        <f t="shared" si="979"/>
        <v>ND</v>
      </c>
      <c r="FF175" s="1" t="str">
        <f t="shared" si="979"/>
        <v>ND</v>
      </c>
      <c r="FG175" s="1" t="str">
        <f t="shared" si="979"/>
        <v>ND</v>
      </c>
      <c r="FH175" s="1" t="str">
        <f t="shared" si="979"/>
        <v>ND</v>
      </c>
      <c r="FI175" s="1" t="str">
        <f t="shared" si="979"/>
        <v>ND</v>
      </c>
      <c r="FJ175" s="1" t="str">
        <f t="shared" si="979"/>
        <v>ND</v>
      </c>
      <c r="FK175" s="1" t="str">
        <f t="shared" si="980"/>
        <v>ND</v>
      </c>
      <c r="FL175" s="1" t="str">
        <f t="shared" si="980"/>
        <v>ND</v>
      </c>
      <c r="FM175" s="1" t="str">
        <f t="shared" si="980"/>
        <v>ND</v>
      </c>
      <c r="FN175" s="1" t="str">
        <f t="shared" si="980"/>
        <v>ND</v>
      </c>
      <c r="FO175" s="1" t="str">
        <f t="shared" si="980"/>
        <v>ND</v>
      </c>
      <c r="FP175" s="1" t="str">
        <f t="shared" si="980"/>
        <v>ND</v>
      </c>
      <c r="FQ175" s="1" t="str">
        <f t="shared" si="980"/>
        <v>ND</v>
      </c>
      <c r="FR175" s="1" t="str">
        <f t="shared" si="980"/>
        <v>ND</v>
      </c>
      <c r="FS175" s="1" t="str">
        <f t="shared" si="980"/>
        <v>ND</v>
      </c>
      <c r="FT175" s="1" t="str">
        <f t="shared" si="980"/>
        <v>ND</v>
      </c>
      <c r="FU175" s="1" t="str">
        <f t="shared" si="980"/>
        <v>ND</v>
      </c>
      <c r="FV175" s="1" t="str">
        <f t="shared" si="981"/>
        <v>ND</v>
      </c>
      <c r="FW175" s="1" t="str">
        <f t="shared" si="982"/>
        <v>ND</v>
      </c>
      <c r="FX175" s="1" t="str">
        <f t="shared" si="983"/>
        <v>ND</v>
      </c>
      <c r="FY175" s="1" t="str">
        <f t="shared" si="984"/>
        <v>ND</v>
      </c>
      <c r="FZ175" s="1" t="str">
        <f t="shared" si="985"/>
        <v>ND</v>
      </c>
      <c r="GA175" s="1" t="str">
        <f t="shared" si="986"/>
        <v>ND</v>
      </c>
      <c r="GB175" s="1" t="str">
        <f t="shared" si="987"/>
        <v>ND</v>
      </c>
      <c r="GC175" s="1" t="str">
        <f t="shared" si="988"/>
        <v>ND</v>
      </c>
      <c r="GD175" s="1" t="str">
        <f t="shared" si="989"/>
        <v>ND</v>
      </c>
      <c r="GE175" s="1" t="str">
        <f t="shared" si="990"/>
        <v>ND</v>
      </c>
      <c r="GF175" s="1" t="str">
        <f t="shared" si="991"/>
        <v>ND</v>
      </c>
      <c r="GG175" s="1" t="str">
        <f t="shared" si="992"/>
        <v>ND</v>
      </c>
      <c r="GH175" s="1" t="str">
        <f t="shared" si="993"/>
        <v>ND</v>
      </c>
      <c r="GI175" s="1" t="str">
        <f t="shared" si="994"/>
        <v>ND</v>
      </c>
      <c r="GJ175" s="1" t="str">
        <f t="shared" si="995"/>
        <v>ND</v>
      </c>
      <c r="GK175" s="1" t="str">
        <f t="shared" si="996"/>
        <v>ND</v>
      </c>
      <c r="GL175" s="1" t="str">
        <f t="shared" si="997"/>
        <v>ND</v>
      </c>
      <c r="GM175" s="1" t="str">
        <f t="shared" si="998"/>
        <v>ND</v>
      </c>
      <c r="GN175" s="1" t="str">
        <f t="shared" si="999"/>
        <v>ND</v>
      </c>
      <c r="GO175" s="1" t="str">
        <f t="shared" si="1000"/>
        <v>ND</v>
      </c>
      <c r="GP175" s="1" t="str">
        <f t="shared" si="1001"/>
        <v>ND</v>
      </c>
      <c r="GQ175" s="1" t="str">
        <f t="shared" si="1002"/>
        <v>ND</v>
      </c>
      <c r="GR175" s="1" t="str">
        <f t="shared" si="1003"/>
        <v>ND</v>
      </c>
      <c r="GS175" s="1" t="str">
        <f t="shared" si="1004"/>
        <v>ND</v>
      </c>
      <c r="GT175" s="1" t="str">
        <f t="shared" si="1005"/>
        <v>ND</v>
      </c>
      <c r="GU175" s="1" t="str">
        <f t="shared" si="1006"/>
        <v>ND</v>
      </c>
      <c r="GV175" s="1" t="str">
        <f t="shared" si="1007"/>
        <v>ND</v>
      </c>
      <c r="GW175" s="1" t="str">
        <f t="shared" si="1008"/>
        <v>ND</v>
      </c>
      <c r="GX175" s="1" t="str">
        <f t="shared" si="1009"/>
        <v>ND</v>
      </c>
      <c r="GY175" s="1" t="str">
        <f t="shared" si="1010"/>
        <v>ND</v>
      </c>
      <c r="GZ175" s="1" t="str">
        <f t="shared" si="1011"/>
        <v>ND</v>
      </c>
      <c r="HA175" s="1" t="str">
        <f t="shared" si="1012"/>
        <v>ND</v>
      </c>
      <c r="HB175" s="1" t="str">
        <f t="shared" si="1013"/>
        <v>ND</v>
      </c>
      <c r="HC175" s="1" t="str">
        <f t="shared" si="1014"/>
        <v>ND</v>
      </c>
      <c r="HD175" s="1" t="str">
        <f t="shared" si="1015"/>
        <v>ND</v>
      </c>
      <c r="HE175" s="1" t="str">
        <f t="shared" si="1016"/>
        <v>ND</v>
      </c>
      <c r="HF175" s="1" t="str">
        <f t="shared" si="1017"/>
        <v>ND</v>
      </c>
      <c r="HG175" s="1" t="str">
        <f t="shared" si="1018"/>
        <v>ND</v>
      </c>
      <c r="HH175" s="1" t="str">
        <f t="shared" si="1019"/>
        <v>ND</v>
      </c>
      <c r="HI175" s="1" t="str">
        <f t="shared" si="1020"/>
        <v>ND</v>
      </c>
      <c r="HJ175" s="1" t="str">
        <f t="shared" si="1021"/>
        <v>ND</v>
      </c>
      <c r="HK175" s="1" t="str">
        <f t="shared" si="1022"/>
        <v>ND</v>
      </c>
      <c r="HL175" s="1" t="str">
        <f t="shared" si="1023"/>
        <v>ND</v>
      </c>
      <c r="HM175" s="1" t="str">
        <f t="shared" si="1024"/>
        <v>ND</v>
      </c>
      <c r="HN175" s="1" t="str">
        <f t="shared" si="1025"/>
        <v>ND</v>
      </c>
      <c r="HO175" s="1" t="str">
        <f t="shared" si="1026"/>
        <v>ND</v>
      </c>
      <c r="HP175" s="1" t="str">
        <f t="shared" si="1027"/>
        <v>ND</v>
      </c>
      <c r="HQ175" s="1" t="str">
        <f t="shared" si="1028"/>
        <v>ND</v>
      </c>
      <c r="HR175" s="1" t="str">
        <f t="shared" si="1029"/>
        <v>ND</v>
      </c>
      <c r="HS175" s="1" t="str">
        <f t="shared" si="1030"/>
        <v>ND</v>
      </c>
      <c r="HT175" s="1" t="str">
        <f t="shared" si="1031"/>
        <v>ND</v>
      </c>
      <c r="HU175" s="1" t="str">
        <f t="shared" si="1032"/>
        <v>ND</v>
      </c>
      <c r="HV175" s="1" t="str">
        <f t="shared" si="1033"/>
        <v>ND</v>
      </c>
      <c r="HW175" s="1" t="str">
        <f t="shared" si="1034"/>
        <v>ND</v>
      </c>
      <c r="HX175" s="1" t="str">
        <f t="shared" si="1035"/>
        <v>ND</v>
      </c>
      <c r="HY175" s="1" t="str">
        <f t="shared" si="1036"/>
        <v>ND</v>
      </c>
      <c r="HZ175" s="1" t="str">
        <f t="shared" si="1037"/>
        <v>ND</v>
      </c>
      <c r="IA175" s="1" t="str">
        <f t="shared" si="1038"/>
        <v>ND</v>
      </c>
      <c r="IB175" s="1" t="str">
        <f t="shared" si="1039"/>
        <v>ND</v>
      </c>
      <c r="IC175" s="1" t="str">
        <f t="shared" si="1040"/>
        <v>ND</v>
      </c>
      <c r="ID175" s="1" t="str">
        <f t="shared" si="1041"/>
        <v>ND</v>
      </c>
      <c r="IE175" s="1" t="str">
        <f t="shared" si="1042"/>
        <v>ND</v>
      </c>
      <c r="IF175" s="1" t="str">
        <f t="shared" si="1043"/>
        <v>ND</v>
      </c>
      <c r="IG175" s="1" t="str">
        <f t="shared" si="1044"/>
        <v>ND</v>
      </c>
      <c r="IH175" s="1" t="str">
        <f t="shared" si="1045"/>
        <v>ND</v>
      </c>
      <c r="II175" s="1" t="str">
        <f t="shared" si="1046"/>
        <v>ND</v>
      </c>
    </row>
    <row r="176" spans="3:243" x14ac:dyDescent="0.25">
      <c r="C176" t="s">
        <v>96</v>
      </c>
      <c r="D176">
        <f>SUMIFS(DICCIONARIO[Cantidad],DICCIONARIO[Modelo],UNIFICADA[[#This Row],[Equipo]])</f>
        <v>0</v>
      </c>
      <c r="E176" s="1">
        <f>IFERROR(VLOOKUP($C176,EQUIPOS[],UNIFICADO!E$9,0),"")</f>
        <v>15</v>
      </c>
      <c r="F176" s="1">
        <f>IFERROR(VLOOKUP($C176,EQUIPOS[],UNIFICADO!F$9,0),"")</f>
        <v>4.7</v>
      </c>
      <c r="G176" s="1">
        <f>IFERROR(VLOOKUP($C176,EQUIPOS[],UNIFICADO!G$9,0),"")</f>
        <v>12</v>
      </c>
      <c r="H176" s="1">
        <f>IFERROR(VLOOKUP($C176,EQUIPOS[],UNIFICADO!H$9,0),"")</f>
        <v>1</v>
      </c>
      <c r="I176" s="1">
        <f>IFERROR(VLOOKUP($C176,EQUIPOS[],UNIFICADO!I$9,0),"")</f>
        <v>7</v>
      </c>
      <c r="J176" s="1" t="str">
        <f>IFERROR(VLOOKUP($C176,EQUIPOS[],UNIFICADO!J$9,0),"")</f>
        <v>128GB</v>
      </c>
      <c r="K176" s="1">
        <f>IFERROR(VLOOKUP($C176,EQUIPOS[],UNIFICADO!K$9,0),"")</f>
        <v>0</v>
      </c>
      <c r="L176" s="1">
        <f>IFERROR(VLOOKUP($C176,EQUIPOS[],UNIFICADO!L$9,0),"")</f>
        <v>6</v>
      </c>
      <c r="M176" s="1" t="str">
        <f>IFERROR(VLOOKUP($C176,EQUIPOS[],UNIFICADO!M$9,0),"")</f>
        <v>3.1/1.8</v>
      </c>
      <c r="N176" s="1">
        <f>IFERROR(VLOOKUP($C176,EQUIPOS[],UNIFICADO!N$9,0),"")</f>
        <v>4</v>
      </c>
      <c r="O176" s="1">
        <f>IFERROR(VLOOKUP($C176,EQUIPOS[],UNIFICADO!O$9,0),"")</f>
        <v>144</v>
      </c>
      <c r="P176" s="1">
        <f>IFERROR(VLOOKUP($C176,EQUIPOS[],UNIFICADO!P$9,0),"")</f>
        <v>13.84</v>
      </c>
      <c r="Q176" s="1">
        <f>IFERROR(VLOOKUP($C176,EQUIPOS[],UNIFICADO!Q$9,0),"")</f>
        <v>6.73</v>
      </c>
      <c r="R176" s="1">
        <f>IFERROR(VLOOKUP($C176,EQUIPOS[],UNIFICADO!R$9,0),"")</f>
        <v>0.73</v>
      </c>
      <c r="S176" s="1">
        <f>IFERROR(VLOOKUP($C176,EQUIPOS[],UNIFICADO!S$9,0),"")</f>
        <v>2438</v>
      </c>
      <c r="T176" s="1">
        <f>IFERROR(VLOOKUP($C176,EQUIPOS[],UNIFICADO!T$9,0),"")</f>
        <v>5</v>
      </c>
      <c r="U176" s="1">
        <f>VLOOKUP(UNIFICADA[[#This Row],[Equipo]],EQUIPOS[],19,0)</f>
        <v>166</v>
      </c>
      <c r="V176" s="1" t="str">
        <f t="shared" si="884"/>
        <v>ND</v>
      </c>
      <c r="W176" s="1" t="str">
        <f t="shared" si="885"/>
        <v>ND</v>
      </c>
      <c r="X176" s="1" t="str">
        <f t="shared" si="886"/>
        <v>ND</v>
      </c>
      <c r="Y176" s="1" t="str">
        <f t="shared" si="886"/>
        <v>ND</v>
      </c>
      <c r="Z176" s="1" t="str">
        <f t="shared" si="887"/>
        <v>ND</v>
      </c>
      <c r="AA176" s="1" t="str">
        <f t="shared" si="887"/>
        <v>ND</v>
      </c>
      <c r="AB176" s="1" t="str">
        <f t="shared" si="887"/>
        <v>ND</v>
      </c>
      <c r="AC176" s="1" t="str">
        <f t="shared" si="887"/>
        <v>ND</v>
      </c>
      <c r="AD176" s="1" t="str">
        <f t="shared" si="887"/>
        <v>ND</v>
      </c>
      <c r="AE176" s="1" t="str">
        <f t="shared" si="887"/>
        <v>ND</v>
      </c>
      <c r="AF176" s="1" t="str">
        <f t="shared" si="887"/>
        <v>ND</v>
      </c>
      <c r="AG176" s="1" t="str">
        <f t="shared" si="887"/>
        <v>ND</v>
      </c>
      <c r="AH176" s="1" t="str">
        <f t="shared" si="887"/>
        <v>ND</v>
      </c>
      <c r="AI176" s="1" t="str">
        <f t="shared" si="888"/>
        <v>ND</v>
      </c>
      <c r="AJ176" s="1" t="str">
        <f t="shared" si="889"/>
        <v>ND</v>
      </c>
      <c r="AK176" s="1" t="str">
        <f t="shared" si="890"/>
        <v>ND</v>
      </c>
      <c r="AL176" s="1" t="str">
        <f t="shared" si="891"/>
        <v>ND</v>
      </c>
      <c r="AM176" s="1" t="str">
        <f t="shared" si="892"/>
        <v>ND</v>
      </c>
      <c r="AN176" s="1" t="str">
        <f t="shared" si="893"/>
        <v>ND</v>
      </c>
      <c r="AO176" s="1" t="str">
        <f t="shared" si="894"/>
        <v>ND</v>
      </c>
      <c r="AP176" s="1" t="str">
        <f t="shared" si="895"/>
        <v>ND</v>
      </c>
      <c r="AQ176" s="1" t="str">
        <f t="shared" si="896"/>
        <v>ND</v>
      </c>
      <c r="AR176" s="1" t="str">
        <f t="shared" si="897"/>
        <v>ND</v>
      </c>
      <c r="AS176" s="1" t="str">
        <f t="shared" si="898"/>
        <v>ND</v>
      </c>
      <c r="AT176" s="1" t="str">
        <f t="shared" si="899"/>
        <v>ND</v>
      </c>
      <c r="AU176" s="1" t="str">
        <f t="shared" si="900"/>
        <v>ND</v>
      </c>
      <c r="AV176" s="1" t="str">
        <f t="shared" si="901"/>
        <v>ND</v>
      </c>
      <c r="AW176" s="1" t="str">
        <f t="shared" si="902"/>
        <v>ND</v>
      </c>
      <c r="AX176" s="1" t="str">
        <f t="shared" si="903"/>
        <v>ND</v>
      </c>
      <c r="AY176" s="1" t="str">
        <f t="shared" si="904"/>
        <v>ND</v>
      </c>
      <c r="AZ176" s="1" t="str">
        <f t="shared" si="905"/>
        <v>ND</v>
      </c>
      <c r="BA176" s="1" t="str">
        <f t="shared" si="906"/>
        <v>ND</v>
      </c>
      <c r="BB176" s="1" t="str">
        <f t="shared" si="907"/>
        <v>ND</v>
      </c>
      <c r="BC176" s="1" t="str">
        <f t="shared" si="908"/>
        <v>ND</v>
      </c>
      <c r="BD176" s="1" t="str">
        <f t="shared" si="909"/>
        <v>ND</v>
      </c>
      <c r="BE176" s="1" t="str">
        <f t="shared" si="910"/>
        <v>ND</v>
      </c>
      <c r="BF176" s="1" t="str">
        <f t="shared" si="911"/>
        <v>ND</v>
      </c>
      <c r="BG176" s="1" t="str">
        <f t="shared" si="912"/>
        <v>ND</v>
      </c>
      <c r="BH176" s="1" t="str">
        <f t="shared" si="913"/>
        <v>ND</v>
      </c>
      <c r="BI176" s="1" t="str">
        <f t="shared" si="914"/>
        <v>ND</v>
      </c>
      <c r="BJ176" s="1" t="str">
        <f t="shared" si="915"/>
        <v>ND</v>
      </c>
      <c r="BK176" s="1" t="str">
        <f t="shared" si="916"/>
        <v>ND</v>
      </c>
      <c r="BL176" s="1" t="str">
        <f t="shared" si="917"/>
        <v>ND</v>
      </c>
      <c r="BM176" s="1" t="str">
        <f t="shared" si="918"/>
        <v>ND</v>
      </c>
      <c r="BN176" s="1" t="str">
        <f t="shared" si="919"/>
        <v>ND</v>
      </c>
      <c r="BO176" s="1" t="str">
        <f t="shared" si="920"/>
        <v>ND</v>
      </c>
      <c r="BP176" s="1" t="str">
        <f t="shared" si="921"/>
        <v>ND</v>
      </c>
      <c r="BQ176" s="1" t="str">
        <f t="shared" si="922"/>
        <v>ND</v>
      </c>
      <c r="BR176" s="1" t="str">
        <f t="shared" si="923"/>
        <v>ND</v>
      </c>
      <c r="BS176" s="1" t="str">
        <f t="shared" si="924"/>
        <v>ND</v>
      </c>
      <c r="BT176" s="1" t="str">
        <f t="shared" si="925"/>
        <v>ND</v>
      </c>
      <c r="BU176" s="1" t="str">
        <f t="shared" si="926"/>
        <v>ND</v>
      </c>
      <c r="BV176" s="1" t="str">
        <f t="shared" si="927"/>
        <v>ND</v>
      </c>
      <c r="BW176" s="1" t="str">
        <f t="shared" si="928"/>
        <v>ND</v>
      </c>
      <c r="BX176" s="1" t="str">
        <f t="shared" si="929"/>
        <v>ND</v>
      </c>
      <c r="BY176" s="1" t="str">
        <f t="shared" si="930"/>
        <v>ND</v>
      </c>
      <c r="BZ176" s="1" t="str">
        <f t="shared" si="931"/>
        <v>ND</v>
      </c>
      <c r="CA176" s="1" t="str">
        <f t="shared" si="932"/>
        <v>ND</v>
      </c>
      <c r="CB176" s="1" t="str">
        <f t="shared" si="932"/>
        <v>ND</v>
      </c>
      <c r="CC176" s="1" t="str">
        <f t="shared" si="932"/>
        <v>ND</v>
      </c>
      <c r="CD176" s="1" t="str">
        <f t="shared" si="932"/>
        <v>ND</v>
      </c>
      <c r="CE176" s="1" t="str">
        <f t="shared" si="932"/>
        <v>ND</v>
      </c>
      <c r="CF176" s="1" t="str">
        <f t="shared" si="932"/>
        <v>ND</v>
      </c>
      <c r="CG176" s="1" t="str">
        <f t="shared" si="932"/>
        <v>ND</v>
      </c>
      <c r="CH176" s="1" t="str">
        <f t="shared" si="932"/>
        <v>ND</v>
      </c>
      <c r="CI176" s="1" t="str">
        <f t="shared" si="932"/>
        <v>ND</v>
      </c>
      <c r="CJ176" s="1" t="str">
        <f t="shared" si="932"/>
        <v>ND</v>
      </c>
      <c r="CK176" s="1" t="str">
        <f t="shared" si="932"/>
        <v>ND</v>
      </c>
      <c r="CL176" s="1" t="str">
        <f t="shared" si="933"/>
        <v>ND</v>
      </c>
      <c r="CM176" s="1" t="str">
        <f t="shared" si="933"/>
        <v>ND</v>
      </c>
      <c r="CN176" s="1" t="str">
        <f t="shared" si="933"/>
        <v>ND</v>
      </c>
      <c r="CO176" s="1" t="str">
        <f t="shared" si="933"/>
        <v>ND</v>
      </c>
      <c r="CP176" s="1" t="str">
        <f t="shared" si="933"/>
        <v>ND</v>
      </c>
      <c r="CQ176" s="1" t="str">
        <f t="shared" si="933"/>
        <v>ND</v>
      </c>
      <c r="CR176" s="1" t="str">
        <f t="shared" si="933"/>
        <v>ND</v>
      </c>
      <c r="CS176" s="1" t="str">
        <f t="shared" si="933"/>
        <v>ND</v>
      </c>
      <c r="CT176" s="1" t="str">
        <f t="shared" si="933"/>
        <v>ND</v>
      </c>
      <c r="CU176" s="1" t="str">
        <f t="shared" si="933"/>
        <v>ND</v>
      </c>
      <c r="CV176" s="1" t="str">
        <f t="shared" si="933"/>
        <v>ND</v>
      </c>
      <c r="CW176" s="1" t="str">
        <f t="shared" si="934"/>
        <v>ND</v>
      </c>
      <c r="CX176" s="1" t="str">
        <f t="shared" si="935"/>
        <v>ND</v>
      </c>
      <c r="CY176" s="1" t="str">
        <f t="shared" si="936"/>
        <v>ND</v>
      </c>
      <c r="CZ176" s="1" t="str">
        <f t="shared" si="937"/>
        <v>ND</v>
      </c>
      <c r="DA176" s="1" t="str">
        <f t="shared" si="938"/>
        <v>ND</v>
      </c>
      <c r="DB176" s="1" t="str">
        <f t="shared" si="939"/>
        <v>ND</v>
      </c>
      <c r="DC176" s="1" t="str">
        <f t="shared" si="940"/>
        <v>ND</v>
      </c>
      <c r="DD176" s="1" t="str">
        <f t="shared" si="941"/>
        <v>ND</v>
      </c>
      <c r="DE176" s="1" t="str">
        <f t="shared" si="942"/>
        <v>ND</v>
      </c>
      <c r="DF176" s="1" t="str">
        <f t="shared" si="943"/>
        <v>ND</v>
      </c>
      <c r="DG176" s="1" t="str">
        <f t="shared" si="944"/>
        <v>ND</v>
      </c>
      <c r="DH176" s="1" t="str">
        <f t="shared" si="945"/>
        <v>ND</v>
      </c>
      <c r="DI176" s="1" t="str">
        <f t="shared" si="946"/>
        <v>ND</v>
      </c>
      <c r="DJ176" s="1" t="str">
        <f t="shared" si="947"/>
        <v>ND</v>
      </c>
      <c r="DK176" s="1" t="str">
        <f t="shared" si="948"/>
        <v>ND</v>
      </c>
      <c r="DL176" s="1" t="str">
        <f t="shared" si="949"/>
        <v>ND</v>
      </c>
      <c r="DM176" s="1" t="str">
        <f t="shared" si="950"/>
        <v>ND</v>
      </c>
      <c r="DN176" s="1" t="str">
        <f t="shared" si="951"/>
        <v>ND</v>
      </c>
      <c r="DO176" s="1" t="str">
        <f t="shared" si="952"/>
        <v>ND</v>
      </c>
      <c r="DP176" s="1" t="str">
        <f t="shared" si="953"/>
        <v>ND</v>
      </c>
      <c r="DQ176" s="1" t="str">
        <f t="shared" si="954"/>
        <v>ND</v>
      </c>
      <c r="DR176" s="1" t="str">
        <f t="shared" si="955"/>
        <v>ND</v>
      </c>
      <c r="DS176" s="1" t="str">
        <f t="shared" si="956"/>
        <v>ND</v>
      </c>
      <c r="DT176" s="1" t="str">
        <f t="shared" si="957"/>
        <v>ND</v>
      </c>
      <c r="DU176" s="1" t="str">
        <f t="shared" si="958"/>
        <v>ND</v>
      </c>
      <c r="DV176" s="1" t="str">
        <f t="shared" si="959"/>
        <v>ND</v>
      </c>
      <c r="DW176" s="1" t="str">
        <f t="shared" si="960"/>
        <v>ND</v>
      </c>
      <c r="DX176" s="1" t="str">
        <f t="shared" si="961"/>
        <v>ND</v>
      </c>
      <c r="DY176" s="1" t="str">
        <f t="shared" si="962"/>
        <v>ND</v>
      </c>
      <c r="DZ176" s="1" t="str">
        <f t="shared" si="963"/>
        <v>ND</v>
      </c>
      <c r="EA176" s="1" t="str">
        <f t="shared" si="964"/>
        <v>ND</v>
      </c>
      <c r="EB176" s="1" t="str">
        <f t="shared" si="965"/>
        <v>ND</v>
      </c>
      <c r="EC176" s="1" t="str">
        <f t="shared" si="966"/>
        <v>ND</v>
      </c>
      <c r="ED176" s="1" t="str">
        <f t="shared" si="967"/>
        <v>ND</v>
      </c>
      <c r="EE176" s="1" t="str">
        <f t="shared" si="968"/>
        <v>ND</v>
      </c>
      <c r="EF176" s="1" t="str">
        <f t="shared" si="969"/>
        <v>ND</v>
      </c>
      <c r="EG176" s="1" t="str">
        <f t="shared" si="970"/>
        <v>ND</v>
      </c>
      <c r="EH176" s="1" t="str">
        <f t="shared" si="971"/>
        <v>ND</v>
      </c>
      <c r="EI176" s="1" t="str">
        <f t="shared" si="972"/>
        <v>ND</v>
      </c>
      <c r="EJ176" s="1" t="str">
        <f t="shared" si="973"/>
        <v>ND</v>
      </c>
      <c r="EK176" s="1" t="str">
        <f t="shared" si="974"/>
        <v>ND</v>
      </c>
      <c r="EL176" s="1" t="str">
        <f t="shared" si="975"/>
        <v>ND</v>
      </c>
      <c r="EM176" s="1" t="str">
        <f t="shared" si="976"/>
        <v>ND</v>
      </c>
      <c r="EN176" s="1" t="str">
        <f t="shared" si="977"/>
        <v>ND</v>
      </c>
      <c r="EO176" s="1" t="str">
        <f t="shared" si="978"/>
        <v>ND</v>
      </c>
      <c r="EP176" s="1" t="str">
        <f t="shared" si="978"/>
        <v>ND</v>
      </c>
      <c r="EQ176" s="1" t="str">
        <f t="shared" si="978"/>
        <v>ND</v>
      </c>
      <c r="ER176" s="1" t="str">
        <f t="shared" si="978"/>
        <v>ND</v>
      </c>
      <c r="ES176" s="1" t="str">
        <f t="shared" si="978"/>
        <v>ND</v>
      </c>
      <c r="ET176" s="1" t="str">
        <f t="shared" si="978"/>
        <v>ND</v>
      </c>
      <c r="EU176" s="1" t="str">
        <f t="shared" si="978"/>
        <v>ND</v>
      </c>
      <c r="EV176" s="1" t="str">
        <f t="shared" si="978"/>
        <v>ND</v>
      </c>
      <c r="EW176" s="1" t="str">
        <f t="shared" si="978"/>
        <v>ND</v>
      </c>
      <c r="EX176" s="1" t="str">
        <f t="shared" si="978"/>
        <v>ND</v>
      </c>
      <c r="EY176" s="1" t="str">
        <f t="shared" si="978"/>
        <v>ND</v>
      </c>
      <c r="EZ176" s="1" t="str">
        <f t="shared" si="979"/>
        <v>ND</v>
      </c>
      <c r="FA176" s="1" t="str">
        <f t="shared" si="979"/>
        <v>ND</v>
      </c>
      <c r="FB176" s="1" t="str">
        <f t="shared" si="979"/>
        <v>ND</v>
      </c>
      <c r="FC176" s="1" t="str">
        <f t="shared" si="979"/>
        <v>ND</v>
      </c>
      <c r="FD176" s="1" t="str">
        <f t="shared" si="979"/>
        <v>ND</v>
      </c>
      <c r="FE176" s="1" t="str">
        <f t="shared" si="979"/>
        <v>ND</v>
      </c>
      <c r="FF176" s="1" t="str">
        <f t="shared" si="979"/>
        <v>ND</v>
      </c>
      <c r="FG176" s="1" t="str">
        <f t="shared" si="979"/>
        <v>ND</v>
      </c>
      <c r="FH176" s="1" t="str">
        <f t="shared" si="979"/>
        <v>ND</v>
      </c>
      <c r="FI176" s="1" t="str">
        <f t="shared" si="979"/>
        <v>ND</v>
      </c>
      <c r="FJ176" s="1" t="str">
        <f t="shared" si="979"/>
        <v>ND</v>
      </c>
      <c r="FK176" s="1" t="str">
        <f t="shared" si="980"/>
        <v>ND</v>
      </c>
      <c r="FL176" s="1" t="str">
        <f t="shared" si="980"/>
        <v>ND</v>
      </c>
      <c r="FM176" s="1" t="str">
        <f t="shared" si="980"/>
        <v>ND</v>
      </c>
      <c r="FN176" s="1" t="str">
        <f t="shared" si="980"/>
        <v>ND</v>
      </c>
      <c r="FO176" s="1" t="str">
        <f t="shared" si="980"/>
        <v>ND</v>
      </c>
      <c r="FP176" s="1" t="str">
        <f t="shared" si="980"/>
        <v>ND</v>
      </c>
      <c r="FQ176" s="1" t="str">
        <f t="shared" si="980"/>
        <v>ND</v>
      </c>
      <c r="FR176" s="1" t="str">
        <f t="shared" si="980"/>
        <v>ND</v>
      </c>
      <c r="FS176" s="1" t="str">
        <f t="shared" si="980"/>
        <v>ND</v>
      </c>
      <c r="FT176" s="1" t="str">
        <f t="shared" si="980"/>
        <v>ND</v>
      </c>
      <c r="FU176" s="1" t="str">
        <f t="shared" si="980"/>
        <v>ND</v>
      </c>
      <c r="FV176" s="1" t="str">
        <f t="shared" si="981"/>
        <v>ND</v>
      </c>
      <c r="FW176" s="1" t="str">
        <f t="shared" si="982"/>
        <v>ND</v>
      </c>
      <c r="FX176" s="1" t="str">
        <f t="shared" si="983"/>
        <v>ND</v>
      </c>
      <c r="FY176" s="1" t="str">
        <f t="shared" si="984"/>
        <v>ND</v>
      </c>
      <c r="FZ176" s="1" t="str">
        <f t="shared" si="985"/>
        <v>ND</v>
      </c>
      <c r="GA176" s="1" t="str">
        <f t="shared" si="986"/>
        <v>ND</v>
      </c>
      <c r="GB176" s="1" t="str">
        <f t="shared" si="987"/>
        <v>ND</v>
      </c>
      <c r="GC176" s="1" t="str">
        <f t="shared" si="988"/>
        <v>ND</v>
      </c>
      <c r="GD176" s="1" t="str">
        <f t="shared" si="989"/>
        <v>ND</v>
      </c>
      <c r="GE176" s="1" t="str">
        <f t="shared" si="990"/>
        <v>ND</v>
      </c>
      <c r="GF176" s="1" t="str">
        <f t="shared" si="991"/>
        <v>ND</v>
      </c>
      <c r="GG176" s="1" t="str">
        <f t="shared" si="992"/>
        <v>ND</v>
      </c>
      <c r="GH176" s="1" t="str">
        <f t="shared" si="993"/>
        <v>ND</v>
      </c>
      <c r="GI176" s="1" t="str">
        <f t="shared" si="994"/>
        <v>ND</v>
      </c>
      <c r="GJ176" s="1" t="str">
        <f t="shared" si="995"/>
        <v>ND</v>
      </c>
      <c r="GK176" s="1" t="str">
        <f t="shared" si="996"/>
        <v>ND</v>
      </c>
      <c r="GL176" s="1" t="str">
        <f t="shared" si="997"/>
        <v>ND</v>
      </c>
      <c r="GM176" s="1" t="str">
        <f t="shared" si="998"/>
        <v>ND</v>
      </c>
      <c r="GN176" s="1" t="str">
        <f t="shared" si="999"/>
        <v>ND</v>
      </c>
      <c r="GO176" s="1" t="str">
        <f t="shared" si="1000"/>
        <v>ND</v>
      </c>
      <c r="GP176" s="1" t="str">
        <f t="shared" si="1001"/>
        <v>ND</v>
      </c>
      <c r="GQ176" s="1" t="str">
        <f t="shared" si="1002"/>
        <v>ND</v>
      </c>
      <c r="GR176" s="1" t="str">
        <f t="shared" si="1003"/>
        <v>ND</v>
      </c>
      <c r="GS176" s="1" t="str">
        <f t="shared" si="1004"/>
        <v>ND</v>
      </c>
      <c r="GT176" s="1" t="str">
        <f t="shared" si="1005"/>
        <v>ND</v>
      </c>
      <c r="GU176" s="1" t="str">
        <f t="shared" si="1006"/>
        <v>ND</v>
      </c>
      <c r="GV176" s="1" t="str">
        <f t="shared" si="1007"/>
        <v>ND</v>
      </c>
      <c r="GW176" s="1" t="str">
        <f t="shared" si="1008"/>
        <v>ND</v>
      </c>
      <c r="GX176" s="1" t="str">
        <f t="shared" si="1009"/>
        <v>ND</v>
      </c>
      <c r="GY176" s="1" t="str">
        <f t="shared" si="1010"/>
        <v>ND</v>
      </c>
      <c r="GZ176" s="1" t="str">
        <f t="shared" si="1011"/>
        <v>ND</v>
      </c>
      <c r="HA176" s="1" t="str">
        <f t="shared" si="1012"/>
        <v>ND</v>
      </c>
      <c r="HB176" s="1" t="str">
        <f t="shared" si="1013"/>
        <v>ND</v>
      </c>
      <c r="HC176" s="1" t="str">
        <f t="shared" si="1014"/>
        <v>ND</v>
      </c>
      <c r="HD176" s="1" t="str">
        <f t="shared" si="1015"/>
        <v>ND</v>
      </c>
      <c r="HE176" s="1" t="str">
        <f t="shared" si="1016"/>
        <v>ND</v>
      </c>
      <c r="HF176" s="1" t="str">
        <f t="shared" si="1017"/>
        <v>ND</v>
      </c>
      <c r="HG176" s="1" t="str">
        <f t="shared" si="1018"/>
        <v>ND</v>
      </c>
      <c r="HH176" s="1" t="str">
        <f t="shared" si="1019"/>
        <v>ND</v>
      </c>
      <c r="HI176" s="1" t="str">
        <f t="shared" si="1020"/>
        <v>ND</v>
      </c>
      <c r="HJ176" s="1" t="str">
        <f t="shared" si="1021"/>
        <v>ND</v>
      </c>
      <c r="HK176" s="1" t="str">
        <f t="shared" si="1022"/>
        <v>ND</v>
      </c>
      <c r="HL176" s="1" t="str">
        <f t="shared" si="1023"/>
        <v>ND</v>
      </c>
      <c r="HM176" s="1" t="str">
        <f t="shared" si="1024"/>
        <v>ND</v>
      </c>
      <c r="HN176" s="1" t="str">
        <f t="shared" si="1025"/>
        <v>ND</v>
      </c>
      <c r="HO176" s="1" t="str">
        <f t="shared" si="1026"/>
        <v>ND</v>
      </c>
      <c r="HP176" s="1" t="str">
        <f t="shared" si="1027"/>
        <v>ND</v>
      </c>
      <c r="HQ176" s="1" t="str">
        <f t="shared" si="1028"/>
        <v>ND</v>
      </c>
      <c r="HR176" s="1" t="str">
        <f t="shared" si="1029"/>
        <v>ND</v>
      </c>
      <c r="HS176" s="1" t="str">
        <f t="shared" si="1030"/>
        <v>ND</v>
      </c>
      <c r="HT176" s="1" t="str">
        <f t="shared" si="1031"/>
        <v>ND</v>
      </c>
      <c r="HU176" s="1" t="str">
        <f t="shared" si="1032"/>
        <v>ND</v>
      </c>
      <c r="HV176" s="1" t="str">
        <f t="shared" si="1033"/>
        <v>ND</v>
      </c>
      <c r="HW176" s="1" t="str">
        <f t="shared" si="1034"/>
        <v>ND</v>
      </c>
      <c r="HX176" s="1" t="str">
        <f t="shared" si="1035"/>
        <v>ND</v>
      </c>
      <c r="HY176" s="1" t="str">
        <f t="shared" si="1036"/>
        <v>ND</v>
      </c>
      <c r="HZ176" s="1" t="str">
        <f t="shared" si="1037"/>
        <v>ND</v>
      </c>
      <c r="IA176" s="1" t="str">
        <f t="shared" si="1038"/>
        <v>ND</v>
      </c>
      <c r="IB176" s="1" t="str">
        <f t="shared" si="1039"/>
        <v>ND</v>
      </c>
      <c r="IC176" s="1" t="str">
        <f t="shared" si="1040"/>
        <v>ND</v>
      </c>
      <c r="ID176" s="1" t="str">
        <f t="shared" si="1041"/>
        <v>ND</v>
      </c>
      <c r="IE176" s="1" t="str">
        <f t="shared" si="1042"/>
        <v>ND</v>
      </c>
      <c r="IF176" s="1" t="str">
        <f t="shared" si="1043"/>
        <v>ND</v>
      </c>
      <c r="IG176" s="1" t="str">
        <f t="shared" si="1044"/>
        <v>ND</v>
      </c>
      <c r="IH176" s="1" t="str">
        <f t="shared" si="1045"/>
        <v>ND</v>
      </c>
      <c r="II176" s="1" t="str">
        <f t="shared" si="1046"/>
        <v>ND</v>
      </c>
    </row>
    <row r="177" spans="3:243" x14ac:dyDescent="0.25">
      <c r="C177" t="s">
        <v>93</v>
      </c>
      <c r="D177">
        <f>SUMIFS(DICCIONARIO[Cantidad],DICCIONARIO[Modelo],UNIFICADA[[#This Row],[Equipo]])</f>
        <v>0</v>
      </c>
      <c r="E177" s="1">
        <f>IFERROR(VLOOKUP($C177,EQUIPOS[],UNIFICADO!E$9,0),"")</f>
        <v>15</v>
      </c>
      <c r="F177" s="1">
        <f>IFERROR(VLOOKUP($C177,EQUIPOS[],UNIFICADO!F$9,0),"")</f>
        <v>4.7</v>
      </c>
      <c r="G177" s="1">
        <f>IFERROR(VLOOKUP($C177,EQUIPOS[],UNIFICADO!G$9,0),"")</f>
        <v>12</v>
      </c>
      <c r="H177" s="1">
        <f>IFERROR(VLOOKUP($C177,EQUIPOS[],UNIFICADO!H$9,0),"")</f>
        <v>1</v>
      </c>
      <c r="I177" s="1">
        <f>IFERROR(VLOOKUP($C177,EQUIPOS[],UNIFICADO!I$9,0),"")</f>
        <v>7</v>
      </c>
      <c r="J177" s="1" t="str">
        <f>IFERROR(VLOOKUP($C177,EQUIPOS[],UNIFICADO!J$9,0),"")</f>
        <v>256GB</v>
      </c>
      <c r="K177" s="1">
        <f>IFERROR(VLOOKUP($C177,EQUIPOS[],UNIFICADO!K$9,0),"")</f>
        <v>0</v>
      </c>
      <c r="L177" s="1">
        <f>IFERROR(VLOOKUP($C177,EQUIPOS[],UNIFICADO!L$9,0),"")</f>
        <v>6</v>
      </c>
      <c r="M177" s="1" t="str">
        <f>IFERROR(VLOOKUP($C177,EQUIPOS[],UNIFICADO!M$9,0),"")</f>
        <v>3.1/1.8</v>
      </c>
      <c r="N177" s="1">
        <f>IFERROR(VLOOKUP($C177,EQUIPOS[],UNIFICADO!N$9,0),"")</f>
        <v>4</v>
      </c>
      <c r="O177" s="1">
        <f>IFERROR(VLOOKUP($C177,EQUIPOS[],UNIFICADO!O$9,0),"")</f>
        <v>144</v>
      </c>
      <c r="P177" s="1">
        <f>IFERROR(VLOOKUP($C177,EQUIPOS[],UNIFICADO!P$9,0),"")</f>
        <v>13.84</v>
      </c>
      <c r="Q177" s="1">
        <f>IFERROR(VLOOKUP($C177,EQUIPOS[],UNIFICADO!Q$9,0),"")</f>
        <v>6.73</v>
      </c>
      <c r="R177" s="1">
        <f>IFERROR(VLOOKUP($C177,EQUIPOS[],UNIFICADO!R$9,0),"")</f>
        <v>0.73</v>
      </c>
      <c r="S177" s="1">
        <f>IFERROR(VLOOKUP($C177,EQUIPOS[],UNIFICADO!S$9,0),"")</f>
        <v>2438</v>
      </c>
      <c r="T177" s="1">
        <f>IFERROR(VLOOKUP($C177,EQUIPOS[],UNIFICADO!T$9,0),"")</f>
        <v>5</v>
      </c>
      <c r="U177" s="1">
        <f>VLOOKUP(UNIFICADA[[#This Row],[Equipo]],EQUIPOS[],19,0)</f>
        <v>167</v>
      </c>
      <c r="V177" s="1" t="str">
        <f t="shared" si="884"/>
        <v>ND</v>
      </c>
      <c r="W177" s="1" t="str">
        <f t="shared" si="885"/>
        <v>ND</v>
      </c>
      <c r="X177" s="1" t="str">
        <f t="shared" si="886"/>
        <v>ND</v>
      </c>
      <c r="Y177" s="1" t="str">
        <f t="shared" si="886"/>
        <v>ND</v>
      </c>
      <c r="Z177" s="1" t="str">
        <f t="shared" si="887"/>
        <v>ND</v>
      </c>
      <c r="AA177" s="1" t="str">
        <f t="shared" si="887"/>
        <v>ND</v>
      </c>
      <c r="AB177" s="1" t="str">
        <f t="shared" si="887"/>
        <v>ND</v>
      </c>
      <c r="AC177" s="1" t="str">
        <f t="shared" si="887"/>
        <v>ND</v>
      </c>
      <c r="AD177" s="1" t="str">
        <f t="shared" si="887"/>
        <v>ND</v>
      </c>
      <c r="AE177" s="1" t="str">
        <f t="shared" si="887"/>
        <v>ND</v>
      </c>
      <c r="AF177" s="1" t="str">
        <f t="shared" si="887"/>
        <v>ND</v>
      </c>
      <c r="AG177" s="1" t="str">
        <f t="shared" si="887"/>
        <v>ND</v>
      </c>
      <c r="AH177" s="1" t="str">
        <f t="shared" si="887"/>
        <v>ND</v>
      </c>
      <c r="AI177" s="1" t="str">
        <f t="shared" si="888"/>
        <v>ND</v>
      </c>
      <c r="AJ177" s="1" t="str">
        <f t="shared" si="889"/>
        <v>ND</v>
      </c>
      <c r="AK177" s="1" t="str">
        <f t="shared" si="890"/>
        <v>ND</v>
      </c>
      <c r="AL177" s="1" t="str">
        <f t="shared" si="891"/>
        <v>ND</v>
      </c>
      <c r="AM177" s="1" t="str">
        <f t="shared" si="892"/>
        <v>ND</v>
      </c>
      <c r="AN177" s="1" t="str">
        <f t="shared" si="893"/>
        <v>ND</v>
      </c>
      <c r="AO177" s="1" t="str">
        <f t="shared" si="894"/>
        <v>ND</v>
      </c>
      <c r="AP177" s="1" t="str">
        <f t="shared" si="895"/>
        <v>ND</v>
      </c>
      <c r="AQ177" s="1" t="str">
        <f t="shared" si="896"/>
        <v>ND</v>
      </c>
      <c r="AR177" s="1" t="str">
        <f t="shared" si="897"/>
        <v>ND</v>
      </c>
      <c r="AS177" s="1" t="str">
        <f t="shared" si="898"/>
        <v>ND</v>
      </c>
      <c r="AT177" s="1" t="str">
        <f t="shared" si="899"/>
        <v>ND</v>
      </c>
      <c r="AU177" s="1" t="str">
        <f t="shared" si="900"/>
        <v>ND</v>
      </c>
      <c r="AV177" s="1" t="str">
        <f t="shared" si="901"/>
        <v>ND</v>
      </c>
      <c r="AW177" s="1" t="str">
        <f t="shared" si="902"/>
        <v>ND</v>
      </c>
      <c r="AX177" s="1" t="str">
        <f t="shared" si="903"/>
        <v>ND</v>
      </c>
      <c r="AY177" s="1" t="str">
        <f t="shared" si="904"/>
        <v>ND</v>
      </c>
      <c r="AZ177" s="1" t="str">
        <f t="shared" si="905"/>
        <v>ND</v>
      </c>
      <c r="BA177" s="1" t="str">
        <f t="shared" si="906"/>
        <v>ND</v>
      </c>
      <c r="BB177" s="1" t="str">
        <f t="shared" si="907"/>
        <v>ND</v>
      </c>
      <c r="BC177" s="1" t="str">
        <f t="shared" si="908"/>
        <v>ND</v>
      </c>
      <c r="BD177" s="1" t="str">
        <f t="shared" si="909"/>
        <v>ND</v>
      </c>
      <c r="BE177" s="1" t="str">
        <f t="shared" si="910"/>
        <v>ND</v>
      </c>
      <c r="BF177" s="1" t="str">
        <f t="shared" si="911"/>
        <v>ND</v>
      </c>
      <c r="BG177" s="1" t="str">
        <f t="shared" si="912"/>
        <v>ND</v>
      </c>
      <c r="BH177" s="1" t="str">
        <f t="shared" si="913"/>
        <v>ND</v>
      </c>
      <c r="BI177" s="1" t="str">
        <f t="shared" si="914"/>
        <v>ND</v>
      </c>
      <c r="BJ177" s="1" t="str">
        <f t="shared" si="915"/>
        <v>ND</v>
      </c>
      <c r="BK177" s="1" t="str">
        <f t="shared" si="916"/>
        <v>ND</v>
      </c>
      <c r="BL177" s="1" t="str">
        <f t="shared" si="917"/>
        <v>ND</v>
      </c>
      <c r="BM177" s="1" t="str">
        <f t="shared" si="918"/>
        <v>ND</v>
      </c>
      <c r="BN177" s="1" t="str">
        <f t="shared" si="919"/>
        <v>ND</v>
      </c>
      <c r="BO177" s="1" t="str">
        <f t="shared" si="920"/>
        <v>ND</v>
      </c>
      <c r="BP177" s="1" t="str">
        <f t="shared" si="921"/>
        <v>ND</v>
      </c>
      <c r="BQ177" s="1" t="str">
        <f t="shared" si="922"/>
        <v>ND</v>
      </c>
      <c r="BR177" s="1" t="str">
        <f t="shared" si="923"/>
        <v>ND</v>
      </c>
      <c r="BS177" s="1" t="str">
        <f t="shared" si="924"/>
        <v>ND</v>
      </c>
      <c r="BT177" s="1" t="str">
        <f t="shared" si="925"/>
        <v>ND</v>
      </c>
      <c r="BU177" s="1" t="str">
        <f t="shared" si="926"/>
        <v>ND</v>
      </c>
      <c r="BV177" s="1" t="str">
        <f t="shared" si="927"/>
        <v>ND</v>
      </c>
      <c r="BW177" s="1" t="str">
        <f t="shared" si="928"/>
        <v>ND</v>
      </c>
      <c r="BX177" s="1" t="str">
        <f t="shared" si="929"/>
        <v>ND</v>
      </c>
      <c r="BY177" s="1" t="str">
        <f t="shared" si="930"/>
        <v>ND</v>
      </c>
      <c r="BZ177" s="1" t="str">
        <f t="shared" si="931"/>
        <v>ND</v>
      </c>
      <c r="CA177" s="1" t="str">
        <f t="shared" si="932"/>
        <v>ND</v>
      </c>
      <c r="CB177" s="1" t="str">
        <f t="shared" si="932"/>
        <v>ND</v>
      </c>
      <c r="CC177" s="1" t="str">
        <f t="shared" si="932"/>
        <v>ND</v>
      </c>
      <c r="CD177" s="1" t="str">
        <f t="shared" si="932"/>
        <v>ND</v>
      </c>
      <c r="CE177" s="1" t="str">
        <f t="shared" si="932"/>
        <v>ND</v>
      </c>
      <c r="CF177" s="1" t="str">
        <f t="shared" si="932"/>
        <v>ND</v>
      </c>
      <c r="CG177" s="1" t="str">
        <f t="shared" si="932"/>
        <v>ND</v>
      </c>
      <c r="CH177" s="1" t="str">
        <f t="shared" si="932"/>
        <v>ND</v>
      </c>
      <c r="CI177" s="1" t="str">
        <f t="shared" si="932"/>
        <v>ND</v>
      </c>
      <c r="CJ177" s="1" t="str">
        <f t="shared" si="932"/>
        <v>ND</v>
      </c>
      <c r="CK177" s="1" t="str">
        <f t="shared" si="932"/>
        <v>ND</v>
      </c>
      <c r="CL177" s="1" t="str">
        <f t="shared" si="933"/>
        <v>ND</v>
      </c>
      <c r="CM177" s="1" t="str">
        <f t="shared" si="933"/>
        <v>ND</v>
      </c>
      <c r="CN177" s="1" t="str">
        <f t="shared" si="933"/>
        <v>ND</v>
      </c>
      <c r="CO177" s="1" t="str">
        <f t="shared" si="933"/>
        <v>ND</v>
      </c>
      <c r="CP177" s="1" t="str">
        <f t="shared" si="933"/>
        <v>ND</v>
      </c>
      <c r="CQ177" s="1" t="str">
        <f t="shared" si="933"/>
        <v>ND</v>
      </c>
      <c r="CR177" s="1" t="str">
        <f t="shared" si="933"/>
        <v>ND</v>
      </c>
      <c r="CS177" s="1" t="str">
        <f t="shared" si="933"/>
        <v>ND</v>
      </c>
      <c r="CT177" s="1" t="str">
        <f t="shared" si="933"/>
        <v>ND</v>
      </c>
      <c r="CU177" s="1" t="str">
        <f t="shared" si="933"/>
        <v>ND</v>
      </c>
      <c r="CV177" s="1" t="str">
        <f t="shared" si="933"/>
        <v>ND</v>
      </c>
      <c r="CW177" s="1" t="str">
        <f t="shared" si="934"/>
        <v>ND</v>
      </c>
      <c r="CX177" s="1" t="str">
        <f t="shared" si="935"/>
        <v>ND</v>
      </c>
      <c r="CY177" s="1" t="str">
        <f t="shared" si="936"/>
        <v>ND</v>
      </c>
      <c r="CZ177" s="1" t="str">
        <f t="shared" si="937"/>
        <v>ND</v>
      </c>
      <c r="DA177" s="1" t="str">
        <f t="shared" si="938"/>
        <v>ND</v>
      </c>
      <c r="DB177" s="1" t="str">
        <f t="shared" si="939"/>
        <v>ND</v>
      </c>
      <c r="DC177" s="1" t="str">
        <f t="shared" si="940"/>
        <v>ND</v>
      </c>
      <c r="DD177" s="1" t="str">
        <f t="shared" si="941"/>
        <v>ND</v>
      </c>
      <c r="DE177" s="1" t="str">
        <f t="shared" si="942"/>
        <v>ND</v>
      </c>
      <c r="DF177" s="1" t="str">
        <f t="shared" si="943"/>
        <v>ND</v>
      </c>
      <c r="DG177" s="1" t="str">
        <f t="shared" si="944"/>
        <v>ND</v>
      </c>
      <c r="DH177" s="1" t="str">
        <f t="shared" si="945"/>
        <v>ND</v>
      </c>
      <c r="DI177" s="1" t="str">
        <f t="shared" si="946"/>
        <v>ND</v>
      </c>
      <c r="DJ177" s="1" t="str">
        <f t="shared" si="947"/>
        <v>ND</v>
      </c>
      <c r="DK177" s="1" t="str">
        <f t="shared" si="948"/>
        <v>ND</v>
      </c>
      <c r="DL177" s="1" t="str">
        <f t="shared" si="949"/>
        <v>ND</v>
      </c>
      <c r="DM177" s="1" t="str">
        <f t="shared" si="950"/>
        <v>ND</v>
      </c>
      <c r="DN177" s="1" t="str">
        <f t="shared" si="951"/>
        <v>ND</v>
      </c>
      <c r="DO177" s="1" t="str">
        <f t="shared" si="952"/>
        <v>ND</v>
      </c>
      <c r="DP177" s="1" t="str">
        <f t="shared" si="953"/>
        <v>ND</v>
      </c>
      <c r="DQ177" s="1" t="str">
        <f t="shared" si="954"/>
        <v>ND</v>
      </c>
      <c r="DR177" s="1" t="str">
        <f t="shared" si="955"/>
        <v>ND</v>
      </c>
      <c r="DS177" s="1" t="str">
        <f t="shared" si="956"/>
        <v>ND</v>
      </c>
      <c r="DT177" s="1" t="str">
        <f t="shared" si="957"/>
        <v>ND</v>
      </c>
      <c r="DU177" s="1" t="str">
        <f t="shared" si="958"/>
        <v>ND</v>
      </c>
      <c r="DV177" s="1" t="str">
        <f t="shared" si="959"/>
        <v>ND</v>
      </c>
      <c r="DW177" s="1" t="str">
        <f t="shared" si="960"/>
        <v>ND</v>
      </c>
      <c r="DX177" s="1" t="str">
        <f t="shared" si="961"/>
        <v>ND</v>
      </c>
      <c r="DY177" s="1" t="str">
        <f t="shared" si="962"/>
        <v>ND</v>
      </c>
      <c r="DZ177" s="1" t="str">
        <f t="shared" si="963"/>
        <v>ND</v>
      </c>
      <c r="EA177" s="1" t="str">
        <f t="shared" si="964"/>
        <v>ND</v>
      </c>
      <c r="EB177" s="1" t="str">
        <f t="shared" si="965"/>
        <v>ND</v>
      </c>
      <c r="EC177" s="1" t="str">
        <f t="shared" si="966"/>
        <v>ND</v>
      </c>
      <c r="ED177" s="1" t="str">
        <f t="shared" si="967"/>
        <v>ND</v>
      </c>
      <c r="EE177" s="1" t="str">
        <f t="shared" si="968"/>
        <v>ND</v>
      </c>
      <c r="EF177" s="1" t="str">
        <f t="shared" si="969"/>
        <v>ND</v>
      </c>
      <c r="EG177" s="1" t="str">
        <f t="shared" si="970"/>
        <v>ND</v>
      </c>
      <c r="EH177" s="1" t="str">
        <f t="shared" si="971"/>
        <v>ND</v>
      </c>
      <c r="EI177" s="1" t="str">
        <f t="shared" si="972"/>
        <v>ND</v>
      </c>
      <c r="EJ177" s="1" t="str">
        <f t="shared" si="973"/>
        <v>ND</v>
      </c>
      <c r="EK177" s="1" t="str">
        <f t="shared" si="974"/>
        <v>ND</v>
      </c>
      <c r="EL177" s="1" t="str">
        <f t="shared" si="975"/>
        <v>ND</v>
      </c>
      <c r="EM177" s="1" t="str">
        <f t="shared" si="976"/>
        <v>ND</v>
      </c>
      <c r="EN177" s="1" t="str">
        <f t="shared" si="977"/>
        <v>ND</v>
      </c>
      <c r="EO177" s="1" t="str">
        <f t="shared" si="978"/>
        <v>ND</v>
      </c>
      <c r="EP177" s="1" t="str">
        <f t="shared" si="978"/>
        <v>ND</v>
      </c>
      <c r="EQ177" s="1" t="str">
        <f t="shared" si="978"/>
        <v>ND</v>
      </c>
      <c r="ER177" s="1" t="str">
        <f t="shared" si="978"/>
        <v>ND</v>
      </c>
      <c r="ES177" s="1" t="str">
        <f t="shared" si="978"/>
        <v>ND</v>
      </c>
      <c r="ET177" s="1" t="str">
        <f t="shared" si="978"/>
        <v>ND</v>
      </c>
      <c r="EU177" s="1" t="str">
        <f t="shared" si="978"/>
        <v>ND</v>
      </c>
      <c r="EV177" s="1" t="str">
        <f t="shared" si="978"/>
        <v>ND</v>
      </c>
      <c r="EW177" s="1" t="str">
        <f t="shared" si="978"/>
        <v>ND</v>
      </c>
      <c r="EX177" s="1" t="str">
        <f t="shared" si="978"/>
        <v>ND</v>
      </c>
      <c r="EY177" s="1" t="str">
        <f t="shared" si="978"/>
        <v>ND</v>
      </c>
      <c r="EZ177" s="1" t="str">
        <f t="shared" si="979"/>
        <v>ND</v>
      </c>
      <c r="FA177" s="1" t="str">
        <f t="shared" si="979"/>
        <v>ND</v>
      </c>
      <c r="FB177" s="1" t="str">
        <f t="shared" si="979"/>
        <v>ND</v>
      </c>
      <c r="FC177" s="1" t="str">
        <f t="shared" si="979"/>
        <v>ND</v>
      </c>
      <c r="FD177" s="1" t="str">
        <f t="shared" si="979"/>
        <v>ND</v>
      </c>
      <c r="FE177" s="1" t="str">
        <f t="shared" si="979"/>
        <v>ND</v>
      </c>
      <c r="FF177" s="1" t="str">
        <f t="shared" si="979"/>
        <v>ND</v>
      </c>
      <c r="FG177" s="1" t="str">
        <f t="shared" si="979"/>
        <v>ND</v>
      </c>
      <c r="FH177" s="1" t="str">
        <f t="shared" si="979"/>
        <v>ND</v>
      </c>
      <c r="FI177" s="1" t="str">
        <f t="shared" si="979"/>
        <v>ND</v>
      </c>
      <c r="FJ177" s="1" t="str">
        <f t="shared" si="979"/>
        <v>ND</v>
      </c>
      <c r="FK177" s="1" t="str">
        <f t="shared" si="980"/>
        <v>ND</v>
      </c>
      <c r="FL177" s="1" t="str">
        <f t="shared" si="980"/>
        <v>ND</v>
      </c>
      <c r="FM177" s="1" t="str">
        <f t="shared" si="980"/>
        <v>ND</v>
      </c>
      <c r="FN177" s="1" t="str">
        <f t="shared" si="980"/>
        <v>ND</v>
      </c>
      <c r="FO177" s="1" t="str">
        <f t="shared" si="980"/>
        <v>ND</v>
      </c>
      <c r="FP177" s="1" t="str">
        <f t="shared" si="980"/>
        <v>ND</v>
      </c>
      <c r="FQ177" s="1" t="str">
        <f t="shared" si="980"/>
        <v>ND</v>
      </c>
      <c r="FR177" s="1" t="str">
        <f t="shared" si="980"/>
        <v>ND</v>
      </c>
      <c r="FS177" s="1" t="str">
        <f t="shared" si="980"/>
        <v>ND</v>
      </c>
      <c r="FT177" s="1" t="str">
        <f t="shared" si="980"/>
        <v>ND</v>
      </c>
      <c r="FU177" s="1" t="str">
        <f t="shared" si="980"/>
        <v>ND</v>
      </c>
      <c r="FV177" s="1" t="str">
        <f t="shared" si="981"/>
        <v>ND</v>
      </c>
      <c r="FW177" s="1" t="str">
        <f t="shared" si="982"/>
        <v>ND</v>
      </c>
      <c r="FX177" s="1" t="str">
        <f t="shared" si="983"/>
        <v>ND</v>
      </c>
      <c r="FY177" s="1" t="str">
        <f t="shared" si="984"/>
        <v>ND</v>
      </c>
      <c r="FZ177" s="1" t="str">
        <f t="shared" si="985"/>
        <v>ND</v>
      </c>
      <c r="GA177" s="1" t="str">
        <f t="shared" si="986"/>
        <v>ND</v>
      </c>
      <c r="GB177" s="1" t="str">
        <f t="shared" si="987"/>
        <v>ND</v>
      </c>
      <c r="GC177" s="1" t="str">
        <f t="shared" si="988"/>
        <v>ND</v>
      </c>
      <c r="GD177" s="1" t="str">
        <f t="shared" si="989"/>
        <v>ND</v>
      </c>
      <c r="GE177" s="1" t="str">
        <f t="shared" si="990"/>
        <v>ND</v>
      </c>
      <c r="GF177" s="1" t="str">
        <f t="shared" si="991"/>
        <v>ND</v>
      </c>
      <c r="GG177" s="1" t="str">
        <f t="shared" si="992"/>
        <v>ND</v>
      </c>
      <c r="GH177" s="1" t="str">
        <f t="shared" si="993"/>
        <v>ND</v>
      </c>
      <c r="GI177" s="1" t="str">
        <f t="shared" si="994"/>
        <v>ND</v>
      </c>
      <c r="GJ177" s="1" t="str">
        <f t="shared" si="995"/>
        <v>ND</v>
      </c>
      <c r="GK177" s="1" t="str">
        <f t="shared" si="996"/>
        <v>ND</v>
      </c>
      <c r="GL177" s="1" t="str">
        <f t="shared" si="997"/>
        <v>ND</v>
      </c>
      <c r="GM177" s="1" t="str">
        <f t="shared" si="998"/>
        <v>ND</v>
      </c>
      <c r="GN177" s="1" t="str">
        <f t="shared" si="999"/>
        <v>ND</v>
      </c>
      <c r="GO177" s="1" t="str">
        <f t="shared" si="1000"/>
        <v>ND</v>
      </c>
      <c r="GP177" s="1" t="str">
        <f t="shared" si="1001"/>
        <v>ND</v>
      </c>
      <c r="GQ177" s="1" t="str">
        <f t="shared" si="1002"/>
        <v>ND</v>
      </c>
      <c r="GR177" s="1" t="str">
        <f t="shared" si="1003"/>
        <v>ND</v>
      </c>
      <c r="GS177" s="1" t="str">
        <f t="shared" si="1004"/>
        <v>ND</v>
      </c>
      <c r="GT177" s="1" t="str">
        <f t="shared" si="1005"/>
        <v>ND</v>
      </c>
      <c r="GU177" s="1" t="str">
        <f t="shared" si="1006"/>
        <v>ND</v>
      </c>
      <c r="GV177" s="1" t="str">
        <f t="shared" si="1007"/>
        <v>ND</v>
      </c>
      <c r="GW177" s="1" t="str">
        <f t="shared" si="1008"/>
        <v>ND</v>
      </c>
      <c r="GX177" s="1" t="str">
        <f t="shared" si="1009"/>
        <v>ND</v>
      </c>
      <c r="GY177" s="1" t="str">
        <f t="shared" si="1010"/>
        <v>ND</v>
      </c>
      <c r="GZ177" s="1" t="str">
        <f t="shared" si="1011"/>
        <v>ND</v>
      </c>
      <c r="HA177" s="1" t="str">
        <f t="shared" si="1012"/>
        <v>ND</v>
      </c>
      <c r="HB177" s="1" t="str">
        <f t="shared" si="1013"/>
        <v>ND</v>
      </c>
      <c r="HC177" s="1" t="str">
        <f t="shared" si="1014"/>
        <v>ND</v>
      </c>
      <c r="HD177" s="1" t="str">
        <f t="shared" si="1015"/>
        <v>ND</v>
      </c>
      <c r="HE177" s="1" t="str">
        <f t="shared" si="1016"/>
        <v>ND</v>
      </c>
      <c r="HF177" s="1" t="str">
        <f t="shared" si="1017"/>
        <v>ND</v>
      </c>
      <c r="HG177" s="1" t="str">
        <f t="shared" si="1018"/>
        <v>ND</v>
      </c>
      <c r="HH177" s="1" t="str">
        <f t="shared" si="1019"/>
        <v>ND</v>
      </c>
      <c r="HI177" s="1" t="str">
        <f t="shared" si="1020"/>
        <v>ND</v>
      </c>
      <c r="HJ177" s="1" t="str">
        <f t="shared" si="1021"/>
        <v>ND</v>
      </c>
      <c r="HK177" s="1" t="str">
        <f t="shared" si="1022"/>
        <v>ND</v>
      </c>
      <c r="HL177" s="1" t="str">
        <f t="shared" si="1023"/>
        <v>ND</v>
      </c>
      <c r="HM177" s="1" t="str">
        <f t="shared" si="1024"/>
        <v>ND</v>
      </c>
      <c r="HN177" s="1" t="str">
        <f t="shared" si="1025"/>
        <v>ND</v>
      </c>
      <c r="HO177" s="1" t="str">
        <f t="shared" si="1026"/>
        <v>ND</v>
      </c>
      <c r="HP177" s="1" t="str">
        <f t="shared" si="1027"/>
        <v>ND</v>
      </c>
      <c r="HQ177" s="1" t="str">
        <f t="shared" si="1028"/>
        <v>ND</v>
      </c>
      <c r="HR177" s="1" t="str">
        <f t="shared" si="1029"/>
        <v>ND</v>
      </c>
      <c r="HS177" s="1" t="str">
        <f t="shared" si="1030"/>
        <v>ND</v>
      </c>
      <c r="HT177" s="1" t="str">
        <f t="shared" si="1031"/>
        <v>ND</v>
      </c>
      <c r="HU177" s="1" t="str">
        <f t="shared" si="1032"/>
        <v>ND</v>
      </c>
      <c r="HV177" s="1" t="str">
        <f t="shared" si="1033"/>
        <v>ND</v>
      </c>
      <c r="HW177" s="1" t="str">
        <f t="shared" si="1034"/>
        <v>ND</v>
      </c>
      <c r="HX177" s="1" t="str">
        <f t="shared" si="1035"/>
        <v>ND</v>
      </c>
      <c r="HY177" s="1" t="str">
        <f t="shared" si="1036"/>
        <v>ND</v>
      </c>
      <c r="HZ177" s="1" t="str">
        <f t="shared" si="1037"/>
        <v>ND</v>
      </c>
      <c r="IA177" s="1" t="str">
        <f t="shared" si="1038"/>
        <v>ND</v>
      </c>
      <c r="IB177" s="1" t="str">
        <f t="shared" si="1039"/>
        <v>ND</v>
      </c>
      <c r="IC177" s="1" t="str">
        <f t="shared" si="1040"/>
        <v>ND</v>
      </c>
      <c r="ID177" s="1" t="str">
        <f t="shared" si="1041"/>
        <v>ND</v>
      </c>
      <c r="IE177" s="1" t="str">
        <f t="shared" si="1042"/>
        <v>ND</v>
      </c>
      <c r="IF177" s="1" t="str">
        <f t="shared" si="1043"/>
        <v>ND</v>
      </c>
      <c r="IG177" s="1" t="str">
        <f t="shared" si="1044"/>
        <v>ND</v>
      </c>
      <c r="IH177" s="1" t="str">
        <f t="shared" si="1045"/>
        <v>ND</v>
      </c>
      <c r="II177" s="1" t="str">
        <f t="shared" si="1046"/>
        <v>ND</v>
      </c>
    </row>
    <row r="178" spans="3:243" x14ac:dyDescent="0.25">
      <c r="C178" t="s">
        <v>91</v>
      </c>
      <c r="D178">
        <f>SUMIFS(DICCIONARIO[Cantidad],DICCIONARIO[Modelo],UNIFICADA[[#This Row],[Equipo]])</f>
        <v>0</v>
      </c>
      <c r="E178" s="1">
        <f>IFERROR(VLOOKUP($C178,EQUIPOS[],UNIFICADO!E$9,0),"")</f>
        <v>15</v>
      </c>
      <c r="F178" s="1">
        <f>IFERROR(VLOOKUP($C178,EQUIPOS[],UNIFICADO!F$9,0),"")</f>
        <v>4.7</v>
      </c>
      <c r="G178" s="1">
        <f>IFERROR(VLOOKUP($C178,EQUIPOS[],UNIFICADO!G$9,0),"")</f>
        <v>12</v>
      </c>
      <c r="H178" s="1">
        <f>IFERROR(VLOOKUP($C178,EQUIPOS[],UNIFICADO!H$9,0),"")</f>
        <v>1</v>
      </c>
      <c r="I178" s="1">
        <f>IFERROR(VLOOKUP($C178,EQUIPOS[],UNIFICADO!I$9,0),"")</f>
        <v>7</v>
      </c>
      <c r="J178" s="1" t="str">
        <f>IFERROR(VLOOKUP($C178,EQUIPOS[],UNIFICADO!J$9,0),"")</f>
        <v>64GB</v>
      </c>
      <c r="K178" s="1">
        <f>IFERROR(VLOOKUP($C178,EQUIPOS[],UNIFICADO!K$9,0),"")</f>
        <v>0</v>
      </c>
      <c r="L178" s="1">
        <f>IFERROR(VLOOKUP($C178,EQUIPOS[],UNIFICADO!L$9,0),"")</f>
        <v>6</v>
      </c>
      <c r="M178" s="1" t="str">
        <f>IFERROR(VLOOKUP($C178,EQUIPOS[],UNIFICADO!M$9,0),"")</f>
        <v>3.1/1.8</v>
      </c>
      <c r="N178" s="1">
        <f>IFERROR(VLOOKUP($C178,EQUIPOS[],UNIFICADO!N$9,0),"")</f>
        <v>4</v>
      </c>
      <c r="O178" s="1">
        <f>IFERROR(VLOOKUP($C178,EQUIPOS[],UNIFICADO!O$9,0),"")</f>
        <v>144</v>
      </c>
      <c r="P178" s="1">
        <f>IFERROR(VLOOKUP($C178,EQUIPOS[],UNIFICADO!P$9,0),"")</f>
        <v>13.84</v>
      </c>
      <c r="Q178" s="1">
        <f>IFERROR(VLOOKUP($C178,EQUIPOS[],UNIFICADO!Q$9,0),"")</f>
        <v>6.73</v>
      </c>
      <c r="R178" s="1">
        <f>IFERROR(VLOOKUP($C178,EQUIPOS[],UNIFICADO!R$9,0),"")</f>
        <v>0.73</v>
      </c>
      <c r="S178" s="1">
        <f>IFERROR(VLOOKUP($C178,EQUIPOS[],UNIFICADO!S$9,0),"")</f>
        <v>2438</v>
      </c>
      <c r="T178" s="1">
        <f>IFERROR(VLOOKUP($C178,EQUIPOS[],UNIFICADO!T$9,0),"")</f>
        <v>5</v>
      </c>
      <c r="U178" s="1">
        <f>VLOOKUP(UNIFICADA[[#This Row],[Equipo]],EQUIPOS[],19,0)</f>
        <v>168</v>
      </c>
      <c r="V178" s="1" t="str">
        <f t="shared" si="884"/>
        <v>ND</v>
      </c>
      <c r="W178" s="1" t="str">
        <f t="shared" si="885"/>
        <v>ND</v>
      </c>
      <c r="X178" s="1" t="str">
        <f t="shared" si="886"/>
        <v>ND</v>
      </c>
      <c r="Y178" s="1" t="str">
        <f t="shared" si="886"/>
        <v>ND</v>
      </c>
      <c r="Z178" s="1" t="str">
        <f t="shared" si="887"/>
        <v>ND</v>
      </c>
      <c r="AA178" s="1" t="str">
        <f t="shared" si="887"/>
        <v>ND</v>
      </c>
      <c r="AB178" s="1" t="str">
        <f t="shared" si="887"/>
        <v>ND</v>
      </c>
      <c r="AC178" s="1" t="str">
        <f t="shared" si="887"/>
        <v>ND</v>
      </c>
      <c r="AD178" s="1" t="str">
        <f t="shared" si="887"/>
        <v>ND</v>
      </c>
      <c r="AE178" s="1" t="str">
        <f t="shared" si="887"/>
        <v>ND</v>
      </c>
      <c r="AF178" s="1" t="str">
        <f t="shared" si="887"/>
        <v>ND</v>
      </c>
      <c r="AG178" s="1" t="str">
        <f t="shared" si="887"/>
        <v>ND</v>
      </c>
      <c r="AH178" s="1" t="str">
        <f t="shared" si="887"/>
        <v>ND</v>
      </c>
      <c r="AI178" s="1" t="str">
        <f t="shared" si="888"/>
        <v>ND</v>
      </c>
      <c r="AJ178" s="1" t="str">
        <f t="shared" si="889"/>
        <v>ND</v>
      </c>
      <c r="AK178" s="1" t="str">
        <f t="shared" si="890"/>
        <v>ND</v>
      </c>
      <c r="AL178" s="1" t="str">
        <f t="shared" si="891"/>
        <v>ND</v>
      </c>
      <c r="AM178" s="1" t="str">
        <f t="shared" si="892"/>
        <v>ND</v>
      </c>
      <c r="AN178" s="1" t="str">
        <f t="shared" si="893"/>
        <v>ND</v>
      </c>
      <c r="AO178" s="1" t="str">
        <f t="shared" si="894"/>
        <v>ND</v>
      </c>
      <c r="AP178" s="1" t="str">
        <f t="shared" si="895"/>
        <v>ND</v>
      </c>
      <c r="AQ178" s="1" t="str">
        <f t="shared" si="896"/>
        <v>ND</v>
      </c>
      <c r="AR178" s="1" t="str">
        <f t="shared" si="897"/>
        <v>ND</v>
      </c>
      <c r="AS178" s="1" t="str">
        <f t="shared" si="898"/>
        <v>ND</v>
      </c>
      <c r="AT178" s="1" t="str">
        <f t="shared" si="899"/>
        <v>ND</v>
      </c>
      <c r="AU178" s="1" t="str">
        <f t="shared" si="900"/>
        <v>ND</v>
      </c>
      <c r="AV178" s="1" t="str">
        <f t="shared" si="901"/>
        <v>ND</v>
      </c>
      <c r="AW178" s="1" t="str">
        <f t="shared" si="902"/>
        <v>ND</v>
      </c>
      <c r="AX178" s="1" t="str">
        <f t="shared" si="903"/>
        <v>ND</v>
      </c>
      <c r="AY178" s="1" t="str">
        <f t="shared" si="904"/>
        <v>ND</v>
      </c>
      <c r="AZ178" s="1" t="str">
        <f t="shared" si="905"/>
        <v>ND</v>
      </c>
      <c r="BA178" s="1" t="str">
        <f t="shared" si="906"/>
        <v>ND</v>
      </c>
      <c r="BB178" s="1" t="str">
        <f t="shared" si="907"/>
        <v>ND</v>
      </c>
      <c r="BC178" s="1" t="str">
        <f t="shared" si="908"/>
        <v>ND</v>
      </c>
      <c r="BD178" s="1" t="str">
        <f t="shared" si="909"/>
        <v>ND</v>
      </c>
      <c r="BE178" s="1" t="str">
        <f t="shared" si="910"/>
        <v>ND</v>
      </c>
      <c r="BF178" s="1" t="str">
        <f t="shared" si="911"/>
        <v>ND</v>
      </c>
      <c r="BG178" s="1" t="str">
        <f t="shared" si="912"/>
        <v>ND</v>
      </c>
      <c r="BH178" s="1" t="str">
        <f t="shared" si="913"/>
        <v>ND</v>
      </c>
      <c r="BI178" s="1" t="str">
        <f t="shared" si="914"/>
        <v>ND</v>
      </c>
      <c r="BJ178" s="1" t="str">
        <f t="shared" si="915"/>
        <v>ND</v>
      </c>
      <c r="BK178" s="1" t="str">
        <f t="shared" si="916"/>
        <v>ND</v>
      </c>
      <c r="BL178" s="1" t="str">
        <f t="shared" si="917"/>
        <v>ND</v>
      </c>
      <c r="BM178" s="1" t="str">
        <f t="shared" si="918"/>
        <v>ND</v>
      </c>
      <c r="BN178" s="1" t="str">
        <f t="shared" si="919"/>
        <v>ND</v>
      </c>
      <c r="BO178" s="1" t="str">
        <f t="shared" si="920"/>
        <v>ND</v>
      </c>
      <c r="BP178" s="1" t="str">
        <f t="shared" si="921"/>
        <v>ND</v>
      </c>
      <c r="BQ178" s="1" t="str">
        <f t="shared" si="922"/>
        <v>ND</v>
      </c>
      <c r="BR178" s="1" t="str">
        <f t="shared" si="923"/>
        <v>ND</v>
      </c>
      <c r="BS178" s="1" t="str">
        <f t="shared" si="924"/>
        <v>ND</v>
      </c>
      <c r="BT178" s="1" t="str">
        <f t="shared" si="925"/>
        <v>ND</v>
      </c>
      <c r="BU178" s="1" t="str">
        <f t="shared" si="926"/>
        <v>ND</v>
      </c>
      <c r="BV178" s="1" t="str">
        <f t="shared" si="927"/>
        <v>ND</v>
      </c>
      <c r="BW178" s="1" t="str">
        <f t="shared" si="928"/>
        <v>ND</v>
      </c>
      <c r="BX178" s="1" t="str">
        <f t="shared" si="929"/>
        <v>ND</v>
      </c>
      <c r="BY178" s="1" t="str">
        <f t="shared" si="930"/>
        <v>ND</v>
      </c>
      <c r="BZ178" s="1" t="str">
        <f t="shared" si="931"/>
        <v>ND</v>
      </c>
      <c r="CA178" s="1" t="str">
        <f t="shared" si="932"/>
        <v>ND</v>
      </c>
      <c r="CB178" s="1" t="str">
        <f t="shared" si="932"/>
        <v>ND</v>
      </c>
      <c r="CC178" s="1" t="str">
        <f t="shared" si="932"/>
        <v>ND</v>
      </c>
      <c r="CD178" s="1" t="str">
        <f t="shared" si="932"/>
        <v>ND</v>
      </c>
      <c r="CE178" s="1" t="str">
        <f t="shared" si="932"/>
        <v>ND</v>
      </c>
      <c r="CF178" s="1" t="str">
        <f t="shared" si="932"/>
        <v>ND</v>
      </c>
      <c r="CG178" s="1" t="str">
        <f t="shared" si="932"/>
        <v>ND</v>
      </c>
      <c r="CH178" s="1" t="str">
        <f t="shared" si="932"/>
        <v>ND</v>
      </c>
      <c r="CI178" s="1" t="str">
        <f t="shared" si="932"/>
        <v>ND</v>
      </c>
      <c r="CJ178" s="1" t="str">
        <f t="shared" si="932"/>
        <v>ND</v>
      </c>
      <c r="CK178" s="1" t="str">
        <f t="shared" si="932"/>
        <v>ND</v>
      </c>
      <c r="CL178" s="1" t="str">
        <f t="shared" si="933"/>
        <v>ND</v>
      </c>
      <c r="CM178" s="1" t="str">
        <f t="shared" si="933"/>
        <v>ND</v>
      </c>
      <c r="CN178" s="1" t="str">
        <f t="shared" si="933"/>
        <v>ND</v>
      </c>
      <c r="CO178" s="1" t="str">
        <f t="shared" si="933"/>
        <v>ND</v>
      </c>
      <c r="CP178" s="1" t="str">
        <f t="shared" si="933"/>
        <v>ND</v>
      </c>
      <c r="CQ178" s="1" t="str">
        <f t="shared" si="933"/>
        <v>ND</v>
      </c>
      <c r="CR178" s="1" t="str">
        <f t="shared" si="933"/>
        <v>ND</v>
      </c>
      <c r="CS178" s="1" t="str">
        <f t="shared" si="933"/>
        <v>ND</v>
      </c>
      <c r="CT178" s="1" t="str">
        <f t="shared" si="933"/>
        <v>ND</v>
      </c>
      <c r="CU178" s="1" t="str">
        <f t="shared" si="933"/>
        <v>ND</v>
      </c>
      <c r="CV178" s="1" t="str">
        <f t="shared" si="933"/>
        <v>ND</v>
      </c>
      <c r="CW178" s="1" t="str">
        <f t="shared" si="934"/>
        <v>ND</v>
      </c>
      <c r="CX178" s="1" t="str">
        <f t="shared" si="935"/>
        <v>ND</v>
      </c>
      <c r="CY178" s="1" t="str">
        <f t="shared" si="936"/>
        <v>ND</v>
      </c>
      <c r="CZ178" s="1" t="str">
        <f t="shared" si="937"/>
        <v>ND</v>
      </c>
      <c r="DA178" s="1" t="str">
        <f t="shared" si="938"/>
        <v>ND</v>
      </c>
      <c r="DB178" s="1" t="str">
        <f t="shared" si="939"/>
        <v>ND</v>
      </c>
      <c r="DC178" s="1" t="str">
        <f t="shared" si="940"/>
        <v>ND</v>
      </c>
      <c r="DD178" s="1" t="str">
        <f t="shared" si="941"/>
        <v>ND</v>
      </c>
      <c r="DE178" s="1" t="str">
        <f t="shared" si="942"/>
        <v>ND</v>
      </c>
      <c r="DF178" s="1" t="str">
        <f t="shared" si="943"/>
        <v>ND</v>
      </c>
      <c r="DG178" s="1" t="str">
        <f t="shared" si="944"/>
        <v>ND</v>
      </c>
      <c r="DH178" s="1" t="str">
        <f t="shared" si="945"/>
        <v>ND</v>
      </c>
      <c r="DI178" s="1" t="str">
        <f t="shared" si="946"/>
        <v>ND</v>
      </c>
      <c r="DJ178" s="1" t="str">
        <f t="shared" si="947"/>
        <v>ND</v>
      </c>
      <c r="DK178" s="1" t="str">
        <f t="shared" si="948"/>
        <v>ND</v>
      </c>
      <c r="DL178" s="1" t="str">
        <f t="shared" si="949"/>
        <v>ND</v>
      </c>
      <c r="DM178" s="1" t="str">
        <f t="shared" si="950"/>
        <v>ND</v>
      </c>
      <c r="DN178" s="1" t="str">
        <f t="shared" si="951"/>
        <v>ND</v>
      </c>
      <c r="DO178" s="1" t="str">
        <f t="shared" si="952"/>
        <v>ND</v>
      </c>
      <c r="DP178" s="1" t="str">
        <f t="shared" si="953"/>
        <v>ND</v>
      </c>
      <c r="DQ178" s="1" t="str">
        <f t="shared" si="954"/>
        <v>ND</v>
      </c>
      <c r="DR178" s="1" t="str">
        <f t="shared" si="955"/>
        <v>ND</v>
      </c>
      <c r="DS178" s="1" t="str">
        <f t="shared" si="956"/>
        <v>ND</v>
      </c>
      <c r="DT178" s="1" t="str">
        <f t="shared" si="957"/>
        <v>ND</v>
      </c>
      <c r="DU178" s="1" t="str">
        <f t="shared" si="958"/>
        <v>ND</v>
      </c>
      <c r="DV178" s="1" t="str">
        <f t="shared" si="959"/>
        <v>ND</v>
      </c>
      <c r="DW178" s="1" t="str">
        <f t="shared" si="960"/>
        <v>ND</v>
      </c>
      <c r="DX178" s="1" t="str">
        <f t="shared" si="961"/>
        <v>ND</v>
      </c>
      <c r="DY178" s="1" t="str">
        <f t="shared" si="962"/>
        <v>ND</v>
      </c>
      <c r="DZ178" s="1" t="str">
        <f t="shared" si="963"/>
        <v>ND</v>
      </c>
      <c r="EA178" s="1" t="str">
        <f t="shared" si="964"/>
        <v>ND</v>
      </c>
      <c r="EB178" s="1" t="str">
        <f t="shared" si="965"/>
        <v>ND</v>
      </c>
      <c r="EC178" s="1" t="str">
        <f t="shared" si="966"/>
        <v>ND</v>
      </c>
      <c r="ED178" s="1" t="str">
        <f t="shared" si="967"/>
        <v>ND</v>
      </c>
      <c r="EE178" s="1" t="str">
        <f t="shared" si="968"/>
        <v>ND</v>
      </c>
      <c r="EF178" s="1" t="str">
        <f t="shared" si="969"/>
        <v>ND</v>
      </c>
      <c r="EG178" s="1" t="str">
        <f t="shared" si="970"/>
        <v>ND</v>
      </c>
      <c r="EH178" s="1" t="str">
        <f t="shared" si="971"/>
        <v>ND</v>
      </c>
      <c r="EI178" s="1" t="str">
        <f t="shared" si="972"/>
        <v>ND</v>
      </c>
      <c r="EJ178" s="1" t="str">
        <f t="shared" si="973"/>
        <v>ND</v>
      </c>
      <c r="EK178" s="1" t="str">
        <f t="shared" si="974"/>
        <v>ND</v>
      </c>
      <c r="EL178" s="1" t="str">
        <f t="shared" si="975"/>
        <v>ND</v>
      </c>
      <c r="EM178" s="1" t="str">
        <f t="shared" si="976"/>
        <v>ND</v>
      </c>
      <c r="EN178" s="1" t="str">
        <f t="shared" si="977"/>
        <v>ND</v>
      </c>
      <c r="EO178" s="1" t="str">
        <f t="shared" si="978"/>
        <v>ND</v>
      </c>
      <c r="EP178" s="1" t="str">
        <f t="shared" si="978"/>
        <v>ND</v>
      </c>
      <c r="EQ178" s="1" t="str">
        <f t="shared" si="978"/>
        <v>ND</v>
      </c>
      <c r="ER178" s="1" t="str">
        <f t="shared" si="978"/>
        <v>ND</v>
      </c>
      <c r="ES178" s="1" t="str">
        <f t="shared" si="978"/>
        <v>ND</v>
      </c>
      <c r="ET178" s="1" t="str">
        <f t="shared" si="978"/>
        <v>ND</v>
      </c>
      <c r="EU178" s="1" t="str">
        <f t="shared" si="978"/>
        <v>ND</v>
      </c>
      <c r="EV178" s="1" t="str">
        <f t="shared" si="978"/>
        <v>ND</v>
      </c>
      <c r="EW178" s="1" t="str">
        <f t="shared" si="978"/>
        <v>ND</v>
      </c>
      <c r="EX178" s="1" t="str">
        <f t="shared" si="978"/>
        <v>ND</v>
      </c>
      <c r="EY178" s="1" t="str">
        <f t="shared" si="978"/>
        <v>ND</v>
      </c>
      <c r="EZ178" s="1" t="str">
        <f t="shared" si="979"/>
        <v>ND</v>
      </c>
      <c r="FA178" s="1" t="str">
        <f t="shared" si="979"/>
        <v>ND</v>
      </c>
      <c r="FB178" s="1" t="str">
        <f t="shared" si="979"/>
        <v>ND</v>
      </c>
      <c r="FC178" s="1" t="str">
        <f t="shared" si="979"/>
        <v>ND</v>
      </c>
      <c r="FD178" s="1" t="str">
        <f t="shared" si="979"/>
        <v>ND</v>
      </c>
      <c r="FE178" s="1" t="str">
        <f t="shared" si="979"/>
        <v>ND</v>
      </c>
      <c r="FF178" s="1" t="str">
        <f t="shared" si="979"/>
        <v>ND</v>
      </c>
      <c r="FG178" s="1" t="str">
        <f t="shared" si="979"/>
        <v>ND</v>
      </c>
      <c r="FH178" s="1" t="str">
        <f t="shared" si="979"/>
        <v>ND</v>
      </c>
      <c r="FI178" s="1" t="str">
        <f t="shared" si="979"/>
        <v>ND</v>
      </c>
      <c r="FJ178" s="1" t="str">
        <f t="shared" si="979"/>
        <v>ND</v>
      </c>
      <c r="FK178" s="1" t="str">
        <f t="shared" si="980"/>
        <v>ND</v>
      </c>
      <c r="FL178" s="1" t="str">
        <f t="shared" si="980"/>
        <v>ND</v>
      </c>
      <c r="FM178" s="1" t="str">
        <f t="shared" si="980"/>
        <v>ND</v>
      </c>
      <c r="FN178" s="1" t="str">
        <f t="shared" si="980"/>
        <v>ND</v>
      </c>
      <c r="FO178" s="1" t="str">
        <f t="shared" si="980"/>
        <v>ND</v>
      </c>
      <c r="FP178" s="1" t="str">
        <f t="shared" si="980"/>
        <v>ND</v>
      </c>
      <c r="FQ178" s="1" t="str">
        <f t="shared" si="980"/>
        <v>ND</v>
      </c>
      <c r="FR178" s="1" t="str">
        <f t="shared" si="980"/>
        <v>ND</v>
      </c>
      <c r="FS178" s="1" t="str">
        <f t="shared" si="980"/>
        <v>ND</v>
      </c>
      <c r="FT178" s="1" t="str">
        <f t="shared" si="980"/>
        <v>ND</v>
      </c>
      <c r="FU178" s="1" t="str">
        <f t="shared" si="980"/>
        <v>ND</v>
      </c>
      <c r="FV178" s="1" t="str">
        <f t="shared" si="981"/>
        <v>ND</v>
      </c>
      <c r="FW178" s="1" t="str">
        <f t="shared" si="982"/>
        <v>ND</v>
      </c>
      <c r="FX178" s="1" t="str">
        <f t="shared" si="983"/>
        <v>ND</v>
      </c>
      <c r="FY178" s="1" t="str">
        <f t="shared" si="984"/>
        <v>ND</v>
      </c>
      <c r="FZ178" s="1" t="str">
        <f t="shared" si="985"/>
        <v>ND</v>
      </c>
      <c r="GA178" s="1" t="str">
        <f t="shared" si="986"/>
        <v>ND</v>
      </c>
      <c r="GB178" s="1" t="str">
        <f t="shared" si="987"/>
        <v>ND</v>
      </c>
      <c r="GC178" s="1" t="str">
        <f t="shared" si="988"/>
        <v>ND</v>
      </c>
      <c r="GD178" s="1" t="str">
        <f t="shared" si="989"/>
        <v>ND</v>
      </c>
      <c r="GE178" s="1" t="str">
        <f t="shared" si="990"/>
        <v>ND</v>
      </c>
      <c r="GF178" s="1" t="str">
        <f t="shared" si="991"/>
        <v>ND</v>
      </c>
      <c r="GG178" s="1" t="str">
        <f t="shared" si="992"/>
        <v>ND</v>
      </c>
      <c r="GH178" s="1" t="str">
        <f t="shared" si="993"/>
        <v>ND</v>
      </c>
      <c r="GI178" s="1" t="str">
        <f t="shared" si="994"/>
        <v>ND</v>
      </c>
      <c r="GJ178" s="1" t="str">
        <f t="shared" si="995"/>
        <v>ND</v>
      </c>
      <c r="GK178" s="1" t="str">
        <f t="shared" si="996"/>
        <v>ND</v>
      </c>
      <c r="GL178" s="1" t="str">
        <f t="shared" si="997"/>
        <v>ND</v>
      </c>
      <c r="GM178" s="1" t="str">
        <f t="shared" si="998"/>
        <v>ND</v>
      </c>
      <c r="GN178" s="1" t="str">
        <f t="shared" si="999"/>
        <v>ND</v>
      </c>
      <c r="GO178" s="1" t="str">
        <f t="shared" si="1000"/>
        <v>ND</v>
      </c>
      <c r="GP178" s="1" t="str">
        <f t="shared" si="1001"/>
        <v>ND</v>
      </c>
      <c r="GQ178" s="1" t="str">
        <f t="shared" si="1002"/>
        <v>ND</v>
      </c>
      <c r="GR178" s="1" t="str">
        <f t="shared" si="1003"/>
        <v>ND</v>
      </c>
      <c r="GS178" s="1" t="str">
        <f t="shared" si="1004"/>
        <v>ND</v>
      </c>
      <c r="GT178" s="1" t="str">
        <f t="shared" si="1005"/>
        <v>ND</v>
      </c>
      <c r="GU178" s="1" t="str">
        <f t="shared" si="1006"/>
        <v>ND</v>
      </c>
      <c r="GV178" s="1" t="str">
        <f t="shared" si="1007"/>
        <v>ND</v>
      </c>
      <c r="GW178" s="1" t="str">
        <f t="shared" si="1008"/>
        <v>ND</v>
      </c>
      <c r="GX178" s="1" t="str">
        <f t="shared" si="1009"/>
        <v>ND</v>
      </c>
      <c r="GY178" s="1" t="str">
        <f t="shared" si="1010"/>
        <v>ND</v>
      </c>
      <c r="GZ178" s="1" t="str">
        <f t="shared" si="1011"/>
        <v>ND</v>
      </c>
      <c r="HA178" s="1" t="str">
        <f t="shared" si="1012"/>
        <v>ND</v>
      </c>
      <c r="HB178" s="1" t="str">
        <f t="shared" si="1013"/>
        <v>ND</v>
      </c>
      <c r="HC178" s="1" t="str">
        <f t="shared" si="1014"/>
        <v>ND</v>
      </c>
      <c r="HD178" s="1" t="str">
        <f t="shared" si="1015"/>
        <v>ND</v>
      </c>
      <c r="HE178" s="1" t="str">
        <f t="shared" si="1016"/>
        <v>ND</v>
      </c>
      <c r="HF178" s="1" t="str">
        <f t="shared" si="1017"/>
        <v>ND</v>
      </c>
      <c r="HG178" s="1" t="str">
        <f t="shared" si="1018"/>
        <v>ND</v>
      </c>
      <c r="HH178" s="1" t="str">
        <f t="shared" si="1019"/>
        <v>ND</v>
      </c>
      <c r="HI178" s="1" t="str">
        <f t="shared" si="1020"/>
        <v>ND</v>
      </c>
      <c r="HJ178" s="1" t="str">
        <f t="shared" si="1021"/>
        <v>ND</v>
      </c>
      <c r="HK178" s="1" t="str">
        <f t="shared" si="1022"/>
        <v>ND</v>
      </c>
      <c r="HL178" s="1" t="str">
        <f t="shared" si="1023"/>
        <v>ND</v>
      </c>
      <c r="HM178" s="1" t="str">
        <f t="shared" si="1024"/>
        <v>ND</v>
      </c>
      <c r="HN178" s="1" t="str">
        <f t="shared" si="1025"/>
        <v>ND</v>
      </c>
      <c r="HO178" s="1" t="str">
        <f t="shared" si="1026"/>
        <v>ND</v>
      </c>
      <c r="HP178" s="1" t="str">
        <f t="shared" si="1027"/>
        <v>ND</v>
      </c>
      <c r="HQ178" s="1" t="str">
        <f t="shared" si="1028"/>
        <v>ND</v>
      </c>
      <c r="HR178" s="1" t="str">
        <f t="shared" si="1029"/>
        <v>ND</v>
      </c>
      <c r="HS178" s="1" t="str">
        <f t="shared" si="1030"/>
        <v>ND</v>
      </c>
      <c r="HT178" s="1" t="str">
        <f t="shared" si="1031"/>
        <v>ND</v>
      </c>
      <c r="HU178" s="1" t="str">
        <f t="shared" si="1032"/>
        <v>ND</v>
      </c>
      <c r="HV178" s="1" t="str">
        <f t="shared" si="1033"/>
        <v>ND</v>
      </c>
      <c r="HW178" s="1" t="str">
        <f t="shared" si="1034"/>
        <v>ND</v>
      </c>
      <c r="HX178" s="1" t="str">
        <f t="shared" si="1035"/>
        <v>ND</v>
      </c>
      <c r="HY178" s="1" t="str">
        <f t="shared" si="1036"/>
        <v>ND</v>
      </c>
      <c r="HZ178" s="1" t="str">
        <f t="shared" si="1037"/>
        <v>ND</v>
      </c>
      <c r="IA178" s="1" t="str">
        <f t="shared" si="1038"/>
        <v>ND</v>
      </c>
      <c r="IB178" s="1" t="str">
        <f t="shared" si="1039"/>
        <v>ND</v>
      </c>
      <c r="IC178" s="1" t="str">
        <f t="shared" si="1040"/>
        <v>ND</v>
      </c>
      <c r="ID178" s="1" t="str">
        <f t="shared" si="1041"/>
        <v>ND</v>
      </c>
      <c r="IE178" s="1" t="str">
        <f t="shared" si="1042"/>
        <v>ND</v>
      </c>
      <c r="IF178" s="1" t="str">
        <f t="shared" si="1043"/>
        <v>ND</v>
      </c>
      <c r="IG178" s="1" t="str">
        <f t="shared" si="1044"/>
        <v>ND</v>
      </c>
      <c r="IH178" s="1" t="str">
        <f t="shared" si="1045"/>
        <v>ND</v>
      </c>
      <c r="II178" s="1" t="str">
        <f t="shared" si="1046"/>
        <v>ND</v>
      </c>
    </row>
    <row r="179" spans="3:243" x14ac:dyDescent="0.25">
      <c r="C179" s="3" t="s">
        <v>55</v>
      </c>
      <c r="D179">
        <f>SUMIFS(DICCIONARIO[Cantidad],DICCIONARIO[Modelo],UNIFICADA[[#This Row],[Equipo]])</f>
        <v>0</v>
      </c>
      <c r="E179" s="1">
        <f>IFERROR(VLOOKUP($C179,EQUIPOS[],UNIFICADO!E$9,0),"")</f>
        <v>12</v>
      </c>
      <c r="F179" s="1">
        <f>IFERROR(VLOOKUP($C179,EQUIPOS[],UNIFICADO!F$9,0),"")</f>
        <v>6.1</v>
      </c>
      <c r="G179" s="1">
        <f>IFERROR(VLOOKUP($C179,EQUIPOS[],UNIFICADO!G$9,0),"")</f>
        <v>12</v>
      </c>
      <c r="H179" s="1">
        <f>IFERROR(VLOOKUP($C179,EQUIPOS[],UNIFICADO!H$9,0),"")</f>
        <v>1</v>
      </c>
      <c r="I179" s="1">
        <f>IFERROR(VLOOKUP($C179,EQUIPOS[],UNIFICADO!I$9,0),"")</f>
        <v>12</v>
      </c>
      <c r="J179" s="1" t="str">
        <f>IFERROR(VLOOKUP($C179,EQUIPOS[],UNIFICADO!J$9,0),"")</f>
        <v>64GB</v>
      </c>
      <c r="K179" s="1">
        <f>IFERROR(VLOOKUP($C179,EQUIPOS[],UNIFICADO!K$9,0),"")</f>
        <v>0</v>
      </c>
      <c r="L179" s="1">
        <f>IFERROR(VLOOKUP($C179,EQUIPOS[],UNIFICADO!L$9,0),"")</f>
        <v>6</v>
      </c>
      <c r="M179" s="1" t="str">
        <f>IFERROR(VLOOKUP($C179,EQUIPOS[],UNIFICADO!M$9,0),"")</f>
        <v>3.22/2.0</v>
      </c>
      <c r="N179" s="1">
        <f>IFERROR(VLOOKUP($C179,EQUIPOS[],UNIFICADO!N$9,0),"")</f>
        <v>3</v>
      </c>
      <c r="O179" s="1">
        <f>IFERROR(VLOOKUP($C179,EQUIPOS[],UNIFICADO!O$9,0),"")</f>
        <v>164</v>
      </c>
      <c r="P179" s="1">
        <f>IFERROR(VLOOKUP($C179,EQUIPOS[],UNIFICADO!P$9,0),"")</f>
        <v>15.09</v>
      </c>
      <c r="Q179" s="1">
        <f>IFERROR(VLOOKUP($C179,EQUIPOS[],UNIFICADO!Q$9,0),"")</f>
        <v>7.57</v>
      </c>
      <c r="R179" s="1">
        <f>IFERROR(VLOOKUP($C179,EQUIPOS[],UNIFICADO!R$9,0),"")</f>
        <v>0.83</v>
      </c>
      <c r="S179" s="1">
        <f>IFERROR(VLOOKUP($C179,EQUIPOS[],UNIFICADO!S$9,0),"")</f>
        <v>2942</v>
      </c>
      <c r="T179" s="1">
        <f>IFERROR(VLOOKUP($C179,EQUIPOS[],UNIFICADO!T$9,0),"")</f>
        <v>4.5</v>
      </c>
      <c r="U179" s="1">
        <f>VLOOKUP(UNIFICADA[[#This Row],[Equipo]],EQUIPOS[],19,0)</f>
        <v>169</v>
      </c>
      <c r="V179" s="1" t="str">
        <f t="shared" si="884"/>
        <v>ND</v>
      </c>
      <c r="W179" s="1" t="str">
        <f t="shared" si="885"/>
        <v>ND</v>
      </c>
      <c r="X179" s="1" t="str">
        <f t="shared" si="886"/>
        <v>ND</v>
      </c>
      <c r="Y179" s="1" t="str">
        <f t="shared" si="886"/>
        <v>ND</v>
      </c>
      <c r="Z179" s="1" t="str">
        <f t="shared" si="887"/>
        <v>ND</v>
      </c>
      <c r="AA179" s="1" t="str">
        <f t="shared" si="887"/>
        <v>ND</v>
      </c>
      <c r="AB179" s="1" t="str">
        <f t="shared" si="887"/>
        <v>ND</v>
      </c>
      <c r="AC179" s="1" t="str">
        <f t="shared" si="887"/>
        <v>ND</v>
      </c>
      <c r="AD179" s="1" t="str">
        <f t="shared" si="887"/>
        <v>ND</v>
      </c>
      <c r="AE179" s="1" t="str">
        <f t="shared" si="887"/>
        <v>ND</v>
      </c>
      <c r="AF179" s="1" t="str">
        <f t="shared" si="887"/>
        <v>ND</v>
      </c>
      <c r="AG179" s="1" t="str">
        <f t="shared" si="887"/>
        <v>ND</v>
      </c>
      <c r="AH179" s="1" t="str">
        <f t="shared" si="887"/>
        <v>ND</v>
      </c>
      <c r="AI179" s="1" t="str">
        <f t="shared" si="888"/>
        <v>ND</v>
      </c>
      <c r="AJ179" s="1" t="str">
        <f t="shared" si="889"/>
        <v>ND</v>
      </c>
      <c r="AK179" s="1" t="str">
        <f t="shared" si="890"/>
        <v>ND</v>
      </c>
      <c r="AL179" s="1" t="str">
        <f t="shared" si="891"/>
        <v>ND</v>
      </c>
      <c r="AM179" s="1" t="str">
        <f t="shared" si="892"/>
        <v>ND</v>
      </c>
      <c r="AN179" s="1" t="str">
        <f t="shared" si="893"/>
        <v>ND</v>
      </c>
      <c r="AO179" s="1" t="str">
        <f t="shared" si="894"/>
        <v>ND</v>
      </c>
      <c r="AP179" s="1" t="str">
        <f t="shared" si="895"/>
        <v>ND</v>
      </c>
      <c r="AQ179" s="1" t="str">
        <f t="shared" si="896"/>
        <v>ND</v>
      </c>
      <c r="AR179" s="1" t="str">
        <f t="shared" si="897"/>
        <v>ND</v>
      </c>
      <c r="AS179" s="1" t="str">
        <f t="shared" si="898"/>
        <v>ND</v>
      </c>
      <c r="AT179" s="1" t="str">
        <f t="shared" si="899"/>
        <v>ND</v>
      </c>
      <c r="AU179" s="1" t="str">
        <f t="shared" si="900"/>
        <v>ND</v>
      </c>
      <c r="AV179" s="1" t="str">
        <f t="shared" si="901"/>
        <v>ND</v>
      </c>
      <c r="AW179" s="1" t="str">
        <f t="shared" si="902"/>
        <v>ND</v>
      </c>
      <c r="AX179" s="1" t="str">
        <f t="shared" si="903"/>
        <v>ND</v>
      </c>
      <c r="AY179" s="1" t="str">
        <f t="shared" si="904"/>
        <v>ND</v>
      </c>
      <c r="AZ179" s="1" t="str">
        <f t="shared" si="905"/>
        <v>ND</v>
      </c>
      <c r="BA179" s="1" t="str">
        <f t="shared" si="906"/>
        <v>ND</v>
      </c>
      <c r="BB179" s="1" t="str">
        <f t="shared" si="907"/>
        <v>ND</v>
      </c>
      <c r="BC179" s="1" t="str">
        <f t="shared" si="908"/>
        <v>ND</v>
      </c>
      <c r="BD179" s="1" t="str">
        <f t="shared" si="909"/>
        <v>ND</v>
      </c>
      <c r="BE179" s="1" t="str">
        <f t="shared" si="910"/>
        <v>ND</v>
      </c>
      <c r="BF179" s="1" t="str">
        <f t="shared" si="911"/>
        <v>ND</v>
      </c>
      <c r="BG179" s="1" t="str">
        <f t="shared" si="912"/>
        <v>ND</v>
      </c>
      <c r="BH179" s="1" t="str">
        <f t="shared" si="913"/>
        <v>ND</v>
      </c>
      <c r="BI179" s="1" t="str">
        <f t="shared" si="914"/>
        <v>ND</v>
      </c>
      <c r="BJ179" s="1" t="str">
        <f t="shared" si="915"/>
        <v>ND</v>
      </c>
      <c r="BK179" s="1" t="str">
        <f t="shared" si="916"/>
        <v>ND</v>
      </c>
      <c r="BL179" s="1" t="str">
        <f t="shared" si="917"/>
        <v>ND</v>
      </c>
      <c r="BM179" s="1" t="str">
        <f t="shared" si="918"/>
        <v>ND</v>
      </c>
      <c r="BN179" s="1" t="str">
        <f t="shared" si="919"/>
        <v>ND</v>
      </c>
      <c r="BO179" s="1" t="str">
        <f t="shared" si="920"/>
        <v>ND</v>
      </c>
      <c r="BP179" s="1" t="str">
        <f t="shared" si="921"/>
        <v>ND</v>
      </c>
      <c r="BQ179" s="1" t="str">
        <f t="shared" si="922"/>
        <v>ND</v>
      </c>
      <c r="BR179" s="1" t="str">
        <f t="shared" si="923"/>
        <v>ND</v>
      </c>
      <c r="BS179" s="1" t="str">
        <f t="shared" si="924"/>
        <v>ND</v>
      </c>
      <c r="BT179" s="1" t="str">
        <f t="shared" si="925"/>
        <v>ND</v>
      </c>
      <c r="BU179" s="1" t="str">
        <f t="shared" si="926"/>
        <v>ND</v>
      </c>
      <c r="BV179" s="1" t="str">
        <f t="shared" si="927"/>
        <v>ND</v>
      </c>
      <c r="BW179" s="1" t="str">
        <f t="shared" si="928"/>
        <v>ND</v>
      </c>
      <c r="BX179" s="1" t="str">
        <f t="shared" si="929"/>
        <v>ND</v>
      </c>
      <c r="BY179" s="1" t="str">
        <f t="shared" si="930"/>
        <v>ND</v>
      </c>
      <c r="BZ179" s="1" t="str">
        <f t="shared" si="931"/>
        <v>ND</v>
      </c>
      <c r="CA179" s="1" t="str">
        <f t="shared" si="932"/>
        <v>ND</v>
      </c>
      <c r="CB179" s="1" t="str">
        <f t="shared" si="932"/>
        <v>ND</v>
      </c>
      <c r="CC179" s="1" t="str">
        <f t="shared" si="932"/>
        <v>ND</v>
      </c>
      <c r="CD179" s="1" t="str">
        <f t="shared" si="932"/>
        <v>ND</v>
      </c>
      <c r="CE179" s="1" t="str">
        <f t="shared" si="932"/>
        <v>ND</v>
      </c>
      <c r="CF179" s="1" t="str">
        <f t="shared" si="932"/>
        <v>ND</v>
      </c>
      <c r="CG179" s="1" t="str">
        <f t="shared" si="932"/>
        <v>ND</v>
      </c>
      <c r="CH179" s="1" t="str">
        <f t="shared" si="932"/>
        <v>ND</v>
      </c>
      <c r="CI179" s="1" t="str">
        <f t="shared" si="932"/>
        <v>ND</v>
      </c>
      <c r="CJ179" s="1" t="str">
        <f t="shared" si="932"/>
        <v>ND</v>
      </c>
      <c r="CK179" s="1" t="str">
        <f t="shared" si="932"/>
        <v>ND</v>
      </c>
      <c r="CL179" s="1" t="str">
        <f t="shared" si="933"/>
        <v>ND</v>
      </c>
      <c r="CM179" s="1" t="str">
        <f t="shared" si="933"/>
        <v>ND</v>
      </c>
      <c r="CN179" s="1" t="str">
        <f t="shared" si="933"/>
        <v>ND</v>
      </c>
      <c r="CO179" s="1" t="str">
        <f t="shared" si="933"/>
        <v>ND</v>
      </c>
      <c r="CP179" s="1" t="str">
        <f t="shared" si="933"/>
        <v>ND</v>
      </c>
      <c r="CQ179" s="1" t="str">
        <f t="shared" si="933"/>
        <v>ND</v>
      </c>
      <c r="CR179" s="1" t="str">
        <f t="shared" si="933"/>
        <v>ND</v>
      </c>
      <c r="CS179" s="1" t="str">
        <f t="shared" si="933"/>
        <v>ND</v>
      </c>
      <c r="CT179" s="1" t="str">
        <f t="shared" si="933"/>
        <v>ND</v>
      </c>
      <c r="CU179" s="1" t="str">
        <f t="shared" si="933"/>
        <v>ND</v>
      </c>
      <c r="CV179" s="1" t="str">
        <f t="shared" si="933"/>
        <v>ND</v>
      </c>
      <c r="CW179" s="1" t="str">
        <f t="shared" si="934"/>
        <v>ND</v>
      </c>
      <c r="CX179" s="1" t="str">
        <f t="shared" si="935"/>
        <v>ND</v>
      </c>
      <c r="CY179" s="1" t="str">
        <f t="shared" si="936"/>
        <v>ND</v>
      </c>
      <c r="CZ179" s="1" t="str">
        <f t="shared" si="937"/>
        <v>ND</v>
      </c>
      <c r="DA179" s="1" t="str">
        <f t="shared" si="938"/>
        <v>ND</v>
      </c>
      <c r="DB179" s="1" t="str">
        <f t="shared" si="939"/>
        <v>ND</v>
      </c>
      <c r="DC179" s="1" t="str">
        <f t="shared" si="940"/>
        <v>ND</v>
      </c>
      <c r="DD179" s="1" t="str">
        <f t="shared" si="941"/>
        <v>ND</v>
      </c>
      <c r="DE179" s="1" t="str">
        <f t="shared" si="942"/>
        <v>ND</v>
      </c>
      <c r="DF179" s="1" t="str">
        <f t="shared" si="943"/>
        <v>ND</v>
      </c>
      <c r="DG179" s="1" t="str">
        <f t="shared" si="944"/>
        <v>ND</v>
      </c>
      <c r="DH179" s="1" t="str">
        <f t="shared" si="945"/>
        <v>ND</v>
      </c>
      <c r="DI179" s="1" t="str">
        <f t="shared" si="946"/>
        <v>ND</v>
      </c>
      <c r="DJ179" s="1" t="str">
        <f t="shared" si="947"/>
        <v>ND</v>
      </c>
      <c r="DK179" s="1" t="str">
        <f t="shared" si="948"/>
        <v>ND</v>
      </c>
      <c r="DL179" s="1" t="str">
        <f t="shared" si="949"/>
        <v>ND</v>
      </c>
      <c r="DM179" s="1" t="str">
        <f t="shared" si="950"/>
        <v>ND</v>
      </c>
      <c r="DN179" s="1" t="str">
        <f t="shared" si="951"/>
        <v>ND</v>
      </c>
      <c r="DO179" s="1" t="str">
        <f t="shared" si="952"/>
        <v>ND</v>
      </c>
      <c r="DP179" s="1" t="str">
        <f t="shared" si="953"/>
        <v>ND</v>
      </c>
      <c r="DQ179" s="1" t="str">
        <f t="shared" si="954"/>
        <v>ND</v>
      </c>
      <c r="DR179" s="1" t="str">
        <f t="shared" si="955"/>
        <v>ND</v>
      </c>
      <c r="DS179" s="1" t="str">
        <f t="shared" si="956"/>
        <v>ND</v>
      </c>
      <c r="DT179" s="1" t="str">
        <f t="shared" si="957"/>
        <v>ND</v>
      </c>
      <c r="DU179" s="1" t="str">
        <f t="shared" si="958"/>
        <v>ND</v>
      </c>
      <c r="DV179" s="1" t="str">
        <f t="shared" si="959"/>
        <v>ND</v>
      </c>
      <c r="DW179" s="1" t="str">
        <f t="shared" si="960"/>
        <v>ND</v>
      </c>
      <c r="DX179" s="1" t="str">
        <f t="shared" si="961"/>
        <v>ND</v>
      </c>
      <c r="DY179" s="1" t="str">
        <f t="shared" si="962"/>
        <v>ND</v>
      </c>
      <c r="DZ179" s="1" t="str">
        <f t="shared" si="963"/>
        <v>ND</v>
      </c>
      <c r="EA179" s="1" t="str">
        <f t="shared" si="964"/>
        <v>ND</v>
      </c>
      <c r="EB179" s="1" t="str">
        <f t="shared" si="965"/>
        <v>ND</v>
      </c>
      <c r="EC179" s="1" t="str">
        <f t="shared" si="966"/>
        <v>ND</v>
      </c>
      <c r="ED179" s="1" t="str">
        <f t="shared" si="967"/>
        <v>ND</v>
      </c>
      <c r="EE179" s="1" t="str">
        <f t="shared" si="968"/>
        <v>ND</v>
      </c>
      <c r="EF179" s="1" t="str">
        <f t="shared" si="969"/>
        <v>ND</v>
      </c>
      <c r="EG179" s="1" t="str">
        <f t="shared" si="970"/>
        <v>ND</v>
      </c>
      <c r="EH179" s="1" t="str">
        <f t="shared" si="971"/>
        <v>ND</v>
      </c>
      <c r="EI179" s="1" t="str">
        <f t="shared" si="972"/>
        <v>ND</v>
      </c>
      <c r="EJ179" s="1" t="str">
        <f t="shared" si="973"/>
        <v>ND</v>
      </c>
      <c r="EK179" s="1" t="str">
        <f t="shared" si="974"/>
        <v>ND</v>
      </c>
      <c r="EL179" s="1" t="str">
        <f t="shared" si="975"/>
        <v>ND</v>
      </c>
      <c r="EM179" s="1" t="str">
        <f t="shared" si="976"/>
        <v>ND</v>
      </c>
      <c r="EN179" s="1" t="str">
        <f t="shared" si="977"/>
        <v>ND</v>
      </c>
      <c r="EO179" s="1" t="str">
        <f t="shared" si="978"/>
        <v>ND</v>
      </c>
      <c r="EP179" s="1" t="str">
        <f t="shared" si="978"/>
        <v>ND</v>
      </c>
      <c r="EQ179" s="1" t="str">
        <f t="shared" si="978"/>
        <v>ND</v>
      </c>
      <c r="ER179" s="1" t="str">
        <f t="shared" si="978"/>
        <v>ND</v>
      </c>
      <c r="ES179" s="1" t="str">
        <f t="shared" si="978"/>
        <v>ND</v>
      </c>
      <c r="ET179" s="1" t="str">
        <f t="shared" si="978"/>
        <v>ND</v>
      </c>
      <c r="EU179" s="1" t="str">
        <f t="shared" si="978"/>
        <v>ND</v>
      </c>
      <c r="EV179" s="1" t="str">
        <f t="shared" si="978"/>
        <v>ND</v>
      </c>
      <c r="EW179" s="1" t="str">
        <f t="shared" si="978"/>
        <v>ND</v>
      </c>
      <c r="EX179" s="1" t="str">
        <f t="shared" si="978"/>
        <v>ND</v>
      </c>
      <c r="EY179" s="1" t="str">
        <f t="shared" si="978"/>
        <v>ND</v>
      </c>
      <c r="EZ179" s="1" t="str">
        <f t="shared" si="979"/>
        <v>ND</v>
      </c>
      <c r="FA179" s="1" t="str">
        <f t="shared" si="979"/>
        <v>ND</v>
      </c>
      <c r="FB179" s="1" t="str">
        <f t="shared" si="979"/>
        <v>ND</v>
      </c>
      <c r="FC179" s="1" t="str">
        <f t="shared" si="979"/>
        <v>ND</v>
      </c>
      <c r="FD179" s="1" t="str">
        <f t="shared" si="979"/>
        <v>ND</v>
      </c>
      <c r="FE179" s="1" t="str">
        <f t="shared" si="979"/>
        <v>ND</v>
      </c>
      <c r="FF179" s="1" t="str">
        <f t="shared" si="979"/>
        <v>ND</v>
      </c>
      <c r="FG179" s="1" t="str">
        <f t="shared" si="979"/>
        <v>ND</v>
      </c>
      <c r="FH179" s="1" t="str">
        <f t="shared" si="979"/>
        <v>ND</v>
      </c>
      <c r="FI179" s="1" t="str">
        <f t="shared" si="979"/>
        <v>ND</v>
      </c>
      <c r="FJ179" s="1" t="str">
        <f t="shared" si="979"/>
        <v>ND</v>
      </c>
      <c r="FK179" s="1" t="str">
        <f t="shared" si="980"/>
        <v>ND</v>
      </c>
      <c r="FL179" s="1" t="str">
        <f t="shared" si="980"/>
        <v>ND</v>
      </c>
      <c r="FM179" s="1" t="str">
        <f t="shared" si="980"/>
        <v>ND</v>
      </c>
      <c r="FN179" s="1" t="str">
        <f t="shared" si="980"/>
        <v>ND</v>
      </c>
      <c r="FO179" s="1" t="str">
        <f t="shared" si="980"/>
        <v>ND</v>
      </c>
      <c r="FP179" s="1" t="str">
        <f t="shared" si="980"/>
        <v>ND</v>
      </c>
      <c r="FQ179" s="1" t="str">
        <f t="shared" si="980"/>
        <v>ND</v>
      </c>
      <c r="FR179" s="1" t="str">
        <f t="shared" si="980"/>
        <v>ND</v>
      </c>
      <c r="FS179" s="1" t="str">
        <f t="shared" si="980"/>
        <v>ND</v>
      </c>
      <c r="FT179" s="1" t="str">
        <f t="shared" si="980"/>
        <v>ND</v>
      </c>
      <c r="FU179" s="1" t="str">
        <f t="shared" si="980"/>
        <v>ND</v>
      </c>
      <c r="FV179" s="1" t="str">
        <f t="shared" si="981"/>
        <v>ND</v>
      </c>
      <c r="FW179" s="1" t="str">
        <f t="shared" si="982"/>
        <v>ND</v>
      </c>
      <c r="FX179" s="1" t="str">
        <f t="shared" si="983"/>
        <v>ND</v>
      </c>
      <c r="FY179" s="1" t="str">
        <f t="shared" si="984"/>
        <v>ND</v>
      </c>
      <c r="FZ179" s="1" t="str">
        <f t="shared" si="985"/>
        <v>ND</v>
      </c>
      <c r="GA179" s="1" t="str">
        <f t="shared" si="986"/>
        <v>ND</v>
      </c>
      <c r="GB179" s="1" t="str">
        <f t="shared" si="987"/>
        <v>ND</v>
      </c>
      <c r="GC179" s="1" t="str">
        <f t="shared" si="988"/>
        <v>ND</v>
      </c>
      <c r="GD179" s="1" t="str">
        <f t="shared" si="989"/>
        <v>ND</v>
      </c>
      <c r="GE179" s="1" t="str">
        <f t="shared" si="990"/>
        <v>ND</v>
      </c>
      <c r="GF179" s="1" t="str">
        <f t="shared" si="991"/>
        <v>ND</v>
      </c>
      <c r="GG179" s="1" t="str">
        <f t="shared" si="992"/>
        <v>ND</v>
      </c>
      <c r="GH179" s="1" t="str">
        <f t="shared" si="993"/>
        <v>ND</v>
      </c>
      <c r="GI179" s="1" t="str">
        <f t="shared" si="994"/>
        <v>ND</v>
      </c>
      <c r="GJ179" s="1" t="str">
        <f t="shared" si="995"/>
        <v>ND</v>
      </c>
      <c r="GK179" s="1" t="str">
        <f t="shared" si="996"/>
        <v>ND</v>
      </c>
      <c r="GL179" s="1" t="str">
        <f t="shared" si="997"/>
        <v>ND</v>
      </c>
      <c r="GM179" s="1" t="str">
        <f t="shared" si="998"/>
        <v>ND</v>
      </c>
      <c r="GN179" s="1" t="str">
        <f t="shared" si="999"/>
        <v>ND</v>
      </c>
      <c r="GO179" s="1" t="str">
        <f t="shared" si="1000"/>
        <v>ND</v>
      </c>
      <c r="GP179" s="1" t="str">
        <f t="shared" si="1001"/>
        <v>ND</v>
      </c>
      <c r="GQ179" s="1" t="str">
        <f t="shared" si="1002"/>
        <v>ND</v>
      </c>
      <c r="GR179" s="1" t="str">
        <f t="shared" si="1003"/>
        <v>ND</v>
      </c>
      <c r="GS179" s="1" t="str">
        <f t="shared" si="1004"/>
        <v>ND</v>
      </c>
      <c r="GT179" s="1" t="str">
        <f t="shared" si="1005"/>
        <v>ND</v>
      </c>
      <c r="GU179" s="1" t="str">
        <f t="shared" si="1006"/>
        <v>ND</v>
      </c>
      <c r="GV179" s="1" t="str">
        <f t="shared" si="1007"/>
        <v>ND</v>
      </c>
      <c r="GW179" s="1" t="str">
        <f t="shared" si="1008"/>
        <v>ND</v>
      </c>
      <c r="GX179" s="1" t="str">
        <f t="shared" si="1009"/>
        <v>ND</v>
      </c>
      <c r="GY179" s="1" t="str">
        <f t="shared" si="1010"/>
        <v>ND</v>
      </c>
      <c r="GZ179" s="1" t="str">
        <f t="shared" si="1011"/>
        <v>ND</v>
      </c>
      <c r="HA179" s="1" t="str">
        <f t="shared" si="1012"/>
        <v>ND</v>
      </c>
      <c r="HB179" s="1" t="str">
        <f t="shared" si="1013"/>
        <v>ND</v>
      </c>
      <c r="HC179" s="1" t="str">
        <f t="shared" si="1014"/>
        <v>ND</v>
      </c>
      <c r="HD179" s="1" t="str">
        <f t="shared" si="1015"/>
        <v>ND</v>
      </c>
      <c r="HE179" s="1" t="str">
        <f t="shared" si="1016"/>
        <v>ND</v>
      </c>
      <c r="HF179" s="1" t="str">
        <f t="shared" si="1017"/>
        <v>ND</v>
      </c>
      <c r="HG179" s="1" t="str">
        <f t="shared" si="1018"/>
        <v>ND</v>
      </c>
      <c r="HH179" s="1" t="str">
        <f t="shared" si="1019"/>
        <v>ND</v>
      </c>
      <c r="HI179" s="1" t="str">
        <f t="shared" si="1020"/>
        <v>ND</v>
      </c>
      <c r="HJ179" s="1" t="str">
        <f t="shared" si="1021"/>
        <v>ND</v>
      </c>
      <c r="HK179" s="1" t="str">
        <f t="shared" si="1022"/>
        <v>ND</v>
      </c>
      <c r="HL179" s="1" t="str">
        <f t="shared" si="1023"/>
        <v>ND</v>
      </c>
      <c r="HM179" s="1" t="str">
        <f t="shared" si="1024"/>
        <v>ND</v>
      </c>
      <c r="HN179" s="1" t="str">
        <f t="shared" si="1025"/>
        <v>ND</v>
      </c>
      <c r="HO179" s="1" t="str">
        <f t="shared" si="1026"/>
        <v>ND</v>
      </c>
      <c r="HP179" s="1" t="str">
        <f t="shared" si="1027"/>
        <v>ND</v>
      </c>
      <c r="HQ179" s="1" t="str">
        <f t="shared" si="1028"/>
        <v>ND</v>
      </c>
      <c r="HR179" s="1" t="str">
        <f t="shared" si="1029"/>
        <v>ND</v>
      </c>
      <c r="HS179" s="1" t="str">
        <f t="shared" si="1030"/>
        <v>ND</v>
      </c>
      <c r="HT179" s="1" t="str">
        <f t="shared" si="1031"/>
        <v>ND</v>
      </c>
      <c r="HU179" s="1" t="str">
        <f t="shared" si="1032"/>
        <v>ND</v>
      </c>
      <c r="HV179" s="1" t="str">
        <f t="shared" si="1033"/>
        <v>ND</v>
      </c>
      <c r="HW179" s="1" t="str">
        <f t="shared" si="1034"/>
        <v>ND</v>
      </c>
      <c r="HX179" s="1" t="str">
        <f t="shared" si="1035"/>
        <v>ND</v>
      </c>
      <c r="HY179" s="1" t="str">
        <f t="shared" si="1036"/>
        <v>ND</v>
      </c>
      <c r="HZ179" s="1" t="str">
        <f t="shared" si="1037"/>
        <v>ND</v>
      </c>
      <c r="IA179" s="1" t="str">
        <f t="shared" si="1038"/>
        <v>ND</v>
      </c>
      <c r="IB179" s="1" t="str">
        <f t="shared" si="1039"/>
        <v>ND</v>
      </c>
      <c r="IC179" s="1" t="str">
        <f t="shared" si="1040"/>
        <v>ND</v>
      </c>
      <c r="ID179" s="1" t="str">
        <f t="shared" si="1041"/>
        <v>ND</v>
      </c>
      <c r="IE179" s="1" t="str">
        <f t="shared" si="1042"/>
        <v>ND</v>
      </c>
      <c r="IF179" s="1" t="str">
        <f t="shared" si="1043"/>
        <v>ND</v>
      </c>
      <c r="IG179" s="1" t="str">
        <f t="shared" si="1044"/>
        <v>ND</v>
      </c>
      <c r="IH179" s="1" t="str">
        <f t="shared" si="1045"/>
        <v>ND</v>
      </c>
      <c r="II179" s="1" t="str">
        <f t="shared" si="1046"/>
        <v>ND</v>
      </c>
    </row>
    <row r="180" spans="3:243" x14ac:dyDescent="0.25">
      <c r="C180" s="26" t="s">
        <v>66</v>
      </c>
      <c r="D180">
        <f>SUMIFS(DICCIONARIO[Cantidad],DICCIONARIO[Modelo],UNIFICADA[[#This Row],[Equipo]])</f>
        <v>0</v>
      </c>
      <c r="E180" s="1">
        <f>IFERROR(VLOOKUP($C180,EQUIPOS[],UNIFICADO!E$9,0),"")</f>
        <v>12</v>
      </c>
      <c r="F180" s="1">
        <f>IFERROR(VLOOKUP($C180,EQUIPOS[],UNIFICADO!F$9,0),"")</f>
        <v>6.1</v>
      </c>
      <c r="G180" s="1">
        <f>IFERROR(VLOOKUP($C180,EQUIPOS[],UNIFICADO!G$9,0),"")</f>
        <v>12</v>
      </c>
      <c r="H180" s="1">
        <f>IFERROR(VLOOKUP($C180,EQUIPOS[],UNIFICADO!H$9,0),"")</f>
        <v>1</v>
      </c>
      <c r="I180" s="1">
        <f>IFERROR(VLOOKUP($C180,EQUIPOS[],UNIFICADO!I$9,0),"")</f>
        <v>12</v>
      </c>
      <c r="J180" s="1" t="str">
        <f>IFERROR(VLOOKUP($C180,EQUIPOS[],UNIFICADO!J$9,0),"")</f>
        <v>64GB</v>
      </c>
      <c r="K180" s="1">
        <f>IFERROR(VLOOKUP($C180,EQUIPOS[],UNIFICADO!K$9,0),"")</f>
        <v>0</v>
      </c>
      <c r="L180" s="1">
        <f>IFERROR(VLOOKUP($C180,EQUIPOS[],UNIFICADO!L$9,0),"")</f>
        <v>6</v>
      </c>
      <c r="M180" s="1" t="str">
        <f>IFERROR(VLOOKUP($C180,EQUIPOS[],UNIFICADO!M$9,0),"")</f>
        <v>3.22/2.0</v>
      </c>
      <c r="N180" s="1">
        <f>IFERROR(VLOOKUP($C180,EQUIPOS[],UNIFICADO!N$9,0),"")</f>
        <v>3</v>
      </c>
      <c r="O180" s="1">
        <f>IFERROR(VLOOKUP($C180,EQUIPOS[],UNIFICADO!O$9,0),"")</f>
        <v>164</v>
      </c>
      <c r="P180" s="1">
        <f>IFERROR(VLOOKUP($C180,EQUIPOS[],UNIFICADO!P$9,0),"")</f>
        <v>15.09</v>
      </c>
      <c r="Q180" s="1">
        <f>IFERROR(VLOOKUP($C180,EQUIPOS[],UNIFICADO!Q$9,0),"")</f>
        <v>7.57</v>
      </c>
      <c r="R180" s="1">
        <f>IFERROR(VLOOKUP($C180,EQUIPOS[],UNIFICADO!R$9,0),"")</f>
        <v>0.83</v>
      </c>
      <c r="S180" s="1">
        <f>IFERROR(VLOOKUP($C180,EQUIPOS[],UNIFICADO!S$9,0),"")</f>
        <v>2942</v>
      </c>
      <c r="T180" s="1">
        <f>IFERROR(VLOOKUP($C180,EQUIPOS[],UNIFICADO!T$9,0),"")</f>
        <v>4.5</v>
      </c>
      <c r="U180" s="1">
        <f>VLOOKUP(UNIFICADA[[#This Row],[Equipo]],EQUIPOS[],19,0)</f>
        <v>170</v>
      </c>
      <c r="V180" s="1" t="str">
        <f t="shared" si="884"/>
        <v>ND</v>
      </c>
      <c r="W180" s="1" t="str">
        <f t="shared" si="885"/>
        <v>ND</v>
      </c>
      <c r="X180" s="1" t="str">
        <f t="shared" si="886"/>
        <v>ND</v>
      </c>
      <c r="Y180" s="1" t="str">
        <f t="shared" si="886"/>
        <v>ND</v>
      </c>
      <c r="Z180" s="1" t="str">
        <f t="shared" si="887"/>
        <v>ND</v>
      </c>
      <c r="AA180" s="1" t="str">
        <f t="shared" si="887"/>
        <v>ND</v>
      </c>
      <c r="AB180" s="1" t="str">
        <f t="shared" si="887"/>
        <v>ND</v>
      </c>
      <c r="AC180" s="1" t="str">
        <f t="shared" si="887"/>
        <v>ND</v>
      </c>
      <c r="AD180" s="1" t="str">
        <f t="shared" si="887"/>
        <v>ND</v>
      </c>
      <c r="AE180" s="1" t="str">
        <f t="shared" si="887"/>
        <v>ND</v>
      </c>
      <c r="AF180" s="1" t="str">
        <f t="shared" si="887"/>
        <v>ND</v>
      </c>
      <c r="AG180" s="1" t="str">
        <f t="shared" si="887"/>
        <v>ND</v>
      </c>
      <c r="AH180" s="1" t="str">
        <f t="shared" si="887"/>
        <v>ND</v>
      </c>
      <c r="AI180" s="1" t="str">
        <f t="shared" si="888"/>
        <v>ND</v>
      </c>
      <c r="AJ180" s="1" t="str">
        <f t="shared" si="889"/>
        <v>ND</v>
      </c>
      <c r="AK180" s="1" t="str">
        <f t="shared" si="890"/>
        <v>ND</v>
      </c>
      <c r="AL180" s="1" t="str">
        <f t="shared" si="891"/>
        <v>ND</v>
      </c>
      <c r="AM180" s="1" t="str">
        <f t="shared" si="892"/>
        <v>ND</v>
      </c>
      <c r="AN180" s="1" t="str">
        <f t="shared" si="893"/>
        <v>ND</v>
      </c>
      <c r="AO180" s="1" t="str">
        <f t="shared" si="894"/>
        <v>ND</v>
      </c>
      <c r="AP180" s="1" t="str">
        <f t="shared" si="895"/>
        <v>ND</v>
      </c>
      <c r="AQ180" s="1" t="str">
        <f t="shared" si="896"/>
        <v>ND</v>
      </c>
      <c r="AR180" s="1" t="str">
        <f t="shared" si="897"/>
        <v>ND</v>
      </c>
      <c r="AS180" s="1" t="str">
        <f t="shared" si="898"/>
        <v>ND</v>
      </c>
      <c r="AT180" s="1" t="str">
        <f t="shared" si="899"/>
        <v>ND</v>
      </c>
      <c r="AU180" s="1" t="str">
        <f t="shared" si="900"/>
        <v>ND</v>
      </c>
      <c r="AV180" s="1" t="str">
        <f t="shared" si="901"/>
        <v>ND</v>
      </c>
      <c r="AW180" s="1" t="str">
        <f t="shared" si="902"/>
        <v>ND</v>
      </c>
      <c r="AX180" s="1" t="str">
        <f t="shared" si="903"/>
        <v>ND</v>
      </c>
      <c r="AY180" s="1" t="str">
        <f t="shared" si="904"/>
        <v>ND</v>
      </c>
      <c r="AZ180" s="1" t="str">
        <f t="shared" si="905"/>
        <v>ND</v>
      </c>
      <c r="BA180" s="1" t="str">
        <f t="shared" si="906"/>
        <v>ND</v>
      </c>
      <c r="BB180" s="1" t="str">
        <f t="shared" si="907"/>
        <v>ND</v>
      </c>
      <c r="BC180" s="1" t="str">
        <f t="shared" si="908"/>
        <v>ND</v>
      </c>
      <c r="BD180" s="1" t="str">
        <f t="shared" si="909"/>
        <v>ND</v>
      </c>
      <c r="BE180" s="1" t="str">
        <f t="shared" si="910"/>
        <v>ND</v>
      </c>
      <c r="BF180" s="1" t="str">
        <f t="shared" si="911"/>
        <v>ND</v>
      </c>
      <c r="BG180" s="1" t="str">
        <f t="shared" si="912"/>
        <v>ND</v>
      </c>
      <c r="BH180" s="1" t="str">
        <f t="shared" si="913"/>
        <v>ND</v>
      </c>
      <c r="BI180" s="1" t="str">
        <f t="shared" si="914"/>
        <v>ND</v>
      </c>
      <c r="BJ180" s="1" t="str">
        <f t="shared" si="915"/>
        <v>ND</v>
      </c>
      <c r="BK180" s="1" t="str">
        <f t="shared" si="916"/>
        <v>ND</v>
      </c>
      <c r="BL180" s="1" t="str">
        <f t="shared" si="917"/>
        <v>ND</v>
      </c>
      <c r="BM180" s="1" t="str">
        <f t="shared" si="918"/>
        <v>ND</v>
      </c>
      <c r="BN180" s="1" t="str">
        <f t="shared" si="919"/>
        <v>ND</v>
      </c>
      <c r="BO180" s="1" t="str">
        <f t="shared" si="920"/>
        <v>ND</v>
      </c>
      <c r="BP180" s="1" t="str">
        <f t="shared" si="921"/>
        <v>ND</v>
      </c>
      <c r="BQ180" s="1" t="str">
        <f t="shared" si="922"/>
        <v>ND</v>
      </c>
      <c r="BR180" s="1" t="str">
        <f t="shared" si="923"/>
        <v>ND</v>
      </c>
      <c r="BS180" s="1" t="str">
        <f t="shared" si="924"/>
        <v>ND</v>
      </c>
      <c r="BT180" s="1" t="str">
        <f t="shared" si="925"/>
        <v>ND</v>
      </c>
      <c r="BU180" s="1" t="str">
        <f t="shared" si="926"/>
        <v>ND</v>
      </c>
      <c r="BV180" s="1" t="str">
        <f t="shared" si="927"/>
        <v>ND</v>
      </c>
      <c r="BW180" s="1" t="str">
        <f t="shared" si="928"/>
        <v>ND</v>
      </c>
      <c r="BX180" s="1" t="str">
        <f t="shared" si="929"/>
        <v>ND</v>
      </c>
      <c r="BY180" s="1" t="str">
        <f t="shared" si="930"/>
        <v>ND</v>
      </c>
      <c r="BZ180" s="1" t="str">
        <f t="shared" si="931"/>
        <v>ND</v>
      </c>
      <c r="CA180" s="1" t="str">
        <f t="shared" si="932"/>
        <v>ND</v>
      </c>
      <c r="CB180" s="1" t="str">
        <f t="shared" si="932"/>
        <v>ND</v>
      </c>
      <c r="CC180" s="1" t="str">
        <f t="shared" si="932"/>
        <v>ND</v>
      </c>
      <c r="CD180" s="1" t="str">
        <f t="shared" si="932"/>
        <v>ND</v>
      </c>
      <c r="CE180" s="1" t="str">
        <f t="shared" si="932"/>
        <v>ND</v>
      </c>
      <c r="CF180" s="1" t="str">
        <f t="shared" si="932"/>
        <v>ND</v>
      </c>
      <c r="CG180" s="1" t="str">
        <f t="shared" si="932"/>
        <v>ND</v>
      </c>
      <c r="CH180" s="1" t="str">
        <f t="shared" si="932"/>
        <v>ND</v>
      </c>
      <c r="CI180" s="1" t="str">
        <f t="shared" si="932"/>
        <v>ND</v>
      </c>
      <c r="CJ180" s="1" t="str">
        <f t="shared" si="932"/>
        <v>ND</v>
      </c>
      <c r="CK180" s="1" t="str">
        <f t="shared" si="932"/>
        <v>ND</v>
      </c>
      <c r="CL180" s="1" t="str">
        <f t="shared" si="933"/>
        <v>ND</v>
      </c>
      <c r="CM180" s="1" t="str">
        <f t="shared" si="933"/>
        <v>ND</v>
      </c>
      <c r="CN180" s="1" t="str">
        <f t="shared" si="933"/>
        <v>ND</v>
      </c>
      <c r="CO180" s="1" t="str">
        <f t="shared" si="933"/>
        <v>ND</v>
      </c>
      <c r="CP180" s="1" t="str">
        <f t="shared" si="933"/>
        <v>ND</v>
      </c>
      <c r="CQ180" s="1" t="str">
        <f t="shared" si="933"/>
        <v>ND</v>
      </c>
      <c r="CR180" s="1" t="str">
        <f t="shared" si="933"/>
        <v>ND</v>
      </c>
      <c r="CS180" s="1" t="str">
        <f t="shared" si="933"/>
        <v>ND</v>
      </c>
      <c r="CT180" s="1" t="str">
        <f t="shared" si="933"/>
        <v>ND</v>
      </c>
      <c r="CU180" s="1" t="str">
        <f t="shared" si="933"/>
        <v>ND</v>
      </c>
      <c r="CV180" s="1" t="str">
        <f t="shared" si="933"/>
        <v>ND</v>
      </c>
      <c r="CW180" s="1" t="str">
        <f t="shared" si="934"/>
        <v>ND</v>
      </c>
      <c r="CX180" s="1" t="str">
        <f t="shared" si="935"/>
        <v>ND</v>
      </c>
      <c r="CY180" s="1" t="str">
        <f t="shared" si="936"/>
        <v>ND</v>
      </c>
      <c r="CZ180" s="1" t="str">
        <f t="shared" si="937"/>
        <v>ND</v>
      </c>
      <c r="DA180" s="1" t="str">
        <f t="shared" si="938"/>
        <v>ND</v>
      </c>
      <c r="DB180" s="1" t="str">
        <f t="shared" si="939"/>
        <v>ND</v>
      </c>
      <c r="DC180" s="1" t="str">
        <f t="shared" si="940"/>
        <v>ND</v>
      </c>
      <c r="DD180" s="1" t="str">
        <f t="shared" si="941"/>
        <v>ND</v>
      </c>
      <c r="DE180" s="1" t="str">
        <f t="shared" si="942"/>
        <v>ND</v>
      </c>
      <c r="DF180" s="1" t="str">
        <f t="shared" si="943"/>
        <v>ND</v>
      </c>
      <c r="DG180" s="1" t="str">
        <f t="shared" si="944"/>
        <v>ND</v>
      </c>
      <c r="DH180" s="1" t="str">
        <f t="shared" si="945"/>
        <v>ND</v>
      </c>
      <c r="DI180" s="1" t="str">
        <f t="shared" si="946"/>
        <v>ND</v>
      </c>
      <c r="DJ180" s="1" t="str">
        <f t="shared" si="947"/>
        <v>ND</v>
      </c>
      <c r="DK180" s="1" t="str">
        <f t="shared" si="948"/>
        <v>ND</v>
      </c>
      <c r="DL180" s="1" t="str">
        <f t="shared" si="949"/>
        <v>ND</v>
      </c>
      <c r="DM180" s="1" t="str">
        <f t="shared" si="950"/>
        <v>ND</v>
      </c>
      <c r="DN180" s="1" t="str">
        <f t="shared" si="951"/>
        <v>ND</v>
      </c>
      <c r="DO180" s="1" t="str">
        <f t="shared" si="952"/>
        <v>ND</v>
      </c>
      <c r="DP180" s="1" t="str">
        <f t="shared" si="953"/>
        <v>ND</v>
      </c>
      <c r="DQ180" s="1" t="str">
        <f t="shared" si="954"/>
        <v>ND</v>
      </c>
      <c r="DR180" s="1" t="str">
        <f t="shared" si="955"/>
        <v>ND</v>
      </c>
      <c r="DS180" s="1" t="str">
        <f t="shared" si="956"/>
        <v>ND</v>
      </c>
      <c r="DT180" s="1" t="str">
        <f t="shared" si="957"/>
        <v>ND</v>
      </c>
      <c r="DU180" s="1" t="str">
        <f t="shared" si="958"/>
        <v>ND</v>
      </c>
      <c r="DV180" s="1" t="str">
        <f t="shared" si="959"/>
        <v>ND</v>
      </c>
      <c r="DW180" s="1" t="str">
        <f t="shared" si="960"/>
        <v>ND</v>
      </c>
      <c r="DX180" s="1" t="str">
        <f t="shared" si="961"/>
        <v>ND</v>
      </c>
      <c r="DY180" s="1" t="str">
        <f t="shared" si="962"/>
        <v>ND</v>
      </c>
      <c r="DZ180" s="1" t="str">
        <f t="shared" si="963"/>
        <v>ND</v>
      </c>
      <c r="EA180" s="1" t="str">
        <f t="shared" si="964"/>
        <v>ND</v>
      </c>
      <c r="EB180" s="1" t="str">
        <f t="shared" si="965"/>
        <v>ND</v>
      </c>
      <c r="EC180" s="1" t="str">
        <f t="shared" si="966"/>
        <v>ND</v>
      </c>
      <c r="ED180" s="1" t="str">
        <f t="shared" si="967"/>
        <v>ND</v>
      </c>
      <c r="EE180" s="1" t="str">
        <f t="shared" si="968"/>
        <v>ND</v>
      </c>
      <c r="EF180" s="1" t="str">
        <f t="shared" si="969"/>
        <v>ND</v>
      </c>
      <c r="EG180" s="1" t="str">
        <f t="shared" si="970"/>
        <v>ND</v>
      </c>
      <c r="EH180" s="1" t="str">
        <f t="shared" si="971"/>
        <v>ND</v>
      </c>
      <c r="EI180" s="1" t="str">
        <f t="shared" si="972"/>
        <v>ND</v>
      </c>
      <c r="EJ180" s="1" t="str">
        <f t="shared" si="973"/>
        <v>ND</v>
      </c>
      <c r="EK180" s="1" t="str">
        <f t="shared" si="974"/>
        <v>ND</v>
      </c>
      <c r="EL180" s="1" t="str">
        <f t="shared" si="975"/>
        <v>ND</v>
      </c>
      <c r="EM180" s="1" t="str">
        <f t="shared" si="976"/>
        <v>ND</v>
      </c>
      <c r="EN180" s="1" t="str">
        <f t="shared" si="977"/>
        <v>ND</v>
      </c>
      <c r="EO180" s="1" t="str">
        <f t="shared" si="978"/>
        <v>ND</v>
      </c>
      <c r="EP180" s="1" t="str">
        <f t="shared" si="978"/>
        <v>ND</v>
      </c>
      <c r="EQ180" s="1" t="str">
        <f t="shared" si="978"/>
        <v>ND</v>
      </c>
      <c r="ER180" s="1" t="str">
        <f t="shared" si="978"/>
        <v>ND</v>
      </c>
      <c r="ES180" s="1" t="str">
        <f t="shared" si="978"/>
        <v>ND</v>
      </c>
      <c r="ET180" s="1" t="str">
        <f t="shared" si="978"/>
        <v>ND</v>
      </c>
      <c r="EU180" s="1" t="str">
        <f t="shared" si="978"/>
        <v>ND</v>
      </c>
      <c r="EV180" s="1" t="str">
        <f t="shared" si="978"/>
        <v>ND</v>
      </c>
      <c r="EW180" s="1" t="str">
        <f t="shared" si="978"/>
        <v>ND</v>
      </c>
      <c r="EX180" s="1" t="str">
        <f t="shared" si="978"/>
        <v>ND</v>
      </c>
      <c r="EY180" s="1" t="str">
        <f t="shared" si="978"/>
        <v>ND</v>
      </c>
      <c r="EZ180" s="1" t="str">
        <f t="shared" si="979"/>
        <v>ND</v>
      </c>
      <c r="FA180" s="1" t="str">
        <f t="shared" si="979"/>
        <v>ND</v>
      </c>
      <c r="FB180" s="1" t="str">
        <f t="shared" si="979"/>
        <v>ND</v>
      </c>
      <c r="FC180" s="1" t="str">
        <f t="shared" si="979"/>
        <v>ND</v>
      </c>
      <c r="FD180" s="1" t="str">
        <f t="shared" si="979"/>
        <v>ND</v>
      </c>
      <c r="FE180" s="1" t="str">
        <f t="shared" si="979"/>
        <v>ND</v>
      </c>
      <c r="FF180" s="1" t="str">
        <f t="shared" si="979"/>
        <v>ND</v>
      </c>
      <c r="FG180" s="1" t="str">
        <f t="shared" si="979"/>
        <v>ND</v>
      </c>
      <c r="FH180" s="1" t="str">
        <f t="shared" si="979"/>
        <v>ND</v>
      </c>
      <c r="FI180" s="1" t="str">
        <f t="shared" si="979"/>
        <v>ND</v>
      </c>
      <c r="FJ180" s="1" t="str">
        <f t="shared" si="979"/>
        <v>ND</v>
      </c>
      <c r="FK180" s="1" t="str">
        <f t="shared" si="980"/>
        <v>ND</v>
      </c>
      <c r="FL180" s="1" t="str">
        <f t="shared" si="980"/>
        <v>ND</v>
      </c>
      <c r="FM180" s="1" t="str">
        <f t="shared" si="980"/>
        <v>ND</v>
      </c>
      <c r="FN180" s="1" t="str">
        <f t="shared" si="980"/>
        <v>ND</v>
      </c>
      <c r="FO180" s="1" t="str">
        <f t="shared" si="980"/>
        <v>ND</v>
      </c>
      <c r="FP180" s="1" t="str">
        <f t="shared" si="980"/>
        <v>ND</v>
      </c>
      <c r="FQ180" s="1" t="str">
        <f t="shared" si="980"/>
        <v>ND</v>
      </c>
      <c r="FR180" s="1" t="str">
        <f t="shared" si="980"/>
        <v>ND</v>
      </c>
      <c r="FS180" s="1" t="str">
        <f t="shared" si="980"/>
        <v>ND</v>
      </c>
      <c r="FT180" s="1" t="str">
        <f t="shared" si="980"/>
        <v>ND</v>
      </c>
      <c r="FU180" s="1" t="str">
        <f t="shared" si="980"/>
        <v>ND</v>
      </c>
      <c r="FV180" s="1" t="str">
        <f t="shared" si="981"/>
        <v>ND</v>
      </c>
      <c r="FW180" s="1" t="str">
        <f t="shared" si="982"/>
        <v>ND</v>
      </c>
      <c r="FX180" s="1" t="str">
        <f t="shared" si="983"/>
        <v>ND</v>
      </c>
      <c r="FY180" s="1" t="str">
        <f t="shared" si="984"/>
        <v>ND</v>
      </c>
      <c r="FZ180" s="1" t="str">
        <f t="shared" si="985"/>
        <v>ND</v>
      </c>
      <c r="GA180" s="1" t="str">
        <f t="shared" si="986"/>
        <v>ND</v>
      </c>
      <c r="GB180" s="1" t="str">
        <f t="shared" si="987"/>
        <v>ND</v>
      </c>
      <c r="GC180" s="1" t="str">
        <f t="shared" si="988"/>
        <v>ND</v>
      </c>
      <c r="GD180" s="1" t="str">
        <f t="shared" si="989"/>
        <v>ND</v>
      </c>
      <c r="GE180" s="1" t="str">
        <f t="shared" si="990"/>
        <v>ND</v>
      </c>
      <c r="GF180" s="1" t="str">
        <f t="shared" si="991"/>
        <v>ND</v>
      </c>
      <c r="GG180" s="1" t="str">
        <f t="shared" si="992"/>
        <v>ND</v>
      </c>
      <c r="GH180" s="1" t="str">
        <f t="shared" si="993"/>
        <v>ND</v>
      </c>
      <c r="GI180" s="1" t="str">
        <f t="shared" si="994"/>
        <v>ND</v>
      </c>
      <c r="GJ180" s="1" t="str">
        <f t="shared" si="995"/>
        <v>ND</v>
      </c>
      <c r="GK180" s="1" t="str">
        <f t="shared" si="996"/>
        <v>ND</v>
      </c>
      <c r="GL180" s="1" t="str">
        <f t="shared" si="997"/>
        <v>ND</v>
      </c>
      <c r="GM180" s="1" t="str">
        <f t="shared" si="998"/>
        <v>ND</v>
      </c>
      <c r="GN180" s="1" t="str">
        <f t="shared" si="999"/>
        <v>ND</v>
      </c>
      <c r="GO180" s="1" t="str">
        <f t="shared" si="1000"/>
        <v>ND</v>
      </c>
      <c r="GP180" s="1" t="str">
        <f t="shared" si="1001"/>
        <v>ND</v>
      </c>
      <c r="GQ180" s="1" t="str">
        <f t="shared" si="1002"/>
        <v>ND</v>
      </c>
      <c r="GR180" s="1" t="str">
        <f t="shared" si="1003"/>
        <v>ND</v>
      </c>
      <c r="GS180" s="1" t="str">
        <f t="shared" si="1004"/>
        <v>ND</v>
      </c>
      <c r="GT180" s="1" t="str">
        <f t="shared" si="1005"/>
        <v>ND</v>
      </c>
      <c r="GU180" s="1" t="str">
        <f t="shared" si="1006"/>
        <v>ND</v>
      </c>
      <c r="GV180" s="1" t="str">
        <f t="shared" si="1007"/>
        <v>ND</v>
      </c>
      <c r="GW180" s="1" t="str">
        <f t="shared" si="1008"/>
        <v>ND</v>
      </c>
      <c r="GX180" s="1" t="str">
        <f t="shared" si="1009"/>
        <v>ND</v>
      </c>
      <c r="GY180" s="1" t="str">
        <f t="shared" si="1010"/>
        <v>ND</v>
      </c>
      <c r="GZ180" s="1" t="str">
        <f t="shared" si="1011"/>
        <v>ND</v>
      </c>
      <c r="HA180" s="1" t="str">
        <f t="shared" si="1012"/>
        <v>ND</v>
      </c>
      <c r="HB180" s="1" t="str">
        <f t="shared" si="1013"/>
        <v>ND</v>
      </c>
      <c r="HC180" s="1" t="str">
        <f t="shared" si="1014"/>
        <v>ND</v>
      </c>
      <c r="HD180" s="1" t="str">
        <f t="shared" si="1015"/>
        <v>ND</v>
      </c>
      <c r="HE180" s="1" t="str">
        <f t="shared" si="1016"/>
        <v>ND</v>
      </c>
      <c r="HF180" s="1" t="str">
        <f t="shared" si="1017"/>
        <v>ND</v>
      </c>
      <c r="HG180" s="1" t="str">
        <f t="shared" si="1018"/>
        <v>ND</v>
      </c>
      <c r="HH180" s="1" t="str">
        <f t="shared" si="1019"/>
        <v>ND</v>
      </c>
      <c r="HI180" s="1" t="str">
        <f t="shared" si="1020"/>
        <v>ND</v>
      </c>
      <c r="HJ180" s="1" t="str">
        <f t="shared" si="1021"/>
        <v>ND</v>
      </c>
      <c r="HK180" s="1" t="str">
        <f t="shared" si="1022"/>
        <v>ND</v>
      </c>
      <c r="HL180" s="1" t="str">
        <f t="shared" si="1023"/>
        <v>ND</v>
      </c>
      <c r="HM180" s="1" t="str">
        <f t="shared" si="1024"/>
        <v>ND</v>
      </c>
      <c r="HN180" s="1" t="str">
        <f t="shared" si="1025"/>
        <v>ND</v>
      </c>
      <c r="HO180" s="1" t="str">
        <f t="shared" si="1026"/>
        <v>ND</v>
      </c>
      <c r="HP180" s="1" t="str">
        <f t="shared" si="1027"/>
        <v>ND</v>
      </c>
      <c r="HQ180" s="1" t="str">
        <f t="shared" si="1028"/>
        <v>ND</v>
      </c>
      <c r="HR180" s="1" t="str">
        <f t="shared" si="1029"/>
        <v>ND</v>
      </c>
      <c r="HS180" s="1" t="str">
        <f t="shared" si="1030"/>
        <v>ND</v>
      </c>
      <c r="HT180" s="1" t="str">
        <f t="shared" si="1031"/>
        <v>ND</v>
      </c>
      <c r="HU180" s="1" t="str">
        <f t="shared" si="1032"/>
        <v>ND</v>
      </c>
      <c r="HV180" s="1" t="str">
        <f t="shared" si="1033"/>
        <v>ND</v>
      </c>
      <c r="HW180" s="1" t="str">
        <f t="shared" si="1034"/>
        <v>ND</v>
      </c>
      <c r="HX180" s="1" t="str">
        <f t="shared" si="1035"/>
        <v>ND</v>
      </c>
      <c r="HY180" s="1" t="str">
        <f t="shared" si="1036"/>
        <v>ND</v>
      </c>
      <c r="HZ180" s="1" t="str">
        <f t="shared" si="1037"/>
        <v>ND</v>
      </c>
      <c r="IA180" s="1" t="str">
        <f t="shared" si="1038"/>
        <v>ND</v>
      </c>
      <c r="IB180" s="1" t="str">
        <f t="shared" si="1039"/>
        <v>ND</v>
      </c>
      <c r="IC180" s="1" t="str">
        <f t="shared" si="1040"/>
        <v>ND</v>
      </c>
      <c r="ID180" s="1" t="str">
        <f t="shared" si="1041"/>
        <v>ND</v>
      </c>
      <c r="IE180" s="1" t="str">
        <f t="shared" si="1042"/>
        <v>ND</v>
      </c>
      <c r="IF180" s="1" t="str">
        <f t="shared" si="1043"/>
        <v>ND</v>
      </c>
      <c r="IG180" s="1" t="str">
        <f t="shared" si="1044"/>
        <v>ND</v>
      </c>
      <c r="IH180" s="1" t="str">
        <f t="shared" si="1045"/>
        <v>ND</v>
      </c>
      <c r="II180" s="1" t="str">
        <f t="shared" si="1046"/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Noé Cano Nuñez</cp:lastModifiedBy>
  <dcterms:created xsi:type="dcterms:W3CDTF">2015-06-05T18:19:34Z</dcterms:created>
  <dcterms:modified xsi:type="dcterms:W3CDTF">2023-07-27T16:57:00Z</dcterms:modified>
</cp:coreProperties>
</file>