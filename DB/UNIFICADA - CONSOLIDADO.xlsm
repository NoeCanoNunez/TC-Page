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3BF669EC-74F9-4211-B3E0-6EFD58440AC1}" xr6:coauthVersionLast="47" xr6:coauthVersionMax="47" xr10:uidLastSave="{00000000-0000-0000-0000-000000000000}"/>
  <bookViews>
    <workbookView xWindow="-120" yWindow="-120" windowWidth="29040" windowHeight="15840" firstSheet="1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Y175" i="1"/>
  <c r="CZ175" i="1"/>
  <c r="DA175" i="1"/>
  <c r="DB175" i="1"/>
  <c r="DD175" i="1"/>
  <c r="DC175" i="1" s="1"/>
  <c r="DE175" i="1"/>
  <c r="DF175" i="1"/>
  <c r="DH175" i="1"/>
  <c r="DG175" i="1" s="1"/>
  <c r="DJ175" i="1"/>
  <c r="DI175" i="1" s="1"/>
  <c r="DK175" i="1"/>
  <c r="DL175" i="1"/>
  <c r="DM175" i="1"/>
  <c r="DN175" i="1"/>
  <c r="DP175" i="1"/>
  <c r="DO175" i="1" s="1"/>
  <c r="DQ175" i="1"/>
  <c r="DR175" i="1"/>
  <c r="DT175" i="1"/>
  <c r="DS175" i="1" s="1"/>
  <c r="DU175" i="1"/>
  <c r="DV175" i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112" i="119"/>
  <c r="B110" i="119"/>
  <c r="B102" i="119"/>
  <c r="B101" i="119"/>
  <c r="B100" i="119"/>
  <c r="B95" i="119"/>
  <c r="B2" i="119"/>
  <c r="B91" i="119"/>
  <c r="B89" i="119"/>
  <c r="B88" i="119"/>
  <c r="B87" i="119"/>
  <c r="B84" i="119"/>
  <c r="B76" i="119"/>
  <c r="B75" i="119"/>
  <c r="B72" i="119"/>
  <c r="B70" i="119"/>
  <c r="B68" i="119"/>
  <c r="B66" i="119"/>
  <c r="B65" i="119"/>
  <c r="B35" i="119"/>
  <c r="B115" i="119"/>
  <c r="B53" i="119"/>
  <c r="B52" i="119"/>
  <c r="B48" i="119"/>
  <c r="B85" i="119"/>
  <c r="B25" i="119"/>
  <c r="B55" i="119"/>
  <c r="B54" i="119"/>
  <c r="B28" i="119"/>
  <c r="B116" i="119"/>
  <c r="B93" i="119"/>
  <c r="B78" i="119"/>
  <c r="B77" i="119"/>
  <c r="B73" i="119"/>
  <c r="B61" i="119"/>
  <c r="B56" i="119"/>
  <c r="B3" i="119"/>
  <c r="B114" i="119"/>
  <c r="B4" i="119"/>
  <c r="B90" i="119"/>
  <c r="B86" i="119"/>
  <c r="B50" i="119"/>
  <c r="B5" i="119"/>
  <c r="B34" i="119"/>
  <c r="B32" i="119"/>
  <c r="B40" i="119"/>
  <c r="B37" i="119"/>
  <c r="B142" i="119"/>
  <c r="B141" i="119"/>
  <c r="B140" i="119"/>
  <c r="B139" i="119"/>
  <c r="B138" i="119"/>
  <c r="B137" i="119"/>
  <c r="B136" i="119"/>
  <c r="B135" i="119"/>
  <c r="B134" i="119"/>
  <c r="B133" i="119"/>
  <c r="B132" i="119"/>
  <c r="B131" i="119"/>
  <c r="B130" i="119"/>
  <c r="B129" i="119"/>
  <c r="B128" i="119"/>
  <c r="B127" i="119"/>
  <c r="B126" i="119"/>
  <c r="B125" i="119"/>
  <c r="B124" i="119"/>
  <c r="B123" i="119"/>
  <c r="B122" i="119"/>
  <c r="B121" i="119"/>
  <c r="B120" i="119"/>
  <c r="B119" i="119"/>
  <c r="B118" i="119"/>
  <c r="B117" i="119"/>
  <c r="B113" i="119"/>
  <c r="B111" i="119"/>
  <c r="B109" i="119"/>
  <c r="B108" i="119"/>
  <c r="B107" i="119"/>
  <c r="B106" i="119"/>
  <c r="B105" i="119"/>
  <c r="B104" i="119"/>
  <c r="B103" i="119"/>
  <c r="B99" i="119"/>
  <c r="B98" i="119"/>
  <c r="B97" i="119"/>
  <c r="B96" i="119"/>
  <c r="B94" i="119"/>
  <c r="B92" i="119"/>
  <c r="B83" i="119"/>
  <c r="B82" i="119"/>
  <c r="B81" i="119"/>
  <c r="B80" i="119"/>
  <c r="B79" i="119"/>
  <c r="B74" i="119"/>
  <c r="B71" i="119"/>
  <c r="B69" i="119"/>
  <c r="B67" i="119"/>
  <c r="B64" i="119"/>
  <c r="B63" i="119"/>
  <c r="B62" i="119"/>
  <c r="B60" i="119"/>
  <c r="B59" i="119"/>
  <c r="B58" i="119"/>
  <c r="B57" i="119"/>
  <c r="B51" i="119"/>
  <c r="B49" i="119"/>
  <c r="B47" i="119"/>
  <c r="B46" i="119"/>
  <c r="B45" i="119"/>
  <c r="B44" i="119"/>
  <c r="B43" i="119"/>
  <c r="B42" i="119"/>
  <c r="B41" i="119"/>
  <c r="B39" i="119"/>
  <c r="B38" i="119"/>
  <c r="B36" i="119"/>
  <c r="B33" i="119"/>
  <c r="B31" i="119"/>
  <c r="B30" i="119"/>
  <c r="B29" i="119"/>
  <c r="B27" i="119"/>
  <c r="B26" i="119"/>
  <c r="B6" i="119"/>
  <c r="B7" i="119"/>
  <c r="B8" i="119"/>
  <c r="B9" i="119"/>
  <c r="B10" i="119"/>
  <c r="B11" i="119"/>
  <c r="B12" i="119"/>
  <c r="B13" i="119"/>
  <c r="B14" i="119"/>
  <c r="B15" i="119"/>
  <c r="B16" i="119"/>
  <c r="B17" i="119"/>
  <c r="B18" i="119"/>
  <c r="B19" i="119"/>
  <c r="B20" i="119"/>
  <c r="B21" i="119"/>
  <c r="B22" i="119"/>
  <c r="B23" i="119"/>
  <c r="B24" i="119"/>
  <c r="M145" i="152"/>
  <c r="M96" i="152"/>
  <c r="M124" i="152"/>
  <c r="M102" i="152"/>
  <c r="M141" i="152"/>
  <c r="M103" i="152"/>
  <c r="M143" i="152"/>
  <c r="M144" i="152"/>
  <c r="M72" i="152"/>
  <c r="M71" i="152"/>
  <c r="M123" i="152"/>
  <c r="M122" i="152"/>
  <c r="M134" i="152"/>
  <c r="M135" i="152"/>
  <c r="M136" i="152"/>
  <c r="M137" i="152"/>
  <c r="M86" i="152"/>
  <c r="M88" i="152"/>
  <c r="M89" i="152"/>
  <c r="M127" i="152"/>
  <c r="M105" i="152"/>
  <c r="M104" i="152"/>
  <c r="M101" i="152"/>
  <c r="M120" i="152"/>
  <c r="M117" i="152"/>
  <c r="M116" i="152"/>
  <c r="M121" i="152"/>
  <c r="M119" i="152"/>
  <c r="M93" i="152"/>
  <c r="M94" i="152"/>
  <c r="M85" i="152"/>
  <c r="M83" i="152"/>
  <c r="M76" i="152"/>
  <c r="M81" i="152"/>
  <c r="M69" i="152"/>
  <c r="M78" i="152"/>
  <c r="M80" i="152"/>
  <c r="M77" i="152"/>
  <c r="M68" i="152"/>
  <c r="M70" i="152"/>
  <c r="M79" i="152"/>
  <c r="M84" i="152"/>
  <c r="M82" i="152"/>
  <c r="M118" i="152"/>
  <c r="M23" i="152"/>
  <c r="M21" i="152"/>
  <c r="M20" i="152"/>
  <c r="M22" i="152"/>
  <c r="M25" i="152"/>
  <c r="M24" i="152"/>
  <c r="M98" i="152"/>
  <c r="M97" i="152"/>
  <c r="M99" i="152"/>
  <c r="M91" i="152"/>
  <c r="M92" i="152"/>
  <c r="M142" i="152"/>
  <c r="M140" i="152"/>
  <c r="M75" i="152"/>
  <c r="M74" i="152"/>
  <c r="M149" i="152"/>
  <c r="M148" i="152"/>
  <c r="M67" i="152"/>
  <c r="M65" i="152"/>
  <c r="M73" i="152"/>
  <c r="M16" i="152"/>
  <c r="M19" i="152"/>
  <c r="M17" i="152"/>
  <c r="M10" i="152"/>
  <c r="M13" i="152"/>
  <c r="M12" i="152"/>
  <c r="M11" i="152"/>
  <c r="M100" i="152"/>
  <c r="M18" i="152"/>
  <c r="M15" i="152"/>
  <c r="M14" i="152"/>
  <c r="M28" i="152"/>
  <c r="M27" i="152"/>
  <c r="M66" i="152"/>
  <c r="M64" i="152"/>
  <c r="M26" i="152"/>
  <c r="M153" i="152"/>
  <c r="M125" i="152"/>
  <c r="M126" i="152"/>
  <c r="M150" i="152"/>
  <c r="M151" i="152"/>
  <c r="M95" i="152"/>
  <c r="M133" i="152"/>
  <c r="M90" i="152"/>
  <c r="M9" i="152"/>
  <c r="M147" i="152"/>
  <c r="M152" i="152"/>
  <c r="M146" i="152"/>
  <c r="M8" i="152"/>
  <c r="M154" i="152"/>
  <c r="M6" i="152"/>
  <c r="M7" i="152"/>
  <c r="M132" i="152"/>
  <c r="M131" i="152"/>
  <c r="M37" i="152"/>
  <c r="M110" i="152"/>
  <c r="M55" i="152"/>
  <c r="M54" i="152"/>
  <c r="M57" i="152"/>
  <c r="M56" i="152"/>
  <c r="M63" i="152"/>
  <c r="M62" i="152"/>
  <c r="M61" i="152"/>
  <c r="M60" i="152"/>
  <c r="M59" i="152"/>
  <c r="M45" i="152"/>
  <c r="M44" i="152"/>
  <c r="M43" i="152"/>
  <c r="M42" i="152"/>
  <c r="M87" i="152"/>
  <c r="M38" i="152"/>
  <c r="M31" i="152"/>
  <c r="M4" i="152"/>
  <c r="M114" i="152"/>
  <c r="M35" i="152"/>
  <c r="M5" i="152"/>
  <c r="M32" i="152"/>
  <c r="M36" i="152"/>
  <c r="M34" i="152"/>
  <c r="M109" i="152"/>
  <c r="M41" i="152"/>
  <c r="M29" i="152"/>
  <c r="M30" i="152"/>
  <c r="M138" i="152"/>
  <c r="M139" i="152"/>
  <c r="M33" i="152"/>
  <c r="M115" i="152"/>
  <c r="M107" i="152"/>
  <c r="M106" i="152"/>
  <c r="M58" i="152"/>
  <c r="M50" i="152"/>
  <c r="M40" i="152"/>
  <c r="M3" i="152"/>
  <c r="M112" i="152"/>
  <c r="M39" i="152"/>
  <c r="M129" i="152"/>
  <c r="M128" i="152"/>
  <c r="M47" i="152"/>
  <c r="M49" i="152"/>
  <c r="M46" i="152"/>
  <c r="M48" i="152"/>
  <c r="M113" i="152"/>
  <c r="M111" i="152"/>
  <c r="M108" i="152"/>
  <c r="M53" i="152"/>
  <c r="M52" i="152"/>
  <c r="M51" i="152"/>
  <c r="M130" i="152" l="1"/>
  <c r="U11" i="1" l="1"/>
  <c r="U12" i="1"/>
  <c r="F425" i="152"/>
  <c r="H425" i="152"/>
  <c r="I425" i="152"/>
  <c r="F218" i="152" l="1"/>
  <c r="F188" i="152"/>
  <c r="F189" i="152"/>
  <c r="F190" i="152"/>
  <c r="F208" i="152"/>
  <c r="F211" i="152"/>
  <c r="F213" i="152"/>
  <c r="F185" i="152"/>
  <c r="F183" i="152"/>
  <c r="F186" i="152"/>
  <c r="F184" i="152"/>
  <c r="F216" i="152"/>
  <c r="F217" i="152"/>
  <c r="F176" i="152"/>
  <c r="F212" i="152"/>
  <c r="F164" i="152"/>
  <c r="F177" i="152"/>
  <c r="F187" i="152"/>
  <c r="F195" i="152"/>
  <c r="F206" i="152"/>
  <c r="F207" i="152"/>
  <c r="F215" i="152"/>
  <c r="F170" i="152"/>
  <c r="F222" i="152"/>
  <c r="F221" i="152"/>
  <c r="F168" i="152"/>
  <c r="F167" i="152"/>
  <c r="F178" i="152"/>
  <c r="F209" i="152"/>
  <c r="F171" i="152"/>
  <c r="F173" i="152"/>
  <c r="F166" i="152"/>
  <c r="F172" i="152"/>
  <c r="F214" i="152"/>
  <c r="F165" i="152"/>
  <c r="F169" i="152"/>
  <c r="F175" i="152"/>
  <c r="F204" i="152"/>
  <c r="F179" i="152"/>
  <c r="F180" i="152"/>
  <c r="F181" i="152"/>
  <c r="F182" i="152"/>
  <c r="F196" i="152"/>
  <c r="F197" i="152"/>
  <c r="F198" i="152"/>
  <c r="F199" i="152"/>
  <c r="F200" i="152"/>
  <c r="F193" i="152"/>
  <c r="F194" i="152"/>
  <c r="F191" i="152"/>
  <c r="F192" i="152"/>
  <c r="F210" i="152"/>
  <c r="F174" i="152"/>
  <c r="F219" i="152"/>
  <c r="F220" i="152"/>
  <c r="F225" i="152"/>
  <c r="F224" i="152"/>
  <c r="F203" i="152"/>
  <c r="F201" i="152"/>
  <c r="F202" i="152"/>
  <c r="F245" i="152"/>
  <c r="F205" i="152"/>
  <c r="F223" i="152"/>
  <c r="H218" i="152"/>
  <c r="H188" i="152"/>
  <c r="H189" i="152"/>
  <c r="H190" i="152"/>
  <c r="H208" i="152"/>
  <c r="H211" i="152"/>
  <c r="H213" i="152"/>
  <c r="H185" i="152"/>
  <c r="H183" i="152"/>
  <c r="H186" i="152"/>
  <c r="H184" i="152"/>
  <c r="H216" i="152"/>
  <c r="H217" i="152"/>
  <c r="H176" i="152"/>
  <c r="H212" i="152"/>
  <c r="H164" i="152"/>
  <c r="H177" i="152"/>
  <c r="H187" i="152"/>
  <c r="H195" i="152"/>
  <c r="H206" i="152"/>
  <c r="H207" i="152"/>
  <c r="H215" i="152"/>
  <c r="H170" i="152"/>
  <c r="H222" i="152"/>
  <c r="H221" i="152"/>
  <c r="H168" i="152"/>
  <c r="H167" i="152"/>
  <c r="H178" i="152"/>
  <c r="H209" i="152"/>
  <c r="H171" i="152"/>
  <c r="H173" i="152"/>
  <c r="H166" i="152"/>
  <c r="H172" i="152"/>
  <c r="H214" i="152"/>
  <c r="H165" i="152"/>
  <c r="H169" i="152"/>
  <c r="H175" i="152"/>
  <c r="H204" i="152"/>
  <c r="H179" i="152"/>
  <c r="H180" i="152"/>
  <c r="H181" i="152"/>
  <c r="H182" i="152"/>
  <c r="H196" i="152"/>
  <c r="H197" i="152"/>
  <c r="H198" i="152"/>
  <c r="H199" i="152"/>
  <c r="H200" i="152"/>
  <c r="H193" i="152"/>
  <c r="H194" i="152"/>
  <c r="H191" i="152"/>
  <c r="H192" i="152"/>
  <c r="H210" i="152"/>
  <c r="H174" i="152"/>
  <c r="H219" i="152"/>
  <c r="H220" i="152"/>
  <c r="H225" i="152"/>
  <c r="H224" i="152"/>
  <c r="H203" i="152"/>
  <c r="H201" i="152"/>
  <c r="H202" i="152"/>
  <c r="H245" i="152"/>
  <c r="H205" i="152"/>
  <c r="H223" i="152"/>
  <c r="I218" i="152"/>
  <c r="I188" i="152"/>
  <c r="I189" i="152"/>
  <c r="I190" i="152"/>
  <c r="I208" i="152"/>
  <c r="I211" i="152"/>
  <c r="I213" i="152"/>
  <c r="I185" i="152"/>
  <c r="I183" i="152"/>
  <c r="I186" i="152"/>
  <c r="I184" i="152"/>
  <c r="I216" i="152"/>
  <c r="I217" i="152"/>
  <c r="I176" i="152"/>
  <c r="I212" i="152"/>
  <c r="I164" i="152"/>
  <c r="I177" i="152"/>
  <c r="I187" i="152"/>
  <c r="I195" i="152"/>
  <c r="I206" i="152"/>
  <c r="I207" i="152"/>
  <c r="I215" i="152"/>
  <c r="I170" i="152"/>
  <c r="I222" i="152"/>
  <c r="I221" i="152"/>
  <c r="I168" i="152"/>
  <c r="I167" i="152"/>
  <c r="I178" i="152"/>
  <c r="I209" i="152"/>
  <c r="I171" i="152"/>
  <c r="I173" i="152"/>
  <c r="I166" i="152"/>
  <c r="I172" i="152"/>
  <c r="I214" i="152"/>
  <c r="I165" i="152"/>
  <c r="I169" i="152"/>
  <c r="I175" i="152"/>
  <c r="I204" i="152"/>
  <c r="I179" i="152"/>
  <c r="I180" i="152"/>
  <c r="I181" i="152"/>
  <c r="I182" i="152"/>
  <c r="I196" i="152"/>
  <c r="I197" i="152"/>
  <c r="I198" i="152"/>
  <c r="I199" i="152"/>
  <c r="I200" i="152"/>
  <c r="I193" i="152"/>
  <c r="I194" i="152"/>
  <c r="I191" i="152"/>
  <c r="I192" i="152"/>
  <c r="I210" i="152"/>
  <c r="I174" i="152"/>
  <c r="I219" i="152"/>
  <c r="I220" i="152"/>
  <c r="I225" i="152"/>
  <c r="I224" i="152"/>
  <c r="I203" i="152"/>
  <c r="I201" i="152"/>
  <c r="I202" i="152"/>
  <c r="I245" i="152"/>
  <c r="I205" i="152"/>
  <c r="I223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367" i="152" l="1"/>
  <c r="F350" i="152"/>
  <c r="F395" i="152"/>
  <c r="H367" i="152"/>
  <c r="H350" i="152"/>
  <c r="H395" i="152"/>
  <c r="I367" i="152"/>
  <c r="I350" i="152"/>
  <c r="I395" i="152"/>
  <c r="F316" i="152"/>
  <c r="F317" i="152"/>
  <c r="F321" i="152"/>
  <c r="F322" i="152"/>
  <c r="H316" i="152"/>
  <c r="H317" i="152"/>
  <c r="H321" i="152"/>
  <c r="H322" i="152"/>
  <c r="I316" i="152"/>
  <c r="I317" i="152"/>
  <c r="I321" i="152"/>
  <c r="I322" i="152"/>
  <c r="F274" i="152"/>
  <c r="F305" i="152"/>
  <c r="H274" i="152"/>
  <c r="H305" i="152"/>
  <c r="I274" i="152"/>
  <c r="I305" i="152"/>
  <c r="F228" i="152"/>
  <c r="F246" i="152"/>
  <c r="H228" i="152"/>
  <c r="H246" i="152"/>
  <c r="I228" i="152"/>
  <c r="I246" i="152"/>
  <c r="F125" i="152"/>
  <c r="H125" i="152"/>
  <c r="I125" i="152"/>
  <c r="F103" i="152"/>
  <c r="F105" i="152"/>
  <c r="H103" i="152"/>
  <c r="H105" i="152"/>
  <c r="I103" i="152"/>
  <c r="I105" i="152"/>
  <c r="F83" i="152"/>
  <c r="F98" i="152"/>
  <c r="F422" i="152"/>
  <c r="F423" i="152"/>
  <c r="F424" i="152"/>
  <c r="H83" i="152"/>
  <c r="H98" i="152"/>
  <c r="H422" i="152"/>
  <c r="H423" i="152"/>
  <c r="H424" i="152"/>
  <c r="I83" i="152"/>
  <c r="I98" i="152"/>
  <c r="I422" i="152"/>
  <c r="I423" i="152"/>
  <c r="I424" i="152"/>
  <c r="F416" i="152" l="1"/>
  <c r="H416" i="152"/>
  <c r="I416" i="152"/>
  <c r="F318" i="152"/>
  <c r="H318" i="152"/>
  <c r="I318" i="152"/>
  <c r="F255" i="152"/>
  <c r="H255" i="152"/>
  <c r="I255" i="152"/>
  <c r="F244" i="152"/>
  <c r="H244" i="152"/>
  <c r="I244" i="152"/>
  <c r="F107" i="152"/>
  <c r="H107" i="152"/>
  <c r="I107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8" i="152"/>
  <c r="H258" i="152"/>
  <c r="I258" i="152"/>
  <c r="F128" i="152"/>
  <c r="H128" i="152"/>
  <c r="I128" i="152"/>
  <c r="F126" i="152"/>
  <c r="H126" i="152"/>
  <c r="I126" i="152"/>
  <c r="F419" i="152" l="1"/>
  <c r="H419" i="152"/>
  <c r="I419" i="152"/>
  <c r="F276" i="152"/>
  <c r="F280" i="152"/>
  <c r="H276" i="152"/>
  <c r="H280" i="152"/>
  <c r="I276" i="152"/>
  <c r="I280" i="152"/>
  <c r="F421" i="152" l="1"/>
  <c r="H421" i="152"/>
  <c r="I421" i="152"/>
  <c r="F402" i="152"/>
  <c r="H402" i="152"/>
  <c r="I402" i="152"/>
  <c r="F270" i="152"/>
  <c r="H270" i="152"/>
  <c r="I270" i="152"/>
  <c r="F153" i="152"/>
  <c r="F145" i="152"/>
  <c r="F146" i="152"/>
  <c r="F155" i="152"/>
  <c r="F156" i="152"/>
  <c r="H153" i="152"/>
  <c r="H145" i="152"/>
  <c r="H146" i="152"/>
  <c r="H155" i="152"/>
  <c r="H156" i="152"/>
  <c r="I153" i="152"/>
  <c r="I145" i="152"/>
  <c r="I146" i="152"/>
  <c r="I155" i="152"/>
  <c r="I156" i="152"/>
  <c r="F80" i="152"/>
  <c r="F116" i="152"/>
  <c r="F117" i="152"/>
  <c r="H80" i="152"/>
  <c r="H116" i="152"/>
  <c r="H117" i="152"/>
  <c r="I80" i="152"/>
  <c r="I116" i="152"/>
  <c r="I117" i="152"/>
  <c r="D165" i="1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102" i="152" l="1"/>
  <c r="H99" i="152"/>
  <c r="H100" i="152"/>
  <c r="F397" i="152"/>
  <c r="H397" i="152"/>
  <c r="I397" i="152"/>
  <c r="F312" i="152"/>
  <c r="H312" i="152"/>
  <c r="I312" i="152"/>
  <c r="F257" i="152"/>
  <c r="H257" i="152"/>
  <c r="I257" i="152"/>
  <c r="F231" i="152"/>
  <c r="H231" i="152"/>
  <c r="I231" i="152"/>
  <c r="F157" i="152"/>
  <c r="H157" i="152"/>
  <c r="I157" i="152"/>
  <c r="F102" i="152"/>
  <c r="F99" i="152"/>
  <c r="F100" i="152"/>
  <c r="F94" i="152"/>
  <c r="F123" i="152"/>
  <c r="H94" i="152"/>
  <c r="H123" i="152"/>
  <c r="I102" i="152"/>
  <c r="D170" i="1" s="1"/>
  <c r="I99" i="152"/>
  <c r="I100" i="152"/>
  <c r="I94" i="152"/>
  <c r="I123" i="152"/>
  <c r="D166" i="1" l="1"/>
  <c r="D168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380" i="152" l="1"/>
  <c r="H380" i="152"/>
  <c r="I380" i="152"/>
  <c r="F349" i="152"/>
  <c r="F351" i="152"/>
  <c r="F353" i="152"/>
  <c r="H349" i="152"/>
  <c r="H351" i="152"/>
  <c r="H353" i="152"/>
  <c r="I349" i="152"/>
  <c r="I351" i="152"/>
  <c r="I353" i="152"/>
  <c r="F260" i="152"/>
  <c r="H260" i="152"/>
  <c r="I260" i="152"/>
  <c r="F139" i="152"/>
  <c r="H139" i="152"/>
  <c r="I139" i="152"/>
  <c r="F121" i="152"/>
  <c r="F124" i="152"/>
  <c r="F130" i="152"/>
  <c r="H121" i="152"/>
  <c r="H124" i="152"/>
  <c r="H130" i="152"/>
  <c r="I121" i="152"/>
  <c r="I124" i="152"/>
  <c r="I130" i="152"/>
  <c r="F418" i="152" l="1"/>
  <c r="H418" i="152"/>
  <c r="I418" i="152"/>
  <c r="F310" i="152"/>
  <c r="F364" i="152"/>
  <c r="H310" i="152"/>
  <c r="H364" i="152"/>
  <c r="I310" i="152"/>
  <c r="I364" i="152"/>
  <c r="F300" i="152"/>
  <c r="F268" i="152"/>
  <c r="F303" i="152"/>
  <c r="F308" i="152"/>
  <c r="F309" i="152"/>
  <c r="F283" i="152"/>
  <c r="F289" i="152"/>
  <c r="F298" i="152"/>
  <c r="F306" i="152"/>
  <c r="F311" i="152"/>
  <c r="H300" i="152"/>
  <c r="H268" i="152"/>
  <c r="H303" i="152"/>
  <c r="H308" i="152"/>
  <c r="H309" i="152"/>
  <c r="H283" i="152"/>
  <c r="H289" i="152"/>
  <c r="H298" i="152"/>
  <c r="H306" i="152"/>
  <c r="H311" i="152"/>
  <c r="I300" i="152"/>
  <c r="I268" i="152"/>
  <c r="I303" i="152"/>
  <c r="I308" i="152"/>
  <c r="I309" i="152"/>
  <c r="I283" i="152"/>
  <c r="I289" i="152"/>
  <c r="I298" i="152"/>
  <c r="I306" i="152"/>
  <c r="I311" i="152"/>
  <c r="F263" i="152"/>
  <c r="H263" i="152"/>
  <c r="I263" i="152"/>
  <c r="F143" i="152"/>
  <c r="F238" i="152"/>
  <c r="F242" i="152"/>
  <c r="F247" i="152"/>
  <c r="F256" i="152"/>
  <c r="H143" i="152"/>
  <c r="H238" i="152"/>
  <c r="H242" i="152"/>
  <c r="H247" i="152"/>
  <c r="H256" i="152"/>
  <c r="I143" i="152"/>
  <c r="I238" i="152"/>
  <c r="I242" i="152"/>
  <c r="I247" i="152"/>
  <c r="I256" i="152"/>
  <c r="F110" i="152"/>
  <c r="F108" i="152"/>
  <c r="F109" i="152"/>
  <c r="F114" i="152"/>
  <c r="F118" i="152"/>
  <c r="F119" i="152"/>
  <c r="F132" i="152"/>
  <c r="F135" i="152"/>
  <c r="F138" i="152"/>
  <c r="H110" i="152"/>
  <c r="H108" i="152"/>
  <c r="H109" i="152"/>
  <c r="H114" i="152"/>
  <c r="H118" i="152"/>
  <c r="H119" i="152"/>
  <c r="H132" i="152"/>
  <c r="H135" i="152"/>
  <c r="H138" i="152"/>
  <c r="I110" i="152"/>
  <c r="I108" i="152"/>
  <c r="I109" i="152"/>
  <c r="I114" i="152"/>
  <c r="I118" i="152"/>
  <c r="I119" i="152"/>
  <c r="I132" i="152"/>
  <c r="I135" i="152"/>
  <c r="I138" i="152"/>
  <c r="F6" i="152"/>
  <c r="F85" i="152"/>
  <c r="F86" i="152"/>
  <c r="F91" i="152"/>
  <c r="F90" i="152"/>
  <c r="F101" i="152"/>
  <c r="H6" i="152"/>
  <c r="H85" i="152"/>
  <c r="H86" i="152"/>
  <c r="H91" i="152"/>
  <c r="H90" i="152"/>
  <c r="H101" i="152"/>
  <c r="I6" i="152"/>
  <c r="I85" i="152"/>
  <c r="I86" i="152"/>
  <c r="I91" i="152"/>
  <c r="I90" i="152"/>
  <c r="I101" i="152"/>
  <c r="F82" i="152"/>
  <c r="H82" i="152"/>
  <c r="I82" i="152"/>
  <c r="F313" i="152"/>
  <c r="H313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313" i="152" l="1"/>
  <c r="I142" i="152"/>
  <c r="I162" i="152"/>
  <c r="I420" i="152"/>
  <c r="I417" i="152"/>
  <c r="I413" i="152"/>
  <c r="I415" i="152"/>
  <c r="I414" i="152"/>
  <c r="I411" i="152"/>
  <c r="I412" i="152"/>
  <c r="I408" i="152"/>
  <c r="I409" i="152"/>
  <c r="I410" i="152"/>
  <c r="I407" i="152"/>
  <c r="I405" i="152"/>
  <c r="I406" i="152"/>
  <c r="I403" i="152"/>
  <c r="I400" i="152"/>
  <c r="I404" i="152"/>
  <c r="I401" i="152"/>
  <c r="I399" i="152"/>
  <c r="I398" i="152"/>
  <c r="I396" i="152"/>
  <c r="I389" i="152"/>
  <c r="I392" i="152"/>
  <c r="I390" i="152"/>
  <c r="I393" i="152"/>
  <c r="I394" i="152"/>
  <c r="I391" i="152"/>
  <c r="I386" i="152"/>
  <c r="I387" i="152"/>
  <c r="I388" i="152"/>
  <c r="I385" i="152"/>
  <c r="I383" i="152"/>
  <c r="I384" i="152"/>
  <c r="I382" i="152"/>
  <c r="I381" i="152"/>
  <c r="I379" i="152"/>
  <c r="I377" i="152"/>
  <c r="I378" i="152"/>
  <c r="I375" i="152"/>
  <c r="I376" i="152"/>
  <c r="I370" i="152"/>
  <c r="I371" i="152"/>
  <c r="I373" i="152"/>
  <c r="I369" i="152"/>
  <c r="I372" i="152"/>
  <c r="I374" i="152"/>
  <c r="I368" i="152"/>
  <c r="I365" i="152"/>
  <c r="I366" i="152"/>
  <c r="I363" i="152"/>
  <c r="I357" i="152"/>
  <c r="I354" i="152"/>
  <c r="I358" i="152"/>
  <c r="I355" i="152"/>
  <c r="I361" i="152"/>
  <c r="I362" i="152"/>
  <c r="I356" i="152"/>
  <c r="I359" i="152"/>
  <c r="I360" i="152"/>
  <c r="I352" i="152"/>
  <c r="I346" i="152"/>
  <c r="I347" i="152"/>
  <c r="I348" i="152"/>
  <c r="I343" i="152"/>
  <c r="I344" i="152"/>
  <c r="I345" i="152"/>
  <c r="I341" i="152"/>
  <c r="I342" i="152"/>
  <c r="I339" i="152"/>
  <c r="I337" i="152"/>
  <c r="I335" i="152"/>
  <c r="I340" i="152"/>
  <c r="I338" i="152"/>
  <c r="I336" i="152"/>
  <c r="I333" i="152"/>
  <c r="I328" i="152"/>
  <c r="I331" i="152"/>
  <c r="I334" i="152"/>
  <c r="I329" i="152"/>
  <c r="I332" i="152"/>
  <c r="I330" i="152"/>
  <c r="I323" i="152"/>
  <c r="I325" i="152"/>
  <c r="I326" i="152"/>
  <c r="I327" i="152"/>
  <c r="I324" i="152"/>
  <c r="I319" i="152"/>
  <c r="I320" i="152"/>
  <c r="I314" i="152"/>
  <c r="I315" i="152"/>
  <c r="I307" i="152"/>
  <c r="I304" i="152"/>
  <c r="I301" i="152"/>
  <c r="I302" i="152"/>
  <c r="I297" i="152"/>
  <c r="I299" i="152"/>
  <c r="I296" i="152"/>
  <c r="I294" i="152"/>
  <c r="I295" i="152"/>
  <c r="I293" i="152"/>
  <c r="I292" i="152"/>
  <c r="I288" i="152"/>
  <c r="I291" i="152"/>
  <c r="I290" i="152"/>
  <c r="I284" i="152"/>
  <c r="I286" i="152"/>
  <c r="I287" i="152"/>
  <c r="I285" i="152"/>
  <c r="I282" i="152"/>
  <c r="I281" i="152"/>
  <c r="I279" i="152"/>
  <c r="I278" i="152"/>
  <c r="I277" i="152"/>
  <c r="D108" i="1" s="1"/>
  <c r="I275" i="152"/>
  <c r="I273" i="152"/>
  <c r="I272" i="152"/>
  <c r="I271" i="152"/>
  <c r="I269" i="152"/>
  <c r="I267" i="152"/>
  <c r="I266" i="152"/>
  <c r="I265" i="152"/>
  <c r="I264" i="152"/>
  <c r="I262" i="152"/>
  <c r="I261" i="152"/>
  <c r="I259" i="152"/>
  <c r="I251" i="152"/>
  <c r="D77" i="1" s="1"/>
  <c r="I252" i="152"/>
  <c r="I253" i="152"/>
  <c r="I254" i="152"/>
  <c r="I248" i="152"/>
  <c r="D76" i="1" s="1"/>
  <c r="I250" i="152"/>
  <c r="I249" i="152"/>
  <c r="I241" i="152"/>
  <c r="I243" i="152"/>
  <c r="I235" i="152"/>
  <c r="I236" i="152"/>
  <c r="I237" i="152"/>
  <c r="I239" i="152"/>
  <c r="I240" i="152"/>
  <c r="I234" i="152"/>
  <c r="I232" i="152"/>
  <c r="I233" i="152"/>
  <c r="I229" i="152"/>
  <c r="I230" i="152"/>
  <c r="I227" i="152"/>
  <c r="I226" i="152"/>
  <c r="I163" i="152"/>
  <c r="I160" i="152"/>
  <c r="I161" i="152"/>
  <c r="I158" i="152"/>
  <c r="I159" i="152"/>
  <c r="I154" i="152"/>
  <c r="I151" i="152"/>
  <c r="I152" i="152"/>
  <c r="I148" i="152"/>
  <c r="I150" i="152"/>
  <c r="I147" i="152"/>
  <c r="I149" i="152"/>
  <c r="I144" i="152"/>
  <c r="I140" i="152"/>
  <c r="I141" i="152"/>
  <c r="I137" i="152"/>
  <c r="I136" i="152"/>
  <c r="I133" i="152"/>
  <c r="I131" i="152"/>
  <c r="I134" i="152"/>
  <c r="I127" i="152"/>
  <c r="I129" i="152"/>
  <c r="I122" i="152"/>
  <c r="I120" i="152"/>
  <c r="I115" i="152"/>
  <c r="I111" i="152"/>
  <c r="I112" i="152"/>
  <c r="I113" i="152"/>
  <c r="I104" i="152"/>
  <c r="I106" i="152"/>
  <c r="I93" i="152"/>
  <c r="I95" i="152"/>
  <c r="I96" i="152"/>
  <c r="I97" i="152"/>
  <c r="I92" i="152"/>
  <c r="I88" i="152"/>
  <c r="I89" i="152"/>
  <c r="I87" i="152"/>
  <c r="I84" i="152"/>
  <c r="I81" i="152"/>
  <c r="I77" i="152"/>
  <c r="I79" i="152"/>
  <c r="I76" i="152"/>
  <c r="I78" i="152"/>
  <c r="I73" i="152"/>
  <c r="I75" i="152"/>
  <c r="I72" i="152"/>
  <c r="I74" i="152"/>
  <c r="I71" i="152"/>
  <c r="I68" i="152"/>
  <c r="I70" i="152"/>
  <c r="I67" i="152"/>
  <c r="I69" i="152"/>
  <c r="I64" i="152"/>
  <c r="I66" i="152"/>
  <c r="I63" i="152"/>
  <c r="I65" i="152"/>
  <c r="I58" i="152"/>
  <c r="I59" i="152"/>
  <c r="I60" i="152"/>
  <c r="I61" i="152"/>
  <c r="I62" i="152"/>
  <c r="I57" i="152"/>
  <c r="I54" i="152"/>
  <c r="I56" i="152"/>
  <c r="I53" i="152"/>
  <c r="I55" i="152"/>
  <c r="I49" i="152"/>
  <c r="I52" i="152"/>
  <c r="I50" i="152"/>
  <c r="I51" i="152"/>
  <c r="I48" i="152"/>
  <c r="I44" i="152"/>
  <c r="I47" i="152"/>
  <c r="I45" i="152"/>
  <c r="I46" i="152"/>
  <c r="I43" i="152"/>
  <c r="I41" i="152"/>
  <c r="I38" i="152"/>
  <c r="I39" i="152"/>
  <c r="I42" i="152"/>
  <c r="I40" i="152"/>
  <c r="I35" i="152"/>
  <c r="I36" i="152"/>
  <c r="I37" i="152"/>
  <c r="I33" i="152"/>
  <c r="I34" i="152"/>
  <c r="I28" i="152"/>
  <c r="I31" i="152"/>
  <c r="I30" i="152"/>
  <c r="I29" i="152"/>
  <c r="I32" i="152"/>
  <c r="I20" i="152"/>
  <c r="I26" i="152"/>
  <c r="I25" i="152"/>
  <c r="I22" i="152"/>
  <c r="I24" i="152"/>
  <c r="I23" i="152"/>
  <c r="I27" i="152"/>
  <c r="I21" i="152"/>
  <c r="I18" i="152"/>
  <c r="I15" i="152"/>
  <c r="I13" i="152"/>
  <c r="I16" i="152"/>
  <c r="I17" i="152"/>
  <c r="I14" i="152"/>
  <c r="I19" i="152"/>
  <c r="I5" i="152"/>
  <c r="I9" i="152"/>
  <c r="I11" i="152"/>
  <c r="I7" i="152"/>
  <c r="I8" i="152"/>
  <c r="I10" i="152"/>
  <c r="I12" i="152"/>
  <c r="I3" i="152"/>
  <c r="I4" i="152"/>
  <c r="H81" i="152"/>
  <c r="H84" i="152"/>
  <c r="H93" i="152"/>
  <c r="H95" i="152"/>
  <c r="H96" i="152"/>
  <c r="H88" i="152"/>
  <c r="H89" i="152"/>
  <c r="H92" i="152"/>
  <c r="H87" i="152"/>
  <c r="H97" i="152"/>
  <c r="H62" i="152"/>
  <c r="H71" i="152"/>
  <c r="H57" i="152"/>
  <c r="H104" i="152"/>
  <c r="H106" i="152"/>
  <c r="H111" i="152"/>
  <c r="H112" i="152"/>
  <c r="H113" i="152"/>
  <c r="H115" i="152"/>
  <c r="H122" i="152"/>
  <c r="H120" i="152"/>
  <c r="H127" i="152"/>
  <c r="H129" i="152"/>
  <c r="H151" i="152"/>
  <c r="H152" i="152"/>
  <c r="H142" i="152"/>
  <c r="H144" i="152"/>
  <c r="H162" i="152"/>
  <c r="H163" i="152"/>
  <c r="H229" i="152"/>
  <c r="H230" i="152"/>
  <c r="H235" i="152"/>
  <c r="H236" i="152"/>
  <c r="H237" i="152"/>
  <c r="H239" i="152"/>
  <c r="H240" i="152"/>
  <c r="H241" i="152"/>
  <c r="H243" i="152"/>
  <c r="H251" i="152"/>
  <c r="H252" i="152"/>
  <c r="H253" i="152"/>
  <c r="H254" i="152"/>
  <c r="H262" i="152"/>
  <c r="H301" i="152"/>
  <c r="H302" i="152"/>
  <c r="H267" i="152"/>
  <c r="H304" i="152"/>
  <c r="H307" i="152"/>
  <c r="H269" i="152"/>
  <c r="H273" i="152"/>
  <c r="H278" i="152"/>
  <c r="H282" i="152"/>
  <c r="H292" i="152"/>
  <c r="H296" i="152"/>
  <c r="H346" i="152"/>
  <c r="H347" i="152"/>
  <c r="H348" i="152"/>
  <c r="H369" i="152"/>
  <c r="H372" i="152"/>
  <c r="H374" i="152"/>
  <c r="H356" i="152"/>
  <c r="H359" i="152"/>
  <c r="H360" i="152"/>
  <c r="H365" i="152"/>
  <c r="H366" i="152"/>
  <c r="H352" i="152"/>
  <c r="H386" i="152"/>
  <c r="H387" i="152"/>
  <c r="H388" i="152"/>
  <c r="H378" i="152"/>
  <c r="H391" i="152"/>
  <c r="H420" i="152"/>
  <c r="H396" i="152"/>
  <c r="H417" i="152"/>
  <c r="F81" i="152"/>
  <c r="F84" i="152"/>
  <c r="F93" i="152"/>
  <c r="F95" i="152"/>
  <c r="F96" i="152"/>
  <c r="F88" i="152"/>
  <c r="F89" i="152"/>
  <c r="F92" i="152"/>
  <c r="F87" i="152"/>
  <c r="F97" i="152"/>
  <c r="F62" i="152"/>
  <c r="F71" i="152"/>
  <c r="F57" i="152"/>
  <c r="F104" i="152"/>
  <c r="F106" i="152"/>
  <c r="F111" i="152"/>
  <c r="F112" i="152"/>
  <c r="F113" i="152"/>
  <c r="F115" i="152"/>
  <c r="F122" i="152"/>
  <c r="F120" i="152"/>
  <c r="F127" i="152"/>
  <c r="F129" i="152"/>
  <c r="F151" i="152"/>
  <c r="F152" i="152"/>
  <c r="F142" i="152"/>
  <c r="F144" i="152"/>
  <c r="F162" i="152"/>
  <c r="F163" i="152"/>
  <c r="F229" i="152"/>
  <c r="F230" i="152"/>
  <c r="F235" i="152"/>
  <c r="F236" i="152"/>
  <c r="F237" i="152"/>
  <c r="F239" i="152"/>
  <c r="F240" i="152"/>
  <c r="F241" i="152"/>
  <c r="F243" i="152"/>
  <c r="F251" i="152"/>
  <c r="F252" i="152"/>
  <c r="F253" i="152"/>
  <c r="F254" i="152"/>
  <c r="F262" i="152"/>
  <c r="F301" i="152"/>
  <c r="F302" i="152"/>
  <c r="F267" i="152"/>
  <c r="F304" i="152"/>
  <c r="F307" i="152"/>
  <c r="F269" i="152"/>
  <c r="F273" i="152"/>
  <c r="F278" i="152"/>
  <c r="F282" i="152"/>
  <c r="F292" i="152"/>
  <c r="F296" i="152"/>
  <c r="F346" i="152"/>
  <c r="F347" i="152"/>
  <c r="F348" i="152"/>
  <c r="F369" i="152"/>
  <c r="F372" i="152"/>
  <c r="F374" i="152"/>
  <c r="F356" i="152"/>
  <c r="F359" i="152"/>
  <c r="F360" i="152"/>
  <c r="F365" i="152"/>
  <c r="F366" i="152"/>
  <c r="F352" i="152"/>
  <c r="F386" i="152"/>
  <c r="F387" i="152"/>
  <c r="F388" i="152"/>
  <c r="F378" i="152"/>
  <c r="F391" i="152"/>
  <c r="F420" i="152"/>
  <c r="F396" i="152"/>
  <c r="F417" i="152"/>
  <c r="F413" i="152"/>
  <c r="F415" i="152"/>
  <c r="F414" i="152"/>
  <c r="F411" i="152"/>
  <c r="F412" i="152"/>
  <c r="F408" i="152"/>
  <c r="F409" i="152"/>
  <c r="F410" i="152"/>
  <c r="F407" i="152"/>
  <c r="F405" i="152"/>
  <c r="F406" i="152"/>
  <c r="F403" i="152"/>
  <c r="F400" i="152"/>
  <c r="F404" i="152"/>
  <c r="F401" i="152"/>
  <c r="F399" i="152"/>
  <c r="F398" i="152"/>
  <c r="F393" i="152"/>
  <c r="F394" i="152"/>
  <c r="F389" i="152"/>
  <c r="F390" i="152"/>
  <c r="F392" i="152"/>
  <c r="F385" i="152"/>
  <c r="F382" i="152"/>
  <c r="F384" i="152"/>
  <c r="F383" i="152"/>
  <c r="F381" i="152"/>
  <c r="F377" i="152"/>
  <c r="F379" i="152"/>
  <c r="F375" i="152"/>
  <c r="F376" i="152"/>
  <c r="F370" i="152"/>
  <c r="F371" i="152"/>
  <c r="F373" i="152"/>
  <c r="F368" i="152"/>
  <c r="F363" i="152"/>
  <c r="F357" i="152"/>
  <c r="F354" i="152"/>
  <c r="F358" i="152"/>
  <c r="F355" i="152"/>
  <c r="F361" i="152"/>
  <c r="F362" i="152"/>
  <c r="F343" i="152"/>
  <c r="F344" i="152"/>
  <c r="F345" i="152"/>
  <c r="F341" i="152"/>
  <c r="F342" i="152"/>
  <c r="F340" i="152"/>
  <c r="F339" i="152"/>
  <c r="F337" i="152"/>
  <c r="F338" i="152"/>
  <c r="F335" i="152"/>
  <c r="F336" i="152"/>
  <c r="F333" i="152"/>
  <c r="F334" i="152"/>
  <c r="F328" i="152"/>
  <c r="F329" i="152"/>
  <c r="F331" i="152"/>
  <c r="F332" i="152"/>
  <c r="F330" i="152"/>
  <c r="F326" i="152"/>
  <c r="F327" i="152"/>
  <c r="F323" i="152"/>
  <c r="F324" i="152"/>
  <c r="F325" i="152"/>
  <c r="F319" i="152"/>
  <c r="F320" i="152"/>
  <c r="F314" i="152"/>
  <c r="F315" i="152"/>
  <c r="F297" i="152"/>
  <c r="F299" i="152"/>
  <c r="F294" i="152"/>
  <c r="F295" i="152"/>
  <c r="F293" i="152"/>
  <c r="F288" i="152"/>
  <c r="F291" i="152"/>
  <c r="F290" i="152"/>
  <c r="F284" i="152"/>
  <c r="F286" i="152"/>
  <c r="F287" i="152"/>
  <c r="F285" i="152"/>
  <c r="F281" i="152"/>
  <c r="F279" i="152"/>
  <c r="F277" i="152"/>
  <c r="F275" i="152"/>
  <c r="F272" i="152"/>
  <c r="F271" i="152"/>
  <c r="F266" i="152"/>
  <c r="F265" i="152"/>
  <c r="F264" i="152"/>
  <c r="F261" i="152"/>
  <c r="F259" i="152"/>
  <c r="F248" i="152"/>
  <c r="F250" i="152"/>
  <c r="F249" i="152"/>
  <c r="F234" i="152"/>
  <c r="F232" i="152"/>
  <c r="F233" i="152"/>
  <c r="F227" i="152"/>
  <c r="F226" i="152"/>
  <c r="F161" i="152"/>
  <c r="F160" i="152"/>
  <c r="F158" i="152"/>
  <c r="F159" i="152"/>
  <c r="F154" i="152"/>
  <c r="F147" i="152"/>
  <c r="F150" i="152"/>
  <c r="F149" i="152"/>
  <c r="F148" i="152"/>
  <c r="F140" i="152"/>
  <c r="F141" i="152"/>
  <c r="F137" i="152"/>
  <c r="F136" i="152"/>
  <c r="F133" i="152"/>
  <c r="F131" i="152"/>
  <c r="F134" i="152"/>
  <c r="F77" i="152"/>
  <c r="F79" i="152"/>
  <c r="F76" i="152"/>
  <c r="F78" i="152"/>
  <c r="F73" i="152"/>
  <c r="F75" i="152"/>
  <c r="F72" i="152"/>
  <c r="F74" i="152"/>
  <c r="F68" i="152"/>
  <c r="F70" i="152"/>
  <c r="F67" i="152"/>
  <c r="F69" i="152"/>
  <c r="F64" i="152"/>
  <c r="F66" i="152"/>
  <c r="F63" i="152"/>
  <c r="F65" i="152"/>
  <c r="F59" i="152"/>
  <c r="F61" i="152"/>
  <c r="F60" i="152"/>
  <c r="F58" i="152"/>
  <c r="F54" i="152"/>
  <c r="F56" i="152"/>
  <c r="F53" i="152"/>
  <c r="F55" i="152"/>
  <c r="F49" i="152"/>
  <c r="F52" i="152"/>
  <c r="F50" i="152"/>
  <c r="F51" i="152"/>
  <c r="F48" i="152"/>
  <c r="F44" i="152"/>
  <c r="F47" i="152"/>
  <c r="F45" i="152"/>
  <c r="F46" i="152"/>
  <c r="F43" i="152"/>
  <c r="F39" i="152"/>
  <c r="F42" i="152"/>
  <c r="F40" i="152"/>
  <c r="F41" i="152"/>
  <c r="F38" i="152"/>
  <c r="F34" i="152"/>
  <c r="F37" i="152"/>
  <c r="F35" i="152"/>
  <c r="F36" i="152"/>
  <c r="F33" i="152"/>
  <c r="F28" i="152"/>
  <c r="F29" i="152"/>
  <c r="F31" i="152"/>
  <c r="F32" i="152"/>
  <c r="F30" i="152"/>
  <c r="F20" i="152"/>
  <c r="F26" i="152"/>
  <c r="F25" i="152"/>
  <c r="F22" i="152"/>
  <c r="F24" i="152"/>
  <c r="F23" i="152"/>
  <c r="F27" i="152"/>
  <c r="F21" i="152"/>
  <c r="F13" i="152"/>
  <c r="F16" i="152"/>
  <c r="F18" i="152"/>
  <c r="F15" i="152"/>
  <c r="F17" i="152"/>
  <c r="F14" i="152"/>
  <c r="F19" i="152"/>
  <c r="F5" i="152"/>
  <c r="F9" i="152"/>
  <c r="F11" i="152"/>
  <c r="F7" i="152"/>
  <c r="F8" i="152"/>
  <c r="F10" i="152"/>
  <c r="F12" i="152"/>
  <c r="F3" i="152"/>
  <c r="F4" i="152"/>
  <c r="H281" i="152"/>
  <c r="H284" i="152"/>
  <c r="H266" i="152"/>
  <c r="H271" i="152"/>
  <c r="H3" i="152"/>
  <c r="H5" i="152"/>
  <c r="H9" i="152"/>
  <c r="H11" i="152"/>
  <c r="H7" i="152"/>
  <c r="H403" i="152"/>
  <c r="H400" i="152"/>
  <c r="H357" i="152"/>
  <c r="H354" i="152"/>
  <c r="H404" i="152"/>
  <c r="H401" i="152"/>
  <c r="H358" i="152"/>
  <c r="H355" i="152"/>
  <c r="H8" i="152"/>
  <c r="H10" i="152"/>
  <c r="H12" i="152"/>
  <c r="H4" i="152"/>
  <c r="H20" i="152"/>
  <c r="H26" i="152"/>
  <c r="H25" i="152"/>
  <c r="H22" i="152"/>
  <c r="H13" i="152"/>
  <c r="H16" i="152"/>
  <c r="H18" i="152"/>
  <c r="H15" i="152"/>
  <c r="H361" i="152"/>
  <c r="H362" i="152"/>
  <c r="H140" i="152"/>
  <c r="H141" i="152"/>
  <c r="H368" i="152"/>
  <c r="H375" i="152"/>
  <c r="H376" i="152"/>
  <c r="H370" i="152"/>
  <c r="H371" i="152"/>
  <c r="H373" i="152"/>
  <c r="H24" i="152"/>
  <c r="H407" i="152"/>
  <c r="H405" i="152"/>
  <c r="H411" i="152"/>
  <c r="H412" i="152"/>
  <c r="H408" i="152"/>
  <c r="H406" i="152"/>
  <c r="H409" i="152"/>
  <c r="H410" i="152"/>
  <c r="H161" i="152"/>
  <c r="H160" i="152"/>
  <c r="H234" i="152"/>
  <c r="H232" i="152"/>
  <c r="H227" i="152"/>
  <c r="H226" i="152"/>
  <c r="H277" i="152"/>
  <c r="H23" i="152"/>
  <c r="H27" i="152"/>
  <c r="H17" i="152"/>
  <c r="H21" i="152"/>
  <c r="H14" i="152"/>
  <c r="H19" i="152"/>
  <c r="H147" i="152"/>
  <c r="H150" i="152"/>
  <c r="H149" i="152"/>
  <c r="H148" i="152"/>
  <c r="H154" i="152"/>
  <c r="H28" i="152"/>
  <c r="H29" i="152"/>
  <c r="H31" i="152"/>
  <c r="H32" i="152"/>
  <c r="H30" i="152"/>
  <c r="H34" i="152"/>
  <c r="H37" i="152"/>
  <c r="H35" i="152"/>
  <c r="H36" i="152"/>
  <c r="H33" i="152"/>
  <c r="H39" i="152"/>
  <c r="H42" i="152"/>
  <c r="H40" i="152"/>
  <c r="H41" i="152"/>
  <c r="H38" i="152"/>
  <c r="H44" i="152"/>
  <c r="H47" i="152"/>
  <c r="H45" i="152"/>
  <c r="H46" i="152"/>
  <c r="H43" i="152"/>
  <c r="H49" i="152"/>
  <c r="H52" i="152"/>
  <c r="H50" i="152"/>
  <c r="H51" i="152"/>
  <c r="H48" i="152"/>
  <c r="H54" i="152"/>
  <c r="H56" i="152"/>
  <c r="H53" i="152"/>
  <c r="H55" i="152"/>
  <c r="H59" i="152"/>
  <c r="H61" i="152"/>
  <c r="H60" i="152"/>
  <c r="H58" i="152"/>
  <c r="H64" i="152"/>
  <c r="H66" i="152"/>
  <c r="H63" i="152"/>
  <c r="H65" i="152"/>
  <c r="H73" i="152"/>
  <c r="H75" i="152"/>
  <c r="H72" i="152"/>
  <c r="H74" i="152"/>
  <c r="H77" i="152"/>
  <c r="H79" i="152"/>
  <c r="H76" i="152"/>
  <c r="H78" i="152"/>
  <c r="H68" i="152"/>
  <c r="H70" i="152"/>
  <c r="H67" i="152"/>
  <c r="H69" i="152"/>
  <c r="H333" i="152"/>
  <c r="H334" i="152"/>
  <c r="H328" i="152"/>
  <c r="H329" i="152"/>
  <c r="H331" i="152"/>
  <c r="H332" i="152"/>
  <c r="H326" i="152"/>
  <c r="H327" i="152"/>
  <c r="H323" i="152"/>
  <c r="H324" i="152"/>
  <c r="H325" i="152"/>
  <c r="H340" i="152"/>
  <c r="H339" i="152"/>
  <c r="H337" i="152"/>
  <c r="H338" i="152"/>
  <c r="H335" i="152"/>
  <c r="H336" i="152"/>
  <c r="H413" i="152"/>
  <c r="H415" i="152"/>
  <c r="H414" i="152"/>
  <c r="H133" i="152"/>
  <c r="H131" i="152"/>
  <c r="H134" i="152"/>
  <c r="H272" i="152"/>
  <c r="H261" i="152"/>
  <c r="H259" i="152"/>
  <c r="H319" i="152"/>
  <c r="H320" i="152"/>
  <c r="H314" i="152"/>
  <c r="H315" i="152"/>
  <c r="H248" i="152"/>
  <c r="H250" i="152"/>
  <c r="H249" i="152"/>
  <c r="H399" i="152"/>
  <c r="H398" i="152"/>
  <c r="H265" i="152"/>
  <c r="H297" i="152"/>
  <c r="H299" i="152"/>
  <c r="H294" i="152"/>
  <c r="H295" i="152"/>
  <c r="H293" i="152"/>
  <c r="H288" i="152"/>
  <c r="H291" i="152"/>
  <c r="H290" i="152"/>
  <c r="H286" i="152"/>
  <c r="H287" i="152"/>
  <c r="H285" i="152"/>
  <c r="H264" i="152"/>
  <c r="H275" i="152"/>
  <c r="H279" i="152"/>
  <c r="H330" i="152"/>
  <c r="H343" i="152"/>
  <c r="H344" i="152"/>
  <c r="H345" i="152"/>
  <c r="H341" i="152"/>
  <c r="H342" i="152"/>
  <c r="H381" i="152"/>
  <c r="H385" i="152"/>
  <c r="H377" i="152"/>
  <c r="H382" i="152"/>
  <c r="H379" i="152"/>
  <c r="H384" i="152"/>
  <c r="H383" i="152"/>
  <c r="H393" i="152"/>
  <c r="H394" i="152"/>
  <c r="H389" i="152"/>
  <c r="H390" i="152"/>
  <c r="H392" i="152"/>
  <c r="H233" i="152"/>
  <c r="H158" i="152"/>
  <c r="H159" i="152"/>
  <c r="H363" i="152"/>
  <c r="H137" i="152"/>
  <c r="H136" i="152"/>
  <c r="D106" i="1" l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<sst xmlns="http://schemas.openxmlformats.org/spreadsheetml/2006/main" count="3279" uniqueCount="1202">
  <si>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</si>
  <si>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</si>
  <si>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</si>
  <si>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</si>
  <si>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</si>
  <si>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</si>
  <si>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</si>
  <si>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</si>
  <si>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</si>
  <si>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</si>
  <si>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</si>
  <si>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</si>
  <si>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</si>
  <si>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</si>
  <si>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</si>
  <si>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</si>
  <si>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</si>
  <si>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</si>
  <si>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</si>
  <si>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</si>
  <si>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</si>
  <si>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</si>
  <si>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</si>
  <si>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</si>
  <si>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</si>
  <si>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</si>
  <si>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</si>
  <si>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</si>
  <si>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</si>
  <si>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</si>
  <si>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</si>
  <si>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</si>
  <si>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</si>
  <si>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</si>
  <si>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</si>
  <si>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</si>
  <si>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</si>
  <si>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</si>
  <si>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</si>
  <si>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</si>
  <si>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</si>
  <si>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</si>
  <si>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</si>
  <si>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</si>
  <si>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</si>
  <si>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</si>
  <si>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</si>
  <si>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</si>
  <si>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</si>
  <si>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</si>
  <si>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</si>
  <si>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</si>
  <si>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</si>
  <si>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</si>
  <si>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</si>
  <si>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</si>
  <si>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</si>
  <si>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</si>
  <si>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</si>
  <si>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</si>
  <si>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</si>
  <si>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</si>
  <si>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</si>
  <si>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</si>
  <si>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</si>
  <si>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</si>
  <si>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</si>
  <si>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</si>
  <si>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</si>
  <si>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</si>
  <si>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</si>
  <si>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</si>
  <si>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</si>
  <si>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</si>
  <si>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</si>
  <si>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</si>
  <si>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</si>
  <si>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</si>
  <si>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</si>
  <si>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</si>
  <si>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</si>
  <si>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</si>
  <si>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</si>
  <si>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</si>
  <si>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</si>
  <si>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</si>
  <si>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</si>
  <si>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</si>
  <si>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</si>
  <si>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</si>
  <si>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</si>
  <si>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</si>
  <si>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</si>
  <si>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</si>
  <si>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</si>
  <si>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</si>
  <si>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</si>
  <si>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</si>
  <si>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</si>
  <si>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</si>
  <si>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</si>
  <si>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</si>
  <si>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</si>
  <si>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</si>
  <si>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</si>
  <si>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</si>
  <si>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</si>
  <si>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</si>
  <si>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</si>
  <si>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</si>
  <si>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</si>
  <si>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</si>
  <si>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</si>
  <si>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</si>
  <si>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</si>
  <si>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</si>
  <si>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</si>
  <si>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</si>
  <si>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</si>
  <si>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</si>
  <si>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</si>
  <si>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</si>
  <si>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</si>
  <si>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</si>
  <si>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</si>
  <si>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</si>
  <si>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</si>
  <si>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</si>
  <si>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</si>
  <si>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</si>
  <si>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</si>
  <si>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</si>
  <si>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</si>
  <si>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</si>
  <si>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</si>
  <si>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</si>
  <si>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</si>
  <si>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</si>
  <si>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</si>
  <si>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</si>
  <si>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</si>
  <si>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</si>
  <si>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</si>
  <si>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</si>
  <si>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</si>
  <si>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</si>
  <si>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</si>
  <si>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</si>
  <si>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</si>
  <si>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</si>
  <si>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</si>
  <si>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</si>
  <si>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</si>
  <si>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</si>
  <si>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</si>
  <si>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</si>
  <si>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</si>
  <si>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</si>
  <si>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</si>
  <si>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</si>
  <si>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</si>
  <si>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</si>
  <si>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</si>
  <si>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</si>
  <si>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</si>
  <si>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</si>
  <si>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</si>
  <si>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</si>
  <si>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</si>
  <si>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</si>
  <si>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</si>
  <si>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</si>
  <si>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</si>
  <si>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</si>
  <si>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</si>
  <si>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</si>
  <si>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</si>
  <si>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</si>
  <si>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</si>
  <si>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</si>
  <si>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</si>
  <si>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</si>
  <si>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</si>
  <si>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</si>
  <si>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</si>
  <si>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</si>
  <si>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</si>
  <si>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</si>
  <si>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</si>
  <si>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</si>
  <si>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</si>
  <si>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</si>
  <si>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</si>
  <si>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</si>
  <si>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</si>
  <si>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</si>
  <si>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</si>
  <si>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</si>
  <si>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</si>
  <si>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</si>
  <si>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</si>
  <si>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</si>
  <si>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</si>
  <si>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</si>
  <si>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</si>
  <si>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</si>
  <si>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</si>
  <si>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</si>
  <si>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</si>
  <si>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</si>
  <si>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</si>
  <si>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</si>
  <si>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</si>
  <si>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</si>
  <si>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</si>
  <si>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</si>
  <si>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</si>
  <si>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</si>
  <si>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</si>
  <si>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</si>
  <si>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</si>
  <si>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</si>
  <si>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</si>
  <si>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</si>
  <si>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</si>
  <si>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</si>
  <si>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</si>
  <si>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</si>
  <si>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</si>
  <si>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</si>
  <si>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</si>
  <si>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</si>
  <si>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</si>
  <si>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</si>
  <si>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</si>
  <si>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</si>
  <si>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</si>
  <si>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</si>
  <si>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</si>
  <si>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</si>
  <si>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</si>
  <si>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</si>
  <si>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</si>
  <si>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</si>
  <si>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</si>
  <si>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</si>
  <si>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</si>
  <si>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</si>
  <si>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</si>
  <si>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</si>
  <si>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</si>
  <si>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</si>
  <si>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</si>
  <si>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</si>
  <si>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</si>
  <si>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</si>
  <si>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</si>
  <si>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</si>
  <si>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</si>
  <si>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</si>
  <si>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</si>
  <si>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</si>
  <si>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</si>
  <si>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</si>
  <si>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</si>
  <si>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</si>
  <si>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</si>
  <si>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</si>
  <si>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</si>
  <si>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</si>
  <si>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</si>
  <si>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</si>
  <si>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</si>
  <si>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</si>
  <si>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</si>
  <si>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</si>
  <si>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</si>
  <si>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</si>
  <si>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</si>
  <si>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</si>
  <si>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</si>
  <si>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</si>
  <si>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</si>
  <si>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</si>
  <si>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</si>
  <si>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</si>
  <si>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</si>
  <si>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</si>
  <si>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</si>
  <si>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</si>
  <si>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</si>
  <si>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</si>
  <si>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</si>
  <si>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</si>
  <si>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</si>
  <si>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</si>
  <si>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</si>
  <si>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</si>
  <si>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</si>
  <si>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</si>
  <si>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</si>
  <si>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</si>
  <si>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</si>
  <si>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</si>
  <si>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</si>
  <si>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</si>
  <si>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</si>
  <si>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</si>
  <si>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</si>
  <si>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</si>
  <si>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</si>
  <si>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</si>
  <si>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</si>
  <si>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</si>
  <si>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</si>
  <si>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</si>
  <si>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</si>
  <si>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</si>
  <si>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</si>
  <si>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</si>
  <si>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</si>
  <si>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</si>
  <si>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</si>
  <si>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</si>
  <si>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</si>
  <si>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</si>
  <si>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</si>
  <si>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</si>
  <si>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</si>
  <si>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</si>
  <si>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</si>
  <si>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</si>
  <si>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</si>
  <si>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</si>
  <si>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</si>
  <si>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</si>
  <si>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</si>
  <si>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</si>
  <si>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</si>
  <si>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</si>
  <si>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</si>
  <si>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</si>
  <si>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</si>
  <si>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</si>
  <si>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</si>
  <si>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</si>
  <si>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</si>
  <si>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</si>
  <si>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</si>
  <si>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</si>
  <si>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</si>
  <si>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</si>
  <si>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</si>
  <si>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</si>
  <si>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</si>
  <si>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</si>
  <si>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</si>
  <si>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</si>
  <si>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</si>
  <si>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</si>
  <si>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</si>
  <si>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</si>
  <si>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</si>
  <si>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</si>
  <si>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</si>
  <si>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</si>
  <si>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</si>
  <si>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</si>
  <si>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</si>
  <si>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</si>
  <si>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</si>
  <si>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</si>
  <si>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</si>
  <si>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</si>
  <si>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</si>
  <si>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</si>
  <si>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</si>
  <si>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</si>
  <si>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</si>
  <si>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</si>
  <si>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</si>
  <si>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</si>
  <si>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</si>
  <si>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</si>
  <si>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</si>
  <si>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</si>
  <si>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</si>
  <si>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</si>
  <si>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</si>
  <si>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</si>
  <si>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</si>
  <si>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</si>
  <si>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</si>
  <si>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</si>
  <si>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</si>
  <si>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</si>
  <si>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</si>
  <si>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</si>
  <si>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</si>
  <si>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</si>
  <si>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</si>
  <si>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</si>
  <si>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</si>
  <si>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</si>
  <si>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</si>
  <si>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</si>
  <si>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</si>
  <si>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</si>
  <si>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</si>
  <si>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</si>
  <si>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</si>
  <si>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</si>
  <si>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</si>
  <si>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</si>
  <si>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</si>
  <si>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</si>
  <si>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</si>
  <si>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</si>
  <si>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</si>
  <si>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</si>
  <si>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</si>
  <si>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</si>
  <si>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</si>
  <si>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</si>
  <si>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</si>
  <si>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</si>
  <si>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</si>
  <si>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</si>
  <si>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</si>
  <si>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</si>
  <si>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</si>
  <si>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</si>
  <si>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</si>
  <si>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</si>
  <si>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</si>
  <si>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</si>
  <si>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</si>
  <si>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</si>
  <si>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</si>
  <si>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</si>
  <si>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</si>
  <si>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</si>
  <si>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</si>
  <si>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</si>
  <si>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</si>
  <si>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</si>
  <si>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</si>
  <si>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</si>
  <si>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</si>
  <si>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</si>
  <si>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</si>
  <si>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</si>
  <si>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</si>
  <si>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</si>
  <si>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</si>
  <si>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</si>
  <si>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</si>
  <si>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</si>
  <si>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</si>
  <si>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</si>
  <si>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</si>
  <si>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</si>
  <si>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</si>
  <si>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</si>
  <si>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</si>
  <si>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</si>
  <si>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</si>
  <si>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</si>
  <si>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</si>
  <si>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</si>
  <si>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</si>
  <si>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</si>
  <si>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</si>
  <si>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</si>
  <si>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</si>
  <si>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</si>
  <si>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</si>
  <si>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</si>
  <si>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</si>
  <si>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</si>
  <si>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</si>
  <si>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</si>
  <si>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</si>
  <si>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</si>
  <si>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</si>
  <si>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</si>
  <si>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</si>
  <si>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</si>
  <si>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</si>
  <si>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</si>
  <si>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</si>
  <si>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</si>
  <si>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</si>
  <si>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</si>
  <si>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</si>
  <si>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</si>
  <si>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</si>
  <si>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</si>
  <si>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</si>
  <si>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</si>
  <si>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</si>
  <si>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</si>
  <si>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</si>
  <si>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</si>
  <si>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</si>
  <si>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</si>
  <si>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</si>
  <si>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</si>
  <si>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</si>
  <si>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</si>
  <si>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</si>
  <si>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</si>
  <si>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</si>
  <si>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</si>
  <si>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</si>
  <si>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</si>
  <si>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</si>
  <si>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</si>
  <si>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</si>
  <si>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</si>
  <si>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</si>
  <si>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</si>
  <si>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</si>
  <si>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</si>
  <si>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</si>
  <si>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</si>
  <si>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</si>
  <si>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</si>
  <si>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</si>
  <si>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</si>
  <si>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</si>
  <si>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</si>
  <si>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</si>
  <si>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</si>
  <si>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</si>
  <si>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</si>
  <si>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</si>
  <si>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</si>
  <si>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</si>
  <si>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</si>
  <si>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</si>
  <si>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</si>
  <si>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</si>
  <si>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</si>
  <si>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</si>
  <si>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</si>
  <si>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</si>
  <si>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</si>
  <si>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</si>
  <si>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</si>
  <si>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</si>
  <si>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</si>
  <si>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</si>
  <si>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</si>
  <si>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</si>
  <si>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</si>
  <si>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</si>
  <si>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</si>
  <si>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</si>
  <si>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</si>
  <si>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</si>
  <si>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</si>
  <si>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</si>
  <si>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</si>
  <si>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</si>
  <si>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</si>
  <si>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</si>
  <si>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</si>
  <si>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</si>
  <si>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</si>
  <si>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</si>
  <si>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</si>
  <si>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</si>
  <si>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</si>
  <si>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</si>
  <si>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</si>
  <si>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</si>
  <si>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</si>
  <si>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</si>
  <si>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</si>
  <si>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</si>
  <si>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</si>
  <si>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</si>
  <si>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</si>
  <si>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</si>
  <si>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</si>
  <si>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</si>
  <si>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</si>
  <si>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</si>
  <si>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</si>
  <si>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</si>
  <si>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</si>
  <si>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</si>
  <si>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2.2/1.9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</si>
  <si>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</si>
  <si>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</si>
  <si>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</si>
  <si>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</si>
  <si>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</si>
  <si>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</si>
  <si>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</si>
  <si>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</si>
  <si>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</si>
  <si>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</si>
  <si>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</si>
  <si>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</si>
  <si>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</si>
  <si>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</si>
  <si>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</si>
  <si>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</si>
  <si>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</si>
  <si>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</si>
  <si>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</si>
  <si>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</si>
  <si>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</si>
  <si>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</si>
  <si>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</si>
  <si>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</si>
  <si>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</si>
  <si>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</si>
  <si>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</si>
  <si>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</si>
  <si>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</si>
  <si>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</si>
  <si>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</si>
  <si>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</si>
  <si>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</si>
  <si>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</si>
  <si>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</si>
  <si>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</si>
  <si>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</si>
  <si>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</si>
  <si>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</si>
  <si>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</si>
  <si>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</si>
  <si>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</si>
  <si>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</si>
  <si>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</si>
  <si>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</si>
  <si>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</si>
  <si>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</si>
  <si>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</si>
  <si>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</si>
  <si>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</si>
  <si>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</si>
  <si>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</si>
  <si>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</si>
  <si>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</si>
  <si>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</si>
  <si>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</si>
  <si>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</si>
  <si>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</si>
  <si>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</si>
  <si>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</si>
  <si>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</si>
  <si>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</si>
  <si>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</si>
  <si>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</si>
  <si>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</si>
  <si>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</si>
  <si>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</si>
  <si>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</si>
  <si>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</si>
  <si>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</si>
  <si>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</si>
  <si>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</si>
  <si>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</si>
  <si>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</si>
  <si>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</si>
  <si>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</si>
  <si>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</si>
  <si>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</si>
  <si>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</si>
  <si>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</si>
  <si>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</si>
  <si>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</si>
  <si>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</si>
  <si>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</si>
  <si>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</si>
  <si>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</si>
  <si>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</si>
  <si>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</si>
  <si>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</si>
  <si>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</si>
  <si>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</si>
  <si>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</si>
  <si>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</si>
  <si>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</si>
  <si>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</si>
  <si>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</si>
  <si>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</si>
  <si>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</si>
  <si>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</si>
  <si>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</si>
  <si>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</si>
  <si>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</si>
  <si>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</si>
  <si>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</si>
  <si>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</si>
  <si>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</si>
  <si>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</si>
  <si>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</si>
  <si>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</si>
  <si>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</si>
  <si>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</si>
  <si>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</si>
  <si>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</si>
  <si>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</si>
  <si>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</si>
  <si>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</si>
  <si>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</si>
  <si>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</si>
  <si>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</si>
  <si>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</si>
  <si>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</si>
  <si>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</si>
  <si>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</si>
  <si>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</si>
  <si>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</si>
  <si>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</si>
  <si>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</si>
  <si>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</si>
  <si>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</si>
  <si>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</si>
  <si>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</si>
  <si>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</si>
  <si>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</si>
  <si>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</si>
  <si>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</si>
  <si>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</si>
  <si>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</si>
  <si>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</si>
  <si>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</si>
  <si>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</si>
  <si>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</si>
  <si>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</si>
  <si>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</si>
  <si>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</si>
  <si>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</si>
  <si>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</si>
  <si>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</si>
  <si>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</si>
  <si>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</si>
  <si>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</si>
  <si>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</si>
  <si>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</si>
  <si>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</si>
  <si>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</si>
  <si>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</si>
  <si>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</si>
  <si>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</si>
  <si>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</si>
  <si>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</si>
  <si>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</si>
  <si>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</si>
  <si>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</si>
  <si>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</si>
  <si>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</si>
  <si>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</si>
  <si>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</si>
  <si>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</si>
  <si>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</si>
  <si>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</si>
  <si>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</si>
  <si>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</si>
  <si>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</si>
  <si>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</si>
  <si>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</si>
  <si>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</si>
  <si>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</si>
  <si>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</si>
  <si>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</si>
  <si>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</si>
  <si>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</si>
  <si>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</si>
  <si>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</si>
  <si>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</si>
  <si>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</si>
  <si>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</si>
  <si>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</si>
  <si>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</si>
  <si>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</si>
  <si>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</si>
  <si>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</si>
  <si>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</si>
  <si>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</si>
  <si>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</si>
  <si>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</si>
  <si>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</si>
  <si>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</si>
  <si>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</si>
  <si>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</si>
  <si>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</si>
  <si>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</si>
  <si>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</si>
  <si>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</si>
  <si>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</si>
  <si>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</si>
  <si>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</si>
  <si>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</si>
  <si>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</si>
  <si>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</si>
  <si>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</si>
  <si>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</si>
  <si>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</si>
  <si>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</si>
  <si>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</si>
  <si>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</si>
  <si>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</si>
  <si>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</si>
  <si>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</si>
  <si>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</si>
  <si>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</si>
  <si>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</si>
  <si>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</si>
  <si>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</si>
  <si>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</si>
  <si>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</si>
  <si>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</si>
  <si>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</si>
  <si>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</si>
  <si>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</si>
  <si>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</si>
  <si>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</si>
  <si>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</si>
  <si>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</si>
  <si>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</si>
  <si>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</si>
  <si>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</si>
  <si>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</si>
  <si>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</si>
  <si>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</si>
  <si>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</si>
  <si>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</si>
  <si>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</si>
  <si>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</si>
  <si>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</si>
  <si>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</si>
  <si>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</si>
  <si>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</si>
  <si>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</si>
  <si>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</si>
  <si>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</si>
  <si>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</si>
  <si>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</si>
  <si>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</si>
  <si>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</si>
  <si>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</si>
  <si>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</si>
  <si>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</si>
  <si>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</si>
  <si>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</si>
  <si>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</si>
  <si>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</si>
  <si>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</si>
  <si>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</si>
  <si>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</si>
  <si>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</si>
  <si>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</si>
  <si>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</si>
  <si>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</si>
  <si>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</si>
  <si>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</si>
  <si>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</si>
  <si>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</si>
  <si>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</si>
  <si>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</si>
  <si>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</si>
  <si>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</si>
  <si>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</si>
  <si>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</si>
  <si>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</si>
  <si>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</si>
  <si>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</si>
  <si>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</si>
  <si>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</si>
  <si>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</si>
  <si>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</si>
  <si>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</si>
  <si>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</si>
  <si>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</si>
  <si>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</si>
  <si>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</si>
  <si>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</si>
  <si>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</si>
  <si>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</si>
  <si>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</si>
  <si>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</si>
  <si>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</si>
  <si>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</si>
  <si>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</si>
  <si>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</si>
  <si>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</si>
  <si>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</si>
  <si>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</si>
  <si>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</si>
  <si>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</si>
  <si>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</si>
  <si>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</si>
  <si>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</si>
  <si>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</si>
  <si>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</si>
  <si>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</si>
  <si>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</si>
  <si>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</si>
  <si>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</si>
  <si>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</si>
  <si>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</si>
  <si>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</si>
  <si>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</si>
  <si>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</si>
  <si>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</si>
  <si>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</si>
  <si>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</si>
  <si>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</si>
  <si>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</si>
  <si>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</si>
  <si>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</si>
  <si>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</si>
  <si>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</si>
  <si>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</si>
  <si>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</si>
  <si>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</si>
  <si>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</si>
  <si>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</si>
  <si>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</si>
  <si>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</si>
  <si>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</si>
  <si>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</si>
  <si>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</si>
  <si>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</si>
  <si>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</si>
  <si>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</si>
  <si>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</si>
  <si>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</si>
  <si>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</si>
  <si>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</si>
  <si>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</si>
  <si>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</si>
  <si>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</si>
  <si>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</si>
  <si>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</si>
  <si>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</si>
  <si>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</si>
  <si>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</si>
  <si>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</si>
  <si>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</si>
  <si>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</si>
  <si>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</si>
  <si>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</si>
  <si>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12 (MagicUI 6.1)</t>
  </si>
  <si>
    <t>-</t>
  </si>
  <si>
    <t>12 (Color Os 12.1)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</si>
  <si>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</si>
  <si>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</si>
  <si>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</si>
  <si>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</si>
  <si>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</si>
  <si>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</si>
  <si>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</si>
  <si>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</si>
  <si>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</si>
  <si>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</si>
  <si>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</si>
  <si>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</si>
  <si>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</si>
  <si>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</si>
  <si>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</si>
  <si>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</si>
  <si>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</si>
  <si>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</si>
  <si>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</si>
  <si>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</si>
  <si>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</si>
  <si>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</si>
  <si>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</si>
  <si>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</si>
  <si>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</si>
  <si>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</si>
  <si>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</si>
  <si>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</si>
  <si>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</si>
  <si>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</si>
  <si>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</si>
  <si>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</si>
  <si>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</si>
  <si>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</si>
  <si>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</si>
  <si>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</si>
  <si>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</si>
  <si>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</si>
  <si>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</si>
  <si>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</si>
  <si>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</si>
  <si>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</si>
  <si>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</si>
  <si>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</si>
  <si>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</si>
  <si>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</si>
  <si>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</si>
  <si>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</si>
  <si>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</si>
  <si>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</si>
  <si>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</si>
  <si>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</si>
  <si>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</si>
  <si>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</si>
  <si>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</si>
  <si>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</si>
  <si>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</si>
  <si>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</si>
  <si>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</si>
  <si>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</si>
  <si>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</si>
  <si>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</si>
  <si>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</si>
  <si>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</si>
  <si>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</si>
  <si>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</si>
  <si>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13 Go Edition</t>
  </si>
  <si>
    <t>Unisoc T606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</si>
  <si>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</si>
  <si>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</si>
  <si>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</si>
  <si>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</si>
  <si>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</si>
  <si>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</si>
  <si>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</si>
  <si>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</si>
  <si>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</si>
  <si>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</si>
  <si>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</si>
  <si>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</si>
  <si>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</si>
  <si>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</si>
  <si>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</si>
  <si>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</si>
  <si>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</si>
  <si>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</si>
  <si>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</si>
  <si>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</si>
  <si>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</si>
  <si>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</si>
  <si>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</si>
  <si>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</si>
  <si>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</si>
  <si>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</si>
  <si>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</si>
  <si>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</si>
  <si>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</si>
  <si>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</si>
  <si>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</si>
  <si>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</si>
  <si>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</si>
  <si>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</si>
  <si>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</si>
  <si>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</si>
  <si>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</si>
  <si>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</si>
  <si>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</si>
  <si>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</si>
  <si>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</si>
  <si>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</si>
  <si>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</si>
  <si>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</si>
  <si>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</si>
  <si>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</si>
  <si>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</si>
  <si>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</si>
  <si>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</si>
  <si>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</si>
  <si>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</si>
  <si>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</si>
  <si>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</si>
  <si>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</si>
  <si>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</si>
  <si>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</si>
  <si>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</si>
  <si>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</si>
  <si>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</si>
  <si>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</si>
  <si>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</si>
  <si>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</si>
  <si>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</si>
  <si>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</si>
  <si>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</si>
  <si>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</si>
  <si>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</si>
  <si>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</si>
  <si>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</si>
  <si>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</si>
  <si>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</si>
  <si>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</si>
  <si>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</si>
  <si>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</si>
  <si>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</si>
  <si>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</si>
  <si>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</si>
  <si>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</si>
  <si>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</si>
  <si>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</si>
  <si>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</si>
  <si>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</si>
  <si>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</si>
  <si>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</si>
  <si>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</si>
  <si>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</si>
  <si>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</si>
  <si>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</si>
  <si>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</si>
  <si>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</si>
  <si>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</si>
  <si>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</si>
  <si>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</si>
  <si>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</si>
  <si>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</si>
  <si>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</si>
  <si>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</si>
  <si>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</si>
  <si>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</si>
  <si>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</si>
  <si>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</si>
  <si>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</si>
  <si>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</si>
  <si>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</si>
  <si>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</si>
  <si>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</si>
  <si>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</si>
  <si>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</si>
  <si>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</si>
  <si>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</si>
  <si>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</si>
  <si>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</si>
  <si>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</si>
  <si>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</si>
  <si>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</si>
  <si>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</si>
  <si>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</si>
  <si>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</si>
  <si>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</si>
  <si>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</si>
  <si>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</si>
  <si>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</si>
  <si>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</si>
  <si>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</si>
  <si>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</si>
  <si>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</si>
  <si>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</si>
  <si>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</si>
  <si>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</si>
  <si>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</si>
  <si>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</si>
  <si>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APPLE IPHONE 6S PLUS 64GB</t>
  </si>
  <si>
    <t>Apple IPHONE 6S Plus 64GB - Seed Stock</t>
  </si>
  <si>
    <t>APPLE IPhone 7 128GB</t>
  </si>
  <si>
    <t>Apple IPHONE 7 128GB - Seed Stock</t>
  </si>
  <si>
    <t>APPLE IPhone 7 256GB</t>
  </si>
  <si>
    <t>Apple IPHONE 7 256GB - Seed Stock</t>
  </si>
  <si>
    <t>APPLE IPHONE 7 32GB</t>
  </si>
  <si>
    <t>Apple IPHONE 7 32GB - Seed Stock</t>
  </si>
  <si>
    <t>APPLE IPhone 7 PLUS 128GB</t>
  </si>
  <si>
    <t>Apple IPHONE 7 PLUS 128GB - Seed Stock</t>
  </si>
  <si>
    <t>APPLE IPhone 7 PLUS 256GB</t>
  </si>
  <si>
    <t>Apple IPHONE 7 PLUS 256GB - Seed Stock</t>
  </si>
  <si>
    <t>APPLE IPhone 7 PLUS 32GB</t>
  </si>
  <si>
    <t>Apple IPHONE 7 PLUS 32GB - Seed Stock</t>
  </si>
  <si>
    <t>APPLE IPHONE 8 256GB</t>
  </si>
  <si>
    <t>APPLE IPHONE 8 64GB</t>
  </si>
  <si>
    <t>APPLE IPHONE 8 PLUS 256GB</t>
  </si>
  <si>
    <t>APPLE IPHONE 8 PLUS 64GB</t>
  </si>
  <si>
    <t>Apple IPHONE 8GB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</si>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</sst>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3" xfId="0" applyNumberFormat="1" applyFill="1" applyBorder="1" applyAlignment="1">
      <alignment wrapText="1"/>
    </xf>
    <xf numFmtId="0" fontId="0" fillId="0" borderId="0" xfId="0" applyBorder="1"/>
    <xf numFmtId="0" fontId="0" fillId="0" borderId="2" xfId="0" applyFill="1" applyBorder="1"/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5" fillId="0" borderId="0" xfId="0" applyFont="1" applyBorder="1" applyAlignment="1">
      <alignment wrapText="1"/>
    </xf>
    <xf numFmtId="0" fontId="0" fillId="0" borderId="7" xfId="0" applyBorder="1" applyAlignment="1">
      <alignment wrapText="1"/>
    </xf>
    <xf numFmtId="0" fontId="6" fillId="0" borderId="0" xfId="0" applyFont="1" applyBorder="1" applyAlignment="1">
      <alignment wrapText="1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25" totalsRowShown="0" headerRowDxfId="283">
  <autoFilter ref="B2:I425" xr:uid="{43069BA1-4CC5-4D10-8300-BFE15A4B236B}"/>
  <sortState xmlns:xlrd2="http://schemas.microsoft.com/office/spreadsheetml/2017/richdata2" ref="B3:I424">
    <sortCondition ref="C2:C42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82"/>
    <tableColumn id="7" xr3:uid="{485FD90F-C415-4FDD-AA4D-2AC314783F49}" name="ESTA?2" dataDxfId="281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80">
      <calculatedColumnFormula>VLOOKUP(DICCIONARIO[[#This Row],[Modelo]],UNIFICADA[Equipo],1,0)</calculatedColumnFormula>
    </tableColumn>
    <tableColumn id="8" xr3:uid="{A296B727-366A-44C3-ACA3-E96BA5F218DA}" name="Cantidad" dataDxfId="279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6" totalsRowShown="0" headerRowDxfId="278">
  <autoFilter ref="K2:M156" xr:uid="{31EC6DFD-2D22-4C30-AEDC-6C487E6A88E8}"/>
  <sortState xmlns:xlrd2="http://schemas.microsoft.com/office/spreadsheetml/2017/richdata2" ref="K3:M156">
    <sortCondition ref="M2:M156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77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6" totalsRowShown="0" headerRowDxfId="276" dataDxfId="274" headerRowBorderDxfId="275" tableBorderDxfId="273">
  <autoFilter ref="D1:V166" xr:uid="{4B71F3B6-068C-4358-836F-C4B61EF2E6AC}"/>
  <sortState xmlns:xlrd2="http://schemas.microsoft.com/office/spreadsheetml/2017/richdata2" ref="D2:V166">
    <sortCondition ref="V1:V166"/>
  </sortState>
  <tableColumns count="19">
    <tableColumn id="1" xr3:uid="{D932A830-1C5D-47CD-BBF4-1814A1054A85}" name="EQUIPOS" dataDxfId="272"/>
    <tableColumn id="19" xr3:uid="{9D32459C-8A5D-45BF-9ECA-71459333AAD1}" name="img" dataDxfId="271"/>
    <tableColumn id="3" xr3:uid="{02C87839-D173-4682-B68D-6A8E17C3026E}" name="version" dataDxfId="270"/>
    <tableColumn id="4" xr3:uid="{7F464708-5AF1-412D-9306-7721B0311624}" name="display" dataDxfId="269"/>
    <tableColumn id="5" xr3:uid="{9840FEF3-82E3-486E-87E8-678814731646}" name="cam_princ" dataDxfId="268"/>
    <tableColumn id="6" xr3:uid="{058ED438-2AD3-4DB9-AEAB-2E7C99BBC6AE}" name="cam_cant" dataDxfId="267"/>
    <tableColumn id="7" xr3:uid="{AA0FC66C-C4A5-4EDF-90C9-3ABEFAF9A8F8}" name="cam_front" dataDxfId="266"/>
    <tableColumn id="8" xr3:uid="{742DEA9E-0461-46DA-9BAF-3C54F5A7BC83}" name="mem_int" dataDxfId="265"/>
    <tableColumn id="9" xr3:uid="{F57E3C51-9926-46FF-A8E3-C6E5CA8254FE}" name="mem_exp" dataDxfId="264"/>
    <tableColumn id="10" xr3:uid="{C33B6913-E8A1-44EA-BF2D-DCBBABF2F1A6}" name="nucleos" dataDxfId="263"/>
    <tableColumn id="11" xr3:uid="{81187736-8572-439C-85B5-499A56C17FEB}" name="ghz" dataDxfId="262"/>
    <tableColumn id="12" xr3:uid="{37711F67-6042-4E94-83CF-5CBD77B91949}" name="ram" dataDxfId="261"/>
    <tableColumn id="13" xr3:uid="{56D95EAF-5EAE-44AC-A841-42DDCC21DFFB}" name="peso" dataDxfId="260"/>
    <tableColumn id="14" xr3:uid="{0C8CFB70-FEE5-427A-A11A-C63234DF2631}" name="altura" dataDxfId="259"/>
    <tableColumn id="15" xr3:uid="{600F43F5-2CB9-4B9B-8E25-757F8BBEA8CD}" name="anchura" dataDxfId="258"/>
    <tableColumn id="16" xr3:uid="{475E1BE2-448C-41B3-8A8F-8249F2CF2181}" name="grosor" dataDxfId="257"/>
    <tableColumn id="17" xr3:uid="{F59BB169-5A84-4521-A4D6-3C5AE1F1D974}" name="bateria" dataDxfId="256"/>
    <tableColumn id="18" xr3:uid="{6B6EF8C5-DC23-4D45-81DB-283809974281}" name="red" dataDxfId="255"/>
    <tableColumn id="2" xr3:uid="{995E5915-F862-4EC5-9285-20817595BD9A}" name="Columna1" dataDxfId="254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42" totalsRowShown="0">
  <autoFilter ref="A1:B142" xr:uid="{9CCB71CE-9562-425E-B208-6EA8CB276A09}"/>
  <sortState xmlns:xlrd2="http://schemas.microsoft.com/office/spreadsheetml/2017/richdata2" ref="A2:B142">
    <sortCondition descending="1" ref="B1:B142"/>
  </sortState>
  <tableColumns count="2">
    <tableColumn id="1" xr3:uid="{733D7729-6E42-4F85-861F-E8C3B70BE830}" name="SEGÚN LISTA"/>
    <tableColumn id="2" xr3:uid="{603781F3-638F-4538-B5DC-897D283A8DB2}" name="ESTA?" dataDxfId="11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5" totalsRowShown="0" headerRowDxfId="253" dataDxfId="252">
  <autoFilter ref="C10:II175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51">
      <calculatedColumnFormula>SUMIFS(DICCIONARIO[Cantidad],DICCIONARIO[Modelo],UNIFICADA[[#This Row],[Equipo]])</calculatedColumnFormula>
    </tableColumn>
    <tableColumn id="269" xr3:uid="{D07B1630-BEDF-42F4-AFF7-F13C41516397}" name="version" dataDxfId="250">
      <calculatedColumnFormula>IFERROR(VLOOKUP($C11,EQUIPOS[],UNIFICADO!E$9,0),"")</calculatedColumnFormula>
    </tableColumn>
    <tableColumn id="270" xr3:uid="{E773B4AD-ADCB-48F1-A5F9-576AB2B2A25A}" name="display" dataDxfId="249">
      <calculatedColumnFormula>IFERROR(VLOOKUP($C11,EQUIPOS[],UNIFICADO!F$9,0),"")</calculatedColumnFormula>
    </tableColumn>
    <tableColumn id="271" xr3:uid="{E5D555CB-E6A7-423A-AEC0-CDB583FDD6EB}" name="cam_princ" dataDxfId="248">
      <calculatedColumnFormula>IFERROR(VLOOKUP($C11,EQUIPOS[],UNIFICADO!G$9,0),"")</calculatedColumnFormula>
    </tableColumn>
    <tableColumn id="272" xr3:uid="{4150901E-1416-4645-9A56-4DF5800E7988}" name="cam_cant" dataDxfId="247">
      <calculatedColumnFormula>IFERROR(VLOOKUP($C11,EQUIPOS[],UNIFICADO!H$9,0),"")</calculatedColumnFormula>
    </tableColumn>
    <tableColumn id="273" xr3:uid="{9E68B7B1-0BF4-499B-ABB9-AF1BF137F67D}" name="cam_front" dataDxfId="246">
      <calculatedColumnFormula>IFERROR(VLOOKUP($C11,EQUIPOS[],UNIFICADO!I$9,0),"")</calculatedColumnFormula>
    </tableColumn>
    <tableColumn id="274" xr3:uid="{72639959-911E-402B-8DA0-F36D279BC07A}" name="mem_int" dataDxfId="245">
      <calculatedColumnFormula>IFERROR(VLOOKUP($C11,EQUIPOS[],UNIFICADO!J$9,0),"")</calculatedColumnFormula>
    </tableColumn>
    <tableColumn id="275" xr3:uid="{48AFCC39-FEE4-49C8-881B-4D6A49B2769D}" name="mem_exp" dataDxfId="244">
      <calculatedColumnFormula>IFERROR(VLOOKUP($C11,EQUIPOS[],UNIFICADO!K$9,0),"")</calculatedColumnFormula>
    </tableColumn>
    <tableColumn id="276" xr3:uid="{09447B07-5E4F-4926-9818-FA289C24555A}" name="nucleos" dataDxfId="243">
      <calculatedColumnFormula>IFERROR(VLOOKUP($C11,EQUIPOS[],UNIFICADO!L$9,0),"")</calculatedColumnFormula>
    </tableColumn>
    <tableColumn id="277" xr3:uid="{553A2E8B-3771-4B9A-94B4-564631E127D7}" name="ghz" dataDxfId="242">
      <calculatedColumnFormula>IFERROR(VLOOKUP($C11,EQUIPOS[],UNIFICADO!M$9,0),"")</calculatedColumnFormula>
    </tableColumn>
    <tableColumn id="278" xr3:uid="{6AD3E60F-131B-4990-ADD9-D39B09245E6A}" name="ram" dataDxfId="241">
      <calculatedColumnFormula>IFERROR(VLOOKUP($C11,EQUIPOS[],UNIFICADO!N$9,0),"")</calculatedColumnFormula>
    </tableColumn>
    <tableColumn id="279" xr3:uid="{745E96EC-AA41-4D17-8672-EA7180249A05}" name="peso" dataDxfId="240">
      <calculatedColumnFormula>IFERROR(VLOOKUP($C11,EQUIPOS[],UNIFICADO!O$9,0),"")</calculatedColumnFormula>
    </tableColumn>
    <tableColumn id="280" xr3:uid="{E8F78C04-36C6-4F84-B7A2-4BB090E3E3FD}" name="altura" dataDxfId="239">
      <calculatedColumnFormula>IFERROR(VLOOKUP($C11,EQUIPOS[],UNIFICADO!P$9,0),"")</calculatedColumnFormula>
    </tableColumn>
    <tableColumn id="281" xr3:uid="{53DB81BC-E5D3-4EDC-8376-CC24F1712F9D}" name="anchura" dataDxfId="238">
      <calculatedColumnFormula>IFERROR(VLOOKUP($C11,EQUIPOS[],UNIFICADO!Q$9,0),"")</calculatedColumnFormula>
    </tableColumn>
    <tableColumn id="282" xr3:uid="{DF616921-874D-4DF0-B7F0-354C03A07F94}" name="grosor" dataDxfId="237">
      <calculatedColumnFormula>IFERROR(VLOOKUP($C11,EQUIPOS[],UNIFICADO!R$9,0),"")</calculatedColumnFormula>
    </tableColumn>
    <tableColumn id="283" xr3:uid="{58FA6E1F-DEA0-421D-A258-3C918F8EE29B}" name="bateria" dataDxfId="236">
      <calculatedColumnFormula>IFERROR(VLOOKUP($C11,EQUIPOS[],UNIFICADO!S$9,0),"")</calculatedColumnFormula>
    </tableColumn>
    <tableColumn id="284" xr3:uid="{020AA76E-8546-4E8A-AB1D-5F00BDEAEC0A}" name="red" dataDxfId="235">
      <calculatedColumnFormula>IFERROR(VLOOKUP($C11,EQUIPOS[],UNIFICADO!T$9,0),"")</calculatedColumnFormula>
    </tableColumn>
    <tableColumn id="286" xr3:uid="{E7401C15-786D-4E07-BF5C-532670CFF140}" name="id" dataDxfId="234">
      <calculatedColumnFormula>VLOOKUP(UNIFICADA[[#This Row],[Equipo]],EQUIPOS[],19,0)</calculatedColumnFormula>
    </tableColumn>
    <tableColumn id="2" xr3:uid="{15CBBE6D-DC4F-4AE7-BABA-4CEFAEFA2FD4}" name="Prepago" dataDxfId="233">
      <calculatedColumnFormula>IFERROR(IF(V$9="ND","ND",VLOOKUP($C11,PAR,V$9,0)),"ND")</calculatedColumnFormula>
    </tableColumn>
    <tableColumn id="3" xr3:uid="{BD1C5EEC-6DC1-42A6-BE14-30BAA14E64EC}" name="PortRenPre" dataDxfId="232">
      <calculatedColumnFormula>IFERROR(IF(W$9="ND","ND",VLOOKUP($C11,PRP,W$9,0)),"ND")</calculatedColumnFormula>
    </tableColumn>
    <tableColumn id="235" xr3:uid="{4CF931AD-83FB-4130-A897-3FC33DD3102F}" name="ACOMP_29" dataDxfId="231">
      <calculatedColumnFormula>IF(X$9="ND","ND",VLOOKUP($C11,AC,X$9,0))</calculatedColumnFormula>
    </tableColumn>
    <tableColumn id="236" xr3:uid="{8CC452DA-19C8-44A1-ADA4-CCC08D134266}" name="ACOMP_39" dataDxfId="230">
      <calculatedColumnFormula>IF(Y$9="ND","ND",VLOOKUP($C11,AC,Y$9,0))</calculatedColumnFormula>
    </tableColumn>
    <tableColumn id="237" xr3:uid="{5D56DAA2-933B-4A75-B460-270554B35677}" name="ACOMP_49" dataDxfId="229">
      <calculatedColumnFormula>IFERROR(IF(Z$9="ND","ND",VLOOKUP($C11,AC,Z$9,0)),"ND")</calculatedColumnFormula>
    </tableColumn>
    <tableColumn id="238" xr3:uid="{E763E99F-CA61-472C-80AF-CCFA9FEDD24B}" name="ACOMP_55" dataDxfId="228">
      <calculatedColumnFormula>IFERROR(IF(AA$9="ND","ND",VLOOKUP($C11,AC,AA$9,0)),"ND")</calculatedColumnFormula>
    </tableColumn>
    <tableColumn id="239" xr3:uid="{BEF89A7A-6251-4371-8F9C-4239043E52D2}" name="ACOMP_69" dataDxfId="227">
      <calculatedColumnFormula>IFERROR(IF(AB$9="ND","ND",VLOOKUP($C11,AC,AB$9,0)),"ND")</calculatedColumnFormula>
    </tableColumn>
    <tableColumn id="240" xr3:uid="{B0331598-57FB-4A6E-AA63-D05DA4D4EA20}" name="ACOMP_79" dataDxfId="226">
      <calculatedColumnFormula>IFERROR(IF(AC$9="ND","ND",VLOOKUP($C11,AC,AC$9,0)),"ND")</calculatedColumnFormula>
    </tableColumn>
    <tableColumn id="241" xr3:uid="{C8EBCC3A-F761-43E5-AE1A-8A881BD6DB75}" name="ACOMP_95" dataDxfId="225">
      <calculatedColumnFormula>IFERROR(IF(AD$9="ND","ND",VLOOKUP($C11,AC,AD$9,0)),"ND")</calculatedColumnFormula>
    </tableColumn>
    <tableColumn id="242" xr3:uid="{63C68F08-6E07-45E4-84E0-BF70366BE6D9}" name="ACOMP_109" dataDxfId="224">
      <calculatedColumnFormula>IFERROR(IF(AE$9="ND","ND",VLOOKUP($C11,AC,AE$9,0)),"ND")</calculatedColumnFormula>
    </tableColumn>
    <tableColumn id="243" xr3:uid="{7BBD2F7E-EB62-4CF0-9B7A-F2049CCB0FA0}" name="ACOMP_159" dataDxfId="223">
      <calculatedColumnFormula>IFERROR(IF(AF$9="ND","ND",VLOOKUP($C11,AC,AF$9,0)),"ND")</calculatedColumnFormula>
    </tableColumn>
    <tableColumn id="244" xr3:uid="{B960E3CB-88B6-4071-995F-255203A3F4CD}" name="ACOMP_189" dataDxfId="222">
      <calculatedColumnFormula>IFERROR(IF(AG$9="ND","ND",VLOOKUP($C11,AC,AG$9,0)),"ND")</calculatedColumnFormula>
    </tableColumn>
    <tableColumn id="245" xr3:uid="{163E770B-5B51-4794-8E4C-8ADDD34D29F1}" name="ACOMP_289" dataDxfId="221">
      <calculatedColumnFormula>IFERROR(IF(AH$9="ND","ND",VLOOKUP($C11,AC,AH$9,0)),"ND")</calculatedColumnFormula>
    </tableColumn>
    <tableColumn id="4" xr3:uid="{26BFB238-657C-4A39-BBAD-2048EE48178A}" name="AC6MC_29" dataDxfId="220">
      <calculatedColumnFormula>IFERROR(ROUNDUP(AJ11/6,2)+29.9,"ND")</calculatedColumnFormula>
    </tableColumn>
    <tableColumn id="5" xr3:uid="{BF4427DB-10CB-4E3E-9697-6F76FEE22DE4}" name="AC6MT_29" dataDxfId="219">
      <calculatedColumnFormula>IFERROR(IF(AJ$9="ND","ND",ROUNDUP(VALUE(VLOOKUP($C11,A6M,AJ$9,0))/6,2)),"ND")</calculatedColumnFormula>
    </tableColumn>
    <tableColumn id="6" xr3:uid="{2184D458-08CA-40C8-822E-730E42E27777}" name="AC6MC_39" dataDxfId="218">
      <calculatedColumnFormula>IFERROR(ROUNDUP(AL11/6,2)+39.9,"ND")</calculatedColumnFormula>
    </tableColumn>
    <tableColumn id="7" xr3:uid="{3CCC7BC6-442D-4DDD-BCEA-983D443D81F5}" name="AC6MT_39" dataDxfId="217">
      <calculatedColumnFormula>IFERROR(IF(AL$9="ND","ND",ROUNDUP(VALUE(VLOOKUP($C11,A6M,AL$9,0))/6,2)),"ND")</calculatedColumnFormula>
    </tableColumn>
    <tableColumn id="8" xr3:uid="{4D503D8F-B6D1-4324-AF8C-CF8E9F00BBD9}" name="AC6MC_49" dataDxfId="216">
      <calculatedColumnFormula>IFERROR(ROUNDUP(AN11/6,2)+49.9,"ND")</calculatedColumnFormula>
    </tableColumn>
    <tableColumn id="9" xr3:uid="{3079D602-1866-4B2D-9AD7-80D9A3EF96CA}" name="AC6MT_49" dataDxfId="215">
      <calculatedColumnFormula>IFERROR(IF(AN$9="ND","ND",VLOOKUP($C11,A6M,AN$9,0)),"ND")</calculatedColumnFormula>
    </tableColumn>
    <tableColumn id="10" xr3:uid="{5A53B6C6-F074-4F67-8276-E52757C7FC95}" name="AC6MC_55" dataDxfId="214">
      <calculatedColumnFormula>IFERROR(ROUNDUP(AP11/6,2)+55.9,"ND")</calculatedColumnFormula>
    </tableColumn>
    <tableColumn id="11" xr3:uid="{FB2265FD-1AF7-4F7E-BD5D-FB1FE15EE7F2}" name="AC6MT_55" dataDxfId="213">
      <calculatedColumnFormula>IFERROR(IF(AP$9="ND","ND",VLOOKUP($C11,A6M,AP$9,0)),"ND")</calculatedColumnFormula>
    </tableColumn>
    <tableColumn id="12" xr3:uid="{C3043229-7841-4FD9-AF98-50D730D0072C}" name="AC6MC_69" dataDxfId="212">
      <calculatedColumnFormula>IFERROR(ROUNDUP(AR11/6,2)+69.9,"ND")</calculatedColumnFormula>
    </tableColumn>
    <tableColumn id="13" xr3:uid="{CBACE8B1-8F51-4199-812F-B4A01657A2B3}" name="AC6MT_69" dataDxfId="211">
      <calculatedColumnFormula>IFERROR(IF(AR$9="ND","ND",VLOOKUP($C11,A6M,AR$9,0)),"ND")</calculatedColumnFormula>
    </tableColumn>
    <tableColumn id="14" xr3:uid="{CF12CAA9-A820-4587-9254-4B792C9CB641}" name="AC6MC_79" dataDxfId="210">
      <calculatedColumnFormula>IFERROR(ROUNDUP(AT11/6,2)+79.9,"ND")</calculatedColumnFormula>
    </tableColumn>
    <tableColumn id="15" xr3:uid="{ADD49064-4515-4388-9A55-1B6AE1CF9DDE}" name="AC6MT_79" dataDxfId="209">
      <calculatedColumnFormula>IFERROR(IF(AT$9="ND","ND",VLOOKUP($C11,A6M,AT$9,0)),"ND")</calculatedColumnFormula>
    </tableColumn>
    <tableColumn id="16" xr3:uid="{E8C54F0B-EAEE-48A4-9A13-4BF6A35CC48F}" name="AC6MC_95" dataDxfId="208">
      <calculatedColumnFormula>IFERROR(ROUNDUP(AV11/6,2)+95.9,"ND")</calculatedColumnFormula>
    </tableColumn>
    <tableColumn id="17" xr3:uid="{33011E9D-6E09-4CF2-A0F2-E04A2A68C7ED}" name="AC6MT_95" dataDxfId="207">
      <calculatedColumnFormula>IFERROR(IF(AV$9="ND","ND",VLOOKUP($C11,A6M,AV$9,0)),"ND")</calculatedColumnFormula>
    </tableColumn>
    <tableColumn id="18" xr3:uid="{0A601385-F553-463C-BE13-513D070D4CDA}" name="AC6MC_109" dataDxfId="206">
      <calculatedColumnFormula>IFERROR(ROUNDUP(AX11/6,2)+109.9,"ND")</calculatedColumnFormula>
    </tableColumn>
    <tableColumn id="19" xr3:uid="{4CFC3D38-4BC9-44C8-97B6-29958DD91560}" name="AC6MT_109" dataDxfId="205">
      <calculatedColumnFormula>IFERROR(IF(AX$9="ND","ND",VLOOKUP($C11,A6M,AX$9,0)),"ND")</calculatedColumnFormula>
    </tableColumn>
    <tableColumn id="20" xr3:uid="{FC8B20E6-527B-4846-A74C-4AB58021C1E0}" name="AC6MC_159" dataDxfId="204">
      <calculatedColumnFormula>IFERROR(ROUNDUP(AZ11/6,2)+159.9,"ND")</calculatedColumnFormula>
    </tableColumn>
    <tableColumn id="21" xr3:uid="{F7DF58E3-C8F7-4D54-B666-B7E4291DC395}" name="AC6MT_159" dataDxfId="203">
      <calculatedColumnFormula>IFERROR(IF(AZ$9="ND","ND",VLOOKUP($C11,A6M,AZ$9,0)),"ND")</calculatedColumnFormula>
    </tableColumn>
    <tableColumn id="22" xr3:uid="{EA9E03A5-B3F1-4568-84C3-65708B2B3691}" name="AC6MC_189" dataDxfId="202">
      <calculatedColumnFormula>IFERROR(ROUNDUP(BB11/6,2)+189.9,"ND")</calculatedColumnFormula>
    </tableColumn>
    <tableColumn id="23" xr3:uid="{298965A3-79A2-4A38-8919-4A8710E25E76}" name="AC6MT_189" dataDxfId="201">
      <calculatedColumnFormula>IFERROR(IF(BB$9="ND","ND",VLOOKUP($C11,A6M,BB$9,0)),"ND")</calculatedColumnFormula>
    </tableColumn>
    <tableColumn id="24" xr3:uid="{EB2DD35C-60E8-485F-8902-139618E12F4B}" name="AC6MC_289" dataDxfId="200">
      <calculatedColumnFormula>IFERROR(ROUNDUP(BD11/6,2)+289.9,"ND")</calculatedColumnFormula>
    </tableColumn>
    <tableColumn id="25" xr3:uid="{B9D5BF8E-047F-4236-BFE0-114152FC0853}" name="AC6MT_289" dataDxfId="199">
      <calculatedColumnFormula>IFERROR(IF(BD$9="ND","ND",VLOOKUP($C11,A6M,BD$9,0)),"ND")</calculatedColumnFormula>
    </tableColumn>
    <tableColumn id="26" xr3:uid="{1F475233-2B48-4138-A742-DA46C1488A61}" name="AC12MC_29" dataDxfId="198">
      <calculatedColumnFormula>IFERROR(ROUNDUP(BF11/12,2)+29.9,"ND")</calculatedColumnFormula>
    </tableColumn>
    <tableColumn id="27" xr3:uid="{3BB5FD18-1F01-4573-B339-38F4A1FC7B4C}" name="AC12MT_29" dataDxfId="197">
      <calculatedColumnFormula>IFERROR(IF(BF$9="ND","ND",VLOOKUP($C11,A12M,BF$9,0)),"ND")</calculatedColumnFormula>
    </tableColumn>
    <tableColumn id="28" xr3:uid="{93CC2E53-4FB5-4B23-AF57-28A56DEB1FB7}" name="AC12MC_39" dataDxfId="196">
      <calculatedColumnFormula>IFERROR(ROUNDUP(BH11/12,2)+39.9,"ND")</calculatedColumnFormula>
    </tableColumn>
    <tableColumn id="29" xr3:uid="{4C4BB6FE-27AD-4918-AD70-F3A5DA752F6A}" name="AC12MT_39" dataDxfId="195">
      <calculatedColumnFormula>IFERROR(IF(BH$9="ND","ND",VLOOKUP($C11,A12M,BH$9,0)),"ND")</calculatedColumnFormula>
    </tableColumn>
    <tableColumn id="30" xr3:uid="{9F3E12ED-3995-4C51-9386-A5AEE2592F37}" name="AC12MC_49" dataDxfId="194">
      <calculatedColumnFormula>IFERROR(ROUNDUP(BJ11/12,2)+49.9,"ND")</calculatedColumnFormula>
    </tableColumn>
    <tableColumn id="31" xr3:uid="{0E250D77-A41A-45C9-9D02-EF91D4577ED2}" name="AC12MT_49" dataDxfId="193">
      <calculatedColumnFormula>IFERROR(IF(BJ$9="ND","ND",VLOOKUP($C11,A12M,BJ$9,0)),"ND")</calculatedColumnFormula>
    </tableColumn>
    <tableColumn id="32" xr3:uid="{607EC6B2-9E08-4356-9B0A-335B6DCA3633}" name="AC12MC_55" dataDxfId="192">
      <calculatedColumnFormula>IFERROR(ROUNDUP(BL11/12,2)+55.9,"ND")</calculatedColumnFormula>
    </tableColumn>
    <tableColumn id="33" xr3:uid="{F7DA22CD-A4FE-4221-94E9-C3BCA544471D}" name="AC12MT_55" dataDxfId="191">
      <calculatedColumnFormula>IFERROR(IF(BL$9="ND","ND",VLOOKUP($C11,A12M,BL$9,0)),"ND")</calculatedColumnFormula>
    </tableColumn>
    <tableColumn id="34" xr3:uid="{11750AA4-E9BA-4793-A60A-839FF1C68066}" name="AC12MC_69" dataDxfId="190">
      <calculatedColumnFormula>IFERROR(ROUNDUP(BN11/12,2)+69.9,"ND")</calculatedColumnFormula>
    </tableColumn>
    <tableColumn id="35" xr3:uid="{A600321D-B562-47AA-9EDE-4CF26F813E58}" name="AC12MT_69" dataDxfId="189">
      <calculatedColumnFormula>IFERROR(IF(BN$9="ND","ND",VLOOKUP($C11,A12M,BN$9,0)),"ND")</calculatedColumnFormula>
    </tableColumn>
    <tableColumn id="36" xr3:uid="{A14E4B61-7147-409E-8114-F8435BA6777B}" name="AC12MC_79" dataDxfId="188">
      <calculatedColumnFormula>IFERROR(ROUNDUP(BP11/12,2)+79.9,"ND")</calculatedColumnFormula>
    </tableColumn>
    <tableColumn id="37" xr3:uid="{8F803A56-E534-4A22-896D-6715A0936D2B}" name="AC12MT_79" dataDxfId="187">
      <calculatedColumnFormula>IFERROR(IF(BP$9="ND","ND",VLOOKUP($C11,A12M,BP$9,0)),"ND")</calculatedColumnFormula>
    </tableColumn>
    <tableColumn id="38" xr3:uid="{AABC01E4-65A5-48E8-B032-6502D9FA97C9}" name="AC12MC_95" dataDxfId="186">
      <calculatedColumnFormula>IFERROR(ROUNDUP(BR11/12,2)+95.9,"ND")</calculatedColumnFormula>
    </tableColumn>
    <tableColumn id="39" xr3:uid="{78DBDAE8-A51B-4BAB-B460-7DB306D457E0}" name="AC12MT_95" dataDxfId="185">
      <calculatedColumnFormula>IFERROR(IF(BR$9="ND","ND",VLOOKUP($C11,A12M,BR$9,0)),"ND")</calculatedColumnFormula>
    </tableColumn>
    <tableColumn id="40" xr3:uid="{B63454BD-A925-43A9-8852-D38F881EE61B}" name="AC12MC_109" dataDxfId="184">
      <calculatedColumnFormula>IFERROR(ROUNDUP(BT11/12,2)+109.9,"ND")</calculatedColumnFormula>
    </tableColumn>
    <tableColumn id="41" xr3:uid="{6022B41D-301D-4BC8-90B8-21EEF3AD3197}" name="AC12MT_109" dataDxfId="183">
      <calculatedColumnFormula>IFERROR(IF(BT$9="ND","ND",VLOOKUP($C11,A12M,BT$9,0)),"ND")</calculatedColumnFormula>
    </tableColumn>
    <tableColumn id="42" xr3:uid="{60D42515-44C2-48DE-8452-86A42CCF9DE7}" name="AC12MC_159" dataDxfId="182">
      <calculatedColumnFormula>IFERROR(ROUNDUP(BV11/12,2)+159.9,"ND")</calculatedColumnFormula>
    </tableColumn>
    <tableColumn id="43" xr3:uid="{C71CCB70-A842-43D1-A058-1F8D68E75B2F}" name="AC12MT_159" dataDxfId="181">
      <calculatedColumnFormula>IFERROR(IF(BV$9="ND","ND",VLOOKUP($C11,A12M,BV$9,0)),"ND")</calculatedColumnFormula>
    </tableColumn>
    <tableColumn id="44" xr3:uid="{2DEABF47-37BC-464E-BCCE-9B4073D56C2D}" name="AC12MC_189" dataDxfId="180">
      <calculatedColumnFormula>IFERROR(ROUNDUP(BX11/12,2)+189.9,"ND")</calculatedColumnFormula>
    </tableColumn>
    <tableColumn id="45" xr3:uid="{67E8F71C-CE91-4EEE-A3F4-2FEE0BE7CACA}" name="AC12MT_189" dataDxfId="179">
      <calculatedColumnFormula>IFERROR(IF(BX$9="ND","ND",VLOOKUP($C11,A12M,BX$9,0)),"ND")</calculatedColumnFormula>
    </tableColumn>
    <tableColumn id="46" xr3:uid="{3C1F0E49-33D0-4B7E-AB5C-3A8E2D4CF1B9}" name="AC12MC_289" dataDxfId="178">
      <calculatedColumnFormula>IFERROR(ROUNDUP(BZ11/12,2)+289.9,"ND")</calculatedColumnFormula>
    </tableColumn>
    <tableColumn id="47" xr3:uid="{895B3347-61B3-428F-9ABD-BD83D6288115}" name="AC12MT_289" dataDxfId="177">
      <calculatedColumnFormula>IFERROR(IF(BZ$9="ND","ND",VLOOKUP($C11,A12M,BZ$9,0)),"ND")</calculatedColumnFormula>
    </tableColumn>
    <tableColumn id="48" xr3:uid="{6AC77227-942A-41A4-91B4-1FF1A9515C04}" name="FULLC_29" dataDxfId="176">
      <calculatedColumnFormula>IFERROR(IF(CA$9="ND","ND",VLOOKUP($C11,FULLC,CA$9,0)),"ND")</calculatedColumnFormula>
    </tableColumn>
    <tableColumn id="49" xr3:uid="{29949A5D-2A0F-4EA3-B64B-AD49B270016C}" name="FULLC_39" dataDxfId="175">
      <calculatedColumnFormula>IFERROR(IF(CB$9="ND","ND",VLOOKUP($C11,FULLC,CB$9,0)),"ND")</calculatedColumnFormula>
    </tableColumn>
    <tableColumn id="50" xr3:uid="{40CC3D88-9B6E-490F-95D3-804D941BC30D}" name="FULLC_49" dataDxfId="174">
      <calculatedColumnFormula>IFERROR(IF(CC$9="ND","ND",VLOOKUP($C11,FULLC,CC$9,0)),"ND")</calculatedColumnFormula>
    </tableColumn>
    <tableColumn id="51" xr3:uid="{10881B88-1322-49AF-9901-172E378AC5DB}" name="FULLC_55" dataDxfId="173">
      <calculatedColumnFormula>IFERROR(IF(CD$9="ND","ND",VLOOKUP($C11,FULLC,CD$9,0)),"ND")</calculatedColumnFormula>
    </tableColumn>
    <tableColumn id="52" xr3:uid="{4F5F2B32-E3FF-421D-8982-FABDA7DD0325}" name="FULLC_69" dataDxfId="172">
      <calculatedColumnFormula>IFERROR(IF(CE$9="ND","ND",VLOOKUP($C11,FULLC,CE$9,0)),"ND")</calculatedColumnFormula>
    </tableColumn>
    <tableColumn id="53" xr3:uid="{8A8BF448-5A11-43F9-A5A4-82A9ABA6331F}" name="FULLC_79" dataDxfId="171">
      <calculatedColumnFormula>IFERROR(IF(CF$9="ND","ND",VLOOKUP($C11,FULLC,CF$9,0)),"ND")</calculatedColumnFormula>
    </tableColumn>
    <tableColumn id="54" xr3:uid="{874F94BB-60AE-4A5D-8B93-0B2BD2649069}" name="FULLC_95" dataDxfId="170">
      <calculatedColumnFormula>IFERROR(IF(CG$9="ND","ND",VLOOKUP($C11,FULLC,CG$9,0)),"ND")</calculatedColumnFormula>
    </tableColumn>
    <tableColumn id="55" xr3:uid="{4869533A-E388-4D38-A30B-6EECC3DB368D}" name="FULLC_109" dataDxfId="169">
      <calculatedColumnFormula>IFERROR(IF(CH$9="ND","ND",VLOOKUP($C11,FULLC,CH$9,0)),"ND")</calculatedColumnFormula>
    </tableColumn>
    <tableColumn id="56" xr3:uid="{8D50C548-E4E4-444D-8D9B-E1B247291559}" name="FULLC_159" dataDxfId="168">
      <calculatedColumnFormula>IFERROR(IF(CI$9="ND","ND",VLOOKUP($C11,FULLC,CI$9,0)),"ND")</calculatedColumnFormula>
    </tableColumn>
    <tableColumn id="57" xr3:uid="{270A1446-F6B0-4576-8BF3-9109DBAD7AC8}" name="FULLC_189" dataDxfId="167">
      <calculatedColumnFormula>IFERROR(IF(CJ$9="ND","ND",VLOOKUP($C11,FULLC,CJ$9,0)),"ND")</calculatedColumnFormula>
    </tableColumn>
    <tableColumn id="58" xr3:uid="{75754ECF-D295-4682-A2FA-DCD70C752F12}" name="FULLC_289" dataDxfId="166">
      <calculatedColumnFormula>IFERROR(IF(CK$9="ND","ND",VLOOKUP($C11,FULLC,CK$9,0)),"ND")</calculatedColumnFormula>
    </tableColumn>
    <tableColumn id="59" xr3:uid="{CA73C5BB-FF98-4EBE-948C-576CB9E96EEA}" name="LINA_29" dataDxfId="165">
      <calculatedColumnFormula>IFERROR(IF(CL$9="ND","ND",VLOOKUP($C11,LINA,CL$9,0)),"ND")</calculatedColumnFormula>
    </tableColumn>
    <tableColumn id="60" xr3:uid="{D1467787-2856-405C-9D13-8B18FC5D2245}" name="LINA_39" dataDxfId="164">
      <calculatedColumnFormula>IFERROR(IF(CM$9="ND","ND",VLOOKUP($C11,LINA,CM$9,0)),"ND")</calculatedColumnFormula>
    </tableColumn>
    <tableColumn id="61" xr3:uid="{17E0372B-9D1C-4327-9F30-CBCC2522E0C5}" name="LINA_49" dataDxfId="163">
      <calculatedColumnFormula>IFERROR(IF(CN$9="ND","ND",VLOOKUP($C11,LINA,CN$9,0)),"ND")</calculatedColumnFormula>
    </tableColumn>
    <tableColumn id="62" xr3:uid="{F90DCAF3-3489-440F-B219-9CB2D79B83D1}" name="LINA_55" dataDxfId="162">
      <calculatedColumnFormula>IFERROR(IF(CO$9="ND","ND",VLOOKUP($C11,LINA,CO$9,0)),"ND")</calculatedColumnFormula>
    </tableColumn>
    <tableColumn id="63" xr3:uid="{50E793FC-86CC-46E2-8099-502791B98495}" name="LINA_69" dataDxfId="161">
      <calculatedColumnFormula>IFERROR(IF(CP$9="ND","ND",VLOOKUP($C11,LINA,CP$9,0)),"ND")</calculatedColumnFormula>
    </tableColumn>
    <tableColumn id="64" xr3:uid="{DAD026BE-54F6-4255-AD8B-E073B11BB204}" name="LINA_79" dataDxfId="160">
      <calculatedColumnFormula>IFERROR(IF(CQ$9="ND","ND",VLOOKUP($C11,LINA,CQ$9,0)),"ND")</calculatedColumnFormula>
    </tableColumn>
    <tableColumn id="65" xr3:uid="{025E1983-C469-4A52-A41F-EAD6FD9B93CD}" name="LINA_95" dataDxfId="159">
      <calculatedColumnFormula>IFERROR(IF(CR$9="ND","ND",VLOOKUP($C11,LINA,CR$9,0)),"ND")</calculatedColumnFormula>
    </tableColumn>
    <tableColumn id="66" xr3:uid="{87D301F0-E632-4648-B926-DC7B64A40416}" name="LINA_109" dataDxfId="158">
      <calculatedColumnFormula>IFERROR(IF(CS$9="ND","ND",VLOOKUP($C11,LINA,CS$9,0)),"ND")</calculatedColumnFormula>
    </tableColumn>
    <tableColumn id="67" xr3:uid="{F9DFB099-2686-4D97-830E-24A088513C96}" name="LINA_159" dataDxfId="157">
      <calculatedColumnFormula>IFERROR(IF(CT$9="ND","ND",VLOOKUP($C11,LINA,CT$9,0)),"ND")</calculatedColumnFormula>
    </tableColumn>
    <tableColumn id="68" xr3:uid="{BB5B510E-9B99-484C-8C2D-83C4DEB61D7C}" name="LINA_189" dataDxfId="156">
      <calculatedColumnFormula>IFERROR(IF(CU$9="ND","ND",VLOOKUP($C11,LINA,CU$9,0)),"ND")</calculatedColumnFormula>
    </tableColumn>
    <tableColumn id="69" xr3:uid="{917C52C4-C03B-47F2-9A38-CAE6E6747A9C}" name="LINA_289" dataDxfId="155">
      <calculatedColumnFormula>IFERROR(IF(CV$9="ND","ND",VLOOKUP($C11,LINA,CV$9,0)),"ND")</calculatedColumnFormula>
    </tableColumn>
    <tableColumn id="70" xr3:uid="{9ACC6A10-FD3B-4DA5-B0B5-292C82C03BE8}" name="LAA6MC_29" dataDxfId="154">
      <calculatedColumnFormula>IFERROR(ROUNDUP(CX11/6,2)+29.9,"ND")</calculatedColumnFormula>
    </tableColumn>
    <tableColumn id="71" xr3:uid="{4BFDB82A-8683-4591-AD77-6EB04CD652BB}" name="LAA6MT_29" dataDxfId="153">
      <calculatedColumnFormula>IFERROR(IF(CX$9="ND","ND",VLOOKUP($C11,AC6M,CX$9,0)),"ND")</calculatedColumnFormula>
    </tableColumn>
    <tableColumn id="72" xr3:uid="{D7EC2FC6-8154-44BF-A084-2A7239C3E5BC}" name="LAA6MC_39" dataDxfId="152">
      <calculatedColumnFormula>IFERROR(ROUNDUP(CZ11/6,2)+39.9,"ND")</calculatedColumnFormula>
    </tableColumn>
    <tableColumn id="73" xr3:uid="{FF329A4D-502D-4D2E-9612-AF17E9AD5650}" name="LAA6MT_39" dataDxfId="151">
      <calculatedColumnFormula>IFERROR(IF(CZ$9="ND","ND",VLOOKUP($C11,AC6M,CZ$9,0)),"ND")</calculatedColumnFormula>
    </tableColumn>
    <tableColumn id="74" xr3:uid="{E39B198C-1BA1-457F-BAD2-1B6B28C1E0A0}" name="LAA6MC_49" dataDxfId="150">
      <calculatedColumnFormula>IFERROR(ROUNDUP(DB11/6,2)+49.9,"ND")</calculatedColumnFormula>
    </tableColumn>
    <tableColumn id="75" xr3:uid="{280E3840-4341-46B4-9B94-72B9AE67DA24}" name="LAA6MT_49" dataDxfId="149">
      <calculatedColumnFormula>IFERROR(IF(DB$9="ND","ND",VLOOKUP($C11,AC6M,DB$9,0)),"ND")</calculatedColumnFormula>
    </tableColumn>
    <tableColumn id="76" xr3:uid="{F210A407-3343-4005-A306-65ABD4C8D8B9}" name="LAA6MC_55" dataDxfId="148">
      <calculatedColumnFormula>IFERROR(ROUNDUP(DD11/6,2)+55.9,"ND")</calculatedColumnFormula>
    </tableColumn>
    <tableColumn id="77" xr3:uid="{F0385B07-C6F4-404F-B752-822678E15FAC}" name="LAA6MT_55" dataDxfId="147">
      <calculatedColumnFormula>IFERROR(IF(DD$9="ND","ND",VLOOKUP($C11,AC6M,DD$9,0)),"ND")</calculatedColumnFormula>
    </tableColumn>
    <tableColumn id="78" xr3:uid="{3C8696DC-EE50-457C-ABB5-86A82B929433}" name="LAA6MC_69" dataDxfId="146">
      <calculatedColumnFormula>IFERROR(ROUNDUP(DF11/6,2)+69.9,"ND")</calculatedColumnFormula>
    </tableColumn>
    <tableColumn id="79" xr3:uid="{2189F9CF-0FD4-4C6F-A3C3-5FCF4B12FC14}" name="LAA6MT_69" dataDxfId="145">
      <calculatedColumnFormula>IFERROR(IF(DF$9="ND","ND",VLOOKUP($C11,AC6M,DF$9,0)),"ND")</calculatedColumnFormula>
    </tableColumn>
    <tableColumn id="80" xr3:uid="{06A16153-1769-4A47-A1AF-FA1C5EB7145C}" name="LAA6MC_79" dataDxfId="144">
      <calculatedColumnFormula>IFERROR(ROUNDUP(DH11/6,2)+79.9,"ND")</calculatedColumnFormula>
    </tableColumn>
    <tableColumn id="81" xr3:uid="{91BA2102-00BC-4E87-977A-8753EF079AE0}" name="LAA6MT_79" dataDxfId="143">
      <calculatedColumnFormula>IFERROR(IF(DH$9="ND","ND",VLOOKUP($C11,AC6M,DH$9,0)),"ND")</calculatedColumnFormula>
    </tableColumn>
    <tableColumn id="82" xr3:uid="{FB4D10CE-8E6C-44DD-84B4-FC265E51E4E4}" name="LAA6MC_95" dataDxfId="142">
      <calculatedColumnFormula>IFERROR(ROUNDUP(DJ11/6,2)+95.9,"ND")</calculatedColumnFormula>
    </tableColumn>
    <tableColumn id="83" xr3:uid="{B5CF5928-818C-4C1D-BE92-68F73CAAEFFF}" name="LAA6MT_95" dataDxfId="141">
      <calculatedColumnFormula>IFERROR(IF(DJ$9="ND","ND",VLOOKUP($C11,AC6M,DJ$9,0)),"ND")</calculatedColumnFormula>
    </tableColumn>
    <tableColumn id="84" xr3:uid="{BF62BCDB-4CFE-47EB-BA61-9D75785E1441}" name="LAA6MC_109" dataDxfId="140">
      <calculatedColumnFormula>IFERROR(ROUNDUP(DL11/6,2)+109.9,"ND")</calculatedColumnFormula>
    </tableColumn>
    <tableColumn id="85" xr3:uid="{CB85B01E-E007-4A2D-A8DB-04FBCA6E27D0}" name="LAA6MT_109" dataDxfId="139">
      <calculatedColumnFormula>IFERROR(IF(DL$9="ND","ND",VLOOKUP($C11,AC6M,DL$9,0)),"ND")</calculatedColumnFormula>
    </tableColumn>
    <tableColumn id="86" xr3:uid="{DAB5CA00-D431-4D34-8610-55E68DCFD759}" name="LAA6MC_159" dataDxfId="138">
      <calculatedColumnFormula>IFERROR(ROUNDUP(DN11/6,2)+159.9,"ND")</calculatedColumnFormula>
    </tableColumn>
    <tableColumn id="87" xr3:uid="{5D114904-27B0-4E0A-958A-DCA080FB5406}" name="LAA6MT_159" dataDxfId="137">
      <calculatedColumnFormula>IFERROR(IF(DN$9="ND","ND",VLOOKUP($C11,AC6M,DN$9,0)),"ND")</calculatedColumnFormula>
    </tableColumn>
    <tableColumn id="88" xr3:uid="{C5D779A9-807E-42B8-853A-1492D62574D2}" name="LAA6MC_189" dataDxfId="136">
      <calculatedColumnFormula>IFERROR(ROUNDUP(DP11/6,2)+189.9,"ND")</calculatedColumnFormula>
    </tableColumn>
    <tableColumn id="89" xr3:uid="{BE0BFFB6-AE52-45BC-8799-94A62D70F499}" name="LAA6MT_189" dataDxfId="135">
      <calculatedColumnFormula>IFERROR(IF(DP$9="ND","ND",VLOOKUP($C11,AC6M,DP$9,0)),"ND")</calculatedColumnFormula>
    </tableColumn>
    <tableColumn id="90" xr3:uid="{4E7C3B70-6031-476B-8FEB-9280514374CB}" name="LAA6MC_289" dataDxfId="134">
      <calculatedColumnFormula>IFERROR(ROUNDUP(DR11/6,2)+289.9,"ND")</calculatedColumnFormula>
    </tableColumn>
    <tableColumn id="91" xr3:uid="{0C90A037-85D2-430E-9D59-7A98492A01F0}" name="LAA6MT_289" dataDxfId="133">
      <calculatedColumnFormula>IFERROR(IF(DR$9="ND","ND",VLOOKUP($C11,AC6M,DR$9,0)),"ND")</calculatedColumnFormula>
    </tableColumn>
    <tableColumn id="92" xr3:uid="{2BB73572-39B7-4087-94F6-9CF42CCBD97B}" name="LAA12MC_29" dataDxfId="132">
      <calculatedColumnFormula>IFERROR(ROUNDUP(DT11/12,2)+29.9,"ND")</calculatedColumnFormula>
    </tableColumn>
    <tableColumn id="93" xr3:uid="{BE82C51D-3A4C-4C64-B3CA-F8C380CBE0D4}" name="LAA12MT_29" dataDxfId="131">
      <calculatedColumnFormula>IFERROR(IF(DT$9="ND","ND",VLOOKUP($C11,AC12M,DT$9,0)),"ND")</calculatedColumnFormula>
    </tableColumn>
    <tableColumn id="94" xr3:uid="{D49263AD-C56C-47A3-B653-444B5CA15DEB}" name="LAA12MC_39" dataDxfId="130">
      <calculatedColumnFormula>IFERROR(ROUNDUP(DV11/12,2)+39.9,"ND")</calculatedColumnFormula>
    </tableColumn>
    <tableColumn id="95" xr3:uid="{AA4E6FF5-355B-4F86-972F-57ED66091F30}" name="LAA12MT_39" dataDxfId="129">
      <calculatedColumnFormula>IFERROR(IF(DV$9="ND","ND",VLOOKUP($C11,AC12M,DV$9,0)),"ND")</calculatedColumnFormula>
    </tableColumn>
    <tableColumn id="96" xr3:uid="{EDFD16F0-7960-4DC0-B122-4A330205094F}" name="LAA12MC_49" dataDxfId="128">
      <calculatedColumnFormula>IFERROR(ROUNDUP(DX11/12,2)+49.9,"ND")</calculatedColumnFormula>
    </tableColumn>
    <tableColumn id="97" xr3:uid="{0D0FD319-A79D-477B-94B5-58CAA859EAD3}" name="LAA12MT_49" dataDxfId="127">
      <calculatedColumnFormula>IFERROR(IF(DX$9="ND","ND",VLOOKUP($C11,AC12M,DX$9,0)),"ND")</calculatedColumnFormula>
    </tableColumn>
    <tableColumn id="98" xr3:uid="{E3E466FD-7798-4CB2-925A-F7E47B65CDC0}" name="LAA12MC_55" dataDxfId="126">
      <calculatedColumnFormula>IFERROR(ROUNDUP(DZ11/12,2)+55.9,"ND")</calculatedColumnFormula>
    </tableColumn>
    <tableColumn id="99" xr3:uid="{1C62783D-8CDA-47A1-95FF-0BECAD167604}" name="LAA12MT_55" dataDxfId="125">
      <calculatedColumnFormula>IFERROR(IF(DZ$9="ND","ND",VLOOKUP($C11,AC12M,DZ$9,0)),"ND")</calculatedColumnFormula>
    </tableColumn>
    <tableColumn id="100" xr3:uid="{EED974F9-DDC3-4432-A74B-7E7DB0264CC5}" name="LAA12MC_69" dataDxfId="124">
      <calculatedColumnFormula>IFERROR(ROUNDUP(EB11/12,2)+69.9,"ND")</calculatedColumnFormula>
    </tableColumn>
    <tableColumn id="101" xr3:uid="{025133E7-1125-49E5-B53F-FC7E8F291548}" name="LAA12MT_69" dataDxfId="123">
      <calculatedColumnFormula>IFERROR(IF(EB$9="ND","ND",VLOOKUP($C11,AC12M,EB$9,0)),"ND")</calculatedColumnFormula>
    </tableColumn>
    <tableColumn id="102" xr3:uid="{1AE0C225-982C-492A-BC0C-104CF15991E9}" name="LAA12MC_79" dataDxfId="122">
      <calculatedColumnFormula>IFERROR(ROUNDUP(ED11/12,2)+79.9,"ND")</calculatedColumnFormula>
    </tableColumn>
    <tableColumn id="103" xr3:uid="{6A1864D7-49AB-43CC-B632-EAEF3464B8FC}" name="LAA12MT_79" dataDxfId="121">
      <calculatedColumnFormula>IFERROR(IF(ED$9="ND","ND",VLOOKUP($C11,AC12M,ED$9,0)),"ND")</calculatedColumnFormula>
    </tableColumn>
    <tableColumn id="104" xr3:uid="{DCF1425F-8889-42CC-B2FD-1213250FA988}" name="LAA12MC_95" dataDxfId="120">
      <calculatedColumnFormula>IFERROR(ROUNDUP(EF11/12,2)+95.9,"ND")</calculatedColumnFormula>
    </tableColumn>
    <tableColumn id="105" xr3:uid="{E4804C92-6F54-47E0-955C-1329164A33BC}" name="LAA12MT_95" dataDxfId="119">
      <calculatedColumnFormula>IFERROR(IF(EF$9="ND","ND",VLOOKUP($C11,AC12M,EF$9,0)),"ND")</calculatedColumnFormula>
    </tableColumn>
    <tableColumn id="106" xr3:uid="{B73FAB32-A1A7-498A-8740-615709BFDBE9}" name="LAA12MC_109" dataDxfId="118">
      <calculatedColumnFormula>IFERROR(ROUNDUP(EH11/12,2)+109.9,"ND")</calculatedColumnFormula>
    </tableColumn>
    <tableColumn id="107" xr3:uid="{1C490CBE-6EDB-4046-8930-3C2F20DE0A12}" name="LAA12MT_109" dataDxfId="117">
      <calculatedColumnFormula>IFERROR(IF(EH$9="ND","ND",VLOOKUP($C11,AC12M,EH$9,0)),"ND")</calculatedColumnFormula>
    </tableColumn>
    <tableColumn id="108" xr3:uid="{B7415466-76A0-4730-B1BB-ED7D71784E76}" name="LAA12MC_159" dataDxfId="116">
      <calculatedColumnFormula>IFERROR(ROUNDUP(EJ11/12,2)+159.9,"ND")</calculatedColumnFormula>
    </tableColumn>
    <tableColumn id="109" xr3:uid="{D3A0CE11-A151-4E13-84E1-127EC84FCC04}" name="LAA12MT_159" dataDxfId="115">
      <calculatedColumnFormula>IFERROR(IF(EJ$9="ND","ND",VLOOKUP($C11,AC12M,EJ$9,0)),"ND")</calculatedColumnFormula>
    </tableColumn>
    <tableColumn id="110" xr3:uid="{908B0FDF-F65C-4FE1-ABC8-EDB589DEF829}" name="LAA12MC_189" dataDxfId="114">
      <calculatedColumnFormula>IFERROR(ROUNDUP(EL11/12,2)+189.9,"ND")</calculatedColumnFormula>
    </tableColumn>
    <tableColumn id="111" xr3:uid="{79F9DB54-98FB-4021-A453-4C35BE6ADC6E}" name="LAA12MT_189" dataDxfId="113">
      <calculatedColumnFormula>IFERROR(IF(EL$9="ND","ND",VLOOKUP($C11,AC12M,EL$9,0)),"ND")</calculatedColumnFormula>
    </tableColumn>
    <tableColumn id="112" xr3:uid="{65B348A5-2CBB-4656-8D03-B2680DE57FBB}" name="LAA12MC_289" dataDxfId="112">
      <calculatedColumnFormula>IFERROR(ROUNDUP(EN11/12,2)+289.9,"ND")</calculatedColumnFormula>
    </tableColumn>
    <tableColumn id="113" xr3:uid="{D864E8EE-D208-4690-92BB-82A0C98AB5E7}" name="LAA12MT_289" dataDxfId="111">
      <calculatedColumnFormula>IFERROR(IF(EN$9="ND","ND",VLOOKUP($C11,AC12M,EN$9,0)),"ND")</calculatedColumnFormula>
    </tableColumn>
    <tableColumn id="114" xr3:uid="{C64928C9-5DB1-43F5-9540-2163B6ED45EA}" name="PAR_29" dataDxfId="110">
      <calculatedColumnFormula>IFERROR(IF(EO$9="ND","ND",VLOOKUP($C11,PAR,EO$9,0)),"ND")</calculatedColumnFormula>
    </tableColumn>
    <tableColumn id="115" xr3:uid="{EC937F63-1BFE-4E50-8581-122ECEED9367}" name="PAR_39" dataDxfId="109">
      <calculatedColumnFormula>IFERROR(IF(EP$9="ND","ND",VLOOKUP($C11,PAR,EP$9,0)),"ND")</calculatedColumnFormula>
    </tableColumn>
    <tableColumn id="116" xr3:uid="{A1C26380-3EA5-4ED8-854E-8F31335879A9}" name="PAR_49" dataDxfId="108">
      <calculatedColumnFormula>IFERROR(IF(EQ$9="ND","ND",VLOOKUP($C11,PAR,EQ$9,0)),"ND")</calculatedColumnFormula>
    </tableColumn>
    <tableColumn id="117" xr3:uid="{569F671D-4927-4560-B7DF-855BE975B0B4}" name="PAR_55" dataDxfId="107">
      <calculatedColumnFormula>IFERROR(IF(ER$9="ND","ND",VLOOKUP($C11,PAR,ER$9,0)),"ND")</calculatedColumnFormula>
    </tableColumn>
    <tableColumn id="118" xr3:uid="{953160B8-3702-4407-8F67-1A7174649F97}" name="PAR_69" dataDxfId="106">
      <calculatedColumnFormula>IFERROR(IF(ES$9="ND","ND",VLOOKUP($C11,PAR,ES$9,0)),"ND")</calculatedColumnFormula>
    </tableColumn>
    <tableColumn id="119" xr3:uid="{289B149C-1026-4E68-85AF-C09CF532B95A}" name="PAR_79" dataDxfId="105">
      <calculatedColumnFormula>IFERROR(IF(ET$9="ND","ND",VLOOKUP($C11,PAR,ET$9,0)),"ND")</calculatedColumnFormula>
    </tableColumn>
    <tableColumn id="120" xr3:uid="{5A5ADF6E-8AC2-4842-9B15-83FCC7306B62}" name="PAR_95" dataDxfId="104">
      <calculatedColumnFormula>IFERROR(IF(EU$9="ND","ND",VLOOKUP($C11,PAR,EU$9,0)),"ND")</calculatedColumnFormula>
    </tableColumn>
    <tableColumn id="121" xr3:uid="{FD6FF857-9943-4174-9D67-2A0B69B606A8}" name="PAR_109" dataDxfId="103">
      <calculatedColumnFormula>IFERROR(IF(EV$9="ND","ND",VLOOKUP($C11,PAR,EV$9,0)),"ND")</calculatedColumnFormula>
    </tableColumn>
    <tableColumn id="122" xr3:uid="{6B82D2AF-C0E7-43D6-BC06-0F2B0A7BA1D3}" name="PAR_159" dataDxfId="102">
      <calculatedColumnFormula>IFERROR(IF(EW$9="ND","ND",VLOOKUP($C11,PAR,EW$9,0)),"ND")</calculatedColumnFormula>
    </tableColumn>
    <tableColumn id="123" xr3:uid="{9A1FA3BD-0D31-4128-9CC6-F6710F2807EB}" name="PAR_189" dataDxfId="101">
      <calculatedColumnFormula>IFERROR(IF(EX$9="ND","ND",VLOOKUP($C11,PAR,EX$9,0)),"ND")</calculatedColumnFormula>
    </tableColumn>
    <tableColumn id="124" xr3:uid="{826AB603-4E40-4E70-9C71-F4A3BF8D9A93}" name="PAR_289" dataDxfId="100">
      <calculatedColumnFormula>IFERROR(IF(EY$9="ND","ND",VLOOKUP($C11,PAR,EY$9,0)),"ND")</calculatedColumnFormula>
    </tableColumn>
    <tableColumn id="136" xr3:uid="{EEEB2259-0C28-42BD-8B80-92E43CEA3FCC}" name="PEXC_29" dataDxfId="99">
      <calculatedColumnFormula>IFERROR(IF(EZ$9="ND","ND",VLOOKUP($C11,PE,EZ$9,0)),"ND")</calculatedColumnFormula>
    </tableColumn>
    <tableColumn id="137" xr3:uid="{B1CF9012-AC22-48B5-BC7D-F4FE91BDEDB7}" name="PEXC_39" dataDxfId="98">
      <calculatedColumnFormula>IFERROR(IF(FA$9="ND","ND",VLOOKUP($C11,PE,FA$9,0)),"ND")</calculatedColumnFormula>
    </tableColumn>
    <tableColumn id="138" xr3:uid="{56259A1A-3177-4203-A55E-28895F6ECDA1}" name="PEXC_49" dataDxfId="97">
      <calculatedColumnFormula>IFERROR(IF(FB$9="ND","ND",VLOOKUP($C11,PE,FB$9,0)),"ND")</calculatedColumnFormula>
    </tableColumn>
    <tableColumn id="139" xr3:uid="{F321BAC5-9640-4DCA-903C-CC09A9F22151}" name="PEXC_55" dataDxfId="96">
      <calculatedColumnFormula>IFERROR(IF(FC$9="ND","ND",VLOOKUP($C11,PE,FC$9,0)),"ND")</calculatedColumnFormula>
    </tableColumn>
    <tableColumn id="140" xr3:uid="{4BA112FC-21FB-430A-A768-9587FC228067}" name="PEXC_69" dataDxfId="95">
      <calculatedColumnFormula>IFERROR(IF(FD$9="ND","ND",VLOOKUP($C11,PE,FD$9,0)),"ND")</calculatedColumnFormula>
    </tableColumn>
    <tableColumn id="141" xr3:uid="{91CC813F-3CA4-43A6-A7D4-D91149D29C7B}" name="PEXC_79" dataDxfId="94">
      <calculatedColumnFormula>IFERROR(IF(FE$9="ND","ND",VLOOKUP($C11,PE,FE$9,0)),"ND")</calculatedColumnFormula>
    </tableColumn>
    <tableColumn id="142" xr3:uid="{34E068EA-D53F-4175-B43B-2F9A7F196C99}" name="PEXC_95" dataDxfId="93">
      <calculatedColumnFormula>IFERROR(IF(FF$9="ND","ND",VLOOKUP($C11,PE,FF$9,0)),"ND")</calculatedColumnFormula>
    </tableColumn>
    <tableColumn id="143" xr3:uid="{09DCB9AC-C5B7-44E8-8912-204DCE303300}" name="PEXC_109" dataDxfId="92">
      <calculatedColumnFormula>IFERROR(IF(FG$9="ND","ND",VLOOKUP($C11,PE,FG$9,0)),"ND")</calculatedColumnFormula>
    </tableColumn>
    <tableColumn id="144" xr3:uid="{C9C86AF2-7A1D-40B2-8FF8-AE24B41AFA6B}" name="PEXC_159" dataDxfId="91">
      <calculatedColumnFormula>IFERROR(IF(FH$9="ND","ND",VLOOKUP($C11,PE,FH$9,0)),"ND")</calculatedColumnFormula>
    </tableColumn>
    <tableColumn id="145" xr3:uid="{E5A287C6-5047-482C-9993-56C108EB197A}" name="PEXC_189" dataDxfId="90">
      <calculatedColumnFormula>IFERROR(IF(FI$9="ND","ND",VLOOKUP($C11,PE,FI$9,0)),"ND")</calculatedColumnFormula>
    </tableColumn>
    <tableColumn id="146" xr3:uid="{1ECB283C-485D-41A8-BE0C-F1AE6F01C86F}" name="PEXC_289" dataDxfId="89">
      <calculatedColumnFormula>IFERROR(IF(FJ$9="ND","ND",VLOOKUP($C11,PE,FJ$9,0)),"ND")</calculatedColumnFormula>
    </tableColumn>
    <tableColumn id="147" xr3:uid="{FF5F072E-92B2-4C75-9F70-E542A2AD5F1E}" name="REXC_29" dataDxfId="88">
      <calculatedColumnFormula>IFERROR(IF(FK$9="ND","ND",VLOOKUP($C11,RE,FK$9,0)),"ND")</calculatedColumnFormula>
    </tableColumn>
    <tableColumn id="148" xr3:uid="{6FA982A6-C222-4287-A095-67DBE971FEA9}" name="REXC_39" dataDxfId="87">
      <calculatedColumnFormula>IFERROR(IF(FL$9="ND","ND",VLOOKUP($C11,RE,FL$9,0)),"ND")</calculatedColumnFormula>
    </tableColumn>
    <tableColumn id="149" xr3:uid="{E302D342-8155-40A7-9C0B-3B5258A932C9}" name="REXC_49" dataDxfId="86">
      <calculatedColumnFormula>IFERROR(IF(FM$9="ND","ND",VLOOKUP($C11,RE,FM$9,0)),"ND")</calculatedColumnFormula>
    </tableColumn>
    <tableColumn id="150" xr3:uid="{B491376C-E8B3-47F3-97EC-CED4827CC125}" name="REXC_55" dataDxfId="85">
      <calculatedColumnFormula>IFERROR(IF(FN$9="ND","ND",VLOOKUP($C11,RE,FN$9,0)),"ND")</calculatedColumnFormula>
    </tableColumn>
    <tableColumn id="151" xr3:uid="{A188B1FA-2519-4EC7-9EDC-11BDFBD620D7}" name="REXC_69" dataDxfId="84">
      <calculatedColumnFormula>IFERROR(IF(FO$9="ND","ND",VLOOKUP($C11,RE,FO$9,0)),"ND")</calculatedColumnFormula>
    </tableColumn>
    <tableColumn id="152" xr3:uid="{2F8CA690-34DE-4221-B98A-FCFB4D14EB3E}" name="REXC_79" dataDxfId="83">
      <calculatedColumnFormula>IFERROR(IF(FP$9="ND","ND",VLOOKUP($C11,RE,FP$9,0)),"ND")</calculatedColumnFormula>
    </tableColumn>
    <tableColumn id="153" xr3:uid="{2B4B1B55-189C-4641-9F5C-4B74A0941550}" name="REXC_95" dataDxfId="82">
      <calculatedColumnFormula>IFERROR(IF(FQ$9="ND","ND",VLOOKUP($C11,RE,FQ$9,0)),"ND")</calculatedColumnFormula>
    </tableColumn>
    <tableColumn id="154" xr3:uid="{4750A8F0-E681-4D50-93B1-23B5CC6B1B60}" name="REXC_109" dataDxfId="81">
      <calculatedColumnFormula>IFERROR(IF(FR$9="ND","ND",VLOOKUP($C11,RE,FR$9,0)),"ND")</calculatedColumnFormula>
    </tableColumn>
    <tableColumn id="155" xr3:uid="{53360774-79B9-4BFC-BB81-D4853CC2DAC8}" name="REXC_159" dataDxfId="80">
      <calculatedColumnFormula>IFERROR(IF(FS$9="ND","ND",VLOOKUP($C11,RE,FS$9,0)),"ND")</calculatedColumnFormula>
    </tableColumn>
    <tableColumn id="156" xr3:uid="{B8C8085C-0F91-4E01-BFAD-DE4821BEB060}" name="REXC_189" dataDxfId="79">
      <calculatedColumnFormula>IFERROR(IF(FT$9="ND","ND",VLOOKUP($C11,RE,FT$9,0)),"ND")</calculatedColumnFormula>
    </tableColumn>
    <tableColumn id="157" xr3:uid="{3FFF722E-08B3-4B1C-9CE3-117CB339A9E4}" name="REXC_289" dataDxfId="78">
      <calculatedColumnFormula>IFERROR(IF(FU$9="ND","ND",VLOOKUP($C11,RE,FU$9,0)),"ND")</calculatedColumnFormula>
    </tableColumn>
    <tableColumn id="158" xr3:uid="{B2F4692D-845D-4086-B43F-AE450D561FA7}" name="LC6MC_29" dataDxfId="77">
      <calculatedColumnFormula>IFERROR(ROUNDUP(FW11/6,2)+29.9,"ND")</calculatedColumnFormula>
    </tableColumn>
    <tableColumn id="159" xr3:uid="{61E9843A-D8E4-4209-80E7-DCDDCCE75652}" name="LC6MT_29" dataDxfId="76">
      <calculatedColumnFormula>IFERROR(IF(FW$9="ND","ND",VLOOKUP($C11,LC6M,FW$9,0)),"ND")</calculatedColumnFormula>
    </tableColumn>
    <tableColumn id="160" xr3:uid="{62FBDCA1-775B-4322-80F2-07BDAB3C184C}" name="LC6MC_39" dataDxfId="75">
      <calculatedColumnFormula>IFERROR(ROUNDUP(FY11/6,2)+39.9,"ND")</calculatedColumnFormula>
    </tableColumn>
    <tableColumn id="161" xr3:uid="{C50DE902-254E-4C42-BF01-05A4F878466A}" name="LC6MT_39" dataDxfId="74">
      <calculatedColumnFormula>IFERROR(IF(FY$9="ND","ND",VLOOKUP($C11,LC6M,FY$9,0)),"ND")</calculatedColumnFormula>
    </tableColumn>
    <tableColumn id="162" xr3:uid="{50F59B95-9255-4394-8B83-9F194846364D}" name="LC6MC_49" dataDxfId="73">
      <calculatedColumnFormula>IFERROR(ROUNDUP(GA11/6,2)+49.9,"ND")</calculatedColumnFormula>
    </tableColumn>
    <tableColumn id="163" xr3:uid="{685756B3-8A51-451C-975E-4A631FB16300}" name="LC6MT_49" dataDxfId="72">
      <calculatedColumnFormula>IFERROR(IF(GA$9="ND","ND",VLOOKUP($C11,LC6M,GA$9,0)),"ND")</calculatedColumnFormula>
    </tableColumn>
    <tableColumn id="164" xr3:uid="{B86B509A-12C8-4ED5-ABAE-60A781CDAE99}" name="LC6MC_55" dataDxfId="71">
      <calculatedColumnFormula>IFERROR(ROUNDUP(GC11/6,2)+55.9,"ND")</calculatedColumnFormula>
    </tableColumn>
    <tableColumn id="165" xr3:uid="{86602936-BFCE-4F38-B686-72A54F59FF10}" name="LC6MT_55" dataDxfId="70">
      <calculatedColumnFormula>IFERROR(IF(GC$9="ND","ND",VLOOKUP($C11,LC6M,GC$9,0)),"ND")</calculatedColumnFormula>
    </tableColumn>
    <tableColumn id="166" xr3:uid="{68F153A2-5A00-4882-9471-6F1E21E6848D}" name="LC6MC_69" dataDxfId="69">
      <calculatedColumnFormula>IFERROR(ROUNDUP(GE11/6,2)+69.9,"ND")</calculatedColumnFormula>
    </tableColumn>
    <tableColumn id="167" xr3:uid="{CFF40AE7-CB2F-4388-8F8E-8E1E0B7A1DBF}" name="LC6MT_69" dataDxfId="68">
      <calculatedColumnFormula>IFERROR(IF(GE$9="ND","ND",VLOOKUP($C11,LC6M,GE$9,0)),"ND")</calculatedColumnFormula>
    </tableColumn>
    <tableColumn id="168" xr3:uid="{20640A1F-DDA9-4E12-8AE5-D45877987BAD}" name="LC6MC_79" dataDxfId="67">
      <calculatedColumnFormula>IFERROR(ROUNDUP(GG11/6,2)+79.9,"ND")</calculatedColumnFormula>
    </tableColumn>
    <tableColumn id="169" xr3:uid="{7383A326-565D-4F96-814E-9B328DCD33AF}" name="LC6MT_79" dataDxfId="66">
      <calculatedColumnFormula>IFERROR(IF(GG$9="ND","ND",VLOOKUP($C11,LC6M,GG$9,0)),"ND")</calculatedColumnFormula>
    </tableColumn>
    <tableColumn id="170" xr3:uid="{D6ED4D9D-154D-4037-8E24-20F528B9AC26}" name="LC6MC_95" dataDxfId="65">
      <calculatedColumnFormula>IFERROR(ROUNDUP(GI11/6,2)+95.9,"ND")</calculatedColumnFormula>
    </tableColumn>
    <tableColumn id="171" xr3:uid="{C7AD2648-2D07-4B6E-B19D-1D2E0D1051FE}" name="LC6MT_95" dataDxfId="64">
      <calculatedColumnFormula>IFERROR(IF(GI$9="ND","ND",VLOOKUP($C11,LC6M,GI$9,0)),"ND")</calculatedColumnFormula>
    </tableColumn>
    <tableColumn id="172" xr3:uid="{4B96C59B-24FE-4F0A-8444-3C380623BA3A}" name="LC6MC_109" dataDxfId="63">
      <calculatedColumnFormula>IFERROR(ROUNDUP(GK11/6,2)+109.9,"ND")</calculatedColumnFormula>
    </tableColumn>
    <tableColumn id="173" xr3:uid="{18094C5F-21BC-4DD2-80DF-027224A0C04F}" name="LC6MT_109" dataDxfId="62">
      <calculatedColumnFormula>IFERROR(IF(GK$9="ND","ND",VLOOKUP($C11,LC6M,GK$9,0)),"ND")</calculatedColumnFormula>
    </tableColumn>
    <tableColumn id="174" xr3:uid="{F8C720A7-84DA-461C-B6F3-4F20D64CFEAB}" name="LC6MC_159" dataDxfId="61">
      <calculatedColumnFormula>IFERROR(ROUNDUP(GM11/6,2)+159.9,"ND")</calculatedColumnFormula>
    </tableColumn>
    <tableColumn id="175" xr3:uid="{B12DDC58-59C3-46FC-8FEA-5F695AC73697}" name="LC6MT_159" dataDxfId="60">
      <calculatedColumnFormula>IFERROR(IF(GM$9="ND","ND",VLOOKUP($C11,LC6M,GM$9,0)),"ND")</calculatedColumnFormula>
    </tableColumn>
    <tableColumn id="176" xr3:uid="{396A3C1B-5574-43D1-97AB-D9172D020B6F}" name="LC6MC_189" dataDxfId="59">
      <calculatedColumnFormula>IFERROR(ROUNDUP(GO11/6,2)+189.9,"ND")</calculatedColumnFormula>
    </tableColumn>
    <tableColumn id="177" xr3:uid="{BC7EDDC4-AF0F-42CA-B91B-DBAD808F41F0}" name="LC6MT_189" dataDxfId="58">
      <calculatedColumnFormula>IFERROR(IF(GO$9="ND","ND",VLOOKUP($C11,LC6M,GO$9,0)),"ND")</calculatedColumnFormula>
    </tableColumn>
    <tableColumn id="178" xr3:uid="{603F2EED-2143-45D2-9B91-B81C68FDEDD9}" name="LC6MC_289" dataDxfId="57">
      <calculatedColumnFormula>IFERROR(ROUNDUP(GQ11/6,2)+289.9,"ND")</calculatedColumnFormula>
    </tableColumn>
    <tableColumn id="179" xr3:uid="{FB1CADEE-9E93-4749-B75A-ADBDC4146CAF}" name="LC6MT_289" dataDxfId="56">
      <calculatedColumnFormula>IFERROR(IF(GQ$9="ND","ND",VLOOKUP($C11,LC6M,GQ$9,0)),"ND")</calculatedColumnFormula>
    </tableColumn>
    <tableColumn id="180" xr3:uid="{9046F6FA-ECFC-42BA-99B4-1551348D949A}" name="LP12MC_29" dataDxfId="55">
      <calculatedColumnFormula>IFERROR(ROUNDUP(GS11/12,2)+29.9,"ND")</calculatedColumnFormula>
    </tableColumn>
    <tableColumn id="181" xr3:uid="{6A39C5C2-7618-4EDB-8CC9-3CF9681D68F8}" name="LP12MT_29" dataDxfId="54">
      <calculatedColumnFormula>IFERROR(IF(GS$9="ND","ND",VLOOKUP($C11,LP12M,GS$9,0)),"ND")</calculatedColumnFormula>
    </tableColumn>
    <tableColumn id="182" xr3:uid="{749F3D9E-8095-4527-8734-59503E8C55C7}" name="LP12MC_39" dataDxfId="53">
      <calculatedColumnFormula>IFERROR(ROUNDUP(GU11/12,2)+39.9,"ND")</calculatedColumnFormula>
    </tableColumn>
    <tableColumn id="183" xr3:uid="{3A295F70-2149-4D07-A884-BD7A04B15D57}" name="LP12MT_39" dataDxfId="52">
      <calculatedColumnFormula>IFERROR(IF(GU$9="ND","ND",VLOOKUP($C11,LP12M,GU$9,0)),"ND")</calculatedColumnFormula>
    </tableColumn>
    <tableColumn id="184" xr3:uid="{F5E7A1A5-12B7-4068-9FC1-8CF3343C7FCB}" name="LP12MC_49" dataDxfId="51">
      <calculatedColumnFormula>IFERROR(ROUNDUP(GW11/12,2)+49.9,"ND")</calculatedColumnFormula>
    </tableColumn>
    <tableColumn id="185" xr3:uid="{F10E6281-4667-4085-A01A-181B4D82FC61}" name="LP12MT_49" dataDxfId="50">
      <calculatedColumnFormula>IFERROR(IF(GW$9="ND","ND",VLOOKUP($C11,LP12M,GW$9,0)),"ND")</calculatedColumnFormula>
    </tableColumn>
    <tableColumn id="186" xr3:uid="{0C419163-1349-4B1D-87E0-BEDE09811F71}" name="LP12MC_55" dataDxfId="49">
      <calculatedColumnFormula>IFERROR(ROUNDUP(GY11/12,2)+55.9,"ND")</calculatedColumnFormula>
    </tableColumn>
    <tableColumn id="187" xr3:uid="{17215517-7174-4CA3-84E9-CABADAED9045}" name="LP12MT_55" dataDxfId="48">
      <calculatedColumnFormula>IFERROR(IF(GY$9="ND","ND",VLOOKUP($C11,LP12M,GY$9,0)),"ND")</calculatedColumnFormula>
    </tableColumn>
    <tableColumn id="188" xr3:uid="{0F364B0E-7B0B-4EF4-BCC2-BF8B6E626A38}" name="LP12MC_69" dataDxfId="47">
      <calculatedColumnFormula>IFERROR(ROUNDUP(HA11/12,2)+69.9,"ND")</calculatedColumnFormula>
    </tableColumn>
    <tableColumn id="189" xr3:uid="{AE5261C7-E8FF-4985-8D3D-FD2560FD30DC}" name="LP12MT_69" dataDxfId="46">
      <calculatedColumnFormula>IFERROR(IF(HA$9="ND","ND",VLOOKUP($C11,LP12M,HA$9,0)),"ND")</calculatedColumnFormula>
    </tableColumn>
    <tableColumn id="190" xr3:uid="{A8C311E6-7355-4343-B042-93F8EAC833FF}" name="LP12MC_79" dataDxfId="45">
      <calculatedColumnFormula>IFERROR(ROUNDUP(HC11/12,2)+79.9,"ND")</calculatedColumnFormula>
    </tableColumn>
    <tableColumn id="191" xr3:uid="{6F1DB6FE-F9D9-46B6-8371-E0303262C600}" name="LP12MT_79" dataDxfId="44">
      <calculatedColumnFormula>IFERROR(IF(HC$9="ND","ND",VLOOKUP($C11,LP12M,HC$9,0)),"ND")</calculatedColumnFormula>
    </tableColumn>
    <tableColumn id="192" xr3:uid="{1D09D175-AE93-497D-B7B6-D4410D1B7322}" name="LP12MC_95" dataDxfId="43">
      <calculatedColumnFormula>IFERROR(ROUNDUP(HE11/12,2)+95.9,"ND")</calculatedColumnFormula>
    </tableColumn>
    <tableColumn id="193" xr3:uid="{8C38BFFC-E3FC-4560-BF2C-36B7BE7C905B}" name="LP12MT_95" dataDxfId="42">
      <calculatedColumnFormula>IFERROR(IF(HE$9="ND","ND",VLOOKUP($C11,LP12M,HE$9,0)),"ND")</calculatedColumnFormula>
    </tableColumn>
    <tableColumn id="194" xr3:uid="{B7B6304D-FA70-4548-82FD-A90FCA0C6F21}" name="LP12MC_109" dataDxfId="41">
      <calculatedColumnFormula>IFERROR(ROUNDUP(HG11/12,2)+109.9,"ND")</calculatedColumnFormula>
    </tableColumn>
    <tableColumn id="195" xr3:uid="{BDAAA5ED-DD7A-4B76-8EDD-1C8D5FD81420}" name="LP12MT_109" dataDxfId="40">
      <calculatedColumnFormula>IFERROR(IF(HG$9="ND","ND",VLOOKUP($C11,LP12M,HG$9,0)),"ND")</calculatedColumnFormula>
    </tableColumn>
    <tableColumn id="196" xr3:uid="{A08DA910-D084-4422-A955-98352D7BCCF9}" name="LP12MC_159" dataDxfId="39">
      <calculatedColumnFormula>IFERROR(ROUNDUP(HI11/12,2)+159.9,"ND")</calculatedColumnFormula>
    </tableColumn>
    <tableColumn id="197" xr3:uid="{D2C07FC3-5B54-4F15-BD0F-7662054C5B52}" name="LP12MT_159" dataDxfId="38">
      <calculatedColumnFormula>IFERROR(IF(HI$9="ND","ND",VLOOKUP($C11,LP12M,HI$9,0)),"ND")</calculatedColumnFormula>
    </tableColumn>
    <tableColumn id="198" xr3:uid="{C59C7CFB-C4DF-49D2-97DF-4BEA95535176}" name="LP12MC_189" dataDxfId="37">
      <calculatedColumnFormula>IFERROR(ROUNDUP(HK11/12,2)+189.9,"ND")</calculatedColumnFormula>
    </tableColumn>
    <tableColumn id="199" xr3:uid="{E8C93E6D-53A0-41F9-B526-B24608CE0384}" name="LP12MT_189" dataDxfId="36">
      <calculatedColumnFormula>IFERROR(IF(HK$9="ND","ND",VLOOKUP($C11,LP12M,HK$9,0)),"ND")</calculatedColumnFormula>
    </tableColumn>
    <tableColumn id="200" xr3:uid="{C268E7B2-33C9-4E71-8980-F4E4643BB18C}" name="LP12MC_289" dataDxfId="35">
      <calculatedColumnFormula>IFERROR(ROUNDUP(HM11/12,2)+289.9,"ND")</calculatedColumnFormula>
    </tableColumn>
    <tableColumn id="201" xr3:uid="{AA08E24D-4450-4FE2-815A-BDD70B952F0E}" name="LP12MT_289" dataDxfId="34">
      <calculatedColumnFormula>IFERROR(IF(HM$9="ND","ND",VLOOKUP($C11,LP12M,HM$9,0)),"ND")</calculatedColumnFormula>
    </tableColumn>
    <tableColumn id="202" xr3:uid="{DC1A2FE8-5C3C-4E8C-B24A-C10DF787F321}" name="LR12MC_29" dataDxfId="33">
      <calculatedColumnFormula>IFERROR(ROUNDUP(HO11/12,2)+29.9,"ND")</calculatedColumnFormula>
    </tableColumn>
    <tableColumn id="203" xr3:uid="{1A2A8BE4-F888-424E-9E9B-22586E7A357C}" name="LR12MT_29" dataDxfId="32">
      <calculatedColumnFormula>IFERROR(IF(HO$9="ND","ND",VLOOKUP($C11,LR12M,HO$9,0)),"ND")</calculatedColumnFormula>
    </tableColumn>
    <tableColumn id="204" xr3:uid="{35AA9911-DD2E-4769-8D5B-7846CA716301}" name="LR12MC_39" dataDxfId="31">
      <calculatedColumnFormula>IFERROR(ROUNDUP(HQ11/12,2)+39.9,"ND")</calculatedColumnFormula>
    </tableColumn>
    <tableColumn id="205" xr3:uid="{D7820D50-158B-4F1E-8159-A09629F78C7A}" name="LR12MT_39" dataDxfId="30">
      <calculatedColumnFormula>IFERROR(IF(HQ$9="ND","ND",VLOOKUP($C11,LR12M,HQ$9,0)),"ND")</calculatedColumnFormula>
    </tableColumn>
    <tableColumn id="206" xr3:uid="{AAA3F95A-E5B1-47ED-8FC2-9FC66D7EF3B1}" name="LR12MC_49" dataDxfId="29">
      <calculatedColumnFormula>IFERROR(ROUNDUP(HS11/12,2)+49.9,"ND")</calculatedColumnFormula>
    </tableColumn>
    <tableColumn id="207" xr3:uid="{76FC123C-B3A5-45C5-81BF-8E475CBBC846}" name="LR12MT_49" dataDxfId="28">
      <calculatedColumnFormula>IFERROR(IF(HS$9="ND","ND",VLOOKUP($C11,LR12M,HS$9,0)),"ND")</calculatedColumnFormula>
    </tableColumn>
    <tableColumn id="208" xr3:uid="{FB61F041-958F-440E-8FD4-88E7956100B9}" name="LR12MC_55" dataDxfId="27">
      <calculatedColumnFormula>IFERROR(ROUNDUP(HU11/12,2)+55.9,"ND")</calculatedColumnFormula>
    </tableColumn>
    <tableColumn id="209" xr3:uid="{6A74ED4F-8E2D-4DB7-9F40-00D3C1B67F8B}" name="LR12MT_55" dataDxfId="26">
      <calculatedColumnFormula>IFERROR(IF(HU$9="ND","ND",VLOOKUP($C11,LR12M,HU$9,0)),"ND")</calculatedColumnFormula>
    </tableColumn>
    <tableColumn id="210" xr3:uid="{8A44DD63-4FC4-4264-B9BF-CB2D8F340C30}" name="LR12MC_69" dataDxfId="25">
      <calculatedColumnFormula>IFERROR(ROUNDUP(HW11/12,2)+69.9,"ND")</calculatedColumnFormula>
    </tableColumn>
    <tableColumn id="211" xr3:uid="{7970FCE2-5FF4-45FB-8F41-DB3FFDC9D8D2}" name="LR12MT_69" dataDxfId="24">
      <calculatedColumnFormula>IFERROR(IF(HW$9="ND","ND",VLOOKUP($C11,LR12M,HW$9,0)),"ND")</calculatedColumnFormula>
    </tableColumn>
    <tableColumn id="212" xr3:uid="{1662DE2D-BB77-467A-ACA4-981D36E06DF2}" name="LR12MC_79" dataDxfId="23">
      <calculatedColumnFormula>IFERROR(ROUNDUP(HY11/12,2)+79.9,"ND")</calculatedColumnFormula>
    </tableColumn>
    <tableColumn id="213" xr3:uid="{428F4421-C4B3-4FBA-A219-D17FAD2421A2}" name="LR12MT_79" dataDxfId="22">
      <calculatedColumnFormula>IFERROR(IF(HY$9="ND","ND",VLOOKUP($C11,LR12M,HY$9,0)),"ND")</calculatedColumnFormula>
    </tableColumn>
    <tableColumn id="214" xr3:uid="{B4F20E9C-D4EE-4EF4-9A47-A3A63014D6C6}" name="LR12MC_95" dataDxfId="21">
      <calculatedColumnFormula>IFERROR(ROUNDUP(IA11/12,2)+95.9,"ND")</calculatedColumnFormula>
    </tableColumn>
    <tableColumn id="215" xr3:uid="{43CBD4FE-4593-4185-A0EE-3711B4A327CE}" name="LR12MT_95" dataDxfId="20">
      <calculatedColumnFormula>IFERROR(IF(IA$9="ND","ND",VLOOKUP($C11,LR12M,IA$9,0)),"ND")</calculatedColumnFormula>
    </tableColumn>
    <tableColumn id="216" xr3:uid="{8F6676AF-03E2-4A92-BCF7-4D724B9EEC26}" name="LR12MC_109" dataDxfId="19">
      <calculatedColumnFormula>IFERROR(ROUNDUP(IC11/12,2)+109.9,"ND")</calculatedColumnFormula>
    </tableColumn>
    <tableColumn id="217" xr3:uid="{4E89F20A-413D-47D6-93CE-2B12EB4C9147}" name="LR12MT_109" dataDxfId="18">
      <calculatedColumnFormula>IFERROR(IF(IC$9="ND","ND",VLOOKUP($C11,LR12M,IC$9,0)),"ND")</calculatedColumnFormula>
    </tableColumn>
    <tableColumn id="218" xr3:uid="{3C3D84E4-EE48-4C78-9002-D8A000B2400F}" name="LR12MC_159" dataDxfId="17">
      <calculatedColumnFormula>IFERROR(ROUNDUP(IE11/12,2)+159.9,"ND")</calculatedColumnFormula>
    </tableColumn>
    <tableColumn id="219" xr3:uid="{A5BFC262-4206-4783-85CA-1BC3DECC1E49}" name="LR12MT_159" dataDxfId="16">
      <calculatedColumnFormula>IFERROR(IF(IE$9="ND","ND",VLOOKUP($C11,LR12M,IE$9,0)),"ND")</calculatedColumnFormula>
    </tableColumn>
    <tableColumn id="220" xr3:uid="{C689A1B5-3C0B-4222-8A23-C157A410166E}" name="LR12MC_189" dataDxfId="15">
      <calculatedColumnFormula>IFERROR(ROUNDUP(IG11/12,2)+189.9,"ND")</calculatedColumnFormula>
    </tableColumn>
    <tableColumn id="221" xr3:uid="{A8C6C858-B853-438F-A480-85BBC46C044E}" name="LR12MT_189" dataDxfId="14">
      <calculatedColumnFormula>IFERROR(IF(IG$9="ND","ND",VLOOKUP($C11,LR12M,IG$9,0)),"ND")</calculatedColumnFormula>
    </tableColumn>
    <tableColumn id="222" xr3:uid="{964EB61C-5EAD-4ED1-B673-CC90CDB88239}" name="LR12MC_289" dataDxfId="13">
      <calculatedColumnFormula>IFERROR(ROUNDUP(II11/12,2)+289.9,"ND")</calculatedColumnFormula>
    </tableColumn>
    <tableColumn id="223" xr3:uid="{0CCDDA2E-4F11-40E2-8F62-E122412CF928}" name="LR12MT_289" dataDxfId="12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25"/>
  <sheetViews>
    <sheetView topLeftCell="A144" zoomScale="85" zoomScaleNormal="85" workbookViewId="0">
      <selection activeCell="C153" sqref="C153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858</v>
      </c>
      <c r="C2" t="s">
        <v>606</v>
      </c>
      <c r="D2" s="18" t="s">
        <v>605</v>
      </c>
      <c r="E2" s="18" t="s">
        <v>607</v>
      </c>
      <c r="F2" s="18" t="s">
        <v>941</v>
      </c>
      <c r="G2" s="18" t="s">
        <v>608</v>
      </c>
      <c r="H2" s="18" t="s">
        <v>201</v>
      </c>
      <c r="I2" s="18" t="s">
        <v>943</v>
      </c>
      <c r="K2" s="18" t="s">
        <v>859</v>
      </c>
      <c r="L2" s="18" t="s">
        <v>860</v>
      </c>
      <c r="M2" s="18" t="s">
        <v>942</v>
      </c>
    </row>
    <row r="3" spans="2:13" x14ac:dyDescent="0.25">
      <c r="B3">
        <v>70033160</v>
      </c>
      <c r="C3" t="s">
        <v>0</v>
      </c>
      <c r="D3" t="s">
        <v>612</v>
      </c>
      <c r="E3" s="19" t="s">
        <v>619</v>
      </c>
      <c r="F3" t="e">
        <f>VLOOKUP(DICCIONARIO[[#This Row],[Desc color]],ImportarStock[DESCRIPCION],1,0)</f>
        <v>#N/A</v>
      </c>
      <c r="G3" t="s">
        <v>611</v>
      </c>
      <c r="H3" t="str">
        <f>VLOOKUP(DICCIONARIO[[#This Row],[Modelo]],UNIFICADA[Equipo],1,0)</f>
        <v>APPLE IPHONE 11 256GB</v>
      </c>
      <c r="I3">
        <f>IFERROR(VLOOKUP(DICCIONARIO[[#This Row],[Desc color]],ImportarStock[[DESCRIPCION]:[LIBRE UTILIZACION]],2,0),0)</f>
        <v>0</v>
      </c>
      <c r="K3" t="s">
        <v>1069</v>
      </c>
      <c r="L3">
        <v>148</v>
      </c>
      <c r="M3" t="str">
        <f>VLOOKUP(ImportarStock[[#This Row],[DESCRIPCION]],DICCIONARIO[Desc color],1,0)</f>
        <v>ADAPTADOR APP 20WBL</v>
      </c>
    </row>
    <row r="4" spans="2:13" x14ac:dyDescent="0.25">
      <c r="B4">
        <v>70037308</v>
      </c>
      <c r="C4" t="s">
        <v>0</v>
      </c>
      <c r="D4" t="s">
        <v>612</v>
      </c>
      <c r="E4" s="19" t="s">
        <v>644</v>
      </c>
      <c r="F4" t="e">
        <f>VLOOKUP(DICCIONARIO[[#This Row],[Desc color]],ImportarStock[DESCRIPCION],1,0)</f>
        <v>#N/A</v>
      </c>
      <c r="G4" t="s">
        <v>611</v>
      </c>
      <c r="H4" t="str">
        <f>VLOOKUP(DICCIONARIO[[#This Row],[Modelo]],UNIFICADA[Equipo],1,0)</f>
        <v>APPLE IPHONE 11 256GB</v>
      </c>
      <c r="I4">
        <f>IFERROR(VLOOKUP(DICCIONARIO[[#This Row],[Desc color]],ImportarStock[[DESCRIPCION]:[LIBRE UTILIZACION]],2,0),0)</f>
        <v>0</v>
      </c>
      <c r="K4" t="s">
        <v>1088</v>
      </c>
      <c r="L4">
        <v>6</v>
      </c>
      <c r="M4" t="str">
        <f>VLOOKUP(ImportarStock[[#This Row],[DESCRIPCION]],DICCIONARIO[Desc color],1,0)</f>
        <v>ADAPTADOR XIAO 33WBL</v>
      </c>
    </row>
    <row r="5" spans="2:13" x14ac:dyDescent="0.25">
      <c r="B5">
        <v>70033156</v>
      </c>
      <c r="C5" t="s">
        <v>1</v>
      </c>
      <c r="D5" t="s">
        <v>612</v>
      </c>
      <c r="E5" s="19" t="s">
        <v>620</v>
      </c>
      <c r="F5" t="str">
        <f>VLOOKUP(DICCIONARIO[[#This Row],[Desc color]],ImportarStock[DESCRIPCION],1,0)</f>
        <v>APP IPH1164GBLACK NG PB LTE</v>
      </c>
      <c r="G5" t="s">
        <v>611</v>
      </c>
      <c r="H5" t="str">
        <f>VLOOKUP(DICCIONARIO[[#This Row],[Modelo]],UNIFICADA[Equipo],1,0)</f>
        <v>APPLE IPHONE 11 64GB</v>
      </c>
      <c r="I5">
        <f>IFERROR(VLOOKUP(DICCIONARIO[[#This Row],[Desc color]],ImportarStock[[DESCRIPCION]:[LIBRE UTILIZACION]],2,0),0)</f>
        <v>28</v>
      </c>
      <c r="K5" t="s">
        <v>1085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</v>
      </c>
      <c r="D6" t="s">
        <v>612</v>
      </c>
      <c r="E6" s="19" t="s">
        <v>956</v>
      </c>
      <c r="F6" t="str">
        <f>VLOOKUP(DICCIONARIO[[#This Row],[Desc color]],ImportarStock[DESCRIPCION],1,0)</f>
        <v>APP IPH1164GBLACK NG PB LTE SEED STOCK</v>
      </c>
      <c r="H6" t="str">
        <f>VLOOKUP(DICCIONARIO[[#This Row],[Modelo]],UNIFICADA[Equipo],1,0)</f>
        <v>APPLE IPHONE 11 64GB</v>
      </c>
      <c r="I6">
        <f>IFERROR(VLOOKUP(DICCIONARIO[[#This Row],[Desc color]],ImportarStock[[DESCRIPCION]:[LIBRE UTILIZACION]],2,0),0)</f>
        <v>1</v>
      </c>
      <c r="K6" t="s">
        <v>620</v>
      </c>
      <c r="L6">
        <v>28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612</v>
      </c>
      <c r="E7" s="19" t="s">
        <v>625</v>
      </c>
      <c r="F7" t="e">
        <f>VLOOKUP(DICCIONARIO[[#This Row],[Desc color]],ImportarStock[DESCRIPCION],1,0)</f>
        <v>#N/A</v>
      </c>
      <c r="G7" t="s">
        <v>626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956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70037304</v>
      </c>
      <c r="C8" t="s">
        <v>1</v>
      </c>
      <c r="D8" t="s">
        <v>612</v>
      </c>
      <c r="E8" s="19" t="s">
        <v>641</v>
      </c>
      <c r="F8" t="e">
        <f>VLOOKUP(DICCIONARIO[[#This Row],[Desc color]],ImportarStock[DESCRIPCION],1,0)</f>
        <v>#N/A</v>
      </c>
      <c r="G8" t="s">
        <v>611</v>
      </c>
      <c r="H8" t="str">
        <f>VLOOKUP(DICCIONARIO[[#This Row],[Modelo]],UNIFICADA[Equipo],1,0)</f>
        <v>APPLE IPHONE 11 64GB</v>
      </c>
      <c r="I8">
        <f>IFERROR(VLOOKUP(DICCIONARIO[[#This Row],[Desc color]],ImportarStock[[DESCRIPCION]:[LIBRE UTILIZACION]],2,0),0)</f>
        <v>0</v>
      </c>
      <c r="K8" t="s">
        <v>861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70033157</v>
      </c>
      <c r="C9" t="s">
        <v>1</v>
      </c>
      <c r="D9" t="s">
        <v>612</v>
      </c>
      <c r="E9" s="19" t="s">
        <v>621</v>
      </c>
      <c r="F9" t="e">
        <f>VLOOKUP(DICCIONARIO[[#This Row],[Desc color]],ImportarStock[DESCRIPCION],1,0)</f>
        <v>#N/A</v>
      </c>
      <c r="G9" t="s">
        <v>622</v>
      </c>
      <c r="H9" t="str">
        <f>VLOOKUP(DICCIONARIO[[#This Row],[Modelo]],UNIFICADA[Equipo],1,0)</f>
        <v>APPLE IPHONE 11 64GB</v>
      </c>
      <c r="I9">
        <f>IFERROR(VLOOKUP(DICCIONARIO[[#This Row],[Desc color]],ImportarStock[[DESCRIPCION]:[LIBRE UTILIZACION]],2,0),0)</f>
        <v>0</v>
      </c>
      <c r="K9" t="s">
        <v>699</v>
      </c>
      <c r="L9">
        <v>20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70037305</v>
      </c>
      <c r="C10" t="s">
        <v>1</v>
      </c>
      <c r="D10" t="s">
        <v>612</v>
      </c>
      <c r="E10" s="19" t="s">
        <v>642</v>
      </c>
      <c r="F10" t="e">
        <f>VLOOKUP(DICCIONARIO[[#This Row],[Desc color]],ImportarStock[DESCRIPCION],1,0)</f>
        <v>#N/A</v>
      </c>
      <c r="G10" t="s">
        <v>622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1024</v>
      </c>
      <c r="L10">
        <v>3</v>
      </c>
      <c r="M10" t="str">
        <f>VLOOKUP(ImportarStock[[#This Row],[DESCRIPCION]],DICCIONARIO[Desc color],1,0)</f>
        <v>APP IPH14128GBMID MN</v>
      </c>
    </row>
    <row r="11" spans="2:13" x14ac:dyDescent="0.25">
      <c r="B11">
        <v>70033158</v>
      </c>
      <c r="C11" t="s">
        <v>1</v>
      </c>
      <c r="D11" t="s">
        <v>612</v>
      </c>
      <c r="E11" s="19" t="s">
        <v>623</v>
      </c>
      <c r="F11" t="e">
        <f>VLOOKUP(DICCIONARIO[[#This Row],[Desc color]],ImportarStock[DESCRIPCION],1,0)</f>
        <v>#N/A</v>
      </c>
      <c r="G11" t="s">
        <v>624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0</v>
      </c>
      <c r="K11" t="s">
        <v>862</v>
      </c>
      <c r="L11">
        <v>3</v>
      </c>
      <c r="M11" t="str">
        <f>VLOOKUP(ImportarStock[[#This Row],[DESCRIPCION]],DICCIONARIO[Desc color],1,0)</f>
        <v>APP IPH14128GBSTA SL</v>
      </c>
    </row>
    <row r="12" spans="2:13" x14ac:dyDescent="0.25">
      <c r="B12">
        <v>70037306</v>
      </c>
      <c r="C12" t="s">
        <v>1</v>
      </c>
      <c r="D12" t="s">
        <v>612</v>
      </c>
      <c r="E12" s="19" t="s">
        <v>643</v>
      </c>
      <c r="F12" t="e">
        <f>VLOOKUP(DICCIONARIO[[#This Row],[Desc color]],ImportarStock[DESCRIPCION],1,0)</f>
        <v>#N/A</v>
      </c>
      <c r="G12" t="s">
        <v>624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0</v>
      </c>
      <c r="K12" t="s">
        <v>1113</v>
      </c>
      <c r="L12">
        <v>1</v>
      </c>
      <c r="M12" t="str">
        <f>VLOOKUP(ImportarStock[[#This Row],[DESCRIPCION]],DICCIONARIO[Desc color],1,0)</f>
        <v>APP IPH14256GBSTA SL</v>
      </c>
    </row>
    <row r="13" spans="2:13" x14ac:dyDescent="0.25">
      <c r="B13">
        <v>70037616</v>
      </c>
      <c r="C13" t="s">
        <v>2</v>
      </c>
      <c r="D13" t="s">
        <v>612</v>
      </c>
      <c r="E13" s="19" t="s">
        <v>648</v>
      </c>
      <c r="F13" t="e">
        <f>VLOOKUP(DICCIONARIO[[#This Row],[Desc color]],ImportarStock[DESCRIPCION],1,0)</f>
        <v>#N/A</v>
      </c>
      <c r="G13" t="s">
        <v>611</v>
      </c>
      <c r="H13" t="str">
        <f>VLOOKUP(DICCIONARIO[[#This Row],[Modelo]],UNIFICADA[Equipo],1,0)</f>
        <v>APPLE IPHONE 12 128GB</v>
      </c>
      <c r="I13">
        <f>IFERROR(VLOOKUP(DICCIONARIO[[#This Row],[Desc color]],ImportarStock[[DESCRIPCION]:[LIBRE UTILIZACION]],2,0),0)</f>
        <v>0</v>
      </c>
      <c r="K13" t="s">
        <v>958</v>
      </c>
      <c r="L13">
        <v>1</v>
      </c>
      <c r="M13" t="str">
        <f>VLOOKUP(ImportarStock[[#This Row],[DESCRIPCION]],DICCIONARIO[Desc color],1,0)</f>
        <v>APP IPH14512GBBLU B1</v>
      </c>
    </row>
    <row r="14" spans="2:13" x14ac:dyDescent="0.25">
      <c r="B14">
        <v>70042264</v>
      </c>
      <c r="C14" t="s">
        <v>2</v>
      </c>
      <c r="D14" t="s">
        <v>612</v>
      </c>
      <c r="E14" s="19" t="s">
        <v>689</v>
      </c>
      <c r="F14" t="e">
        <f>VLOOKUP(DICCIONARIO[[#This Row],[Desc color]],ImportarStock[DESCRIPCION],1,0)</f>
        <v>#N/A</v>
      </c>
      <c r="G14" t="s">
        <v>682</v>
      </c>
      <c r="H14" t="str">
        <f>VLOOKUP(DICCIONARIO[[#This Row],[Modelo]],UNIFICADA[Equipo],1,0)</f>
        <v>APPLE IPHONE 12 128GB</v>
      </c>
      <c r="I14">
        <f>IFERROR(VLOOKUP(DICCIONARIO[[#This Row],[Desc color]],ImportarStock[[DESCRIPCION]:[LIBRE UTILIZACION]],2,0),0)</f>
        <v>0</v>
      </c>
      <c r="K14" t="s">
        <v>959</v>
      </c>
      <c r="L14">
        <v>1</v>
      </c>
      <c r="M14" t="str">
        <f>VLOOKUP(ImportarStock[[#This Row],[DESCRIPCION]],DICCIONARIO[Desc color],1,0)</f>
        <v>APP IPH14512GBMID MN</v>
      </c>
    </row>
    <row r="15" spans="2:13" x14ac:dyDescent="0.25">
      <c r="B15">
        <v>70037612</v>
      </c>
      <c r="C15" t="s">
        <v>2</v>
      </c>
      <c r="D15" t="s">
        <v>612</v>
      </c>
      <c r="E15" s="19" t="s">
        <v>651</v>
      </c>
      <c r="F15" t="e">
        <f>VLOOKUP(DICCIONARIO[[#This Row],[Desc color]],ImportarStock[DESCRIPCION],1,0)</f>
        <v>#N/A</v>
      </c>
      <c r="G15" t="s">
        <v>618</v>
      </c>
      <c r="H15" t="str">
        <f>VLOOKUP(DICCIONARIO[[#This Row],[Modelo]],UNIFICADA[Equipo],1,0)</f>
        <v>APPLE IPHONE 12 128GB</v>
      </c>
      <c r="I15">
        <f>IFERROR(VLOOKUP(DICCIONARIO[[#This Row],[Desc color]],ImportarStock[[DESCRIPCION]:[LIBRE UTILIZACION]],2,0),0)</f>
        <v>0</v>
      </c>
      <c r="K15" t="s">
        <v>864</v>
      </c>
      <c r="L15">
        <v>1</v>
      </c>
      <c r="M15" t="str">
        <f>VLOOKUP(ImportarStock[[#This Row],[DESCRIPCION]],DICCIONARIO[Desc color],1,0)</f>
        <v>APP IPH14P128MIDN MN</v>
      </c>
    </row>
    <row r="16" spans="2:13" x14ac:dyDescent="0.25">
      <c r="B16">
        <v>70037617</v>
      </c>
      <c r="C16" t="s">
        <v>2</v>
      </c>
      <c r="D16" t="s">
        <v>612</v>
      </c>
      <c r="E16" s="19" t="s">
        <v>649</v>
      </c>
      <c r="F16" t="e">
        <f>VLOOKUP(DICCIONARIO[[#This Row],[Desc color]],ImportarStock[DESCRIPCION],1,0)</f>
        <v>#N/A</v>
      </c>
      <c r="G16" t="s">
        <v>624</v>
      </c>
      <c r="H16" t="str">
        <f>VLOOKUP(DICCIONARIO[[#This Row],[Modelo]],UNIFICADA[Equipo],1,0)</f>
        <v>APPLE IPHONE 12 128GB</v>
      </c>
      <c r="I16">
        <f>IFERROR(VLOOKUP(DICCIONARIO[[#This Row],[Desc color]],ImportarStock[[DESCRIPCION]:[LIBRE UTILIZACION]],2,0),0)</f>
        <v>0</v>
      </c>
      <c r="K16" t="s">
        <v>867</v>
      </c>
      <c r="L16">
        <v>1</v>
      </c>
      <c r="M16" t="str">
        <f>VLOOKUP(ImportarStock[[#This Row],[DESCRIPCION]],DICCIONARIO[Desc color],1,0)</f>
        <v>APP IPH14PL256MID MN</v>
      </c>
    </row>
    <row r="17" spans="2:13" x14ac:dyDescent="0.25">
      <c r="B17">
        <v>70042247</v>
      </c>
      <c r="C17" t="s">
        <v>2</v>
      </c>
      <c r="D17" t="s">
        <v>612</v>
      </c>
      <c r="E17" s="19" t="s">
        <v>687</v>
      </c>
      <c r="F17" t="e">
        <f>VLOOKUP(DICCIONARIO[[#This Row],[Desc color]],ImportarStock[DESCRIPCION],1,0)</f>
        <v>#N/A</v>
      </c>
      <c r="G17" t="s">
        <v>686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868</v>
      </c>
      <c r="L17">
        <v>1</v>
      </c>
      <c r="M17" t="str">
        <f>VLOOKUP(ImportarStock[[#This Row],[DESCRIPCION]],DICCIONARIO[Desc color],1,0)</f>
        <v>APP IPH14PL256PUR LE</v>
      </c>
    </row>
    <row r="18" spans="2:13" x14ac:dyDescent="0.25">
      <c r="B18">
        <v>70037611</v>
      </c>
      <c r="C18" t="s">
        <v>2</v>
      </c>
      <c r="D18" t="s">
        <v>612</v>
      </c>
      <c r="E18" s="19" t="s">
        <v>650</v>
      </c>
      <c r="F18" t="e">
        <f>VLOOKUP(DICCIONARIO[[#This Row],[Desc color]],ImportarStock[DESCRIPCION],1,0)</f>
        <v>#N/A</v>
      </c>
      <c r="G18" t="s">
        <v>626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960</v>
      </c>
      <c r="L18">
        <v>1</v>
      </c>
      <c r="M18" t="str">
        <f>VLOOKUP(ImportarStock[[#This Row],[DESCRIPCION]],DICCIONARIO[Desc color],1,0)</f>
        <v>APP IPH14PL512MID MN</v>
      </c>
    </row>
    <row r="19" spans="2:13" x14ac:dyDescent="0.25">
      <c r="B19">
        <v>70042269</v>
      </c>
      <c r="C19" t="s">
        <v>2</v>
      </c>
      <c r="D19" t="s">
        <v>612</v>
      </c>
      <c r="E19" s="19" t="s">
        <v>690</v>
      </c>
      <c r="F19" t="e">
        <f>VLOOKUP(DICCIONARIO[[#This Row],[Desc color]],ImportarStock[DESCRIPCION],1,0)</f>
        <v>#N/A</v>
      </c>
      <c r="G19" t="s">
        <v>691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961</v>
      </c>
      <c r="L19">
        <v>2</v>
      </c>
      <c r="M19" t="str">
        <f>VLOOKUP(ImportarStock[[#This Row],[DESCRIPCION]],DICCIONARIO[Desc color],1,0)</f>
        <v>APP IPH14PLUS256G B1</v>
      </c>
    </row>
    <row r="20" spans="2:13" x14ac:dyDescent="0.25">
      <c r="B20">
        <v>70037412</v>
      </c>
      <c r="C20" t="s">
        <v>3</v>
      </c>
      <c r="D20" t="s">
        <v>612</v>
      </c>
      <c r="E20" s="19" t="s">
        <v>861</v>
      </c>
      <c r="F20" t="str">
        <f>VLOOKUP(DICCIONARIO[[#This Row],[Desc color]],ImportarStock[DESCRIPCION],1,0)</f>
        <v>APP IPH1264GBLACK NG</v>
      </c>
      <c r="G20" t="s">
        <v>611</v>
      </c>
      <c r="H20" t="str">
        <f>VLOOKUP(DICCIONARIO[[#This Row],[Modelo]],UNIFICADA[Equipo],1,0)</f>
        <v>APPLE IPHONE 12 64GB</v>
      </c>
      <c r="I20">
        <f>IFERROR(VLOOKUP(DICCIONARIO[[#This Row],[Desc color]],ImportarStock[[DESCRIPCION]:[LIBRE UTILIZACION]],2,0),0)</f>
        <v>2</v>
      </c>
      <c r="K20" t="s">
        <v>1005</v>
      </c>
      <c r="L20">
        <v>8</v>
      </c>
      <c r="M20" t="str">
        <f>VLOOKUP(ImportarStock[[#This Row],[DESCRIPCION]],DICCIONARIO[Desc color],1,0)</f>
        <v>APP IPH14PMAXSPBL SP 256GB</v>
      </c>
    </row>
    <row r="21" spans="2:13" x14ac:dyDescent="0.25">
      <c r="B21">
        <v>70042253</v>
      </c>
      <c r="C21" t="s">
        <v>3</v>
      </c>
      <c r="D21" t="s">
        <v>612</v>
      </c>
      <c r="E21" s="19" t="s">
        <v>688</v>
      </c>
      <c r="F21" t="e">
        <f>VLOOKUP(DICCIONARIO[[#This Row],[Desc color]],ImportarStock[DESCRIPCION],1,0)</f>
        <v>#N/A</v>
      </c>
      <c r="G21" t="s">
        <v>682</v>
      </c>
      <c r="H21" t="str">
        <f>VLOOKUP(DICCIONARIO[[#This Row],[Modelo]],UNIFICADA[Equipo],1,0)</f>
        <v>APPLE IPHONE 12 64GB</v>
      </c>
      <c r="I21">
        <f>IFERROR(VLOOKUP(DICCIONARIO[[#This Row],[Desc color]],ImportarStock[[DESCRIPCION]:[LIBRE UTILIZACION]],2,0),0)</f>
        <v>0</v>
      </c>
      <c r="K21" t="s">
        <v>873</v>
      </c>
      <c r="L21">
        <v>2</v>
      </c>
      <c r="M21" t="str">
        <f>VLOOKUP(ImportarStock[[#This Row],[DESCRIPCION]],DICCIONARIO[Desc color],1,0)</f>
        <v>APP IPH14PROMAXDP DP 256GB</v>
      </c>
    </row>
    <row r="22" spans="2:13" x14ac:dyDescent="0.25">
      <c r="B22">
        <v>70037615</v>
      </c>
      <c r="C22" t="s">
        <v>3</v>
      </c>
      <c r="D22" t="s">
        <v>612</v>
      </c>
      <c r="E22" s="19" t="s">
        <v>647</v>
      </c>
      <c r="F22" t="e">
        <f>VLOOKUP(DICCIONARIO[[#This Row],[Desc color]],ImportarStock[DESCRIPCION],1,0)</f>
        <v>#N/A</v>
      </c>
      <c r="G22" t="s">
        <v>618</v>
      </c>
      <c r="H22" t="str">
        <f>VLOOKUP(DICCIONARIO[[#This Row],[Modelo]],UNIFICADA[Equipo],1,0)</f>
        <v>APPLE IPHONE 12 64GB</v>
      </c>
      <c r="I22">
        <f>IFERROR(VLOOKUP(DICCIONARIO[[#This Row],[Desc color]],ImportarStock[[DESCRIPCION]:[LIBRE UTILIZACION]],2,0),0)</f>
        <v>0</v>
      </c>
      <c r="K22" t="s">
        <v>1006</v>
      </c>
      <c r="L22">
        <v>4</v>
      </c>
      <c r="M22" t="str">
        <f>VLOOKUP(ImportarStock[[#This Row],[DESCRIPCION]],DICCIONARIO[Desc color],1,0)</f>
        <v>APP IPH14PROMAXSI SV 128GB</v>
      </c>
    </row>
    <row r="23" spans="2:13" x14ac:dyDescent="0.25">
      <c r="B23">
        <v>70042243</v>
      </c>
      <c r="C23" t="s">
        <v>3</v>
      </c>
      <c r="D23" t="s">
        <v>612</v>
      </c>
      <c r="E23" s="19" t="s">
        <v>683</v>
      </c>
      <c r="F23" t="e">
        <f>VLOOKUP(DICCIONARIO[[#This Row],[Desc color]],ImportarStock[DESCRIPCION],1,0)</f>
        <v>#N/A</v>
      </c>
      <c r="G23" t="s">
        <v>684</v>
      </c>
      <c r="H23" t="str">
        <f>VLOOKUP(DICCIONARIO[[#This Row],[Modelo]],UNIFICADA[Equipo],1,0)</f>
        <v>APPLE IPHONE 12 64GB</v>
      </c>
      <c r="I23">
        <f>IFERROR(VLOOKUP(DICCIONARIO[[#This Row],[Desc color]],ImportarStock[[DESCRIPCION]:[LIBRE UTILIZACION]],2,0),0)</f>
        <v>0</v>
      </c>
      <c r="K23" t="s">
        <v>1007</v>
      </c>
      <c r="L23">
        <v>9</v>
      </c>
      <c r="M23" t="str">
        <f>VLOOKUP(ImportarStock[[#This Row],[DESCRIPCION]],DICCIONARIO[Desc color],1,0)</f>
        <v>APP IPH14PROMAXSP SP 128GB</v>
      </c>
    </row>
    <row r="24" spans="2:13" x14ac:dyDescent="0.25">
      <c r="B24">
        <v>70040357</v>
      </c>
      <c r="C24" t="s">
        <v>3</v>
      </c>
      <c r="D24" t="s">
        <v>612</v>
      </c>
      <c r="E24" s="19" t="s">
        <v>663</v>
      </c>
      <c r="F24" t="e">
        <f>VLOOKUP(DICCIONARIO[[#This Row],[Desc color]],ImportarStock[DESCRIPCION],1,0)</f>
        <v>#N/A</v>
      </c>
      <c r="G24" t="s">
        <v>622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0</v>
      </c>
      <c r="K24" t="s">
        <v>874</v>
      </c>
      <c r="L24">
        <v>1</v>
      </c>
      <c r="M24" t="str">
        <f>VLOOKUP(ImportarStock[[#This Row],[DESCRIPCION]],DICCIONARIO[Desc color],1,0)</f>
        <v>APP IPH14PRSPACEB SP 256GB</v>
      </c>
    </row>
    <row r="25" spans="2:13" x14ac:dyDescent="0.25">
      <c r="B25">
        <v>70037614</v>
      </c>
      <c r="C25" t="s">
        <v>3</v>
      </c>
      <c r="D25" t="s">
        <v>612</v>
      </c>
      <c r="E25" s="19" t="s">
        <v>646</v>
      </c>
      <c r="F25" t="e">
        <f>VLOOKUP(DICCIONARIO[[#This Row],[Desc color]],ImportarStock[DESCRIPCION],1,0)</f>
        <v>#N/A</v>
      </c>
      <c r="G25" t="s">
        <v>626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1008</v>
      </c>
      <c r="L25">
        <v>11</v>
      </c>
      <c r="M25" t="str">
        <f>VLOOKUP(ImportarStock[[#This Row],[DESCRIPCION]],DICCIONARIO[Desc color],1,0)</f>
        <v>APP IPH14PRSPBLAC SP 128GB</v>
      </c>
    </row>
    <row r="26" spans="2:13" x14ac:dyDescent="0.25">
      <c r="B26">
        <v>70037413</v>
      </c>
      <c r="C26" t="s">
        <v>3</v>
      </c>
      <c r="D26" t="s">
        <v>612</v>
      </c>
      <c r="E26" s="19" t="s">
        <v>645</v>
      </c>
      <c r="F26" t="e">
        <f>VLOOKUP(DICCIONARIO[[#This Row],[Desc color]],ImportarStock[DESCRIPCION],1,0)</f>
        <v>#N/A</v>
      </c>
      <c r="G26" t="s">
        <v>624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1108</v>
      </c>
      <c r="L26">
        <v>5</v>
      </c>
      <c r="M26" t="str">
        <f>VLOOKUP(ImportarStock[[#This Row],[DESCRIPCION]],DICCIONARIO[Desc color],1,0)</f>
        <v>APP IPH732BSAC NG SEED STOCK C/ ACCES</v>
      </c>
    </row>
    <row r="27" spans="2:13" x14ac:dyDescent="0.25">
      <c r="B27">
        <v>70042246</v>
      </c>
      <c r="C27" t="s">
        <v>3</v>
      </c>
      <c r="D27" t="s">
        <v>612</v>
      </c>
      <c r="E27" s="19" t="s">
        <v>685</v>
      </c>
      <c r="F27" t="e">
        <f>VLOOKUP(DICCIONARIO[[#This Row],[Desc color]],ImportarStock[DESCRIPCION],1,0)</f>
        <v>#N/A</v>
      </c>
      <c r="G27" t="s">
        <v>686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1111</v>
      </c>
      <c r="L27">
        <v>1</v>
      </c>
      <c r="M27" t="str">
        <f>VLOOKUP(ImportarStock[[#This Row],[DESCRIPCION]],DICCIONARIO[Desc color],1,0)</f>
        <v>APP IPH8P64SGSAC GR SEED STOCK C/ ACCES</v>
      </c>
    </row>
    <row r="28" spans="2:13" x14ac:dyDescent="0.25">
      <c r="B28">
        <v>70042634</v>
      </c>
      <c r="C28" t="s">
        <v>4</v>
      </c>
      <c r="D28" t="s">
        <v>612</v>
      </c>
      <c r="E28" s="19" t="s">
        <v>699</v>
      </c>
      <c r="F28" t="str">
        <f>VLOOKUP(DICCIONARIO[[#This Row],[Desc color]],ImportarStock[DESCRIPCION],1,0)</f>
        <v>APP IPH13128GMN MN PROCESADOR A15</v>
      </c>
      <c r="G28" t="s">
        <v>700</v>
      </c>
      <c r="H28" t="str">
        <f>VLOOKUP(DICCIONARIO[[#This Row],[Modelo]],UNIFICADA[Equipo],1,0)</f>
        <v>APPLE IPHONE 13 128GB</v>
      </c>
      <c r="I28">
        <f>IFERROR(VLOOKUP(DICCIONARIO[[#This Row],[Desc color]],ImportarStock[[DESCRIPCION]:[LIBRE UTILIZACION]],2,0),0)</f>
        <v>20</v>
      </c>
      <c r="K28" t="s">
        <v>1112</v>
      </c>
      <c r="L28">
        <v>1</v>
      </c>
      <c r="M28" t="str">
        <f>VLOOKUP(ImportarStock[[#This Row],[DESCRIPCION]],DICCIONARIO[Desc color],1,0)</f>
        <v>APP IPHXS64SPGSAC GR SEED STOCK C/ ACCES</v>
      </c>
    </row>
    <row r="29" spans="2:13" x14ac:dyDescent="0.25">
      <c r="B29">
        <v>70042644</v>
      </c>
      <c r="C29" t="s">
        <v>4</v>
      </c>
      <c r="D29" t="s">
        <v>612</v>
      </c>
      <c r="E29" s="19" t="s">
        <v>701</v>
      </c>
      <c r="F29" t="e">
        <f>VLOOKUP(DICCIONARIO[[#This Row],[Desc color]],ImportarStock[DESCRIPCION],1,0)</f>
        <v>#N/A</v>
      </c>
      <c r="G29" t="s">
        <v>702</v>
      </c>
      <c r="H29" t="str">
        <f>VLOOKUP(DICCIONARIO[[#This Row],[Modelo]],UNIFICADA[Equipo],1,0)</f>
        <v>APPLE IPHONE 13 128GB</v>
      </c>
      <c r="I29">
        <f>IFERROR(VLOOKUP(DICCIONARIO[[#This Row],[Desc color]],ImportarStock[[DESCRIPCION]:[LIBRE UTILIZACION]],2,0),0)</f>
        <v>0</v>
      </c>
      <c r="K29" t="s">
        <v>1080</v>
      </c>
      <c r="L29">
        <v>4</v>
      </c>
      <c r="M29" t="str">
        <f>VLOOKUP(ImportarStock[[#This Row],[DESCRIPCION]],DICCIONARIO[Desc color],1,0)</f>
        <v>AUDIF APP AIRPODS 3RDG BL</v>
      </c>
    </row>
    <row r="30" spans="2:13" x14ac:dyDescent="0.25">
      <c r="B30">
        <v>70042636</v>
      </c>
      <c r="C30" t="s">
        <v>4</v>
      </c>
      <c r="D30" t="s">
        <v>612</v>
      </c>
      <c r="E30" s="19" t="s">
        <v>707</v>
      </c>
      <c r="F30" t="e">
        <f>VLOOKUP(DICCIONARIO[[#This Row],[Desc color]],ImportarStock[DESCRIPCION],1,0)</f>
        <v>#N/A</v>
      </c>
      <c r="G30" t="s">
        <v>708</v>
      </c>
      <c r="H30" t="str">
        <f>VLOOKUP(DICCIONARIO[[#This Row],[Modelo]],UNIFICADA[Equipo],1,0)</f>
        <v>APPLE IPHONE 13 128GB</v>
      </c>
      <c r="I30">
        <f>IFERROR(VLOOKUP(DICCIONARIO[[#This Row],[Desc color]],ImportarStock[[DESCRIPCION]:[LIBRE UTILIZACION]],2,0),0)</f>
        <v>0</v>
      </c>
      <c r="K30" t="s">
        <v>1079</v>
      </c>
      <c r="L30">
        <v>7</v>
      </c>
      <c r="M30" t="str">
        <f>VLOOKUP(ImportarStock[[#This Row],[DESCRIPCION]],DICCIONARIO[Desc color],1,0)</f>
        <v>AUDIF APP AIRPODSPROCASEWRLS</v>
      </c>
    </row>
    <row r="31" spans="2:13" x14ac:dyDescent="0.25">
      <c r="B31">
        <v>70042635</v>
      </c>
      <c r="C31" t="s">
        <v>4</v>
      </c>
      <c r="D31" t="s">
        <v>612</v>
      </c>
      <c r="E31" s="19" t="s">
        <v>703</v>
      </c>
      <c r="F31" t="e">
        <f>VLOOKUP(DICCIONARIO[[#This Row],[Desc color]],ImportarStock[DESCRIPCION],1,0)</f>
        <v>#N/A</v>
      </c>
      <c r="G31" t="s">
        <v>704</v>
      </c>
      <c r="H31" t="str">
        <f>VLOOKUP(DICCIONARIO[[#This Row],[Modelo]],UNIFICADA[Equipo],1,0)</f>
        <v>APPLE IPHONE 13 128GB</v>
      </c>
      <c r="I31">
        <f>IFERROR(VLOOKUP(DICCIONARIO[[#This Row],[Desc color]],ImportarStock[[DESCRIPCION]:[LIBRE UTILIZACION]],2,0),0)</f>
        <v>0</v>
      </c>
      <c r="K31" t="s">
        <v>1089</v>
      </c>
      <c r="L31">
        <v>1</v>
      </c>
      <c r="M31" t="str">
        <f>VLOOKUP(ImportarStock[[#This Row],[DESCRIPCION]],DICCIONARIO[Desc color],1,0)</f>
        <v>AUDIF BT BSHEP PLAYER PL</v>
      </c>
    </row>
    <row r="32" spans="2:13" x14ac:dyDescent="0.25">
      <c r="B32">
        <v>70042762</v>
      </c>
      <c r="C32" t="s">
        <v>4</v>
      </c>
      <c r="D32" t="s">
        <v>612</v>
      </c>
      <c r="E32" s="19" t="s">
        <v>705</v>
      </c>
      <c r="F32" t="e">
        <f>VLOOKUP(DICCIONARIO[[#This Row],[Desc color]],ImportarStock[DESCRIPCION],1,0)</f>
        <v>#N/A</v>
      </c>
      <c r="G32" t="s">
        <v>706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1150</v>
      </c>
      <c r="L32">
        <v>1</v>
      </c>
      <c r="M32" t="str">
        <f>VLOOKUP(ImportarStock[[#This Row],[DESCRIPCION]],DICCIONARIO[Desc color],1,0)</f>
        <v>AUDIF BT BSHEP TWS DRUMS RJ</v>
      </c>
    </row>
    <row r="33" spans="2:13" x14ac:dyDescent="0.25">
      <c r="B33">
        <v>70042664</v>
      </c>
      <c r="C33" t="s">
        <v>5</v>
      </c>
      <c r="D33" t="s">
        <v>612</v>
      </c>
      <c r="E33" s="19" t="s">
        <v>713</v>
      </c>
      <c r="F33" t="e">
        <f>VLOOKUP(DICCIONARIO[[#This Row],[Desc color]],ImportarStock[DESCRIPCION],1,0)</f>
        <v>#N/A</v>
      </c>
      <c r="G33" t="s">
        <v>708</v>
      </c>
      <c r="H33" t="str">
        <f>VLOOKUP(DICCIONARIO[[#This Row],[Modelo]],UNIFICADA[Equipo],1,0)</f>
        <v>APPLE IPHONE 13 256GB</v>
      </c>
      <c r="I33">
        <f>IFERROR(VLOOKUP(DICCIONARIO[[#This Row],[Desc color]],ImportarStock[[DESCRIPCION]:[LIBRE UTILIZACION]],2,0),0)</f>
        <v>0</v>
      </c>
      <c r="K33" t="s">
        <v>1076</v>
      </c>
      <c r="L33">
        <v>2</v>
      </c>
      <c r="M33" t="str">
        <f>VLOOKUP(ImportarStock[[#This Row],[DESCRIPCION]],DICCIONARIO[Desc color],1,0)</f>
        <v>AUDIF BT SENHEI CX 150 BL</v>
      </c>
    </row>
    <row r="34" spans="2:13" x14ac:dyDescent="0.25">
      <c r="B34">
        <v>70042763</v>
      </c>
      <c r="C34" t="s">
        <v>5</v>
      </c>
      <c r="D34" t="s">
        <v>612</v>
      </c>
      <c r="E34" s="19" t="s">
        <v>709</v>
      </c>
      <c r="F34" t="e">
        <f>VLOOKUP(DICCIONARIO[[#This Row],[Desc color]],ImportarStock[DESCRIPCION],1,0)</f>
        <v>#N/A</v>
      </c>
      <c r="G34" t="s">
        <v>700</v>
      </c>
      <c r="H34" t="str">
        <f>VLOOKUP(DICCIONARIO[[#This Row],[Modelo]],UNIFICADA[Equipo],1,0)</f>
        <v>APPLE IPHONE 13 256GB</v>
      </c>
      <c r="I34">
        <f>IFERROR(VLOOKUP(DICCIONARIO[[#This Row],[Desc color]],ImportarStock[[DESCRIPCION]:[LIBRE UTILIZACION]],2,0),0)</f>
        <v>0</v>
      </c>
      <c r="K34" t="s">
        <v>1083</v>
      </c>
      <c r="L34">
        <v>6</v>
      </c>
      <c r="M34" t="str">
        <f>VLOOKUP(ImportarStock[[#This Row],[DESCRIPCION]],DICCIONARIO[Desc color],1,0)</f>
        <v>AUDIF BT SENHEI CX 80S NG</v>
      </c>
    </row>
    <row r="35" spans="2:13" x14ac:dyDescent="0.25">
      <c r="B35">
        <v>70042637</v>
      </c>
      <c r="C35" t="s">
        <v>5</v>
      </c>
      <c r="D35" t="s">
        <v>612</v>
      </c>
      <c r="E35" s="19" t="s">
        <v>711</v>
      </c>
      <c r="F35" t="e">
        <f>VLOOKUP(DICCIONARIO[[#This Row],[Desc color]],ImportarStock[DESCRIPCION],1,0)</f>
        <v>#N/A</v>
      </c>
      <c r="G35" t="s">
        <v>704</v>
      </c>
      <c r="H35" t="str">
        <f>VLOOKUP(DICCIONARIO[[#This Row],[Modelo]],UNIFICADA[Equipo],1,0)</f>
        <v>APPLE IPHONE 13 256GB</v>
      </c>
      <c r="I35">
        <f>IFERROR(VLOOKUP(DICCIONARIO[[#This Row],[Desc color]],ImportarStock[[DESCRIPCION]:[LIBRE UTILIZACION]],2,0),0)</f>
        <v>0</v>
      </c>
      <c r="K35" t="s">
        <v>1086</v>
      </c>
      <c r="L35">
        <v>3</v>
      </c>
      <c r="M35" t="str">
        <f>VLOOKUP(ImportarStock[[#This Row],[DESCRIPCION]],DICCIONARIO[Desc color],1,0)</f>
        <v>AUDIF BT SKUL DIME NRJ</v>
      </c>
    </row>
    <row r="36" spans="2:13" x14ac:dyDescent="0.25">
      <c r="B36">
        <v>70042638</v>
      </c>
      <c r="C36" t="s">
        <v>5</v>
      </c>
      <c r="D36" t="s">
        <v>612</v>
      </c>
      <c r="E36" s="19" t="s">
        <v>712</v>
      </c>
      <c r="F36" t="e">
        <f>VLOOKUP(DICCIONARIO[[#This Row],[Desc color]],ImportarStock[DESCRIPCION],1,0)</f>
        <v>#N/A</v>
      </c>
      <c r="G36" t="s">
        <v>706</v>
      </c>
      <c r="H36" t="str">
        <f>VLOOKUP(DICCIONARIO[[#This Row],[Modelo]],UNIFICADA[Equipo],1,0)</f>
        <v>APPLE IPHONE 13 256GB</v>
      </c>
      <c r="I36">
        <f>IFERROR(VLOOKUP(DICCIONARIO[[#This Row],[Desc color]],ImportarStock[[DESCRIPCION]:[LIBRE UTILIZACION]],2,0),0)</f>
        <v>0</v>
      </c>
      <c r="K36" t="s">
        <v>1084</v>
      </c>
      <c r="L36">
        <v>2</v>
      </c>
      <c r="M36" t="str">
        <f>VLOOKUP(ImportarStock[[#This Row],[DESCRIPCION]],DICCIONARIO[Desc color],1,0)</f>
        <v>AUDIF BT SKUL DIME RJ</v>
      </c>
    </row>
    <row r="37" spans="2:13" x14ac:dyDescent="0.25">
      <c r="B37">
        <v>70042654</v>
      </c>
      <c r="C37" t="s">
        <v>5</v>
      </c>
      <c r="D37" t="s">
        <v>612</v>
      </c>
      <c r="E37" s="19" t="s">
        <v>710</v>
      </c>
      <c r="F37" t="e">
        <f>VLOOKUP(DICCIONARIO[[#This Row],[Desc color]],ImportarStock[DESCRIPCION],1,0)</f>
        <v>#N/A</v>
      </c>
      <c r="G37" t="s">
        <v>702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1106</v>
      </c>
      <c r="L37">
        <v>8</v>
      </c>
      <c r="M37" t="str">
        <f>VLOOKUP(ImportarStock[[#This Row],[DESCRIPCION]],DICCIONARIO[Desc color],1,0)</f>
        <v>AUDIF BT ZTE HIFI SPORT BL</v>
      </c>
    </row>
    <row r="38" spans="2:13" x14ac:dyDescent="0.25">
      <c r="B38">
        <v>70042640</v>
      </c>
      <c r="C38" t="s">
        <v>6</v>
      </c>
      <c r="D38" t="s">
        <v>612</v>
      </c>
      <c r="E38" s="19" t="s">
        <v>718</v>
      </c>
      <c r="F38" t="e">
        <f>VLOOKUP(DICCIONARIO[[#This Row],[Desc color]],ImportarStock[DESCRIPCION],1,0)</f>
        <v>#N/A</v>
      </c>
      <c r="G38" t="s">
        <v>708</v>
      </c>
      <c r="H38" t="str">
        <f>VLOOKUP(DICCIONARIO[[#This Row],[Modelo]],UNIFICADA[Equipo],1,0)</f>
        <v>APPLE IPHONE 13 512GB</v>
      </c>
      <c r="I38">
        <f>IFERROR(VLOOKUP(DICCIONARIO[[#This Row],[Desc color]],ImportarStock[[DESCRIPCION]:[LIBRE UTILIZACION]],2,0),0)</f>
        <v>0</v>
      </c>
      <c r="K38" t="s">
        <v>1090</v>
      </c>
      <c r="L38">
        <v>32</v>
      </c>
      <c r="M38" t="str">
        <f>VLOOKUP(ImportarStock[[#This Row],[DESCRIPCION]],DICCIONARIO[Desc color],1,0)</f>
        <v>AUDIF CABLE LIGHTNING APPIPH BL</v>
      </c>
    </row>
    <row r="39" spans="2:13" x14ac:dyDescent="0.25">
      <c r="B39">
        <v>70042665</v>
      </c>
      <c r="C39" t="s">
        <v>6</v>
      </c>
      <c r="D39" t="s">
        <v>612</v>
      </c>
      <c r="E39" s="19" t="s">
        <v>714</v>
      </c>
      <c r="F39" t="e">
        <f>VLOOKUP(DICCIONARIO[[#This Row],[Desc color]],ImportarStock[DESCRIPCION],1,0)</f>
        <v>#N/A</v>
      </c>
      <c r="G39" t="s">
        <v>700</v>
      </c>
      <c r="H39" t="str">
        <f>VLOOKUP(DICCIONARIO[[#This Row],[Modelo]],UNIFICADA[Equipo],1,0)</f>
        <v>APPLE IPHONE 13 512GB</v>
      </c>
      <c r="I39">
        <f>IFERROR(VLOOKUP(DICCIONARIO[[#This Row],[Desc color]],ImportarStock[[DESCRIPCION]:[LIBRE UTILIZACION]],2,0),0)</f>
        <v>0</v>
      </c>
      <c r="K39" t="s">
        <v>1068</v>
      </c>
      <c r="L39">
        <v>1</v>
      </c>
      <c r="M39" t="str">
        <f>VLOOKUP(ImportarStock[[#This Row],[DESCRIPCION]],DICCIONARIO[Desc color],1,0)</f>
        <v>AUDIF HUA FREEBUDS3 SHARKBL_SED</v>
      </c>
    </row>
    <row r="40" spans="2:13" x14ac:dyDescent="0.25">
      <c r="B40">
        <v>70042667</v>
      </c>
      <c r="C40" t="s">
        <v>6</v>
      </c>
      <c r="D40" t="s">
        <v>612</v>
      </c>
      <c r="E40" s="19" t="s">
        <v>716</v>
      </c>
      <c r="F40" t="e">
        <f>VLOOKUP(DICCIONARIO[[#This Row],[Desc color]],ImportarStock[DESCRIPCION],1,0)</f>
        <v>#N/A</v>
      </c>
      <c r="G40" t="s">
        <v>704</v>
      </c>
      <c r="H40" t="str">
        <f>VLOOKUP(DICCIONARIO[[#This Row],[Modelo]],UNIFICADA[Equipo],1,0)</f>
        <v>APPLE IPHONE 13 512GB</v>
      </c>
      <c r="I40">
        <f>IFERROR(VLOOKUP(DICCIONARIO[[#This Row],[Desc color]],ImportarStock[[DESCRIPCION]:[LIBRE UTILIZACION]],2,0),0)</f>
        <v>0</v>
      </c>
      <c r="K40" t="s">
        <v>1070</v>
      </c>
      <c r="L40">
        <v>1</v>
      </c>
      <c r="M40" t="str">
        <f>VLOOKUP(ImportarStock[[#This Row],[DESCRIPCION]],DICCIONARIO[Desc color],1,0)</f>
        <v>AUDIF SMG GALBUDPLUS NG</v>
      </c>
    </row>
    <row r="41" spans="2:13" x14ac:dyDescent="0.25">
      <c r="B41">
        <v>70042639</v>
      </c>
      <c r="C41" t="s">
        <v>6</v>
      </c>
      <c r="D41" t="s">
        <v>612</v>
      </c>
      <c r="E41" s="19" t="s">
        <v>717</v>
      </c>
      <c r="F41" t="e">
        <f>VLOOKUP(DICCIONARIO[[#This Row],[Desc color]],ImportarStock[DESCRIPCION],1,0)</f>
        <v>#N/A</v>
      </c>
      <c r="G41" t="s">
        <v>706</v>
      </c>
      <c r="H41" t="str">
        <f>VLOOKUP(DICCIONARIO[[#This Row],[Modelo]],UNIFICADA[Equipo],1,0)</f>
        <v>APPLE IPHONE 13 512GB</v>
      </c>
      <c r="I41">
        <f>IFERROR(VLOOKUP(DICCIONARIO[[#This Row],[Desc color]],ImportarStock[[DESCRIPCION]:[LIBRE UTILIZACION]],2,0),0)</f>
        <v>0</v>
      </c>
      <c r="K41" t="s">
        <v>1081</v>
      </c>
      <c r="L41">
        <v>3</v>
      </c>
      <c r="M41" t="str">
        <f>VLOOKUP(ImportarStock[[#This Row],[DESCRIPCION]],DICCIONARIO[Desc color],1,0)</f>
        <v>AUDIF XIAO BUDS3LITENG</v>
      </c>
    </row>
    <row r="42" spans="2:13" x14ac:dyDescent="0.25">
      <c r="B42">
        <v>70042666</v>
      </c>
      <c r="C42" t="s">
        <v>6</v>
      </c>
      <c r="D42" t="s">
        <v>612</v>
      </c>
      <c r="E42" s="19" t="s">
        <v>715</v>
      </c>
      <c r="F42" t="e">
        <f>VLOOKUP(DICCIONARIO[[#This Row],[Desc color]],ImportarStock[DESCRIPCION],1,0)</f>
        <v>#N/A</v>
      </c>
      <c r="G42" t="s">
        <v>702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1092</v>
      </c>
      <c r="L42">
        <v>7</v>
      </c>
      <c r="M42" t="str">
        <f>VLOOKUP(ImportarStock[[#This Row],[DESCRIPCION]],DICCIONARIO[Desc color],1,0)</f>
        <v>BALANZA XIAOMI SCALE 2BL</v>
      </c>
    </row>
    <row r="43" spans="2:13" x14ac:dyDescent="0.25">
      <c r="B43">
        <v>70042675</v>
      </c>
      <c r="C43" t="s">
        <v>7</v>
      </c>
      <c r="D43" t="s">
        <v>612</v>
      </c>
      <c r="E43" s="19" t="s">
        <v>723</v>
      </c>
      <c r="F43" t="e">
        <f>VLOOKUP(DICCIONARIO[[#This Row],[Desc color]],ImportarStock[DESCRIPCION],1,0)</f>
        <v>#N/A</v>
      </c>
      <c r="G43" t="s">
        <v>708</v>
      </c>
      <c r="H43" t="str">
        <f>VLOOKUP(DICCIONARIO[[#This Row],[Modelo]],UNIFICADA[Equipo],1,0)</f>
        <v>APPLE IPHONE 13 MINI 128GB</v>
      </c>
      <c r="I43">
        <f>IFERROR(VLOOKUP(DICCIONARIO[[#This Row],[Desc color]],ImportarStock[[DESCRIPCION]:[LIBRE UTILIZACION]],2,0),0)</f>
        <v>0</v>
      </c>
      <c r="K43" t="s">
        <v>1093</v>
      </c>
      <c r="L43">
        <v>2</v>
      </c>
      <c r="M43" t="str">
        <f>VLOOKUP(ImportarStock[[#This Row],[DESCRIPCION]],DICCIONARIO[Desc color],1,0)</f>
        <v>CAMARA SMART NEXT 2K INTERIOR</v>
      </c>
    </row>
    <row r="44" spans="2:13" x14ac:dyDescent="0.25">
      <c r="B44">
        <v>70042641</v>
      </c>
      <c r="C44" t="s">
        <v>7</v>
      </c>
      <c r="D44" t="s">
        <v>612</v>
      </c>
      <c r="E44" s="19" t="s">
        <v>719</v>
      </c>
      <c r="F44" t="e">
        <f>VLOOKUP(DICCIONARIO[[#This Row],[Desc color]],ImportarStock[DESCRIPCION],1,0)</f>
        <v>#N/A</v>
      </c>
      <c r="G44" t="s">
        <v>700</v>
      </c>
      <c r="H44" t="str">
        <f>VLOOKUP(DICCIONARIO[[#This Row],[Modelo]],UNIFICADA[Equipo],1,0)</f>
        <v>APPLE IPHONE 13 MINI 128GB</v>
      </c>
      <c r="I44">
        <f>IFERROR(VLOOKUP(DICCIONARIO[[#This Row],[Desc color]],ImportarStock[[DESCRIPCION]:[LIBRE UTILIZACION]],2,0),0)</f>
        <v>0</v>
      </c>
      <c r="K44" t="s">
        <v>1094</v>
      </c>
      <c r="L44">
        <v>2</v>
      </c>
      <c r="M44" t="str">
        <f>VLOOKUP(ImportarStock[[#This Row],[DESCRIPCION]],DICCIONARIO[Desc color],1,0)</f>
        <v>CAMARA SMART NEXT 2K INTERIOR PK2</v>
      </c>
    </row>
    <row r="45" spans="2:13" x14ac:dyDescent="0.25">
      <c r="B45">
        <v>70042643</v>
      </c>
      <c r="C45" t="s">
        <v>7</v>
      </c>
      <c r="D45" t="s">
        <v>612</v>
      </c>
      <c r="E45" s="19" t="s">
        <v>721</v>
      </c>
      <c r="F45" t="e">
        <f>VLOOKUP(DICCIONARIO[[#This Row],[Desc color]],ImportarStock[DESCRIPCION],1,0)</f>
        <v>#N/A</v>
      </c>
      <c r="G45" t="s">
        <v>704</v>
      </c>
      <c r="H45" t="str">
        <f>VLOOKUP(DICCIONARIO[[#This Row],[Modelo]],UNIFICADA[Equipo],1,0)</f>
        <v>APPLE IPHONE 13 MINI 128GB</v>
      </c>
      <c r="I45">
        <f>IFERROR(VLOOKUP(DICCIONARIO[[#This Row],[Desc color]],ImportarStock[[DESCRIPCION]:[LIBRE UTILIZACION]],2,0),0)</f>
        <v>0</v>
      </c>
      <c r="K45" t="s">
        <v>1095</v>
      </c>
      <c r="L45">
        <v>2</v>
      </c>
      <c r="M45" t="str">
        <f>VLOOKUP(ImportarStock[[#This Row],[DESCRIPCION]],DICCIONARIO[Desc color],1,0)</f>
        <v>CAMARA SMART NEXT PTZ2K INTERIOR</v>
      </c>
    </row>
    <row r="46" spans="2:13" x14ac:dyDescent="0.25">
      <c r="B46">
        <v>70042674</v>
      </c>
      <c r="C46" t="s">
        <v>7</v>
      </c>
      <c r="D46" t="s">
        <v>612</v>
      </c>
      <c r="E46" s="19" t="s">
        <v>722</v>
      </c>
      <c r="F46" t="e">
        <f>VLOOKUP(DICCIONARIO[[#This Row],[Desc color]],ImportarStock[DESCRIPCION],1,0)</f>
        <v>#N/A</v>
      </c>
      <c r="G46" t="s">
        <v>706</v>
      </c>
      <c r="H46" t="str">
        <f>VLOOKUP(DICCIONARIO[[#This Row],[Modelo]],UNIFICADA[Equipo],1,0)</f>
        <v>APPLE IPHONE 13 MINI 128GB</v>
      </c>
      <c r="I46">
        <f>IFERROR(VLOOKUP(DICCIONARIO[[#This Row],[Desc color]],ImportarStock[[DESCRIPCION]:[LIBRE UTILIZACION]],2,0),0)</f>
        <v>0</v>
      </c>
      <c r="K46" t="s">
        <v>1065</v>
      </c>
      <c r="L46">
        <v>1</v>
      </c>
      <c r="M46" t="str">
        <f>VLOOKUP(ImportarStock[[#This Row],[DESCRIPCION]],DICCIONARIO[Desc color],1,0)</f>
        <v>CAMISA BLANCA REGU FIT TXL(17 1/2)V/19</v>
      </c>
    </row>
    <row r="47" spans="2:13" x14ac:dyDescent="0.25">
      <c r="B47">
        <v>70042642</v>
      </c>
      <c r="C47" t="s">
        <v>7</v>
      </c>
      <c r="D47" t="s">
        <v>612</v>
      </c>
      <c r="E47" s="19" t="s">
        <v>720</v>
      </c>
      <c r="F47" t="e">
        <f>VLOOKUP(DICCIONARIO[[#This Row],[Desc color]],ImportarStock[DESCRIPCION],1,0)</f>
        <v>#N/A</v>
      </c>
      <c r="G47" t="s">
        <v>702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1067</v>
      </c>
      <c r="L47">
        <v>1</v>
      </c>
      <c r="M47" t="str">
        <f>VLOOKUP(ImportarStock[[#This Row],[DESCRIPCION]],DICCIONARIO[Desc color],1,0)</f>
        <v>CAMISA BLANCA SLIM FIT TM(15 1/2)V/19</v>
      </c>
    </row>
    <row r="48" spans="2:13" x14ac:dyDescent="0.25">
      <c r="B48">
        <v>70042682</v>
      </c>
      <c r="C48" t="s">
        <v>8</v>
      </c>
      <c r="D48" t="s">
        <v>612</v>
      </c>
      <c r="E48" s="19" t="s">
        <v>728</v>
      </c>
      <c r="F48" t="e">
        <f>VLOOKUP(DICCIONARIO[[#This Row],[Desc color]],ImportarStock[DESCRIPCION],1,0)</f>
        <v>#N/A</v>
      </c>
      <c r="G48" t="s">
        <v>708</v>
      </c>
      <c r="H48" t="str">
        <f>VLOOKUP(DICCIONARIO[[#This Row],[Modelo]],UNIFICADA[Equipo],1,0)</f>
        <v>APPLE IPHONE 13 MINI 256GB</v>
      </c>
      <c r="I48">
        <f>IFERROR(VLOOKUP(DICCIONARIO[[#This Row],[Desc color]],ImportarStock[[DESCRIPCION]:[LIBRE UTILIZACION]],2,0),0)</f>
        <v>0</v>
      </c>
      <c r="K48" t="s">
        <v>1064</v>
      </c>
      <c r="L48">
        <v>1</v>
      </c>
      <c r="M48" t="str">
        <f>VLOOKUP(ImportarStock[[#This Row],[DESCRIPCION]],DICCIONARIO[Desc color],1,0)</f>
        <v>CAMISA CELESTE REGU FIT TXL(17 1/2)V/19</v>
      </c>
    </row>
    <row r="49" spans="2:13" x14ac:dyDescent="0.25">
      <c r="B49">
        <v>70042676</v>
      </c>
      <c r="C49" t="s">
        <v>8</v>
      </c>
      <c r="D49" t="s">
        <v>612</v>
      </c>
      <c r="E49" s="19" t="s">
        <v>724</v>
      </c>
      <c r="F49" t="e">
        <f>VLOOKUP(DICCIONARIO[[#This Row],[Desc color]],ImportarStock[DESCRIPCION],1,0)</f>
        <v>#N/A</v>
      </c>
      <c r="G49" t="s">
        <v>700</v>
      </c>
      <c r="H49" t="str">
        <f>VLOOKUP(DICCIONARIO[[#This Row],[Modelo]],UNIFICADA[Equipo],1,0)</f>
        <v>APPLE IPHONE 13 MINI 256GB</v>
      </c>
      <c r="I49">
        <f>IFERROR(VLOOKUP(DICCIONARIO[[#This Row],[Desc color]],ImportarStock[[DESCRIPCION]:[LIBRE UTILIZACION]],2,0),0)</f>
        <v>0</v>
      </c>
      <c r="K49" t="s">
        <v>1066</v>
      </c>
      <c r="L49">
        <v>2</v>
      </c>
      <c r="M49" t="str">
        <f>VLOOKUP(ImportarStock[[#This Row],[DESCRIPCION]],DICCIONARIO[Desc color],1,0)</f>
        <v>CAMISA CELESTE SLIM FIT TM(15 1/2)V/19</v>
      </c>
    </row>
    <row r="50" spans="2:13" x14ac:dyDescent="0.25">
      <c r="B50">
        <v>70042678</v>
      </c>
      <c r="C50" t="s">
        <v>8</v>
      </c>
      <c r="D50" t="s">
        <v>612</v>
      </c>
      <c r="E50" s="19" t="s">
        <v>726</v>
      </c>
      <c r="F50" t="e">
        <f>VLOOKUP(DICCIONARIO[[#This Row],[Desc color]],ImportarStock[DESCRIPCION],1,0)</f>
        <v>#N/A</v>
      </c>
      <c r="G50" t="s">
        <v>704</v>
      </c>
      <c r="H50" t="str">
        <f>VLOOKUP(DICCIONARIO[[#This Row],[Modelo]],UNIFICADA[Equipo],1,0)</f>
        <v>APPLE IPHONE 13 MINI 256GB</v>
      </c>
      <c r="I50">
        <f>IFERROR(VLOOKUP(DICCIONARIO[[#This Row],[Desc color]],ImportarStock[[DESCRIPCION]:[LIBRE UTILIZACION]],2,0),0)</f>
        <v>0</v>
      </c>
      <c r="K50" t="s">
        <v>1071</v>
      </c>
      <c r="L50">
        <v>21</v>
      </c>
      <c r="M50" t="str">
        <f>VLOOKUP(ImportarStock[[#This Row],[DESCRIPCION]],DICCIONARIO[Desc color],1,0)</f>
        <v>CONTROL REMOTO AN-4803 ECOSS</v>
      </c>
    </row>
    <row r="51" spans="2:13" x14ac:dyDescent="0.25">
      <c r="B51">
        <v>70042679</v>
      </c>
      <c r="C51" t="s">
        <v>8</v>
      </c>
      <c r="D51" t="s">
        <v>612</v>
      </c>
      <c r="E51" s="19" t="s">
        <v>727</v>
      </c>
      <c r="F51" t="e">
        <f>VLOOKUP(DICCIONARIO[[#This Row],[Desc color]],ImportarStock[DESCRIPCION],1,0)</f>
        <v>#N/A</v>
      </c>
      <c r="G51" t="s">
        <v>706</v>
      </c>
      <c r="H51" t="str">
        <f>VLOOKUP(DICCIONARIO[[#This Row],[Modelo]],UNIFICADA[Equipo],1,0)</f>
        <v>APPLE IPHONE 13 MINI 256GB</v>
      </c>
      <c r="I51">
        <f>IFERROR(VLOOKUP(DICCIONARIO[[#This Row],[Desc color]],ImportarStock[[DESCRIPCION]:[LIBRE UTILIZACION]],2,0),0)</f>
        <v>0</v>
      </c>
      <c r="K51" t="s">
        <v>1059</v>
      </c>
      <c r="L51">
        <v>3</v>
      </c>
      <c r="M51" t="str">
        <f>VLOOKUP(ImportarStock[[#This Row],[DESCRIPCION]],DICCIONARIO[Desc color],1,0)</f>
        <v>CONTROL REMOTO ARION ESTANDAR - HD</v>
      </c>
    </row>
    <row r="52" spans="2:13" x14ac:dyDescent="0.25">
      <c r="B52">
        <v>70042677</v>
      </c>
      <c r="C52" t="s">
        <v>8</v>
      </c>
      <c r="D52" t="s">
        <v>612</v>
      </c>
      <c r="E52" s="19" t="s">
        <v>725</v>
      </c>
      <c r="F52" t="e">
        <f>VLOOKUP(DICCIONARIO[[#This Row],[Desc color]],ImportarStock[DESCRIPCION],1,0)</f>
        <v>#N/A</v>
      </c>
      <c r="G52" t="s">
        <v>702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1060</v>
      </c>
      <c r="L52">
        <v>2</v>
      </c>
      <c r="M52" t="str">
        <f>VLOOKUP(ImportarStock[[#This Row],[DESCRIPCION]],DICCIONARIO[Desc color],1,0)</f>
        <v>CONTROL REMOTO COSHIP N90851 MPEG4 HDMI</v>
      </c>
    </row>
    <row r="53" spans="2:13" x14ac:dyDescent="0.25">
      <c r="B53">
        <v>70042690</v>
      </c>
      <c r="C53" t="s">
        <v>10</v>
      </c>
      <c r="D53" t="s">
        <v>612</v>
      </c>
      <c r="E53" s="19" t="s">
        <v>733</v>
      </c>
      <c r="F53" t="e">
        <f>VLOOKUP(DICCIONARIO[[#This Row],[Desc color]],ImportarStock[DESCRIPCION],1,0)</f>
        <v>#N/A</v>
      </c>
      <c r="G53" t="s">
        <v>734</v>
      </c>
      <c r="H53" t="str">
        <f>VLOOKUP(DICCIONARIO[[#This Row],[Modelo]],UNIFICADA[Equipo],1,0)</f>
        <v>APPLE IPHONE 13 PRO 128GB</v>
      </c>
      <c r="I53">
        <f>IFERROR(VLOOKUP(DICCIONARIO[[#This Row],[Desc color]],ImportarStock[[DESCRIPCION]:[LIBRE UTILIZACION]],2,0),0)</f>
        <v>0</v>
      </c>
      <c r="K53" t="s">
        <v>1061</v>
      </c>
      <c r="L53">
        <v>6</v>
      </c>
      <c r="M53" t="str">
        <f>VLOOKUP(ImportarStock[[#This Row],[DESCRIPCION]],DICCIONARIO[Desc color],1,0)</f>
        <v>CONTROL REMOTO HANDAN CD-1004SN</v>
      </c>
    </row>
    <row r="54" spans="2:13" x14ac:dyDescent="0.25">
      <c r="B54">
        <v>70042688</v>
      </c>
      <c r="C54" t="s">
        <v>10</v>
      </c>
      <c r="D54" t="s">
        <v>612</v>
      </c>
      <c r="E54" s="19" t="s">
        <v>729</v>
      </c>
      <c r="F54" t="e">
        <f>VLOOKUP(DICCIONARIO[[#This Row],[Desc color]],ImportarStock[DESCRIPCION],1,0)</f>
        <v>#N/A</v>
      </c>
      <c r="G54" t="s">
        <v>730</v>
      </c>
      <c r="H54" t="str">
        <f>VLOOKUP(DICCIONARIO[[#This Row],[Modelo]],UNIFICADA[Equipo],1,0)</f>
        <v>APPLE IPHONE 13 PRO 128GB</v>
      </c>
      <c r="I54">
        <f>IFERROR(VLOOKUP(DICCIONARIO[[#This Row],[Desc color]],ImportarStock[[DESCRIPCION]:[LIBRE UTILIZACION]],2,0),0)</f>
        <v>0</v>
      </c>
      <c r="K54" t="s">
        <v>1103</v>
      </c>
      <c r="L54">
        <v>2</v>
      </c>
      <c r="M54" t="str">
        <f>VLOOKUP(ImportarStock[[#This Row],[DESCRIPCION]],DICCIONARIO[Desc color],1,0)</f>
        <v>ENCHUF SMART NEXT 220V 2PUSB NHPD610</v>
      </c>
    </row>
    <row r="55" spans="2:13" x14ac:dyDescent="0.25">
      <c r="B55">
        <v>70042691</v>
      </c>
      <c r="C55" t="s">
        <v>10</v>
      </c>
      <c r="D55" t="s">
        <v>612</v>
      </c>
      <c r="E55" s="19" t="s">
        <v>735</v>
      </c>
      <c r="F55" t="e">
        <f>VLOOKUP(DICCIONARIO[[#This Row],[Desc color]],ImportarStock[DESCRIPCION],1,0)</f>
        <v>#N/A</v>
      </c>
      <c r="G55" t="s">
        <v>736</v>
      </c>
      <c r="H55" t="str">
        <f>VLOOKUP(DICCIONARIO[[#This Row],[Modelo]],UNIFICADA[Equipo],1,0)</f>
        <v>APPLE IPHONE 13 PRO 128GB</v>
      </c>
      <c r="I55">
        <f>IFERROR(VLOOKUP(DICCIONARIO[[#This Row],[Desc color]],ImportarStock[[DESCRIPCION]:[LIBRE UTILIZACION]],2,0),0)</f>
        <v>0</v>
      </c>
      <c r="K55" t="s">
        <v>1104</v>
      </c>
      <c r="L55">
        <v>2</v>
      </c>
      <c r="M55" t="str">
        <f>VLOOKUP(ImportarStock[[#This Row],[DESCRIPCION]],DICCIONARIO[Desc color],1,0)</f>
        <v>ENCHUF SMART NEXT 220V 4PUSB NHPT610</v>
      </c>
    </row>
    <row r="56" spans="2:13" x14ac:dyDescent="0.25">
      <c r="B56">
        <v>70042689</v>
      </c>
      <c r="C56" t="s">
        <v>10</v>
      </c>
      <c r="D56" t="s">
        <v>612</v>
      </c>
      <c r="E56" s="19" t="s">
        <v>731</v>
      </c>
      <c r="F56" t="e">
        <f>VLOOKUP(DICCIONARIO[[#This Row],[Desc color]],ImportarStock[DESCRIPCION],1,0)</f>
        <v>#N/A</v>
      </c>
      <c r="G56" t="s">
        <v>732</v>
      </c>
      <c r="H56" t="str">
        <f>VLOOKUP(DICCIONARIO[[#This Row],[Modelo]],UNIFICADA[Equipo],1,0)</f>
        <v>APPLE IPHONE 13 PRO 128GB</v>
      </c>
      <c r="I56">
        <f>IFERROR(VLOOKUP(DICCIONARIO[[#This Row],[Desc color]],ImportarStock[[DESCRIPCION]:[LIBRE UTILIZACION]],2,0),0)</f>
        <v>0</v>
      </c>
      <c r="K56" t="s">
        <v>1101</v>
      </c>
      <c r="L56">
        <v>2</v>
      </c>
      <c r="M56" t="str">
        <f>VLOOKUP(ImportarStock[[#This Row],[DESCRIPCION]],DICCIONARIO[Desc color],1,0)</f>
        <v>ENCHUF SMART NEXT 220V AHIWPSO4U1PK1</v>
      </c>
    </row>
    <row r="57" spans="2:13" x14ac:dyDescent="0.25">
      <c r="C57" t="s">
        <v>12</v>
      </c>
      <c r="D57" t="s">
        <v>612</v>
      </c>
      <c r="E57" s="19" t="s">
        <v>874</v>
      </c>
      <c r="F57" t="str">
        <f>VLOOKUP(DICCIONARIO[[#This Row],[Desc color]],ImportarStock[DESCRIPCION],1,0)</f>
        <v>APP IPH14PRSPACEB SP 256GB</v>
      </c>
      <c r="H57" t="str">
        <f>VLOOKUP(DICCIONARIO[[#This Row],[Modelo]],UNIFICADA[Equipo],1,0)</f>
        <v>APPLE IPHONE 13 PRO 256GB</v>
      </c>
      <c r="I57">
        <f>IFERROR(VLOOKUP(DICCIONARIO[[#This Row],[Desc color]],ImportarStock[[DESCRIPCION]:[LIBRE UTILIZACION]],2,0),0)</f>
        <v>1</v>
      </c>
      <c r="K57" t="s">
        <v>1102</v>
      </c>
      <c r="L57">
        <v>2</v>
      </c>
      <c r="M57" t="str">
        <f>VLOOKUP(ImportarStock[[#This Row],[DESCRIPCION]],DICCIONARIO[Desc color],1,0)</f>
        <v>ENCHUF SMART NEXT 220V AHIWPSO4U1PK2</v>
      </c>
    </row>
    <row r="58" spans="2:13" x14ac:dyDescent="0.25">
      <c r="B58">
        <v>70042660</v>
      </c>
      <c r="C58" t="s">
        <v>12</v>
      </c>
      <c r="D58" t="s">
        <v>612</v>
      </c>
      <c r="E58" s="19" t="s">
        <v>740</v>
      </c>
      <c r="F58" t="e">
        <f>VLOOKUP(DICCIONARIO[[#This Row],[Desc color]],ImportarStock[DESCRIPCION],1,0)</f>
        <v>#N/A</v>
      </c>
      <c r="G58" t="s">
        <v>734</v>
      </c>
      <c r="H58" t="str">
        <f>VLOOKUP(DICCIONARIO[[#This Row],[Modelo]],UNIFICADA[Equipo],1,0)</f>
        <v>APPLE IPHONE 13 PRO 256GB</v>
      </c>
      <c r="I58">
        <f>IFERROR(VLOOKUP(DICCIONARIO[[#This Row],[Desc color]],ImportarStock[[DESCRIPCION]:[LIBRE UTILIZACION]],2,0),0)</f>
        <v>0</v>
      </c>
      <c r="K58" t="s">
        <v>1072</v>
      </c>
      <c r="L58">
        <v>3</v>
      </c>
      <c r="M58" t="str">
        <f>VLOOKUP(ImportarStock[[#This Row],[DESCRIPCION]],DICCIONARIO[Desc color],1,0)</f>
        <v>EQUIPO CONTROL REMOTO UNIV URC NEGRO</v>
      </c>
    </row>
    <row r="59" spans="2:13" x14ac:dyDescent="0.25">
      <c r="B59">
        <v>70042692</v>
      </c>
      <c r="C59" t="s">
        <v>12</v>
      </c>
      <c r="D59" t="s">
        <v>612</v>
      </c>
      <c r="E59" s="19" t="s">
        <v>737</v>
      </c>
      <c r="F59" t="e">
        <f>VLOOKUP(DICCIONARIO[[#This Row],[Desc color]],ImportarStock[DESCRIPCION],1,0)</f>
        <v>#N/A</v>
      </c>
      <c r="G59" t="s">
        <v>730</v>
      </c>
      <c r="H59" t="str">
        <f>VLOOKUP(DICCIONARIO[[#This Row],[Modelo]],UNIFICADA[Equipo],1,0)</f>
        <v>APPLE IPHONE 13 PRO 256GB</v>
      </c>
      <c r="I59">
        <f>IFERROR(VLOOKUP(DICCIONARIO[[#This Row],[Desc color]],ImportarStock[[DESCRIPCION]:[LIBRE UTILIZACION]],2,0),0)</f>
        <v>0</v>
      </c>
      <c r="K59" t="s">
        <v>1096</v>
      </c>
      <c r="L59">
        <v>2</v>
      </c>
      <c r="M59" t="str">
        <f>VLOOKUP(ImportarStock[[#This Row],[DESCRIPCION]],DICCIONARIO[Desc color],1,0)</f>
        <v>FOCO SMARTNEXT C120 LUZCL PK2</v>
      </c>
    </row>
    <row r="60" spans="2:13" x14ac:dyDescent="0.25">
      <c r="B60">
        <v>70042694</v>
      </c>
      <c r="C60" t="s">
        <v>12</v>
      </c>
      <c r="D60" t="s">
        <v>612</v>
      </c>
      <c r="E60" s="19" t="s">
        <v>739</v>
      </c>
      <c r="F60" t="e">
        <f>VLOOKUP(DICCIONARIO[[#This Row],[Desc color]],ImportarStock[DESCRIPCION],1,0)</f>
        <v>#N/A</v>
      </c>
      <c r="G60" t="s">
        <v>736</v>
      </c>
      <c r="H60" t="str">
        <f>VLOOKUP(DICCIONARIO[[#This Row],[Modelo]],UNIFICADA[Equipo],1,0)</f>
        <v>APPLE IPHONE 13 PRO 256GB</v>
      </c>
      <c r="I60">
        <f>IFERROR(VLOOKUP(DICCIONARIO[[#This Row],[Desc color]],ImportarStock[[DESCRIPCION]:[LIBRE UTILIZACION]],2,0),0)</f>
        <v>0</v>
      </c>
      <c r="K60" t="s">
        <v>1097</v>
      </c>
      <c r="L60">
        <v>2</v>
      </c>
      <c r="M60" t="str">
        <f>VLOOKUP(ImportarStock[[#This Row],[DESCRIPCION]],DICCIONARIO[Desc color],1,0)</f>
        <v>FOCO SMARTNEXT C120 LUZCL PK3</v>
      </c>
    </row>
    <row r="61" spans="2:13" x14ac:dyDescent="0.25">
      <c r="B61">
        <v>70042854</v>
      </c>
      <c r="C61" t="s">
        <v>12</v>
      </c>
      <c r="D61" t="s">
        <v>612</v>
      </c>
      <c r="E61" s="19" t="s">
        <v>738</v>
      </c>
      <c r="F61" t="e">
        <f>VLOOKUP(DICCIONARIO[[#This Row],[Desc color]],ImportarStock[DESCRIPCION],1,0)</f>
        <v>#N/A</v>
      </c>
      <c r="G61" t="s">
        <v>732</v>
      </c>
      <c r="H61" t="str">
        <f>VLOOKUP(DICCIONARIO[[#This Row],[Modelo]],UNIFICADA[Equipo],1,0)</f>
        <v>APPLE IPHONE 13 PRO 256GB</v>
      </c>
      <c r="I61">
        <f>IFERROR(VLOOKUP(DICCIONARIO[[#This Row],[Desc color]],ImportarStock[[DESCRIPCION]:[LIBRE UTILIZACION]],2,0),0)</f>
        <v>0</v>
      </c>
      <c r="K61" t="s">
        <v>1098</v>
      </c>
      <c r="L61">
        <v>2</v>
      </c>
      <c r="M61" t="str">
        <f>VLOOKUP(ImportarStock[[#This Row],[DESCRIPCION]],DICCIONARIO[Desc color],1,0)</f>
        <v>FOCO SMARTNEXT W120 LUZBL</v>
      </c>
    </row>
    <row r="62" spans="2:13" x14ac:dyDescent="0.25">
      <c r="C62" t="s">
        <v>12</v>
      </c>
      <c r="D62" t="s">
        <v>612</v>
      </c>
      <c r="E62" s="19" t="s">
        <v>872</v>
      </c>
      <c r="F62" t="e">
        <f>VLOOKUP(DICCIONARIO[[#This Row],[Desc color]],ImportarStock[DESCRIPCION],1,0)</f>
        <v>#N/A</v>
      </c>
      <c r="H62" t="str">
        <f>VLOOKUP(DICCIONARIO[[#This Row],[Modelo]],UNIFICADA[Equipo],1,0)</f>
        <v>APPLE IPHONE 13 PRO 256GB</v>
      </c>
      <c r="I62">
        <f>IFERROR(VLOOKUP(DICCIONARIO[[#This Row],[Desc color]],ImportarStock[[DESCRIPCION]:[LIBRE UTILIZACION]],2,0),0)</f>
        <v>0</v>
      </c>
      <c r="K62" t="s">
        <v>1099</v>
      </c>
      <c r="L62">
        <v>2</v>
      </c>
      <c r="M62" t="str">
        <f>VLOOKUP(ImportarStock[[#This Row],[DESCRIPCION]],DICCIONARIO[Desc color],1,0)</f>
        <v>FOCO SMARTNEXT W120 LUZBL PK2</v>
      </c>
    </row>
    <row r="63" spans="2:13" x14ac:dyDescent="0.25">
      <c r="B63">
        <v>70042703</v>
      </c>
      <c r="C63" t="s">
        <v>43</v>
      </c>
      <c r="D63" t="s">
        <v>612</v>
      </c>
      <c r="E63" s="19" t="s">
        <v>743</v>
      </c>
      <c r="F63" t="e">
        <f>VLOOKUP(DICCIONARIO[[#This Row],[Desc color]],ImportarStock[DESCRIPCION],1,0)</f>
        <v>#N/A</v>
      </c>
      <c r="G63" t="s">
        <v>734</v>
      </c>
      <c r="H63" t="str">
        <f>VLOOKUP(DICCIONARIO[[#This Row],[Modelo]],UNIFICADA[Equipo],1,0)</f>
        <v>APPLE IPHONE 13 PRO MAX 128GB</v>
      </c>
      <c r="I63">
        <f>IFERROR(VLOOKUP(DICCIONARIO[[#This Row],[Desc color]],ImportarStock[[DESCRIPCION]:[LIBRE UTILIZACION]],2,0),0)</f>
        <v>0</v>
      </c>
      <c r="K63" t="s">
        <v>1100</v>
      </c>
      <c r="L63">
        <v>2</v>
      </c>
      <c r="M63" t="str">
        <f>VLOOKUP(ImportarStock[[#This Row],[DESCRIPCION]],DICCIONARIO[Desc color],1,0)</f>
        <v>FOCO SMARTNEXT W120 LUZBLPK3</v>
      </c>
    </row>
    <row r="64" spans="2:13" x14ac:dyDescent="0.25">
      <c r="B64">
        <v>70042701</v>
      </c>
      <c r="C64" t="s">
        <v>43</v>
      </c>
      <c r="D64" t="s">
        <v>612</v>
      </c>
      <c r="E64" s="19" t="s">
        <v>741</v>
      </c>
      <c r="F64" t="e">
        <f>VLOOKUP(DICCIONARIO[[#This Row],[Desc color]],ImportarStock[DESCRIPCION],1,0)</f>
        <v>#N/A</v>
      </c>
      <c r="G64" t="s">
        <v>730</v>
      </c>
      <c r="H64" t="str">
        <f>VLOOKUP(DICCIONARIO[[#This Row],[Modelo]],UNIFICADA[Equipo],1,0)</f>
        <v>APPLE IPHONE 13 PRO MAX 128GB</v>
      </c>
      <c r="I64">
        <f>IFERROR(VLOOKUP(DICCIONARIO[[#This Row],[Desc color]],ImportarStock[[DESCRIPCION]:[LIBRE UTILIZACION]],2,0),0)</f>
        <v>0</v>
      </c>
      <c r="K64" t="s">
        <v>1109</v>
      </c>
      <c r="L64">
        <v>11</v>
      </c>
      <c r="M64" t="str">
        <f>VLOOKUP(ImportarStock[[#This Row],[DESCRIPCION]],DICCIONARIO[Desc color],1,0)</f>
        <v>HOR 70 256GB CP</v>
      </c>
    </row>
    <row r="65" spans="2:13" x14ac:dyDescent="0.25">
      <c r="B65">
        <v>70042704</v>
      </c>
      <c r="C65" t="s">
        <v>43</v>
      </c>
      <c r="D65" t="s">
        <v>612</v>
      </c>
      <c r="E65" s="19" t="s">
        <v>744</v>
      </c>
      <c r="F65" t="e">
        <f>VLOOKUP(DICCIONARIO[[#This Row],[Desc color]],ImportarStock[DESCRIPCION],1,0)</f>
        <v>#N/A</v>
      </c>
      <c r="G65" t="s">
        <v>736</v>
      </c>
      <c r="H65" t="str">
        <f>VLOOKUP(DICCIONARIO[[#This Row],[Modelo]],UNIFICADA[Equipo],1,0)</f>
        <v>APPLE IPHONE 13 PRO MAX 128GB</v>
      </c>
      <c r="I65">
        <f>IFERROR(VLOOKUP(DICCIONARIO[[#This Row],[Desc color]],ImportarStock[[DESCRIPCION]:[LIBRE UTILIZACION]],2,0),0)</f>
        <v>0</v>
      </c>
      <c r="K65" t="s">
        <v>875</v>
      </c>
      <c r="L65">
        <v>1</v>
      </c>
      <c r="M65" t="str">
        <f>VLOOKUP(ImportarStock[[#This Row],[DESCRIPCION]],DICCIONARIO[Desc color],1,0)</f>
        <v>HOR 70 256GB CP MINISPEAK</v>
      </c>
    </row>
    <row r="66" spans="2:13" x14ac:dyDescent="0.25">
      <c r="B66">
        <v>70042702</v>
      </c>
      <c r="C66" t="s">
        <v>43</v>
      </c>
      <c r="D66" t="s">
        <v>612</v>
      </c>
      <c r="E66" s="19" t="s">
        <v>742</v>
      </c>
      <c r="F66" t="e">
        <f>VLOOKUP(DICCIONARIO[[#This Row],[Desc color]],ImportarStock[DESCRIPCION],1,0)</f>
        <v>#N/A</v>
      </c>
      <c r="G66" t="s">
        <v>732</v>
      </c>
      <c r="H66" t="str">
        <f>VLOOKUP(DICCIONARIO[[#This Row],[Modelo]],UNIFICADA[Equipo],1,0)</f>
        <v>APPLE IPHONE 13 PRO MAX 128GB</v>
      </c>
      <c r="I66">
        <f>IFERROR(VLOOKUP(DICCIONARIO[[#This Row],[Desc color]],ImportarStock[[DESCRIPCION]:[LIBRE UTILIZACION]],2,0),0)</f>
        <v>0</v>
      </c>
      <c r="K66" t="s">
        <v>1110</v>
      </c>
      <c r="L66">
        <v>3</v>
      </c>
      <c r="M66" t="str">
        <f>VLOOKUP(ImportarStock[[#This Row],[DESCRIPCION]],DICCIONARIO[Desc color],1,0)</f>
        <v>HOR 70 256GB VE</v>
      </c>
    </row>
    <row r="67" spans="2:13" x14ac:dyDescent="0.25">
      <c r="B67">
        <v>70042715</v>
      </c>
      <c r="C67" t="s">
        <v>44</v>
      </c>
      <c r="D67" t="s">
        <v>612</v>
      </c>
      <c r="E67" s="19" t="s">
        <v>755</v>
      </c>
      <c r="F67" t="e">
        <f>VLOOKUP(DICCIONARIO[[#This Row],[Desc color]],ImportarStock[DESCRIPCION],1,0)</f>
        <v>#N/A</v>
      </c>
      <c r="G67" t="s">
        <v>734</v>
      </c>
      <c r="H67" t="str">
        <f>VLOOKUP(DICCIONARIO[[#This Row],[Modelo]],UNIFICADA[Equipo],1,0)</f>
        <v>APPLE IPHONE 13 PRO MAX 1TB</v>
      </c>
      <c r="I67">
        <f>IFERROR(VLOOKUP(DICCIONARIO[[#This Row],[Desc color]],ImportarStock[[DESCRIPCION]:[LIBRE UTILIZACION]],2,0),0)</f>
        <v>0</v>
      </c>
      <c r="K67" t="s">
        <v>876</v>
      </c>
      <c r="L67">
        <v>2</v>
      </c>
      <c r="M67" t="str">
        <f>VLOOKUP(ImportarStock[[#This Row],[DESCRIPCION]],DICCIONARIO[Desc color],1,0)</f>
        <v>HOR 70 256GB VE MINISPEAK</v>
      </c>
    </row>
    <row r="68" spans="2:13" x14ac:dyDescent="0.25">
      <c r="B68">
        <v>70042713</v>
      </c>
      <c r="C68" t="s">
        <v>44</v>
      </c>
      <c r="D68" t="s">
        <v>612</v>
      </c>
      <c r="E68" s="19" t="s">
        <v>753</v>
      </c>
      <c r="F68" t="e">
        <f>VLOOKUP(DICCIONARIO[[#This Row],[Desc color]],ImportarStock[DESCRIPCION],1,0)</f>
        <v>#N/A</v>
      </c>
      <c r="G68" t="s">
        <v>730</v>
      </c>
      <c r="H68" t="str">
        <f>VLOOKUP(DICCIONARIO[[#This Row],[Modelo]],UNIFICADA[Equipo],1,0)</f>
        <v>APPLE IPHONE 13 PRO MAX 1TB</v>
      </c>
      <c r="I68">
        <f>IFERROR(VLOOKUP(DICCIONARIO[[#This Row],[Desc color]],ImportarStock[[DESCRIPCION]:[LIBRE UTILIZACION]],2,0),0)</f>
        <v>0</v>
      </c>
      <c r="K68" t="s">
        <v>1051</v>
      </c>
      <c r="L68">
        <v>24</v>
      </c>
      <c r="M68" t="str">
        <f>VLOOKUP(ImportarStock[[#This Row],[DESCRIPCION]],DICCIONARIO[Desc color],1,0)</f>
        <v>HOR MAGIC5LIT128 EM PARLANTE</v>
      </c>
    </row>
    <row r="69" spans="2:13" x14ac:dyDescent="0.25">
      <c r="B69">
        <v>70042716</v>
      </c>
      <c r="C69" t="s">
        <v>44</v>
      </c>
      <c r="D69" t="s">
        <v>612</v>
      </c>
      <c r="E69" s="19" t="s">
        <v>756</v>
      </c>
      <c r="F69" t="e">
        <f>VLOOKUP(DICCIONARIO[[#This Row],[Desc color]],ImportarStock[DESCRIPCION],1,0)</f>
        <v>#N/A</v>
      </c>
      <c r="G69" t="s">
        <v>736</v>
      </c>
      <c r="H69" t="str">
        <f>VLOOKUP(DICCIONARIO[[#This Row],[Modelo]],UNIFICADA[Equipo],1,0)</f>
        <v>APPLE IPHONE 13 PRO MAX 1TB</v>
      </c>
      <c r="I69">
        <f>IFERROR(VLOOKUP(DICCIONARIO[[#This Row],[Desc color]],ImportarStock[[DESCRIPCION]:[LIBRE UTILIZACION]],2,0),0)</f>
        <v>0</v>
      </c>
      <c r="K69" t="s">
        <v>964</v>
      </c>
      <c r="L69">
        <v>27</v>
      </c>
      <c r="M69" t="str">
        <f>VLOOKUP(ImportarStock[[#This Row],[DESCRIPCION]],DICCIONARIO[Desc color],1,0)</f>
        <v>HOR MAGIC5LIT128 VE</v>
      </c>
    </row>
    <row r="70" spans="2:13" x14ac:dyDescent="0.25">
      <c r="B70">
        <v>70042714</v>
      </c>
      <c r="C70" t="s">
        <v>44</v>
      </c>
      <c r="D70" t="s">
        <v>612</v>
      </c>
      <c r="E70" s="19" t="s">
        <v>754</v>
      </c>
      <c r="F70" t="e">
        <f>VLOOKUP(DICCIONARIO[[#This Row],[Desc color]],ImportarStock[DESCRIPCION],1,0)</f>
        <v>#N/A</v>
      </c>
      <c r="G70" t="s">
        <v>732</v>
      </c>
      <c r="H70" t="str">
        <f>VLOOKUP(DICCIONARIO[[#This Row],[Modelo]],UNIFICADA[Equipo],1,0)</f>
        <v>APPLE IPHONE 13 PRO MAX 1TB</v>
      </c>
      <c r="I70">
        <f>IFERROR(VLOOKUP(DICCIONARIO[[#This Row],[Desc color]],ImportarStock[[DESCRIPCION]:[LIBRE UTILIZACION]],2,0),0)</f>
        <v>0</v>
      </c>
      <c r="K70" t="s">
        <v>965</v>
      </c>
      <c r="L70">
        <v>30</v>
      </c>
      <c r="M70" t="str">
        <f>VLOOKUP(ImportarStock[[#This Row],[DESCRIPCION]],DICCIONARIO[Desc color],1,0)</f>
        <v>HOR MAGIC5LIT128 VE PARLANTE</v>
      </c>
    </row>
    <row r="71" spans="2:13" x14ac:dyDescent="0.25">
      <c r="C71" t="s">
        <v>59</v>
      </c>
      <c r="D71" t="s">
        <v>612</v>
      </c>
      <c r="E71" s="19" t="s">
        <v>873</v>
      </c>
      <c r="F71" t="str">
        <f>VLOOKUP(DICCIONARIO[[#This Row],[Desc color]],ImportarStock[DESCRIPCION],1,0)</f>
        <v>APP IPH14PROMAXDP DP 256GB</v>
      </c>
      <c r="H71" t="str">
        <f>VLOOKUP(DICCIONARIO[[#This Row],[Modelo]],UNIFICADA[Equipo],1,0)</f>
        <v>APPLE IPHONE 13 PRO MAX 256GB</v>
      </c>
      <c r="I71">
        <f>IFERROR(VLOOKUP(DICCIONARIO[[#This Row],[Desc color]],ImportarStock[[DESCRIPCION]:[LIBRE UTILIZACION]],2,0),0)</f>
        <v>2</v>
      </c>
      <c r="K71" t="s">
        <v>1123</v>
      </c>
      <c r="L71">
        <v>6</v>
      </c>
      <c r="M71" t="str">
        <f>VLOOKUP(ImportarStock[[#This Row],[DESCRIPCION]],DICCIONARIO[Desc color],1,0)</f>
        <v>HOR WATCT900PMAXL NG</v>
      </c>
    </row>
    <row r="72" spans="2:13" x14ac:dyDescent="0.25">
      <c r="B72">
        <v>70042707</v>
      </c>
      <c r="C72" t="s">
        <v>59</v>
      </c>
      <c r="D72" t="s">
        <v>612</v>
      </c>
      <c r="E72" s="19" t="s">
        <v>747</v>
      </c>
      <c r="F72" t="e">
        <f>VLOOKUP(DICCIONARIO[[#This Row],[Desc color]],ImportarStock[DESCRIPCION],1,0)</f>
        <v>#N/A</v>
      </c>
      <c r="G72" t="s">
        <v>734</v>
      </c>
      <c r="H72" t="str">
        <f>VLOOKUP(DICCIONARIO[[#This Row],[Modelo]],UNIFICADA[Equipo],1,0)</f>
        <v>APPLE IPHONE 13 PRO MAX 256GB</v>
      </c>
      <c r="I72">
        <f>IFERROR(VLOOKUP(DICCIONARIO[[#This Row],[Desc color]],ImportarStock[[DESCRIPCION]:[LIBRE UTILIZACION]],2,0),0)</f>
        <v>0</v>
      </c>
      <c r="K72" t="s">
        <v>1124</v>
      </c>
      <c r="L72">
        <v>49</v>
      </c>
      <c r="M72" t="str">
        <f>VLOOKUP(ImportarStock[[#This Row],[DESCRIPCION]],DICCIONARIO[Desc color],1,0)</f>
        <v>HOR WATCT900PMAXL RO</v>
      </c>
    </row>
    <row r="73" spans="2:13" x14ac:dyDescent="0.25">
      <c r="B73">
        <v>70042705</v>
      </c>
      <c r="C73" t="s">
        <v>59</v>
      </c>
      <c r="D73" t="s">
        <v>612</v>
      </c>
      <c r="E73" s="19" t="s">
        <v>745</v>
      </c>
      <c r="F73" t="e">
        <f>VLOOKUP(DICCIONARIO[[#This Row],[Desc color]],ImportarStock[DESCRIPCION],1,0)</f>
        <v>#N/A</v>
      </c>
      <c r="G73" t="s">
        <v>730</v>
      </c>
      <c r="H73" t="str">
        <f>VLOOKUP(DICCIONARIO[[#This Row],[Modelo]],UNIFICADA[Equipo],1,0)</f>
        <v>APPLE IPHONE 13 PRO MAX 256GB</v>
      </c>
      <c r="I73">
        <f>IFERROR(VLOOKUP(DICCIONARIO[[#This Row],[Desc color]],ImportarStock[[DESCRIPCION]:[LIBRE UTILIZACION]],2,0),0)</f>
        <v>0</v>
      </c>
      <c r="K73" t="s">
        <v>877</v>
      </c>
      <c r="L73">
        <v>34</v>
      </c>
      <c r="M73" t="str">
        <f>VLOOKUP(ImportarStock[[#This Row],[DESCRIPCION]],DICCIONARIO[Desc color],1,0)</f>
        <v>HOR X6 64GB NP AUDIFONO</v>
      </c>
    </row>
    <row r="74" spans="2:13" x14ac:dyDescent="0.25">
      <c r="B74">
        <v>70042708</v>
      </c>
      <c r="C74" t="s">
        <v>59</v>
      </c>
      <c r="D74" t="s">
        <v>612</v>
      </c>
      <c r="E74" s="19" t="s">
        <v>748</v>
      </c>
      <c r="F74" t="e">
        <f>VLOOKUP(DICCIONARIO[[#This Row],[Desc color]],ImportarStock[DESCRIPCION],1,0)</f>
        <v>#N/A</v>
      </c>
      <c r="G74" t="s">
        <v>736</v>
      </c>
      <c r="H74" t="str">
        <f>VLOOKUP(DICCIONARIO[[#This Row],[Modelo]],UNIFICADA[Equipo],1,0)</f>
        <v>APPLE IPHONE 13 PRO MAX 256GB</v>
      </c>
      <c r="I74">
        <f>IFERROR(VLOOKUP(DICCIONARIO[[#This Row],[Desc color]],ImportarStock[[DESCRIPCION]:[LIBRE UTILIZACION]],2,0),0)</f>
        <v>0</v>
      </c>
      <c r="K74" t="s">
        <v>878</v>
      </c>
      <c r="L74">
        <v>30</v>
      </c>
      <c r="M74" t="str">
        <f>VLOOKUP(ImportarStock[[#This Row],[DESCRIPCION]],DICCIONARIO[Desc color],1,0)</f>
        <v>HOR X6 64GB PN AUDIFONO</v>
      </c>
    </row>
    <row r="75" spans="2:13" x14ac:dyDescent="0.25">
      <c r="B75">
        <v>70042706</v>
      </c>
      <c r="C75" t="s">
        <v>59</v>
      </c>
      <c r="D75" t="s">
        <v>612</v>
      </c>
      <c r="E75" s="19" t="s">
        <v>746</v>
      </c>
      <c r="F75" t="e">
        <f>VLOOKUP(DICCIONARIO[[#This Row],[Desc color]],ImportarStock[DESCRIPCION],1,0)</f>
        <v>#N/A</v>
      </c>
      <c r="G75" t="s">
        <v>732</v>
      </c>
      <c r="H75" t="str">
        <f>VLOOKUP(DICCIONARIO[[#This Row],[Modelo]],UNIFICADA[Equipo],1,0)</f>
        <v>APPLE IPHONE 13 PRO MAX 256GB</v>
      </c>
      <c r="I75">
        <f>IFERROR(VLOOKUP(DICCIONARIO[[#This Row],[Desc color]],ImportarStock[[DESCRIPCION]:[LIBRE UTILIZACION]],2,0),0)</f>
        <v>0</v>
      </c>
      <c r="K75" t="s">
        <v>879</v>
      </c>
      <c r="L75">
        <v>12</v>
      </c>
      <c r="M75" t="str">
        <f>VLOOKUP(ImportarStock[[#This Row],[DESCRIPCION]],DICCIONARIO[Desc color],1,0)</f>
        <v>HOR X6 64GB ZN AUDIFONO</v>
      </c>
    </row>
    <row r="76" spans="2:13" x14ac:dyDescent="0.25">
      <c r="B76">
        <v>70042711</v>
      </c>
      <c r="C76" t="s">
        <v>45</v>
      </c>
      <c r="D76" t="s">
        <v>612</v>
      </c>
      <c r="E76" s="19" t="s">
        <v>751</v>
      </c>
      <c r="F76" t="e">
        <f>VLOOKUP(DICCIONARIO[[#This Row],[Desc color]],ImportarStock[DESCRIPCION],1,0)</f>
        <v>#N/A</v>
      </c>
      <c r="G76" t="s">
        <v>734</v>
      </c>
      <c r="H76" t="str">
        <f>VLOOKUP(DICCIONARIO[[#This Row],[Modelo]],UNIFICADA[Equipo],1,0)</f>
        <v>APPLE IPHONE 13 PRO MAX 512GB</v>
      </c>
      <c r="I76">
        <f>IFERROR(VLOOKUP(DICCIONARIO[[#This Row],[Desc color]],ImportarStock[[DESCRIPCION]:[LIBRE UTILIZACION]],2,0),0)</f>
        <v>0</v>
      </c>
      <c r="K76" t="s">
        <v>966</v>
      </c>
      <c r="L76">
        <v>20</v>
      </c>
      <c r="M76" t="str">
        <f>VLOOKUP(ImportarStock[[#This Row],[DESCRIPCION]],DICCIONARIO[Desc color],1,0)</f>
        <v>HOR X6S 128GB PS AUDIFONOS</v>
      </c>
    </row>
    <row r="77" spans="2:13" x14ac:dyDescent="0.25">
      <c r="B77">
        <v>70042709</v>
      </c>
      <c r="C77" t="s">
        <v>45</v>
      </c>
      <c r="D77" t="s">
        <v>612</v>
      </c>
      <c r="E77" s="19" t="s">
        <v>749</v>
      </c>
      <c r="F77" t="e">
        <f>VLOOKUP(DICCIONARIO[[#This Row],[Desc color]],ImportarStock[DESCRIPCION],1,0)</f>
        <v>#N/A</v>
      </c>
      <c r="G77" t="s">
        <v>730</v>
      </c>
      <c r="H77" t="str">
        <f>VLOOKUP(DICCIONARIO[[#This Row],[Modelo]],UNIFICADA[Equipo],1,0)</f>
        <v>APPLE IPHONE 13 PRO MAX 512GB</v>
      </c>
      <c r="I77">
        <f>IFERROR(VLOOKUP(DICCIONARIO[[#This Row],[Desc color]],ImportarStock[[DESCRIPCION]:[LIBRE UTILIZACION]],2,0),0)</f>
        <v>0</v>
      </c>
      <c r="K77" t="s">
        <v>967</v>
      </c>
      <c r="L77">
        <v>1</v>
      </c>
      <c r="M77" t="str">
        <f>VLOOKUP(ImportarStock[[#This Row],[DESCRIPCION]],DICCIONARIO[Desc color],1,0)</f>
        <v>HOR X7A 128GB ND</v>
      </c>
    </row>
    <row r="78" spans="2:13" x14ac:dyDescent="0.25">
      <c r="B78">
        <v>70042712</v>
      </c>
      <c r="C78" t="s">
        <v>45</v>
      </c>
      <c r="D78" t="s">
        <v>612</v>
      </c>
      <c r="E78" s="19" t="s">
        <v>752</v>
      </c>
      <c r="F78" t="e">
        <f>VLOOKUP(DICCIONARIO[[#This Row],[Desc color]],ImportarStock[DESCRIPCION],1,0)</f>
        <v>#N/A</v>
      </c>
      <c r="G78" t="s">
        <v>736</v>
      </c>
      <c r="H78" t="str">
        <f>VLOOKUP(DICCIONARIO[[#This Row],[Modelo]],UNIFICADA[Equipo],1,0)</f>
        <v>APPLE IPHONE 13 PRO MAX 512GB</v>
      </c>
      <c r="I78">
        <f>IFERROR(VLOOKUP(DICCIONARIO[[#This Row],[Desc color]],ImportarStock[[DESCRIPCION]:[LIBRE UTILIZACION]],2,0),0)</f>
        <v>0</v>
      </c>
      <c r="K78" t="s">
        <v>968</v>
      </c>
      <c r="L78">
        <v>1</v>
      </c>
      <c r="M78" t="str">
        <f>VLOOKUP(ImportarStock[[#This Row],[DESCRIPCION]],DICCIONARIO[Desc color],1,0)</f>
        <v>HOR X7A 128GB PN</v>
      </c>
    </row>
    <row r="79" spans="2:13" x14ac:dyDescent="0.25">
      <c r="B79">
        <v>70042710</v>
      </c>
      <c r="C79" t="s">
        <v>45</v>
      </c>
      <c r="D79" t="s">
        <v>612</v>
      </c>
      <c r="E79" s="19" t="s">
        <v>750</v>
      </c>
      <c r="F79" t="e">
        <f>VLOOKUP(DICCIONARIO[[#This Row],[Desc color]],ImportarStock[DESCRIPCION],1,0)</f>
        <v>#N/A</v>
      </c>
      <c r="G79" t="s">
        <v>732</v>
      </c>
      <c r="H79" t="str">
        <f>VLOOKUP(DICCIONARIO[[#This Row],[Modelo]],UNIFICADA[Equipo],1,0)</f>
        <v>APPLE IPHONE 13 PRO MAX 512GB</v>
      </c>
      <c r="I79">
        <f>IFERROR(VLOOKUP(DICCIONARIO[[#This Row],[Desc color]],ImportarStock[[DESCRIPCION]:[LIBRE UTILIZACION]],2,0),0)</f>
        <v>0</v>
      </c>
      <c r="K79" t="s">
        <v>882</v>
      </c>
      <c r="L79">
        <v>33</v>
      </c>
      <c r="M79" t="str">
        <f>VLOOKUP(ImportarStock[[#This Row],[DESCRIPCION]],DICCIONARIO[Desc color],1,0)</f>
        <v>HOR X7A 128GB PN CASE</v>
      </c>
    </row>
    <row r="80" spans="2:13" x14ac:dyDescent="0.25">
      <c r="C80" t="s">
        <v>106</v>
      </c>
      <c r="D80" t="s">
        <v>612</v>
      </c>
      <c r="E80" s="19" t="s">
        <v>1024</v>
      </c>
      <c r="F80" t="str">
        <f>VLOOKUP(DICCIONARIO[[#This Row],[Desc color]],ImportarStock[DESCRIPCION],1,0)</f>
        <v>APP IPH14128GBMID MN</v>
      </c>
      <c r="H80" t="str">
        <f>VLOOKUP(DICCIONARIO[[#This Row],[Modelo]],UNIFICADA[Equipo],1,0)</f>
        <v>APPLE IPHONE 14 128GB</v>
      </c>
      <c r="I80">
        <f>IFERROR(VLOOKUP(DICCIONARIO[[#This Row],[Desc color]],ImportarStock[[DESCRIPCION]:[LIBRE UTILIZACION]],2,0),0)</f>
        <v>3</v>
      </c>
      <c r="K80" t="s">
        <v>992</v>
      </c>
      <c r="L80">
        <v>64</v>
      </c>
      <c r="M80" t="str">
        <f>VLOOKUP(ImportarStock[[#This Row],[DESCRIPCION]],DICCIONARIO[Desc color],1,0)</f>
        <v>HOR X7A 128GB ZN</v>
      </c>
    </row>
    <row r="81" spans="3:13" x14ac:dyDescent="0.25">
      <c r="C81" t="s">
        <v>106</v>
      </c>
      <c r="D81" t="s">
        <v>612</v>
      </c>
      <c r="E81" s="19" t="s">
        <v>862</v>
      </c>
      <c r="F81" t="str">
        <f>VLOOKUP(DICCIONARIO[[#This Row],[Desc color]],ImportarStock[DESCRIPCION],1,0)</f>
        <v>APP IPH14128GBSTA SL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3</v>
      </c>
      <c r="K81" t="s">
        <v>1116</v>
      </c>
      <c r="L81">
        <v>6</v>
      </c>
      <c r="M81" t="str">
        <f>VLOOKUP(ImportarStock[[#This Row],[DESCRIPCION]],DICCIONARIO[Desc color],1,0)</f>
        <v>HOR X8A 128GB NI</v>
      </c>
    </row>
    <row r="82" spans="3:13" x14ac:dyDescent="0.25">
      <c r="C82" t="s">
        <v>106</v>
      </c>
      <c r="D82" t="s">
        <v>612</v>
      </c>
      <c r="E82" s="19" t="s">
        <v>957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1046</v>
      </c>
      <c r="L82">
        <v>47</v>
      </c>
      <c r="M82" t="str">
        <f>VLOOKUP(ImportarStock[[#This Row],[DESCRIPCION]],DICCIONARIO[Desc color],1,0)</f>
        <v>HOR X8A 128GB PS</v>
      </c>
    </row>
    <row r="83" spans="3:13" x14ac:dyDescent="0.25">
      <c r="C83" t="s">
        <v>107</v>
      </c>
      <c r="D83" t="s">
        <v>612</v>
      </c>
      <c r="E83" s="19" t="s">
        <v>1113</v>
      </c>
      <c r="F83" t="str">
        <f>VLOOKUP(DICCIONARIO[[#This Row],[Desc color]],ImportarStock[DESCRIPCION],1,0)</f>
        <v>APP IPH14256GBSTA SL</v>
      </c>
      <c r="H83" t="str">
        <f>VLOOKUP(DICCIONARIO[[#This Row],[Modelo]],UNIFICADA[Equipo],1,0)</f>
        <v>APPLE IPHONE 14 256GB</v>
      </c>
      <c r="I83">
        <f>IFERROR(VLOOKUP(DICCIONARIO[[#This Row],[Desc color]],ImportarStock[[DESCRIPCION]:[LIBRE UTILIZACION]],2,0),0)</f>
        <v>1</v>
      </c>
      <c r="K83" t="s">
        <v>883</v>
      </c>
      <c r="L83">
        <v>19</v>
      </c>
      <c r="M83" t="str">
        <f>VLOOKUP(ImportarStock[[#This Row],[DESCRIPCION]],DICCIONARIO[Desc color],1,0)</f>
        <v>HOR X8A 128GB PS PARLANTE</v>
      </c>
    </row>
    <row r="84" spans="3:13" x14ac:dyDescent="0.25">
      <c r="C84" t="s">
        <v>107</v>
      </c>
      <c r="D84" t="s">
        <v>612</v>
      </c>
      <c r="E84" s="19" t="s">
        <v>863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1047</v>
      </c>
      <c r="L84">
        <v>7</v>
      </c>
      <c r="M84" t="str">
        <f>VLOOKUP(ImportarStock[[#This Row],[DESCRIPCION]],DICCIONARIO[Desc color],1,0)</f>
        <v>HOR X8A 128GB QA</v>
      </c>
    </row>
    <row r="85" spans="3:13" x14ac:dyDescent="0.25">
      <c r="C85" t="s">
        <v>108</v>
      </c>
      <c r="D85" t="s">
        <v>612</v>
      </c>
      <c r="E85" s="19" t="s">
        <v>958</v>
      </c>
      <c r="F85" t="str">
        <f>VLOOKUP(DICCIONARIO[[#This Row],[Desc color]],ImportarStock[DESCRIPCION],1,0)</f>
        <v>APP IPH14512GBBLU B1</v>
      </c>
      <c r="H85" t="str">
        <f>VLOOKUP(DICCIONARIO[[#This Row],[Modelo]],UNIFICADA[Equipo],1,0)</f>
        <v>APPLE IPHONE 14 512GB</v>
      </c>
      <c r="I85">
        <f>IFERROR(VLOOKUP(DICCIONARIO[[#This Row],[Desc color]],ImportarStock[[DESCRIPCION]:[LIBRE UTILIZACION]],2,0),0)</f>
        <v>1</v>
      </c>
      <c r="K85" t="s">
        <v>884</v>
      </c>
      <c r="L85">
        <v>3</v>
      </c>
      <c r="M85" t="str">
        <f>VLOOKUP(ImportarStock[[#This Row],[DESCRIPCION]],DICCIONARIO[Desc color],1,0)</f>
        <v>HOR X8A 128GB QA PARLANTE</v>
      </c>
    </row>
    <row r="86" spans="3:13" x14ac:dyDescent="0.25">
      <c r="C86" t="s">
        <v>108</v>
      </c>
      <c r="D86" t="s">
        <v>612</v>
      </c>
      <c r="E86" s="19" t="s">
        <v>959</v>
      </c>
      <c r="F86" t="str">
        <f>VLOOKUP(DICCIONARIO[[#This Row],[Desc color]],ImportarStock[DESCRIPCION],1,0)</f>
        <v>APP IPH14512GBMID MN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1118</v>
      </c>
      <c r="L86">
        <v>10</v>
      </c>
      <c r="M86" t="str">
        <f>VLOOKUP(ImportarStock[[#This Row],[DESCRIPCION]],DICCIONARIO[Desc color],1,0)</f>
        <v>HUA BAND 7 NG</v>
      </c>
    </row>
    <row r="87" spans="3:13" x14ac:dyDescent="0.25">
      <c r="C87" t="s">
        <v>109</v>
      </c>
      <c r="D87" t="s">
        <v>612</v>
      </c>
      <c r="E87" s="19" t="s">
        <v>870</v>
      </c>
      <c r="F87" t="e">
        <f>VLOOKUP(DICCIONARIO[[#This Row],[Desc color]],ImportarStock[DESCRIPCION],1,0)</f>
        <v>#N/A</v>
      </c>
      <c r="H87" t="str">
        <f>VLOOKUP(DICCIONARIO[[#This Row],[Modelo]],UNIFICADA[Equipo],1,0)</f>
        <v>APPLE IPHONE 14 PLUS 128GB</v>
      </c>
      <c r="I87">
        <f>IFERROR(VLOOKUP(DICCIONARIO[[#This Row],[Desc color]],ImportarStock[[DESCRIPCION]:[LIBRE UTILIZACION]],2,0),0)</f>
        <v>0</v>
      </c>
      <c r="K87" t="s">
        <v>1091</v>
      </c>
      <c r="L87">
        <v>18</v>
      </c>
      <c r="M87" t="str">
        <f>VLOOKUP(ImportarStock[[#This Row],[DESCRIPCION]],DICCIONARIO[Desc color],1,0)</f>
        <v>HUA WA8021V5 BL</v>
      </c>
    </row>
    <row r="88" spans="3:13" x14ac:dyDescent="0.25">
      <c r="C88" t="s">
        <v>110</v>
      </c>
      <c r="D88" t="s">
        <v>612</v>
      </c>
      <c r="E88" s="19" t="s">
        <v>867</v>
      </c>
      <c r="F88" t="str">
        <f>VLOOKUP(DICCIONARIO[[#This Row],[Desc color]],ImportarStock[DESCRIPCION],1,0)</f>
        <v>APP IPH14PL256MID MN</v>
      </c>
      <c r="H88" t="str">
        <f>VLOOKUP(DICCIONARIO[[#This Row],[Modelo]],UNIFICADA[Equipo],1,0)</f>
        <v>APPLE IPHONE 14 PLUS 256GB</v>
      </c>
      <c r="I88">
        <f>IFERROR(VLOOKUP(DICCIONARIO[[#This Row],[Desc color]],ImportarStock[[DESCRIPCION]:[LIBRE UTILIZACION]],2,0),0)</f>
        <v>1</v>
      </c>
      <c r="K88" t="s">
        <v>1028</v>
      </c>
      <c r="L88">
        <v>11</v>
      </c>
      <c r="M88" t="str">
        <f>VLOOKUP(ImportarStock[[#This Row],[DESCRIPCION]],DICCIONARIO[Desc color],1,0)</f>
        <v>MOT ME1364XT23452 BM</v>
      </c>
    </row>
    <row r="89" spans="3:13" x14ac:dyDescent="0.25">
      <c r="C89" t="s">
        <v>110</v>
      </c>
      <c r="D89" t="s">
        <v>612</v>
      </c>
      <c r="E89" s="19" t="s">
        <v>868</v>
      </c>
      <c r="F89" t="str">
        <f>VLOOKUP(DICCIONARIO[[#This Row],[Desc color]],ImportarStock[DESCRIPCION],1,0)</f>
        <v>APP IPH14PL256PUR LE</v>
      </c>
      <c r="H89" t="str">
        <f>VLOOKUP(DICCIONARIO[[#This Row],[Modelo]],UNIFICADA[Equipo],1,0)</f>
        <v>APPLE IPHONE 14 PLUS 256GB</v>
      </c>
      <c r="I89">
        <f>IFERROR(VLOOKUP(DICCIONARIO[[#This Row],[Desc color]],ImportarStock[[DESCRIPCION]:[LIBRE UTILIZACION]],2,0),0)</f>
        <v>1</v>
      </c>
      <c r="K89" t="s">
        <v>1029</v>
      </c>
      <c r="L89">
        <v>27</v>
      </c>
      <c r="M89" t="str">
        <f>VLOOKUP(ImportarStock[[#This Row],[DESCRIPCION]],DICCIONARIO[Desc color],1,0)</f>
        <v>MOT ME1364XT23452 VD</v>
      </c>
    </row>
    <row r="90" spans="3:13" x14ac:dyDescent="0.25">
      <c r="C90" t="s">
        <v>110</v>
      </c>
      <c r="D90" t="s">
        <v>612</v>
      </c>
      <c r="E90" s="19" t="s">
        <v>961</v>
      </c>
      <c r="F90" t="str">
        <f>VLOOKUP(DICCIONARIO[[#This Row],[Desc color]],ImportarStock[DESCRIPCION],1,0)</f>
        <v>APP IPH14PLUS256G B1</v>
      </c>
      <c r="H90" t="str">
        <f>VLOOKUP(DICCIONARIO[[#This Row],[Modelo]],UNIFICADA[Equipo],1,0)</f>
        <v>APPLE IPHONE 14 PLUS 256GB</v>
      </c>
      <c r="I90">
        <f>IFERROR(VLOOKUP(DICCIONARIO[[#This Row],[Desc color]],ImportarStock[[DESCRIPCION]:[LIBRE UTILIZACION]],2,0),0)</f>
        <v>2</v>
      </c>
      <c r="K90" t="s">
        <v>692</v>
      </c>
      <c r="L90">
        <v>7</v>
      </c>
      <c r="M90" t="str">
        <f>VLOOKUP(ImportarStock[[#This Row],[DESCRIPCION]],DICCIONARIO[Desc color],1,0)</f>
        <v>MOT ME20XT2155-53 GT XT2155-5</v>
      </c>
    </row>
    <row r="91" spans="3:13" x14ac:dyDescent="0.25">
      <c r="C91" t="s">
        <v>111</v>
      </c>
      <c r="D91" t="s">
        <v>612</v>
      </c>
      <c r="E91" s="19" t="s">
        <v>960</v>
      </c>
      <c r="F91" t="str">
        <f>VLOOKUP(DICCIONARIO[[#This Row],[Desc color]],ImportarStock[DESCRIPCION],1,0)</f>
        <v>APP IPH14PL512MID MN</v>
      </c>
      <c r="H91" t="str">
        <f>VLOOKUP(DICCIONARIO[[#This Row],[Modelo]],UNIFICADA[Equipo],1,0)</f>
        <v>APPLE IPHONE 14 PLUS 512GB</v>
      </c>
      <c r="I91">
        <f>IFERROR(VLOOKUP(DICCIONARIO[[#This Row],[Desc color]],ImportarStock[[DESCRIPCION]:[LIBRE UTILIZACION]],2,0),0)</f>
        <v>1</v>
      </c>
      <c r="K91" t="s">
        <v>885</v>
      </c>
      <c r="L91">
        <v>18</v>
      </c>
      <c r="M91" t="str">
        <f>VLOOKUP(ImportarStock[[#This Row],[DESCRIPCION]],DICCIONARIO[Desc color],1,0)</f>
        <v>MOT ME22IXT223917 BL</v>
      </c>
    </row>
    <row r="92" spans="3:13" x14ac:dyDescent="0.25">
      <c r="C92" t="s">
        <v>111</v>
      </c>
      <c r="D92" t="s">
        <v>612</v>
      </c>
      <c r="E92" s="19" t="s">
        <v>869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PLUS 512GB</v>
      </c>
      <c r="I92">
        <f>IFERROR(VLOOKUP(DICCIONARIO[[#This Row],[Desc color]],ImportarStock[[DESCRIPCION]:[LIBRE UTILIZACION]],2,0),0)</f>
        <v>0</v>
      </c>
      <c r="K92" t="s">
        <v>886</v>
      </c>
      <c r="L92">
        <v>10</v>
      </c>
      <c r="M92" t="str">
        <f>VLOOKUP(ImportarStock[[#This Row],[DESCRIPCION]],DICCIONARIO[Desc color],1,0)</f>
        <v>MOT ME22IXT223917 GR</v>
      </c>
    </row>
    <row r="93" spans="3:13" x14ac:dyDescent="0.25">
      <c r="C93" t="s">
        <v>112</v>
      </c>
      <c r="D93" t="s">
        <v>612</v>
      </c>
      <c r="E93" s="19" t="s">
        <v>864</v>
      </c>
      <c r="F93" t="str">
        <f>VLOOKUP(DICCIONARIO[[#This Row],[Desc color]],ImportarStock[DESCRIPCION],1,0)</f>
        <v>APP IPH14P128MIDN MN</v>
      </c>
      <c r="H93" t="str">
        <f>VLOOKUP(DICCIONARIO[[#This Row],[Modelo]],UNIFICADA[Equipo],1,0)</f>
        <v>APPLE IPHONE 14 PRO 128GB</v>
      </c>
      <c r="I93">
        <f>IFERROR(VLOOKUP(DICCIONARIO[[#This Row],[Desc color]],ImportarStock[[DESCRIPCION]:[LIBRE UTILIZACION]],2,0),0)</f>
        <v>1</v>
      </c>
      <c r="K93" t="s">
        <v>1031</v>
      </c>
      <c r="L93">
        <v>22</v>
      </c>
      <c r="M93" t="str">
        <f>VLOOKUP(ImportarStock[[#This Row],[DESCRIPCION]],DICCIONARIO[Desc color],1,0)</f>
        <v>MOT MG23128X23331 AX</v>
      </c>
    </row>
    <row r="94" spans="3:13" x14ac:dyDescent="0.25">
      <c r="C94" t="s">
        <v>112</v>
      </c>
      <c r="D94" t="s">
        <v>612</v>
      </c>
      <c r="E94" s="19" t="s">
        <v>1008</v>
      </c>
      <c r="F94" t="str">
        <f>VLOOKUP(DICCIONARIO[[#This Row],[Desc color]],ImportarStock[DESCRIPCION],1,0)</f>
        <v>APP IPH14PRSPBLAC SP 128GB</v>
      </c>
      <c r="H94" t="str">
        <f>VLOOKUP(DICCIONARIO[[#This Row],[Modelo]],UNIFICADA[Equipo],1,0)</f>
        <v>APPLE IPHONE 14 PRO 128GB</v>
      </c>
      <c r="I94">
        <f>IFERROR(VLOOKUP(DICCIONARIO[[#This Row],[Desc color]],ImportarStock[[DESCRIPCION]:[LIBRE UTILIZACION]],2,0),0)</f>
        <v>11</v>
      </c>
      <c r="K94" t="s">
        <v>1010</v>
      </c>
      <c r="L94">
        <v>74</v>
      </c>
      <c r="M94" t="str">
        <f>VLOOKUP(ImportarStock[[#This Row],[DESCRIPCION]],DICCIONARIO[Desc color],1,0)</f>
        <v>MOT MG23128X23331 GX</v>
      </c>
    </row>
    <row r="95" spans="3:13" x14ac:dyDescent="0.25">
      <c r="C95" t="s">
        <v>112</v>
      </c>
      <c r="D95" t="s">
        <v>612</v>
      </c>
      <c r="E95" s="19" t="s">
        <v>865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PRO 128GB</v>
      </c>
      <c r="I95">
        <f>IFERROR(VLOOKUP(DICCIONARIO[[#This Row],[Desc color]],ImportarStock[[DESCRIPCION]:[LIBRE UTILIZACION]],2,0),0)</f>
        <v>0</v>
      </c>
      <c r="K95" t="s">
        <v>848</v>
      </c>
      <c r="L95">
        <v>1</v>
      </c>
      <c r="M95" t="str">
        <f>VLOOKUP(ImportarStock[[#This Row],[DESCRIPCION]],DICCIONARIO[Desc color],1,0)</f>
        <v>MOT MG51128XT2171 AN</v>
      </c>
    </row>
    <row r="96" spans="3:13" x14ac:dyDescent="0.25">
      <c r="C96" t="s">
        <v>112</v>
      </c>
      <c r="D96" t="s">
        <v>612</v>
      </c>
      <c r="E96" s="19" t="s">
        <v>866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PRO 128GB</v>
      </c>
      <c r="I96">
        <f>IFERROR(VLOOKUP(DICCIONARIO[[#This Row],[Desc color]],ImportarStock[[DESCRIPCION]:[LIBRE UTILIZACION]],2,0),0)</f>
        <v>0</v>
      </c>
      <c r="K96" t="s">
        <v>1130</v>
      </c>
      <c r="L96">
        <v>13</v>
      </c>
      <c r="M96" t="str">
        <f>VLOOKUP(ImportarStock[[#This Row],[DESCRIPCION]],DICCIONARIO[Desc color],1,0)</f>
        <v>MOT WATCHZ37PROS7 NG</v>
      </c>
    </row>
    <row r="97" spans="3:13" x14ac:dyDescent="0.25">
      <c r="C97" t="s">
        <v>112</v>
      </c>
      <c r="D97" t="s">
        <v>612</v>
      </c>
      <c r="E97" s="19" t="s">
        <v>871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PRO 128GB</v>
      </c>
      <c r="I97">
        <f>IFERROR(VLOOKUP(DICCIONARIO[[#This Row],[Desc color]],ImportarStock[[DESCRIPCION]:[LIBRE UTILIZACION]],2,0),0)</f>
        <v>0</v>
      </c>
      <c r="K97" t="s">
        <v>1114</v>
      </c>
      <c r="L97">
        <v>1</v>
      </c>
      <c r="M97" t="str">
        <f>VLOOKUP(ImportarStock[[#This Row],[DESCRIPCION]],DICCIONARIO[Desc color],1,0)</f>
        <v>OPP A17 64GB AZ</v>
      </c>
    </row>
    <row r="98" spans="3:13" x14ac:dyDescent="0.25">
      <c r="C98" t="s">
        <v>112</v>
      </c>
      <c r="D98" t="s">
        <v>612</v>
      </c>
      <c r="E98" s="19" t="s">
        <v>1115</v>
      </c>
      <c r="F98" t="e">
        <f>VLOOKUP(DICCIONARIO[[#This Row],[Desc color]],ImportarStock[DESCRIPCION],1,0)</f>
        <v>#N/A</v>
      </c>
      <c r="H98" t="str">
        <f>VLOOKUP(DICCIONARIO[[#This Row],[Modelo]],UNIFICADA[Equipo],1,0)</f>
        <v>APPLE IPHONE 14 PRO 128GB</v>
      </c>
      <c r="I98">
        <f>IFERROR(VLOOKUP(DICCIONARIO[[#This Row],[Desc color]],ImportarStock[[DESCRIPCION]:[LIBRE UTILIZACION]],2,0),0)</f>
        <v>0</v>
      </c>
      <c r="K98" t="s">
        <v>889</v>
      </c>
      <c r="L98">
        <v>2</v>
      </c>
      <c r="M98" t="str">
        <f>VLOOKUP(ImportarStock[[#This Row],[DESCRIPCION]],DICCIONARIO[Desc color],1,0)</f>
        <v>OPP A17 64GB AZ EARPHONE</v>
      </c>
    </row>
    <row r="99" spans="3:13" x14ac:dyDescent="0.25">
      <c r="C99" t="s">
        <v>116</v>
      </c>
      <c r="D99" t="s">
        <v>612</v>
      </c>
      <c r="E99" s="19" t="s">
        <v>1006</v>
      </c>
      <c r="F99" t="str">
        <f>VLOOKUP(DICCIONARIO[[#This Row],[Desc color]],ImportarStock[DESCRIPCION],1,0)</f>
        <v>APP IPH14PROMAXSI SV 128GB</v>
      </c>
      <c r="H99" t="str">
        <f>VLOOKUP(DICCIONARIO[[#This Row],[Modelo]],UNIFICADA[Equipo],1,0)</f>
        <v>APPLE IPHONE 14 PRO MAX 128GB</v>
      </c>
      <c r="I99">
        <f>IFERROR(VLOOKUP(DICCIONARIO[[#This Row],[Desc color]],ImportarStock[[DESCRIPCION]:[LIBRE UTILIZACION]],2,0),0)</f>
        <v>4</v>
      </c>
      <c r="K99" t="s">
        <v>890</v>
      </c>
      <c r="L99">
        <v>3</v>
      </c>
      <c r="M99" t="str">
        <f>VLOOKUP(ImportarStock[[#This Row],[DESCRIPCION]],DICCIONARIO[Desc color],1,0)</f>
        <v>OPP A17 64GB NG</v>
      </c>
    </row>
    <row r="100" spans="3:13" x14ac:dyDescent="0.25">
      <c r="C100" t="s">
        <v>116</v>
      </c>
      <c r="D100" t="s">
        <v>612</v>
      </c>
      <c r="E100" s="19" t="s">
        <v>1007</v>
      </c>
      <c r="F100" t="str">
        <f>VLOOKUP(DICCIONARIO[[#This Row],[Desc color]],ImportarStock[DESCRIPCION],1,0)</f>
        <v>APP IPH14PROMAXSP SP 128GB</v>
      </c>
      <c r="H100" t="str">
        <f>VLOOKUP(DICCIONARIO[[#This Row],[Modelo]],UNIFICADA[Equipo],1,0)</f>
        <v>APPLE IPHONE 14 PRO MAX 128GB</v>
      </c>
      <c r="I100">
        <f>IFERROR(VLOOKUP(DICCIONARIO[[#This Row],[Desc color]],ImportarStock[[DESCRIPCION]:[LIBRE UTILIZACION]],2,0),0)</f>
        <v>9</v>
      </c>
      <c r="K100" t="s">
        <v>891</v>
      </c>
      <c r="L100">
        <v>20</v>
      </c>
      <c r="M100" t="str">
        <f>VLOOKUP(ImportarStock[[#This Row],[DESCRIPCION]],DICCIONARIO[Desc color],1,0)</f>
        <v>OPP A57 128GB NG</v>
      </c>
    </row>
    <row r="101" spans="3:13" x14ac:dyDescent="0.25">
      <c r="C101" t="s">
        <v>117</v>
      </c>
      <c r="D101" t="s">
        <v>612</v>
      </c>
      <c r="E101" s="19" t="s">
        <v>962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PRO MAX 1TB</v>
      </c>
      <c r="I101">
        <f>IFERROR(VLOOKUP(DICCIONARIO[[#This Row],[Desc color]],ImportarStock[[DESCRIPCION]:[LIBRE UTILIZACION]],2,0),0)</f>
        <v>0</v>
      </c>
      <c r="K101" t="s">
        <v>1052</v>
      </c>
      <c r="L101">
        <v>4</v>
      </c>
      <c r="M101" t="str">
        <f>VLOOKUP(ImportarStock[[#This Row],[DESCRIPCION]],DICCIONARIO[Desc color],1,0)</f>
        <v>OPP A78 128GB AZ AUDIFONOS WIRELESS</v>
      </c>
    </row>
    <row r="102" spans="3:13" x14ac:dyDescent="0.25">
      <c r="C102" t="s">
        <v>118</v>
      </c>
      <c r="D102" t="s">
        <v>612</v>
      </c>
      <c r="E102" s="19" t="s">
        <v>1005</v>
      </c>
      <c r="F102" t="str">
        <f>VLOOKUP(DICCIONARIO[[#This Row],[Desc color]],ImportarStock[DESCRIPCION],1,0)</f>
        <v>APP IPH14PMAXSPBL SP 256GB</v>
      </c>
      <c r="H102" t="str">
        <f>VLOOKUP(DICCIONARIO[[#This Row],[Modelo]],UNIFICADA[Equipo],1,0)</f>
        <v>APPLE IPHONE 14 PRO MAX 256GB</v>
      </c>
      <c r="I102">
        <f>IFERROR(VLOOKUP(DICCIONARIO[[#This Row],[Desc color]],ImportarStock[[DESCRIPCION]:[LIBRE UTILIZACION]],2,0),0)</f>
        <v>8</v>
      </c>
      <c r="K102" t="s">
        <v>1135</v>
      </c>
      <c r="L102">
        <v>10</v>
      </c>
      <c r="M102" t="str">
        <f>VLOOKUP(ImportarStock[[#This Row],[DESCRIPCION]],DICCIONARIO[Desc color],1,0)</f>
        <v>OPP A78 128GB AZ SMARTWATCH</v>
      </c>
    </row>
    <row r="103" spans="3:13" x14ac:dyDescent="0.25">
      <c r="C103" t="s">
        <v>121</v>
      </c>
      <c r="D103" t="s">
        <v>680</v>
      </c>
      <c r="E103" s="19" t="s">
        <v>1109</v>
      </c>
      <c r="F103" t="str">
        <f>VLOOKUP(DICCIONARIO[[#This Row],[Desc color]],ImportarStock[DESCRIPCION],1,0)</f>
        <v>HOR 70 256GB CP</v>
      </c>
      <c r="H103" t="str">
        <f>VLOOKUP(DICCIONARIO[[#This Row],[Modelo]],UNIFICADA[Equipo],1,0)</f>
        <v>HONOR 70 256GB</v>
      </c>
      <c r="I103">
        <f>IFERROR(VLOOKUP(DICCIONARIO[[#This Row],[Desc color]],ImportarStock[[DESCRIPCION]:[LIBRE UTILIZACION]],2,0),0)</f>
        <v>11</v>
      </c>
      <c r="K103" t="s">
        <v>1127</v>
      </c>
      <c r="L103">
        <v>1</v>
      </c>
      <c r="M103" t="str">
        <f>VLOOKUP(ImportarStock[[#This Row],[DESCRIPCION]],DICCIONARIO[Desc color],1,0)</f>
        <v>OPP A78 128GB NG SMARTWATCH</v>
      </c>
    </row>
    <row r="104" spans="3:13" x14ac:dyDescent="0.25">
      <c r="C104" t="s">
        <v>121</v>
      </c>
      <c r="D104" t="s">
        <v>680</v>
      </c>
      <c r="E104" s="19" t="s">
        <v>875</v>
      </c>
      <c r="F104" t="str">
        <f>VLOOKUP(DICCIONARIO[[#This Row],[Desc color]],ImportarStock[DESCRIPCION],1,0)</f>
        <v>HOR 70 256GB CP MINISPEAK</v>
      </c>
      <c r="H104" t="str">
        <f>VLOOKUP(DICCIONARIO[[#This Row],[Modelo]],UNIFICADA[Equipo],1,0)</f>
        <v>HONOR 70 256GB</v>
      </c>
      <c r="I104">
        <f>IFERROR(VLOOKUP(DICCIONARIO[[#This Row],[Desc color]],ImportarStock[[DESCRIPCION]:[LIBRE UTILIZACION]],2,0),0)</f>
        <v>1</v>
      </c>
      <c r="K104" t="s">
        <v>1053</v>
      </c>
      <c r="L104">
        <v>15</v>
      </c>
      <c r="M104" t="str">
        <f>VLOOKUP(ImportarStock[[#This Row],[DESCRIPCION]],DICCIONARIO[Desc color],1,0)</f>
        <v>OPP RENO7 256GB D1</v>
      </c>
    </row>
    <row r="105" spans="3:13" x14ac:dyDescent="0.25">
      <c r="C105" t="s">
        <v>121</v>
      </c>
      <c r="D105" t="s">
        <v>680</v>
      </c>
      <c r="E105" s="19" t="s">
        <v>1110</v>
      </c>
      <c r="F105" t="str">
        <f>VLOOKUP(DICCIONARIO[[#This Row],[Desc color]],ImportarStock[DESCRIPCION],1,0)</f>
        <v>HOR 70 256GB VE</v>
      </c>
      <c r="H105" t="str">
        <f>VLOOKUP(DICCIONARIO[[#This Row],[Modelo]],UNIFICADA[Equipo],1,0)</f>
        <v>HONOR 70 256GB</v>
      </c>
      <c r="I105">
        <f>IFERROR(VLOOKUP(DICCIONARIO[[#This Row],[Desc color]],ImportarStock[[DESCRIPCION]:[LIBRE UTILIZACION]],2,0),0)</f>
        <v>3</v>
      </c>
      <c r="K105" t="s">
        <v>976</v>
      </c>
      <c r="L105">
        <v>10</v>
      </c>
      <c r="M105" t="str">
        <f>VLOOKUP(ImportarStock[[#This Row],[DESCRIPCION]],DICCIONARIO[Desc color],1,0)</f>
        <v>OPP RENO7 256GB NH SMART WATCH</v>
      </c>
    </row>
    <row r="106" spans="3:13" x14ac:dyDescent="0.25">
      <c r="C106" t="s">
        <v>121</v>
      </c>
      <c r="D106" t="s">
        <v>680</v>
      </c>
      <c r="E106" s="19" t="s">
        <v>876</v>
      </c>
      <c r="F106" t="str">
        <f>VLOOKUP(DICCIONARIO[[#This Row],[Desc color]],ImportarStock[DESCRIPCION],1,0)</f>
        <v>HOR 70 256GB VE MINISPEAK</v>
      </c>
      <c r="H106" t="str">
        <f>VLOOKUP(DICCIONARIO[[#This Row],[Modelo]],UNIFICADA[Equipo],1,0)</f>
        <v>HONOR 70 256GB</v>
      </c>
      <c r="I106">
        <f>IFERROR(VLOOKUP(DICCIONARIO[[#This Row],[Desc color]],ImportarStock[[DESCRIPCION]:[LIBRE UTILIZACION]],2,0),0)</f>
        <v>2</v>
      </c>
      <c r="K106" t="s">
        <v>1073</v>
      </c>
      <c r="L106">
        <v>4</v>
      </c>
      <c r="M106" t="str">
        <f>VLOOKUP(ImportarStock[[#This Row],[DESCRIPCION]],DICCIONARIO[Desc color],1,0)</f>
        <v>PACK SIM CARD PRE ASOC 256KB TELF FIJO</v>
      </c>
    </row>
    <row r="107" spans="3:13" x14ac:dyDescent="0.25">
      <c r="C107" t="s">
        <v>947</v>
      </c>
      <c r="D107" t="s">
        <v>680</v>
      </c>
      <c r="E107" s="19" t="s">
        <v>1051</v>
      </c>
      <c r="F107" t="str">
        <f>VLOOKUP(DICCIONARIO[[#This Row],[Desc color]],ImportarStock[DESCRIPCION],1,0)</f>
        <v>HOR MAGIC5LIT128 EM PARLANTE</v>
      </c>
      <c r="H107" t="str">
        <f>VLOOKUP(DICCIONARIO[[#This Row],[Modelo]],UNIFICADA[Equipo],1,0)</f>
        <v>HONOR MAGIC 5 LITE 128GB 5G</v>
      </c>
      <c r="I107">
        <f>IFERROR(VLOOKUP(DICCIONARIO[[#This Row],[Desc color]],ImportarStock[[DESCRIPCION]:[LIBRE UTILIZACION]],2,0),0)</f>
        <v>24</v>
      </c>
      <c r="K107" t="s">
        <v>1074</v>
      </c>
      <c r="L107">
        <v>5</v>
      </c>
      <c r="M107" t="str">
        <f>VLOOKUP(ImportarStock[[#This Row],[DESCRIPCION]],DICCIONARIO[Desc color],1,0)</f>
        <v>PACK SIM CARD REPUESTO TFI 256KB</v>
      </c>
    </row>
    <row r="108" spans="3:13" x14ac:dyDescent="0.25">
      <c r="C108" t="s">
        <v>947</v>
      </c>
      <c r="D108" t="s">
        <v>680</v>
      </c>
      <c r="E108" s="19" t="s">
        <v>964</v>
      </c>
      <c r="F108" t="str">
        <f>VLOOKUP(DICCIONARIO[[#This Row],[Desc color]],ImportarStock[DESCRIPCION],1,0)</f>
        <v>HOR MAGIC5LIT128 VE</v>
      </c>
      <c r="H108" t="str">
        <f>VLOOKUP(DICCIONARIO[[#This Row],[Modelo]],UNIFICADA[Equipo],1,0)</f>
        <v>HONOR MAGIC 5 LITE 128GB 5G</v>
      </c>
      <c r="I108">
        <f>IFERROR(VLOOKUP(DICCIONARIO[[#This Row],[Desc color]],ImportarStock[[DESCRIPCION]:[LIBRE UTILIZACION]],2,0),0)</f>
        <v>27</v>
      </c>
      <c r="K108" t="s">
        <v>1062</v>
      </c>
      <c r="L108">
        <v>2</v>
      </c>
      <c r="M108" t="str">
        <f>VLOOKUP(ImportarStock[[#This Row],[DESCRIPCION]],DICCIONARIO[Desc color],1,0)</f>
        <v>PACK SIM CARD REPUESTO TFI 64KB</v>
      </c>
    </row>
    <row r="109" spans="3:13" x14ac:dyDescent="0.25">
      <c r="C109" t="s">
        <v>947</v>
      </c>
      <c r="D109" t="s">
        <v>680</v>
      </c>
      <c r="E109" s="19" t="s">
        <v>965</v>
      </c>
      <c r="F109" t="str">
        <f>VLOOKUP(DICCIONARIO[[#This Row],[Desc color]],ImportarStock[DESCRIPCION],1,0)</f>
        <v>HOR MAGIC5LIT128 VE PARLANTE</v>
      </c>
      <c r="H109" t="str">
        <f>VLOOKUP(DICCIONARIO[[#This Row],[Modelo]],UNIFICADA[Equipo],1,0)</f>
        <v>HONOR MAGIC 5 LITE 128GB 5G</v>
      </c>
      <c r="I109">
        <f>IFERROR(VLOOKUP(DICCIONARIO[[#This Row],[Desc color]],ImportarStock[[DESCRIPCION]:[LIBRE UTILIZACION]],2,0),0)</f>
        <v>30</v>
      </c>
      <c r="K109" t="s">
        <v>1082</v>
      </c>
      <c r="L109">
        <v>46</v>
      </c>
      <c r="M109" t="str">
        <f>VLOOKUP(ImportarStock[[#This Row],[DESCRIPCION]],DICCIONARIO[Desc color],1,0)</f>
        <v>PARLA BT BSHEP DOME NG</v>
      </c>
    </row>
    <row r="110" spans="3:13" x14ac:dyDescent="0.25">
      <c r="C110" t="s">
        <v>947</v>
      </c>
      <c r="D110" t="s">
        <v>680</v>
      </c>
      <c r="E110" s="19" t="s">
        <v>963</v>
      </c>
      <c r="F110" t="e">
        <f>VLOOKUP(DICCIONARIO[[#This Row],[Desc color]],ImportarStock[DESCRIPCION],1,0)</f>
        <v>#N/A</v>
      </c>
      <c r="H110" t="str">
        <f>VLOOKUP(DICCIONARIO[[#This Row],[Modelo]],UNIFICADA[Equipo],1,0)</f>
        <v>HONOR MAGIC 5 LITE 128GB 5G</v>
      </c>
      <c r="I110">
        <f>IFERROR(VLOOKUP(DICCIONARIO[[#This Row],[Desc color]],ImportarStock[[DESCRIPCION]:[LIBRE UTILIZACION]],2,0),0)</f>
        <v>0</v>
      </c>
      <c r="K110" t="s">
        <v>1105</v>
      </c>
      <c r="L110">
        <v>1</v>
      </c>
      <c r="M110" t="str">
        <f>VLOOKUP(ImportarStock[[#This Row],[DESCRIPCION]],DICCIONARIO[Desc color],1,0)</f>
        <v>PARLA XTREME BT MOTOROLA MOTKBS-025 BG</v>
      </c>
    </row>
    <row r="111" spans="3:13" x14ac:dyDescent="0.25">
      <c r="C111" t="s">
        <v>122</v>
      </c>
      <c r="D111" t="s">
        <v>680</v>
      </c>
      <c r="E111" s="19" t="s">
        <v>877</v>
      </c>
      <c r="F111" t="str">
        <f>VLOOKUP(DICCIONARIO[[#This Row],[Desc color]],ImportarStock[DESCRIPCION],1,0)</f>
        <v>HOR X6 64GB NP AUDIFONO</v>
      </c>
      <c r="H111" t="str">
        <f>VLOOKUP(DICCIONARIO[[#This Row],[Modelo]],UNIFICADA[Equipo],1,0)</f>
        <v>HONOR X6 64GB</v>
      </c>
      <c r="I111">
        <f>IFERROR(VLOOKUP(DICCIONARIO[[#This Row],[Desc color]],ImportarStock[[DESCRIPCION]:[LIBRE UTILIZACION]],2,0),0)</f>
        <v>34</v>
      </c>
      <c r="K111" t="s">
        <v>1063</v>
      </c>
      <c r="L111">
        <v>1</v>
      </c>
      <c r="M111" t="str">
        <f>VLOOKUP(ImportarStock[[#This Row],[DESCRIPCION]],DICCIONARIO[Desc color],1,0)</f>
        <v>Parlante bluetooth</v>
      </c>
    </row>
    <row r="112" spans="3:13" x14ac:dyDescent="0.25">
      <c r="C112" t="s">
        <v>122</v>
      </c>
      <c r="D112" t="s">
        <v>680</v>
      </c>
      <c r="E112" s="19" t="s">
        <v>878</v>
      </c>
      <c r="F112" t="str">
        <f>VLOOKUP(DICCIONARIO[[#This Row],[Desc color]],ImportarStock[DESCRIPCION],1,0)</f>
        <v>HOR X6 64GB PN AUDIFONO</v>
      </c>
      <c r="H112" t="str">
        <f>VLOOKUP(DICCIONARIO[[#This Row],[Modelo]],UNIFICADA[Equipo],1,0)</f>
        <v>HONOR X6 64GB</v>
      </c>
      <c r="I112">
        <f>IFERROR(VLOOKUP(DICCIONARIO[[#This Row],[Desc color]],ImportarStock[[DESCRIPCION]:[LIBRE UTILIZACION]],2,0),0)</f>
        <v>30</v>
      </c>
      <c r="K112" t="s">
        <v>903</v>
      </c>
      <c r="L112">
        <v>17</v>
      </c>
      <c r="M112" t="str">
        <f>VLOOKUP(ImportarStock[[#This Row],[DESCRIPCION]],DICCIONARIO[Desc color],1,0)</f>
        <v>SIM CARD VIRGEN 256KB INTERNET</v>
      </c>
    </row>
    <row r="113" spans="3:13" x14ac:dyDescent="0.25">
      <c r="C113" t="s">
        <v>122</v>
      </c>
      <c r="D113" t="s">
        <v>680</v>
      </c>
      <c r="E113" s="19" t="s">
        <v>879</v>
      </c>
      <c r="F113" t="str">
        <f>VLOOKUP(DICCIONARIO[[#This Row],[Desc color]],ImportarStock[DESCRIPCION],1,0)</f>
        <v>HOR X6 64GB ZN AUDIFONO</v>
      </c>
      <c r="H113" t="str">
        <f>VLOOKUP(DICCIONARIO[[#This Row],[Modelo]],UNIFICADA[Equipo],1,0)</f>
        <v>HONOR X6 64GB</v>
      </c>
      <c r="I113">
        <f>IFERROR(VLOOKUP(DICCIONARIO[[#This Row],[Desc color]],ImportarStock[[DESCRIPCION]:[LIBRE UTILIZACION]],2,0),0)</f>
        <v>12</v>
      </c>
      <c r="K113" t="s">
        <v>904</v>
      </c>
      <c r="L113">
        <v>1582</v>
      </c>
      <c r="M113" t="str">
        <f>VLOOKUP(ImportarStock[[#This Row],[DESCRIPCION]],DICCIONARIO[Desc color],1,0)</f>
        <v>SIM CARD VIRGEN 256KB VOLTE 2FF-3FF-4FF</v>
      </c>
    </row>
    <row r="114" spans="3:13" x14ac:dyDescent="0.25">
      <c r="C114" t="s">
        <v>589</v>
      </c>
      <c r="D114" t="s">
        <v>680</v>
      </c>
      <c r="E114" s="19" t="s">
        <v>966</v>
      </c>
      <c r="F114" t="str">
        <f>VLOOKUP(DICCIONARIO[[#This Row],[Desc color]],ImportarStock[DESCRIPCION],1,0)</f>
        <v>HOR X6S 128GB PS AUDIFONOS</v>
      </c>
      <c r="H114" t="str">
        <f>VLOOKUP(DICCIONARIO[[#This Row],[Modelo]],UNIFICADA[Equipo],1,0)</f>
        <v>HONOR X6S 128GB</v>
      </c>
      <c r="I114">
        <f>IFERROR(VLOOKUP(DICCIONARIO[[#This Row],[Desc color]],ImportarStock[[DESCRIPCION]:[LIBRE UTILIZACION]],2,0),0)</f>
        <v>20</v>
      </c>
      <c r="K114" t="s">
        <v>1087</v>
      </c>
      <c r="L114">
        <v>3</v>
      </c>
      <c r="M114" t="str">
        <f>VLOOKUP(ImportarStock[[#This Row],[DESCRIPCION]],DICCIONARIO[Desc color],1,0)</f>
        <v>SMARTBAND XIAO MIBAND 7 NG</v>
      </c>
    </row>
    <row r="115" spans="3:13" x14ac:dyDescent="0.25">
      <c r="C115" t="s">
        <v>589</v>
      </c>
      <c r="D115" t="s">
        <v>680</v>
      </c>
      <c r="E115" s="19" t="s">
        <v>880</v>
      </c>
      <c r="F115" t="e">
        <f>VLOOKUP(DICCIONARIO[[#This Row],[Desc color]],ImportarStock[DESCRIPCION],1,0)</f>
        <v>#N/A</v>
      </c>
      <c r="H115" t="str">
        <f>VLOOKUP(DICCIONARIO[[#This Row],[Modelo]],UNIFICADA[Equipo],1,0)</f>
        <v>HONOR X6S 128GB</v>
      </c>
      <c r="I115">
        <f>IFERROR(VLOOKUP(DICCIONARIO[[#This Row],[Desc color]],ImportarStock[[DESCRIPCION]:[LIBRE UTILIZACION]],2,0),0)</f>
        <v>0</v>
      </c>
      <c r="K115" t="s">
        <v>1075</v>
      </c>
      <c r="L115">
        <v>1</v>
      </c>
      <c r="M115" t="str">
        <f>VLOOKUP(ImportarStock[[#This Row],[DESCRIPCION]],DICCIONARIO[Desc color],1,0)</f>
        <v>SMARTWATCH ZTE WATCH LIVE NG</v>
      </c>
    </row>
    <row r="116" spans="3:13" x14ac:dyDescent="0.25">
      <c r="C116" t="s">
        <v>100</v>
      </c>
      <c r="D116" t="s">
        <v>680</v>
      </c>
      <c r="E116" s="19" t="s">
        <v>1025</v>
      </c>
      <c r="F116" t="e">
        <f>VLOOKUP(DICCIONARIO[[#This Row],[Desc color]],ImportarStock[DESCRIPCION],1,0)</f>
        <v>#N/A</v>
      </c>
      <c r="H116" t="str">
        <f>VLOOKUP(DICCIONARIO[[#This Row],[Modelo]],UNIFICADA[Equipo],1,0)</f>
        <v>HONOR X7 128GB PRO</v>
      </c>
      <c r="I116">
        <f>IFERROR(VLOOKUP(DICCIONARIO[[#This Row],[Desc color]],ImportarStock[[DESCRIPCION]:[LIBRE UTILIZACION]],2,0),0)</f>
        <v>0</v>
      </c>
      <c r="K116" t="s">
        <v>1032</v>
      </c>
      <c r="L116">
        <v>108</v>
      </c>
      <c r="M116" t="str">
        <f>VLOOKUP(ImportarStock[[#This Row],[DESCRIPCION]],DICCIONARIO[Desc color],1,0)</f>
        <v>SMG GA1451284146M NG</v>
      </c>
    </row>
    <row r="117" spans="3:13" x14ac:dyDescent="0.25">
      <c r="C117" t="s">
        <v>100</v>
      </c>
      <c r="D117" t="s">
        <v>680</v>
      </c>
      <c r="E117" s="19" t="s">
        <v>1026</v>
      </c>
      <c r="F117" t="e">
        <f>VLOOKUP(DICCIONARIO[[#This Row],[Desc color]],ImportarStock[DESCRIPCION],1,0)</f>
        <v>#N/A</v>
      </c>
      <c r="H117" t="str">
        <f>VLOOKUP(DICCIONARIO[[#This Row],[Modelo]],UNIFICADA[Equipo],1,0)</f>
        <v>HONOR X7 128GB PRO</v>
      </c>
      <c r="I117">
        <f>IFERROR(VLOOKUP(DICCIONARIO[[#This Row],[Desc color]],ImportarStock[[DESCRIPCION]:[LIBRE UTILIZACION]],2,0),0)</f>
        <v>0</v>
      </c>
      <c r="K117" t="s">
        <v>978</v>
      </c>
      <c r="L117">
        <v>4</v>
      </c>
      <c r="M117" t="str">
        <f>VLOOKUP(ImportarStock[[#This Row],[DESCRIPCION]],DICCIONARIO[Desc color],1,0)</f>
        <v>SMG GAS23256S911B NG</v>
      </c>
    </row>
    <row r="118" spans="3:13" x14ac:dyDescent="0.25">
      <c r="C118" t="s">
        <v>590</v>
      </c>
      <c r="D118" t="s">
        <v>680</v>
      </c>
      <c r="E118" s="19" t="s">
        <v>967</v>
      </c>
      <c r="F118" t="str">
        <f>VLOOKUP(DICCIONARIO[[#This Row],[Desc color]],ImportarStock[DESCRIPCION],1,0)</f>
        <v>HOR X7A 128GB ND</v>
      </c>
      <c r="H118" t="str">
        <f>VLOOKUP(DICCIONARIO[[#This Row],[Modelo]],UNIFICADA[Equipo],1,0)</f>
        <v>HONOR X7A 128GB</v>
      </c>
      <c r="I118">
        <f>IFERROR(VLOOKUP(DICCIONARIO[[#This Row],[Desc color]],ImportarStock[[DESCRIPCION]:[LIBRE UTILIZACION]],2,0),0)</f>
        <v>1</v>
      </c>
      <c r="K118" t="s">
        <v>907</v>
      </c>
      <c r="L118">
        <v>13</v>
      </c>
      <c r="M118" t="str">
        <f>VLOOKUP(ImportarStock[[#This Row],[DESCRIPCION]],DICCIONARIO[Desc color],1,0)</f>
        <v>SMG GLA04E32A042M NG</v>
      </c>
    </row>
    <row r="119" spans="3:13" x14ac:dyDescent="0.25">
      <c r="C119" t="s">
        <v>590</v>
      </c>
      <c r="D119" t="s">
        <v>680</v>
      </c>
      <c r="E119" s="19" t="s">
        <v>968</v>
      </c>
      <c r="F119" t="str">
        <f>VLOOKUP(DICCIONARIO[[#This Row],[Desc color]],ImportarStock[DESCRIPCION],1,0)</f>
        <v>HOR X7A 128GB PN</v>
      </c>
      <c r="H119" t="str">
        <f>VLOOKUP(DICCIONARIO[[#This Row],[Modelo]],UNIFICADA[Equipo],1,0)</f>
        <v>HONOR X7A 128GB</v>
      </c>
      <c r="I119">
        <f>IFERROR(VLOOKUP(DICCIONARIO[[#This Row],[Desc color]],ImportarStock[[DESCRIPCION]:[LIBRE UTILIZACION]],2,0),0)</f>
        <v>1</v>
      </c>
      <c r="K119" t="s">
        <v>979</v>
      </c>
      <c r="L119">
        <v>17</v>
      </c>
      <c r="M119" t="str">
        <f>VLOOKUP(ImportarStock[[#This Row],[DESCRIPCION]],DICCIONARIO[Desc color],1,0)</f>
        <v>SMG GLA04S64A047M NG</v>
      </c>
    </row>
    <row r="120" spans="3:13" x14ac:dyDescent="0.25">
      <c r="C120" t="s">
        <v>590</v>
      </c>
      <c r="D120" t="s">
        <v>680</v>
      </c>
      <c r="E120" s="19" t="s">
        <v>882</v>
      </c>
      <c r="F120" t="str">
        <f>VLOOKUP(DICCIONARIO[[#This Row],[Desc color]],ImportarStock[DESCRIPCION],1,0)</f>
        <v>HOR X7A 128GB PN CASE</v>
      </c>
      <c r="H120" t="str">
        <f>VLOOKUP(DICCIONARIO[[#This Row],[Modelo]],UNIFICADA[Equipo],1,0)</f>
        <v>HONOR X7A 128GB</v>
      </c>
      <c r="I120">
        <f>IFERROR(VLOOKUP(DICCIONARIO[[#This Row],[Desc color]],ImportarStock[[DESCRIPCION]:[LIBRE UTILIZACION]],2,0),0)</f>
        <v>33</v>
      </c>
      <c r="K120" t="s">
        <v>908</v>
      </c>
      <c r="L120">
        <v>1</v>
      </c>
      <c r="M120" t="str">
        <f>VLOOKUP(ImportarStock[[#This Row],[DESCRIPCION]],DICCIONARIO[Desc color],1,0)</f>
        <v>SMG GS23P512S916B NG</v>
      </c>
    </row>
    <row r="121" spans="3:13" x14ac:dyDescent="0.25">
      <c r="C121" t="s">
        <v>590</v>
      </c>
      <c r="D121" t="s">
        <v>680</v>
      </c>
      <c r="E121" s="19" t="s">
        <v>992</v>
      </c>
      <c r="F121" t="str">
        <f>VLOOKUP(DICCIONARIO[[#This Row],[Desc color]],ImportarStock[DESCRIPCION],1,0)</f>
        <v>HOR X7A 128GB ZN</v>
      </c>
      <c r="H121" t="str">
        <f>VLOOKUP(DICCIONARIO[[#This Row],[Modelo]],UNIFICADA[Equipo],1,0)</f>
        <v>HONOR X7A 128GB</v>
      </c>
      <c r="I121">
        <f>IFERROR(VLOOKUP(DICCIONARIO[[#This Row],[Desc color]],ImportarStock[[DESCRIPCION]:[LIBRE UTILIZACION]],2,0),0)</f>
        <v>64</v>
      </c>
      <c r="K121" t="s">
        <v>909</v>
      </c>
      <c r="L121">
        <v>9</v>
      </c>
      <c r="M121" t="str">
        <f>VLOOKUP(ImportarStock[[#This Row],[DESCRIPCION]],DICCIONARIO[Desc color],1,0)</f>
        <v>SMG GS23U512S918B NG</v>
      </c>
    </row>
    <row r="122" spans="3:13" x14ac:dyDescent="0.25">
      <c r="C122" t="s">
        <v>590</v>
      </c>
      <c r="D122" t="s">
        <v>680</v>
      </c>
      <c r="E122" s="19" t="s">
        <v>881</v>
      </c>
      <c r="F122" t="e">
        <f>VLOOKUP(DICCIONARIO[[#This Row],[Desc color]],ImportarStock[DESCRIPCION],1,0)</f>
        <v>#N/A</v>
      </c>
      <c r="H122" t="str">
        <f>VLOOKUP(DICCIONARIO[[#This Row],[Modelo]],UNIFICADA[Equipo],1,0)</f>
        <v>HONOR X7A 128GB</v>
      </c>
      <c r="I122">
        <f>IFERROR(VLOOKUP(DICCIONARIO[[#This Row],[Desc color]],ImportarStock[[DESCRIPCION]:[LIBRE UTILIZACION]],2,0),0)</f>
        <v>0</v>
      </c>
      <c r="K122" t="s">
        <v>1040</v>
      </c>
      <c r="L122">
        <v>16</v>
      </c>
      <c r="M122" t="str">
        <f>VLOOKUP(ImportarStock[[#This Row],[DESCRIPCION]],DICCIONARIO[Desc color],1,0)</f>
        <v>SMG GXA34256A346M NG</v>
      </c>
    </row>
    <row r="123" spans="3:13" x14ac:dyDescent="0.25">
      <c r="C123" t="s">
        <v>590</v>
      </c>
      <c r="D123" t="s">
        <v>680</v>
      </c>
      <c r="E123" s="19" t="s">
        <v>1009</v>
      </c>
      <c r="F123" t="e">
        <f>VLOOKUP(DICCIONARIO[[#This Row],[Desc color]],ImportarStock[DESCRIPCION],1,0)</f>
        <v>#N/A</v>
      </c>
      <c r="H123" t="str">
        <f>VLOOKUP(DICCIONARIO[[#This Row],[Modelo]],UNIFICADA[Equipo],1,0)</f>
        <v>HONOR X7A 128GB</v>
      </c>
      <c r="I123">
        <f>IFERROR(VLOOKUP(DICCIONARIO[[#This Row],[Desc color]],ImportarStock[[DESCRIPCION]:[LIBRE UTILIZACION]],2,0),0)</f>
        <v>0</v>
      </c>
      <c r="K123" t="s">
        <v>1041</v>
      </c>
      <c r="L123">
        <v>12</v>
      </c>
      <c r="M123" t="str">
        <f>VLOOKUP(ImportarStock[[#This Row],[DESCRIPCION]],DICCIONARIO[Desc color],1,0)</f>
        <v>SMG GXA54256A546E NG</v>
      </c>
    </row>
    <row r="124" spans="3:13" x14ac:dyDescent="0.25">
      <c r="C124" t="s">
        <v>77</v>
      </c>
      <c r="D124" t="s">
        <v>680</v>
      </c>
      <c r="E124" s="19" t="s">
        <v>993</v>
      </c>
      <c r="F124" t="e">
        <f>VLOOKUP(DICCIONARIO[[#This Row],[Desc color]],ImportarStock[DESCRIPCION],1,0)</f>
        <v>#N/A</v>
      </c>
      <c r="H124" t="str">
        <f>VLOOKUP(DICCIONARIO[[#This Row],[Modelo]],UNIFICADA[Equipo],1,0)</f>
        <v>HONOR X8 128GB</v>
      </c>
      <c r="I124">
        <f>IFERROR(VLOOKUP(DICCIONARIO[[#This Row],[Desc color]],ImportarStock[[DESCRIPCION]:[LIBRE UTILIZACION]],2,0),0)</f>
        <v>0</v>
      </c>
      <c r="K124" t="s">
        <v>1129</v>
      </c>
      <c r="L124">
        <v>3</v>
      </c>
      <c r="M124" t="str">
        <f>VLOOKUP(ImportarStock[[#This Row],[DESCRIPCION]],DICCIONARIO[Desc color],1,0)</f>
        <v>SMG GXYA245M128/4 NG</v>
      </c>
    </row>
    <row r="125" spans="3:13" x14ac:dyDescent="0.25">
      <c r="C125" t="s">
        <v>603</v>
      </c>
      <c r="D125" t="s">
        <v>680</v>
      </c>
      <c r="E125" s="19" t="s">
        <v>1116</v>
      </c>
      <c r="F125" t="str">
        <f>VLOOKUP(DICCIONARIO[[#This Row],[Desc color]],ImportarStock[DESCRIPCION],1,0)</f>
        <v>HOR X8A 128GB NI</v>
      </c>
      <c r="H125" t="str">
        <f>VLOOKUP(DICCIONARIO[[#This Row],[Modelo]],UNIFICADA[Equipo],1,0)</f>
        <v>HONOR X8A 128GB</v>
      </c>
      <c r="I125">
        <f>IFERROR(VLOOKUP(DICCIONARIO[[#This Row],[Desc color]],ImportarStock[[DESCRIPCION]:[LIBRE UTILIZACION]],2,0),0)</f>
        <v>6</v>
      </c>
      <c r="K125" t="s">
        <v>913</v>
      </c>
      <c r="L125">
        <v>12</v>
      </c>
      <c r="M125" t="str">
        <f>VLOOKUP(ImportarStock[[#This Row],[DESCRIPCION]],DICCIONARIO[Desc color],1,0)</f>
        <v>SMG GXYS20FEGT80F AZ</v>
      </c>
    </row>
    <row r="126" spans="3:13" x14ac:dyDescent="0.25">
      <c r="C126" t="s">
        <v>603</v>
      </c>
      <c r="D126" t="s">
        <v>680</v>
      </c>
      <c r="E126" s="19" t="s">
        <v>1046</v>
      </c>
      <c r="F126" t="str">
        <f>VLOOKUP(DICCIONARIO[[#This Row],[Desc color]],ImportarStock[DESCRIPCION],1,0)</f>
        <v>HOR X8A 128GB PS</v>
      </c>
      <c r="H126" t="str">
        <f>VLOOKUP(DICCIONARIO[[#This Row],[Modelo]],UNIFICADA[Equipo],1,0)</f>
        <v>HONOR X8A 128GB</v>
      </c>
      <c r="I126">
        <f>IFERROR(VLOOKUP(DICCIONARIO[[#This Row],[Desc color]],ImportarStock[[DESCRIPCION]:[LIBRE UTILIZACION]],2,0),0)</f>
        <v>47</v>
      </c>
      <c r="K126" t="s">
        <v>983</v>
      </c>
      <c r="L126">
        <v>6</v>
      </c>
      <c r="M126" t="str">
        <f>VLOOKUP(ImportarStock[[#This Row],[DESCRIPCION]],DICCIONARIO[Desc color],1,0)</f>
        <v>SMG GXYS21FE128/6 GR</v>
      </c>
    </row>
    <row r="127" spans="3:13" x14ac:dyDescent="0.25">
      <c r="C127" t="s">
        <v>603</v>
      </c>
      <c r="D127" t="s">
        <v>680</v>
      </c>
      <c r="E127" s="19" t="s">
        <v>883</v>
      </c>
      <c r="F127" t="str">
        <f>VLOOKUP(DICCIONARIO[[#This Row],[Desc color]],ImportarStock[DESCRIPCION],1,0)</f>
        <v>HOR X8A 128GB PS PARLANTE</v>
      </c>
      <c r="H127" t="str">
        <f>VLOOKUP(DICCIONARIO[[#This Row],[Modelo]],UNIFICADA[Equipo],1,0)</f>
        <v>HONOR X8A 128GB</v>
      </c>
      <c r="I127">
        <f>IFERROR(VLOOKUP(DICCIONARIO[[#This Row],[Desc color]],ImportarStock[[DESCRIPCION]:[LIBRE UTILIZACION]],2,0),0)</f>
        <v>19</v>
      </c>
      <c r="K127" t="s">
        <v>1117</v>
      </c>
      <c r="L127">
        <v>5</v>
      </c>
      <c r="M127" t="str">
        <f>VLOOKUP(ImportarStock[[#This Row],[DESCRIPCION]],DICCIONARIO[Desc color],1,0)</f>
        <v>SMG GXYS23U2568S9 VR</v>
      </c>
    </row>
    <row r="128" spans="3:13" x14ac:dyDescent="0.25">
      <c r="C128" t="s">
        <v>603</v>
      </c>
      <c r="D128" t="s">
        <v>680</v>
      </c>
      <c r="E128" s="19" t="s">
        <v>1047</v>
      </c>
      <c r="F128" t="str">
        <f>VLOOKUP(DICCIONARIO[[#This Row],[Desc color]],ImportarStock[DESCRIPCION],1,0)</f>
        <v>HOR X8A 128GB QA</v>
      </c>
      <c r="H128" t="str">
        <f>VLOOKUP(DICCIONARIO[[#This Row],[Modelo]],UNIFICADA[Equipo],1,0)</f>
        <v>HONOR X8A 128GB</v>
      </c>
      <c r="I128">
        <f>IFERROR(VLOOKUP(DICCIONARIO[[#This Row],[Desc color]],ImportarStock[[DESCRIPCION]:[LIBRE UTILIZACION]],2,0),0)</f>
        <v>7</v>
      </c>
      <c r="K128" t="s">
        <v>916</v>
      </c>
      <c r="L128">
        <v>5</v>
      </c>
      <c r="M128" t="str">
        <f>VLOOKUP(ImportarStock[[#This Row],[DESCRIPCION]],DICCIONARIO[Desc color],1,0)</f>
        <v>TARJETA SIM CARD 2FF/3FF 256KB IFI ALTA</v>
      </c>
    </row>
    <row r="129" spans="2:13" x14ac:dyDescent="0.25">
      <c r="C129" t="s">
        <v>603</v>
      </c>
      <c r="D129" t="s">
        <v>680</v>
      </c>
      <c r="E129" s="19" t="s">
        <v>884</v>
      </c>
      <c r="F129" t="str">
        <f>VLOOKUP(DICCIONARIO[[#This Row],[Desc color]],ImportarStock[DESCRIPCION],1,0)</f>
        <v>HOR X8A 128GB QA PARLANTE</v>
      </c>
      <c r="H129" t="str">
        <f>VLOOKUP(DICCIONARIO[[#This Row],[Modelo]],UNIFICADA[Equipo],1,0)</f>
        <v>HONOR X8A 128GB</v>
      </c>
      <c r="I129">
        <f>IFERROR(VLOOKUP(DICCIONARIO[[#This Row],[Desc color]],ImportarStock[[DESCRIPCION]:[LIBRE UTILIZACION]],2,0),0)</f>
        <v>3</v>
      </c>
      <c r="K129" t="s">
        <v>917</v>
      </c>
      <c r="L129">
        <v>2</v>
      </c>
      <c r="M129" t="str">
        <f>VLOOKUP(ImportarStock[[#This Row],[DESCRIPCION]],DICCIONARIO[Desc color],1,0)</f>
        <v>TARJETA SIM CARD 2FF/3FF 256KB IFI REPO</v>
      </c>
    </row>
    <row r="130" spans="2:13" x14ac:dyDescent="0.25">
      <c r="C130" t="s">
        <v>603</v>
      </c>
      <c r="D130" t="s">
        <v>680</v>
      </c>
      <c r="E130" s="19" t="s">
        <v>994</v>
      </c>
      <c r="F130" t="e">
        <f>VLOOKUP(DICCIONARIO[[#This Row],[Desc color]],ImportarStock[DESCRIPCION],1,0)</f>
        <v>#N/A</v>
      </c>
      <c r="H130" t="str">
        <f>VLOOKUP(DICCIONARIO[[#This Row],[Modelo]],UNIFICADA[Equipo],1,0)</f>
        <v>HONOR X8A 128GB</v>
      </c>
      <c r="I130">
        <f>IFERROR(VLOOKUP(DICCIONARIO[[#This Row],[Desc color]],ImportarStock[[DESCRIPCION]:[LIBRE UTILIZACION]],2,0),0)</f>
        <v>0</v>
      </c>
      <c r="K130" t="s">
        <v>1133</v>
      </c>
      <c r="L130" t="s">
        <v>1134</v>
      </c>
      <c r="M130" t="str">
        <f>VLOOKUP(ImportarStock[[#This Row],[DESCRIPCION]],DICCIONARIO[Desc color],1,0)</f>
        <v>Texto breve de material</v>
      </c>
    </row>
    <row r="131" spans="2:13" x14ac:dyDescent="0.25">
      <c r="B131">
        <v>70043510</v>
      </c>
      <c r="C131" t="s">
        <v>16</v>
      </c>
      <c r="D131" t="s">
        <v>680</v>
      </c>
      <c r="E131" s="19" t="s">
        <v>785</v>
      </c>
      <c r="F131" t="e">
        <f>VLOOKUP(DICCIONARIO[[#This Row],[Desc color]],ImportarStock[DESCRIPCION],1,0)</f>
        <v>#N/A</v>
      </c>
      <c r="G131" t="s">
        <v>618</v>
      </c>
      <c r="H131" t="str">
        <f>VLOOKUP(DICCIONARIO[[#This Row],[Modelo]],UNIFICADA[Equipo],1,0)</f>
        <v>HUAWEI NOVA 9 128GB</v>
      </c>
      <c r="I131">
        <f>IFERROR(VLOOKUP(DICCIONARIO[[#This Row],[Desc color]],ImportarStock[[DESCRIPCION]:[LIBRE UTILIZACION]],2,0),0)</f>
        <v>0</v>
      </c>
      <c r="K131" t="s">
        <v>918</v>
      </c>
      <c r="L131">
        <v>4</v>
      </c>
      <c r="M131" t="str">
        <f>VLOOKUP(ImportarStock[[#This Row],[DESCRIPCION]],DICCIONARIO[Desc color],1,0)</f>
        <v>TMC LOGICFIXO100G NG FIJO</v>
      </c>
    </row>
    <row r="132" spans="2:13" x14ac:dyDescent="0.25">
      <c r="C132" t="s">
        <v>16</v>
      </c>
      <c r="D132" t="s">
        <v>630</v>
      </c>
      <c r="E132" s="19" t="s">
        <v>969</v>
      </c>
      <c r="F132" t="e">
        <f>VLOOKUP(DICCIONARIO[[#This Row],[Desc color]],ImportarStock[DESCRIPCION],1,0)</f>
        <v>#N/A</v>
      </c>
      <c r="H132" t="str">
        <f>VLOOKUP(DICCIONARIO[[#This Row],[Modelo]],UNIFICADA[Equipo],1,0)</f>
        <v>HUAWEI NOVA 9 128GB</v>
      </c>
      <c r="I132">
        <f>IFERROR(VLOOKUP(DICCIONARIO[[#This Row],[Desc color]],ImportarStock[[DESCRIPCION]:[LIBRE UTILIZACION]],2,0),0)</f>
        <v>0</v>
      </c>
      <c r="K132" t="s">
        <v>1107</v>
      </c>
      <c r="L132">
        <v>1</v>
      </c>
      <c r="M132" t="str">
        <f>VLOOKUP(ImportarStock[[#This Row],[DESCRIPCION]],DICCIONARIO[Desc color],1,0)</f>
        <v>TMC LOGICFIXO100G NG FIJO SEED STOCK</v>
      </c>
    </row>
    <row r="133" spans="2:13" x14ac:dyDescent="0.25">
      <c r="B133">
        <v>70043509</v>
      </c>
      <c r="C133" t="s">
        <v>16</v>
      </c>
      <c r="D133" t="s">
        <v>630</v>
      </c>
      <c r="E133" s="19" t="s">
        <v>784</v>
      </c>
      <c r="F133" t="e">
        <f>VLOOKUP(DICCIONARIO[[#This Row],[Desc color]],ImportarStock[DESCRIPCION],1,0)</f>
        <v>#N/A</v>
      </c>
      <c r="G133" t="s">
        <v>618</v>
      </c>
      <c r="H133" t="str">
        <f>VLOOKUP(DICCIONARIO[[#This Row],[Modelo]],UNIFICADA[Equipo],1,0)</f>
        <v>HUAWEI NOVA 9 128GB</v>
      </c>
      <c r="I133">
        <f>IFERROR(VLOOKUP(DICCIONARIO[[#This Row],[Desc color]],ImportarStock[[DESCRIPCION]:[LIBRE UTILIZACION]],2,0),0)</f>
        <v>0</v>
      </c>
      <c r="K133" t="s">
        <v>798</v>
      </c>
      <c r="L133">
        <v>4</v>
      </c>
      <c r="M133" t="str">
        <f>VLOOKUP(ImportarStock[[#This Row],[DESCRIPCION]],DICCIONARIO[Desc color],1,0)</f>
        <v>VI V21 128GB 5G SD</v>
      </c>
    </row>
    <row r="134" spans="2:13" x14ac:dyDescent="0.25">
      <c r="B134">
        <v>70043513</v>
      </c>
      <c r="C134" t="s">
        <v>16</v>
      </c>
      <c r="D134" t="s">
        <v>630</v>
      </c>
      <c r="E134" s="19" t="s">
        <v>786</v>
      </c>
      <c r="F134" t="e">
        <f>VLOOKUP(DICCIONARIO[[#This Row],[Desc color]],ImportarStock[DESCRIPCION],1,0)</f>
        <v>#N/A</v>
      </c>
      <c r="G134" t="s">
        <v>611</v>
      </c>
      <c r="H134" t="str">
        <f>VLOOKUP(DICCIONARIO[[#This Row],[Modelo]],UNIFICADA[Equipo],1,0)</f>
        <v>HUAWEI NOVA 9 128GB</v>
      </c>
      <c r="I134">
        <f>IFERROR(VLOOKUP(DICCIONARIO[[#This Row],[Desc color]],ImportarStock[[DESCRIPCION]:[LIBRE UTILIZACION]],2,0),0)</f>
        <v>0</v>
      </c>
      <c r="K134" t="s">
        <v>1122</v>
      </c>
      <c r="L134">
        <v>13</v>
      </c>
      <c r="M134" t="str">
        <f>VLOOKUP(ImportarStock[[#This Row],[DESCRIPCION]],DICCIONARIO[Desc color],1,0)</f>
        <v>VI Y16 64GB NG BUND AUDIF</v>
      </c>
    </row>
    <row r="135" spans="2:13" x14ac:dyDescent="0.25">
      <c r="C135" t="s">
        <v>127</v>
      </c>
      <c r="D135" t="s">
        <v>630</v>
      </c>
      <c r="E135" s="19" t="s">
        <v>970</v>
      </c>
      <c r="F135" t="e">
        <f>VLOOKUP(DICCIONARIO[[#This Row],[Desc color]],ImportarStock[DESCRIPCION],1,0)</f>
        <v>#N/A</v>
      </c>
      <c r="H135" t="str">
        <f>VLOOKUP(DICCIONARIO[[#This Row],[Modelo]],UNIFICADA[Equipo],1,0)</f>
        <v>HUAWEI NOVA Y90 128GB</v>
      </c>
      <c r="I135">
        <f>IFERROR(VLOOKUP(DICCIONARIO[[#This Row],[Desc color]],ImportarStock[[DESCRIPCION]:[LIBRE UTILIZACION]],2,0),0)</f>
        <v>0</v>
      </c>
      <c r="K135" t="s">
        <v>1121</v>
      </c>
      <c r="L135">
        <v>8</v>
      </c>
      <c r="M135" t="str">
        <f>VLOOKUP(ImportarStock[[#This Row],[DESCRIPCION]],DICCIONARIO[Desc color],1,0)</f>
        <v>VI Y22S 128/6GB BL BUND AUDIF</v>
      </c>
    </row>
    <row r="136" spans="2:13" x14ac:dyDescent="0.25">
      <c r="B136">
        <v>70045207</v>
      </c>
      <c r="C136" t="s">
        <v>60</v>
      </c>
      <c r="D136" t="s">
        <v>855</v>
      </c>
      <c r="E136" s="19" t="s">
        <v>857</v>
      </c>
      <c r="F136" t="e">
        <f>VLOOKUP(DICCIONARIO[[#This Row],[Desc color]],ImportarStock[DESCRIPCION],1,0)</f>
        <v>#N/A</v>
      </c>
      <c r="G136" t="s">
        <v>613</v>
      </c>
      <c r="H136" t="str">
        <f>VLOOKUP(DICCIONARIO[[#This Row],[Modelo]],UNIFICADA[Equipo],1,0)</f>
        <v>HUAWEI P50 PRO 256GB</v>
      </c>
      <c r="I136">
        <f>IFERROR(VLOOKUP(DICCIONARIO[[#This Row],[Desc color]],ImportarStock[[DESCRIPCION]:[LIBRE UTILIZACION]],2,0),0)</f>
        <v>0</v>
      </c>
      <c r="K136" t="s">
        <v>1120</v>
      </c>
      <c r="L136">
        <v>2</v>
      </c>
      <c r="M136" t="str">
        <f>VLOOKUP(ImportarStock[[#This Row],[DESCRIPCION]],DICCIONARIO[Desc color],1,0)</f>
        <v>VI Y35 128GB DO BUND RELOJ</v>
      </c>
    </row>
    <row r="137" spans="2:13" x14ac:dyDescent="0.25">
      <c r="B137">
        <v>70045206</v>
      </c>
      <c r="C137" t="s">
        <v>60</v>
      </c>
      <c r="D137" t="s">
        <v>855</v>
      </c>
      <c r="E137" s="19" t="s">
        <v>856</v>
      </c>
      <c r="F137" t="e">
        <f>VLOOKUP(DICCIONARIO[[#This Row],[Desc color]],ImportarStock[DESCRIPCION],1,0)</f>
        <v>#N/A</v>
      </c>
      <c r="G137" t="s">
        <v>613</v>
      </c>
      <c r="H137" t="str">
        <f>VLOOKUP(DICCIONARIO[[#This Row],[Modelo]],UNIFICADA[Equipo],1,0)</f>
        <v>HUAWEI P50 PRO 256GB</v>
      </c>
      <c r="I137">
        <f>IFERROR(VLOOKUP(DICCIONARIO[[#This Row],[Desc color]],ImportarStock[[DESCRIPCION]:[LIBRE UTILIZACION]],2,0),0)</f>
        <v>0</v>
      </c>
      <c r="K137" t="s">
        <v>1119</v>
      </c>
      <c r="L137">
        <v>3</v>
      </c>
      <c r="M137" t="str">
        <f>VLOOKUP(ImportarStock[[#This Row],[DESCRIPCION]],DICCIONARIO[Desc color],1,0)</f>
        <v>VI Y35 128GB NG BUND RELOJ</v>
      </c>
    </row>
    <row r="138" spans="2:13" x14ac:dyDescent="0.25">
      <c r="C138" t="s">
        <v>60</v>
      </c>
      <c r="D138" t="s">
        <v>630</v>
      </c>
      <c r="E138" s="19" t="s">
        <v>971</v>
      </c>
      <c r="F138" t="e">
        <f>VLOOKUP(DICCIONARIO[[#This Row],[Desc color]],ImportarStock[DESCRIPCION],1,0)</f>
        <v>#N/A</v>
      </c>
      <c r="H138" t="str">
        <f>VLOOKUP(DICCIONARIO[[#This Row],[Modelo]],UNIFICADA[Equipo],1,0)</f>
        <v>HUAWEI P50 PRO 256GB</v>
      </c>
      <c r="I138">
        <f>IFERROR(VLOOKUP(DICCIONARIO[[#This Row],[Desc color]],ImportarStock[[DESCRIPCION]:[LIBRE UTILIZACION]],2,0),0)</f>
        <v>0</v>
      </c>
      <c r="K138" t="s">
        <v>1078</v>
      </c>
      <c r="L138">
        <v>1</v>
      </c>
      <c r="M138" t="str">
        <f>VLOOKUP(ImportarStock[[#This Row],[DESCRIPCION]],DICCIONARIO[Desc color],1,0)</f>
        <v>WATCH GAL 4 SMG 40MM NG</v>
      </c>
    </row>
    <row r="139" spans="2:13" x14ac:dyDescent="0.25">
      <c r="C139" t="s">
        <v>17</v>
      </c>
      <c r="D139" t="s">
        <v>630</v>
      </c>
      <c r="E139" s="19" t="s">
        <v>995</v>
      </c>
      <c r="F139" t="e">
        <f>VLOOKUP(DICCIONARIO[[#This Row],[Desc color]],ImportarStock[DESCRIPCION],1,0)</f>
        <v>#N/A</v>
      </c>
      <c r="H139" t="str">
        <f>VLOOKUP(DICCIONARIO[[#This Row],[Modelo]],UNIFICADA[Equipo],1,0)</f>
        <v>HUAWEI Y9A 128GB</v>
      </c>
      <c r="I139">
        <f>IFERROR(VLOOKUP(DICCIONARIO[[#This Row],[Desc color]],ImportarStock[[DESCRIPCION]:[LIBRE UTILIZACION]],2,0),0)</f>
        <v>0</v>
      </c>
      <c r="K139" t="s">
        <v>1077</v>
      </c>
      <c r="L139">
        <v>2</v>
      </c>
      <c r="M139" t="str">
        <f>VLOOKUP(ImportarStock[[#This Row],[DESCRIPCION]],DICCIONARIO[Desc color],1,0)</f>
        <v>WATCH GAL 4 SMG 44MM VR</v>
      </c>
    </row>
    <row r="140" spans="2:13" x14ac:dyDescent="0.25">
      <c r="B140">
        <v>70038858</v>
      </c>
      <c r="C140" t="s">
        <v>17</v>
      </c>
      <c r="D140" t="s">
        <v>630</v>
      </c>
      <c r="E140" s="19" t="s">
        <v>654</v>
      </c>
      <c r="F140" t="e">
        <f>VLOOKUP(DICCIONARIO[[#This Row],[Desc color]],ImportarStock[DESCRIPCION],1,0)</f>
        <v>#N/A</v>
      </c>
      <c r="G140" t="s">
        <v>611</v>
      </c>
      <c r="H140" t="str">
        <f>VLOOKUP(DICCIONARIO[[#This Row],[Modelo]],UNIFICADA[Equipo],1,0)</f>
        <v>HUAWEI Y9A 128GB</v>
      </c>
      <c r="I140">
        <f>IFERROR(VLOOKUP(DICCIONARIO[[#This Row],[Desc color]],ImportarStock[[DESCRIPCION]:[LIBRE UTILIZACION]],2,0),0)</f>
        <v>0</v>
      </c>
      <c r="K140" t="s">
        <v>989</v>
      </c>
      <c r="L140">
        <v>8</v>
      </c>
      <c r="M140" t="str">
        <f>VLOOKUP(ImportarStock[[#This Row],[DESCRIPCION]],DICCIONARIO[Desc color],1,0)</f>
        <v>XIA REDMI A1 32GB ZC</v>
      </c>
    </row>
    <row r="141" spans="2:13" x14ac:dyDescent="0.25">
      <c r="B141">
        <v>70038859</v>
      </c>
      <c r="C141" t="s">
        <v>17</v>
      </c>
      <c r="D141" t="s">
        <v>630</v>
      </c>
      <c r="E141" s="19" t="s">
        <v>655</v>
      </c>
      <c r="F141" t="e">
        <f>VLOOKUP(DICCIONARIO[[#This Row],[Desc color]],ImportarStock[DESCRIPCION],1,0)</f>
        <v>#N/A</v>
      </c>
      <c r="G141" t="s">
        <v>631</v>
      </c>
      <c r="H141" t="str">
        <f>VLOOKUP(DICCIONARIO[[#This Row],[Modelo]],UNIFICADA[Equipo],1,0)</f>
        <v>HUAWEI Y9A 128GB</v>
      </c>
      <c r="I141">
        <f>IFERROR(VLOOKUP(DICCIONARIO[[#This Row],[Desc color]],ImportarStock[[DESCRIPCION]:[LIBRE UTILIZACION]],2,0),0)</f>
        <v>0</v>
      </c>
      <c r="K141" t="s">
        <v>1128</v>
      </c>
      <c r="L141">
        <v>2</v>
      </c>
      <c r="M141" t="str">
        <f>VLOOKUP(ImportarStock[[#This Row],[DESCRIPCION]],DICCIONARIO[Desc color],1,0)</f>
        <v>XIA REDMI A2 32GB NG IN EARPHON</v>
      </c>
    </row>
    <row r="142" spans="2:13" x14ac:dyDescent="0.25">
      <c r="C142" t="s">
        <v>56</v>
      </c>
      <c r="D142" t="s">
        <v>634</v>
      </c>
      <c r="E142" s="19" t="s">
        <v>853</v>
      </c>
      <c r="F142" t="e">
        <f>VLOOKUP(DICCIONARIO[[#This Row],[Desc color]],ImportarStock[DESCRIPCION],1,0)</f>
        <v>#N/A</v>
      </c>
      <c r="H142" t="str">
        <f>VLOOKUP(DICCIONARIO[[#This Row],[Modelo]],UNIFICADA[Equipo],1,0)</f>
        <v>MOTOROLA G200 5G 128GB</v>
      </c>
      <c r="I142">
        <f>IFERROR(VLOOKUP(DICCIONARIO[[#This Row],[Desc color]],ImportarStock[[DESCRIPCION]:[LIBRE UTILIZACION]],2,0),0)</f>
        <v>0</v>
      </c>
      <c r="K142" t="s">
        <v>997</v>
      </c>
      <c r="L142">
        <v>1</v>
      </c>
      <c r="M142" t="str">
        <f>VLOOKUP(ImportarStock[[#This Row],[DESCRIPCION]],DICCIONARIO[Desc color],1,0)</f>
        <v>XIA REDMI102264GB AZ</v>
      </c>
    </row>
    <row r="143" spans="2:13" x14ac:dyDescent="0.25">
      <c r="C143" t="s">
        <v>76</v>
      </c>
      <c r="D143" t="s">
        <v>634</v>
      </c>
      <c r="E143" s="19" t="s">
        <v>972</v>
      </c>
      <c r="F143" t="e">
        <f>VLOOKUP(DICCIONARIO[[#This Row],[Desc color]],ImportarStock[DESCRIPCION],1,0)</f>
        <v>#N/A</v>
      </c>
      <c r="H143" t="str">
        <f>VLOOKUP(DICCIONARIO[[#This Row],[Modelo]],UNIFICADA[Equipo],1,0)</f>
        <v>MOTOROLA G22 128GB</v>
      </c>
      <c r="I143">
        <f>IFERROR(VLOOKUP(DICCIONARIO[[#This Row],[Desc color]],ImportarStock[[DESCRIPCION]:[LIBRE UTILIZACION]],2,0),0)</f>
        <v>0</v>
      </c>
      <c r="K143" t="s">
        <v>1126</v>
      </c>
      <c r="L143">
        <v>3</v>
      </c>
      <c r="M143" t="str">
        <f>VLOOKUP(ImportarStock[[#This Row],[DESCRIPCION]],DICCIONARIO[Desc color],1,0)</f>
        <v>XIA REDMI102264GB BL</v>
      </c>
    </row>
    <row r="144" spans="2:13" x14ac:dyDescent="0.25">
      <c r="C144" t="s">
        <v>76</v>
      </c>
      <c r="D144" t="s">
        <v>634</v>
      </c>
      <c r="E144" s="19" t="s">
        <v>887</v>
      </c>
      <c r="F144" t="e">
        <f>VLOOKUP(DICCIONARIO[[#This Row],[Desc color]],ImportarStock[DESCRIPCION],1,0)</f>
        <v>#N/A</v>
      </c>
      <c r="H144" t="str">
        <f>VLOOKUP(DICCIONARIO[[#This Row],[Modelo]],UNIFICADA[Equipo],1,0)</f>
        <v>MOTOROLA G22 128GB</v>
      </c>
      <c r="I144">
        <f>IFERROR(VLOOKUP(DICCIONARIO[[#This Row],[Desc color]],ImportarStock[[DESCRIPCION]:[LIBRE UTILIZACION]],2,0),0)</f>
        <v>0</v>
      </c>
      <c r="K144" t="s">
        <v>1125</v>
      </c>
      <c r="L144">
        <v>3</v>
      </c>
      <c r="M144" t="str">
        <f>VLOOKUP(ImportarStock[[#This Row],[DESCRIPCION]],DICCIONARIO[Desc color],1,0)</f>
        <v>XIA REDMINOT12128 AZ SPEAKER</v>
      </c>
    </row>
    <row r="145" spans="2:13" x14ac:dyDescent="0.25">
      <c r="C145" t="s">
        <v>1015</v>
      </c>
      <c r="D145" t="s">
        <v>634</v>
      </c>
      <c r="E145" s="19" t="s">
        <v>1028</v>
      </c>
      <c r="F145" t="str">
        <f>VLOOKUP(DICCIONARIO[[#This Row],[Desc color]],ImportarStock[DESCRIPCION],1,0)</f>
        <v>MOT ME1364XT23452 BM</v>
      </c>
      <c r="H145" t="str">
        <f>VLOOKUP(DICCIONARIO[[#This Row],[Modelo]],UNIFICADA[Equipo],1,0)</f>
        <v>MOTOROLA MOTO E13 64GB</v>
      </c>
      <c r="I145">
        <f>IFERROR(VLOOKUP(DICCIONARIO[[#This Row],[Desc color]],ImportarStock[[DESCRIPCION]:[LIBRE UTILIZACION]],2,0),0)</f>
        <v>11</v>
      </c>
      <c r="K145" t="s">
        <v>1131</v>
      </c>
      <c r="L145">
        <v>7</v>
      </c>
      <c r="M145" t="str">
        <f>VLOOKUP(ImportarStock[[#This Row],[DESCRIPCION]],DICCIONARIO[Desc color],1,0)</f>
        <v>XIA REDMISMARTBA2 NG</v>
      </c>
    </row>
    <row r="146" spans="2:13" x14ac:dyDescent="0.25">
      <c r="C146" t="s">
        <v>1015</v>
      </c>
      <c r="D146" t="s">
        <v>634</v>
      </c>
      <c r="E146" s="19" t="s">
        <v>1029</v>
      </c>
      <c r="F146" t="str">
        <f>VLOOKUP(DICCIONARIO[[#This Row],[Desc color]],ImportarStock[DESCRIPCION],1,0)</f>
        <v>MOT ME1364XT23452 VD</v>
      </c>
      <c r="H146" t="str">
        <f>VLOOKUP(DICCIONARIO[[#This Row],[Modelo]],UNIFICADA[Equipo],1,0)</f>
        <v>MOTOROLA MOTO E13 64GB</v>
      </c>
      <c r="I146">
        <f>IFERROR(VLOOKUP(DICCIONARIO[[#This Row],[Desc color]],ImportarStock[[DESCRIPCION]:[LIBRE UTILIZACION]],2,0),0)</f>
        <v>27</v>
      </c>
      <c r="K146" t="s">
        <v>668</v>
      </c>
      <c r="L146">
        <v>9</v>
      </c>
      <c r="M146" t="str">
        <f>VLOOKUP(ImportarStock[[#This Row],[DESCRIPCION]],DICCIONARIO[Desc color],1,0)</f>
        <v>ZTE BLADE A71 64G AZ</v>
      </c>
    </row>
    <row r="147" spans="2:13" x14ac:dyDescent="0.25">
      <c r="B147">
        <v>70043063</v>
      </c>
      <c r="C147" t="s">
        <v>18</v>
      </c>
      <c r="D147" t="s">
        <v>634</v>
      </c>
      <c r="E147" s="19" t="s">
        <v>692</v>
      </c>
      <c r="F147" t="str">
        <f>VLOOKUP(DICCIONARIO[[#This Row],[Desc color]],ImportarStock[DESCRIPCION],1,0)</f>
        <v>MOT ME20XT2155-53 GT XT2155-5</v>
      </c>
      <c r="G147" t="s">
        <v>693</v>
      </c>
      <c r="H147" t="str">
        <f>VLOOKUP(DICCIONARIO[[#This Row],[Modelo]],UNIFICADA[Equipo],1,0)</f>
        <v>MOTOROLA MOTO E20 32GB</v>
      </c>
      <c r="I147">
        <f>IFERROR(VLOOKUP(DICCIONARIO[[#This Row],[Desc color]],ImportarStock[[DESCRIPCION]:[LIBRE UTILIZACION]],2,0),0)</f>
        <v>7</v>
      </c>
      <c r="K147" t="s">
        <v>670</v>
      </c>
      <c r="L147">
        <v>1</v>
      </c>
      <c r="M147" t="str">
        <f>VLOOKUP(ImportarStock[[#This Row],[DESCRIPCION]],DICCIONARIO[Desc color],1,0)</f>
        <v>ZTE BLADE A71 64G GR</v>
      </c>
    </row>
    <row r="148" spans="2:13" x14ac:dyDescent="0.25">
      <c r="B148">
        <v>70042479</v>
      </c>
      <c r="C148" t="s">
        <v>18</v>
      </c>
      <c r="D148" t="s">
        <v>634</v>
      </c>
      <c r="E148" s="19" t="s">
        <v>696</v>
      </c>
      <c r="F148" t="e">
        <f>VLOOKUP(DICCIONARIO[[#This Row],[Desc color]],ImportarStock[DESCRIPCION],1,0)</f>
        <v>#N/A</v>
      </c>
      <c r="G148" t="s">
        <v>674</v>
      </c>
      <c r="H148" t="str">
        <f>VLOOKUP(DICCIONARIO[[#This Row],[Modelo]],UNIFICADA[Equipo],1,0)</f>
        <v>MOTOROLA MOTO E20 32GB</v>
      </c>
      <c r="I148">
        <f>IFERROR(VLOOKUP(DICCIONARIO[[#This Row],[Desc color]],ImportarStock[[DESCRIPCION]:[LIBRE UTILIZACION]],2,0),0)</f>
        <v>0</v>
      </c>
      <c r="K148" t="s">
        <v>990</v>
      </c>
      <c r="L148">
        <v>21</v>
      </c>
      <c r="M148" t="str">
        <f>VLOOKUP(ImportarStock[[#This Row],[DESCRIPCION]],DICCIONARIO[Desc color],1,0)</f>
        <v>ZTE BLADE V40 VIT NG</v>
      </c>
    </row>
    <row r="149" spans="2:13" x14ac:dyDescent="0.25">
      <c r="B149">
        <v>70043064</v>
      </c>
      <c r="C149" t="s">
        <v>18</v>
      </c>
      <c r="D149" t="s">
        <v>634</v>
      </c>
      <c r="E149" s="19" t="s">
        <v>695</v>
      </c>
      <c r="F149" t="e">
        <f>VLOOKUP(DICCIONARIO[[#This Row],[Desc color]],ImportarStock[DESCRIPCION],1,0)</f>
        <v>#N/A</v>
      </c>
      <c r="G149" t="s">
        <v>693</v>
      </c>
      <c r="H149" t="str">
        <f>VLOOKUP(DICCIONARIO[[#This Row],[Modelo]],UNIFICADA[Equipo],1,0)</f>
        <v>MOTOROLA MOTO E20 32GB</v>
      </c>
      <c r="I149">
        <f>IFERROR(VLOOKUP(DICCIONARIO[[#This Row],[Desc color]],ImportarStock[[DESCRIPCION]:[LIBRE UTILIZACION]],2,0),0)</f>
        <v>0</v>
      </c>
      <c r="K149" t="s">
        <v>1042</v>
      </c>
      <c r="L149">
        <v>4</v>
      </c>
      <c r="M149" t="str">
        <f>VLOOKUP(ImportarStock[[#This Row],[DESCRIPCION]],DICCIONARIO[Desc color],1,0)</f>
        <v>ZTE BLADE V40 VIT NG SPEAKER</v>
      </c>
    </row>
    <row r="150" spans="2:13" x14ac:dyDescent="0.25">
      <c r="B150">
        <v>70042480</v>
      </c>
      <c r="C150" t="s">
        <v>18</v>
      </c>
      <c r="D150" t="s">
        <v>634</v>
      </c>
      <c r="E150" s="19" t="s">
        <v>694</v>
      </c>
      <c r="F150" t="e">
        <f>VLOOKUP(DICCIONARIO[[#This Row],[Desc color]],ImportarStock[DESCRIPCION],1,0)</f>
        <v>#N/A</v>
      </c>
      <c r="G150" t="s">
        <v>674</v>
      </c>
      <c r="H150" t="str">
        <f>VLOOKUP(DICCIONARIO[[#This Row],[Modelo]],UNIFICADA[Equipo],1,0)</f>
        <v>MOTOROLA MOTO E20 32GB</v>
      </c>
      <c r="I150">
        <f>IFERROR(VLOOKUP(DICCIONARIO[[#This Row],[Desc color]],ImportarStock[[DESCRIPCION]:[LIBRE UTILIZACION]],2,0),0)</f>
        <v>0</v>
      </c>
      <c r="K150" t="s">
        <v>937</v>
      </c>
      <c r="L150">
        <v>5</v>
      </c>
      <c r="M150" t="str">
        <f>VLOOKUP(ImportarStock[[#This Row],[DESCRIPCION]],DICCIONARIO[Desc color],1,0)</f>
        <v>ZTE BLADEA31P321G AZ</v>
      </c>
    </row>
    <row r="151" spans="2:13" x14ac:dyDescent="0.25">
      <c r="C151" t="s">
        <v>595</v>
      </c>
      <c r="D151" t="s">
        <v>634</v>
      </c>
      <c r="E151" s="19" t="s">
        <v>885</v>
      </c>
      <c r="F151" t="str">
        <f>VLOOKUP(DICCIONARIO[[#This Row],[Desc color]],ImportarStock[DESCRIPCION],1,0)</f>
        <v>MOT ME22IXT223917 BL</v>
      </c>
      <c r="H151" t="str">
        <f>VLOOKUP(DICCIONARIO[[#This Row],[Modelo]],UNIFICADA[Equipo],1,0)</f>
        <v>MOTOROLA MOTO E22i 64GB</v>
      </c>
      <c r="I151">
        <f>IFERROR(VLOOKUP(DICCIONARIO[[#This Row],[Desc color]],ImportarStock[[DESCRIPCION]:[LIBRE UTILIZACION]],2,0),0)</f>
        <v>18</v>
      </c>
      <c r="K151" t="s">
        <v>1014</v>
      </c>
      <c r="L151">
        <v>12</v>
      </c>
      <c r="M151" t="str">
        <f>VLOOKUP(ImportarStock[[#This Row],[DESCRIPCION]],DICCIONARIO[Desc color],1,0)</f>
        <v>ZTE BLADEA31P321G GR</v>
      </c>
    </row>
    <row r="152" spans="2:13" x14ac:dyDescent="0.25">
      <c r="C152" t="s">
        <v>595</v>
      </c>
      <c r="D152" t="s">
        <v>634</v>
      </c>
      <c r="E152" s="19" t="s">
        <v>886</v>
      </c>
      <c r="F152" t="str">
        <f>VLOOKUP(DICCIONARIO[[#This Row],[Desc color]],ImportarStock[DESCRIPCION],1,0)</f>
        <v>MOT ME22IXT223917 GR</v>
      </c>
      <c r="H152" t="str">
        <f>VLOOKUP(DICCIONARIO[[#This Row],[Modelo]],UNIFICADA[Equipo],1,0)</f>
        <v>MOTOROLA MOTO E22i 64GB</v>
      </c>
      <c r="I152">
        <f>IFERROR(VLOOKUP(DICCIONARIO[[#This Row],[Desc color]],ImportarStock[[DESCRIPCION]:[LIBRE UTILIZACION]],2,0),0)</f>
        <v>10</v>
      </c>
      <c r="K152" t="s">
        <v>665</v>
      </c>
      <c r="L152">
        <v>12</v>
      </c>
      <c r="M152" t="str">
        <f>VLOOKUP(ImportarStock[[#This Row],[DESCRIPCION]],DICCIONARIO[Desc color],1,0)</f>
        <v>ZTE BLADEA5132GB AZ</v>
      </c>
    </row>
    <row r="153" spans="2:13" x14ac:dyDescent="0.25">
      <c r="C153" t="s">
        <v>46</v>
      </c>
      <c r="D153" t="s">
        <v>634</v>
      </c>
      <c r="E153" s="19" t="s">
        <v>1027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MOTOROLA MOTO E30 32GB</v>
      </c>
      <c r="I153">
        <f>IFERROR(VLOOKUP(DICCIONARIO[[#This Row],[Desc color]],ImportarStock[[DESCRIPCION]:[LIBRE UTILIZACION]],2,0),0)</f>
        <v>0</v>
      </c>
      <c r="K153" t="s">
        <v>939</v>
      </c>
      <c r="L153">
        <v>4</v>
      </c>
      <c r="M153" t="str">
        <f>VLOOKUP(ImportarStock[[#This Row],[DESCRIPCION]],DICCIONARIO[Desc color],1,0)</f>
        <v>ZTE MF286C BL</v>
      </c>
    </row>
    <row r="154" spans="2:13" x14ac:dyDescent="0.25">
      <c r="B154">
        <v>70043065</v>
      </c>
      <c r="C154" t="s">
        <v>46</v>
      </c>
      <c r="D154" t="s">
        <v>634</v>
      </c>
      <c r="E154" s="19" t="s">
        <v>697</v>
      </c>
      <c r="F154" t="e">
        <f>VLOOKUP(DICCIONARIO[[#This Row],[Desc color]],ImportarStock[DESCRIPCION],1,0)</f>
        <v>#N/A</v>
      </c>
      <c r="G154" t="s">
        <v>698</v>
      </c>
      <c r="H154" t="str">
        <f>VLOOKUP(DICCIONARIO[[#This Row],[Modelo]],UNIFICADA[Equipo],1,0)</f>
        <v>MOTOROLA MOTO E30 32GB</v>
      </c>
      <c r="I154">
        <f>IFERROR(VLOOKUP(DICCIONARIO[[#This Row],[Desc color]],ImportarStock[[DESCRIPCION]:[LIBRE UTILIZACION]],2,0),0)</f>
        <v>0</v>
      </c>
      <c r="K154" t="s">
        <v>940</v>
      </c>
      <c r="L154">
        <v>17</v>
      </c>
      <c r="M154" t="str">
        <f>VLOOKUP(ImportarStock[[#This Row],[DESCRIPCION]],DICCIONARIO[Desc color],1,0)</f>
        <v>ZTE MF920U BL PB LTE</v>
      </c>
    </row>
    <row r="155" spans="2:13" x14ac:dyDescent="0.25">
      <c r="C155" t="s">
        <v>101</v>
      </c>
      <c r="D155" t="s">
        <v>634</v>
      </c>
      <c r="E155" s="19" t="s">
        <v>1030</v>
      </c>
      <c r="F155" t="e">
        <f>VLOOKUP(DICCIONARIO[[#This Row],[Desc color]],ImportarStock[DESCRIPCION],1,0)</f>
        <v>#N/A</v>
      </c>
      <c r="H155" t="str">
        <f>VLOOKUP(DICCIONARIO[[#This Row],[Modelo]],UNIFICADA[Equipo],1,0)</f>
        <v>MOTOROLA MOTO E32 64GB</v>
      </c>
      <c r="I155">
        <f>IFERROR(VLOOKUP(DICCIONARIO[[#This Row],[Desc color]],ImportarStock[[DESCRIPCION]:[LIBRE UTILIZACION]],2,0),0)</f>
        <v>0</v>
      </c>
    </row>
    <row r="156" spans="2:13" x14ac:dyDescent="0.25">
      <c r="C156" t="s">
        <v>991</v>
      </c>
      <c r="D156" t="s">
        <v>634</v>
      </c>
      <c r="E156" s="19" t="s">
        <v>1031</v>
      </c>
      <c r="F156" t="str">
        <f>VLOOKUP(DICCIONARIO[[#This Row],[Desc color]],ImportarStock[DESCRIPCION],1,0)</f>
        <v>MOT MG23128X23331 AX</v>
      </c>
      <c r="H156" t="str">
        <f>VLOOKUP(DICCIONARIO[[#This Row],[Modelo]],UNIFICADA[Equipo],1,0)</f>
        <v>MOTOROLA MOTO G23 128GB</v>
      </c>
      <c r="I156">
        <f>IFERROR(VLOOKUP(DICCIONARIO[[#This Row],[Desc color]],ImportarStock[[DESCRIPCION]:[LIBRE UTILIZACION]],2,0),0)</f>
        <v>22</v>
      </c>
    </row>
    <row r="157" spans="2:13" x14ac:dyDescent="0.25">
      <c r="C157" t="s">
        <v>991</v>
      </c>
      <c r="D157" t="s">
        <v>634</v>
      </c>
      <c r="E157" s="19" t="s">
        <v>1010</v>
      </c>
      <c r="F157" t="str">
        <f>VLOOKUP(DICCIONARIO[[#This Row],[Desc color]],ImportarStock[DESCRIPCION],1,0)</f>
        <v>MOT MG23128X23331 GX</v>
      </c>
      <c r="H157" t="str">
        <f>VLOOKUP(DICCIONARIO[[#This Row],[Modelo]],UNIFICADA[Equipo],1,0)</f>
        <v>MOTOROLA MOTO G23 128GB</v>
      </c>
      <c r="I157">
        <f>IFERROR(VLOOKUP(DICCIONARIO[[#This Row],[Desc color]],ImportarStock[[DESCRIPCION]:[LIBRE UTILIZACION]],2,0),0)</f>
        <v>74</v>
      </c>
    </row>
    <row r="158" spans="2:13" x14ac:dyDescent="0.25">
      <c r="B158">
        <v>70044459</v>
      </c>
      <c r="C158" t="s">
        <v>54</v>
      </c>
      <c r="D158" t="s">
        <v>634</v>
      </c>
      <c r="E158" s="19" t="s">
        <v>848</v>
      </c>
      <c r="F158" t="str">
        <f>VLOOKUP(DICCIONARIO[[#This Row],[Desc color]],ImportarStock[DESCRIPCION],1,0)</f>
        <v>MOT MG51128XT2171 AN</v>
      </c>
      <c r="G158" t="s">
        <v>849</v>
      </c>
      <c r="H158" t="str">
        <f>VLOOKUP(DICCIONARIO[[#This Row],[Modelo]],UNIFICADA[Equipo],1,0)</f>
        <v>MOTOROLA MOTO G51 128GB</v>
      </c>
      <c r="I158">
        <f>IFERROR(VLOOKUP(DICCIONARIO[[#This Row],[Desc color]],ImportarStock[[DESCRIPCION]:[LIBRE UTILIZACION]],2,0),0)</f>
        <v>1</v>
      </c>
    </row>
    <row r="159" spans="2:13" x14ac:dyDescent="0.25">
      <c r="B159">
        <v>70044486</v>
      </c>
      <c r="C159" t="s">
        <v>54</v>
      </c>
      <c r="D159" t="s">
        <v>634</v>
      </c>
      <c r="E159" s="19" t="s">
        <v>850</v>
      </c>
      <c r="F159" t="e">
        <f>VLOOKUP(DICCIONARIO[[#This Row],[Desc color]],ImportarStock[DESCRIPCION],1,0)</f>
        <v>#N/A</v>
      </c>
      <c r="G159" t="s">
        <v>851</v>
      </c>
      <c r="H159" t="str">
        <f>VLOOKUP(DICCIONARIO[[#This Row],[Modelo]],UNIFICADA[Equipo],1,0)</f>
        <v>MOTOROLA MOTO G51 128GB</v>
      </c>
      <c r="I159">
        <f>IFERROR(VLOOKUP(DICCIONARIO[[#This Row],[Desc color]],ImportarStock[[DESCRIPCION]:[LIBRE UTILIZACION]],2,0),0)</f>
        <v>0</v>
      </c>
    </row>
    <row r="160" spans="2:13" x14ac:dyDescent="0.25">
      <c r="B160">
        <v>70041221</v>
      </c>
      <c r="C160" t="s">
        <v>21</v>
      </c>
      <c r="D160" t="s">
        <v>634</v>
      </c>
      <c r="E160" s="19" t="s">
        <v>673</v>
      </c>
      <c r="F160" t="e">
        <f>VLOOKUP(DICCIONARIO[[#This Row],[Desc color]],ImportarStock[DESCRIPCION],1,0)</f>
        <v>#N/A</v>
      </c>
      <c r="G160" t="s">
        <v>674</v>
      </c>
      <c r="H160" t="str">
        <f>VLOOKUP(DICCIONARIO[[#This Row],[Modelo]],UNIFICADA[Equipo],1,0)</f>
        <v>MOTOROLA MOTO G60S 128GB</v>
      </c>
      <c r="I160">
        <f>IFERROR(VLOOKUP(DICCIONARIO[[#This Row],[Desc color]],ImportarStock[[DESCRIPCION]:[LIBRE UTILIZACION]],2,0),0)</f>
        <v>0</v>
      </c>
    </row>
    <row r="161" spans="2:9" x14ac:dyDescent="0.25">
      <c r="B161">
        <v>70041242</v>
      </c>
      <c r="C161" t="s">
        <v>21</v>
      </c>
      <c r="D161" t="s">
        <v>634</v>
      </c>
      <c r="E161" s="19" t="s">
        <v>672</v>
      </c>
      <c r="F161" t="e">
        <f>VLOOKUP(DICCIONARIO[[#This Row],[Desc color]],ImportarStock[DESCRIPCION],1,0)</f>
        <v>#N/A</v>
      </c>
      <c r="G161" t="s">
        <v>618</v>
      </c>
      <c r="H161" t="str">
        <f>VLOOKUP(DICCIONARIO[[#This Row],[Modelo]],UNIFICADA[Equipo],1,0)</f>
        <v>MOTOROLA MOTO G60S 128GB</v>
      </c>
      <c r="I161">
        <f>IFERROR(VLOOKUP(DICCIONARIO[[#This Row],[Desc color]],ImportarStock[[DESCRIPCION]:[LIBRE UTILIZACION]],2,0),0)</f>
        <v>0</v>
      </c>
    </row>
    <row r="162" spans="2:9" x14ac:dyDescent="0.25">
      <c r="C162" t="s">
        <v>69</v>
      </c>
      <c r="D162" t="s">
        <v>634</v>
      </c>
      <c r="E162" s="19" t="s">
        <v>852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MOTOROLA MOTO G71 128GB</v>
      </c>
      <c r="I162">
        <f>IFERROR(VLOOKUP(DICCIONARIO[[#This Row],[Desc color]],ImportarStock[[DESCRIPCION]:[LIBRE UTILIZACION]],2,0),0)</f>
        <v>0</v>
      </c>
    </row>
    <row r="163" spans="2:9" x14ac:dyDescent="0.25">
      <c r="C163" t="s">
        <v>103</v>
      </c>
      <c r="D163" t="s">
        <v>634</v>
      </c>
      <c r="E163" s="19" t="s">
        <v>888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MOTOROLA MOTO G82 128GB 5G</v>
      </c>
      <c r="I163">
        <f>IFERROR(VLOOKUP(DICCIONARIO[[#This Row],[Desc color]],ImportarStock[[DESCRIPCION]:[LIBRE UTILIZACION]],2,0),0)</f>
        <v>0</v>
      </c>
    </row>
    <row r="164" spans="2:9" x14ac:dyDescent="0.25">
      <c r="C164" t="s">
        <v>1136</v>
      </c>
      <c r="D164" t="s">
        <v>1137</v>
      </c>
      <c r="E164" s="19" t="s">
        <v>1069</v>
      </c>
      <c r="F164" t="str">
        <f>VLOOKUP(DICCIONARIO[[#This Row],[Desc color]],ImportarStock[DESCRIPCION],1,0)</f>
        <v>ADAPTADOR APP 20WBL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148</v>
      </c>
    </row>
    <row r="165" spans="2:9" x14ac:dyDescent="0.25">
      <c r="C165" t="s">
        <v>1136</v>
      </c>
      <c r="D165" t="s">
        <v>1137</v>
      </c>
      <c r="E165" s="19" t="s">
        <v>1088</v>
      </c>
      <c r="F165" t="str">
        <f>VLOOKUP(DICCIONARIO[[#This Row],[Desc color]],ImportarStock[DESCRIPCION],1,0)</f>
        <v>ADAPTADOR XIAO 33WBL</v>
      </c>
      <c r="H165" t="e">
        <f>VLOOKUP(DICCIONARIO[[#This Row],[Modelo]],UNIFICADA[Equipo],1,0)</f>
        <v>#N/A</v>
      </c>
      <c r="I165">
        <f>IFERROR(VLOOKUP(DICCIONARIO[[#This Row],[Desc color]],ImportarStock[[DESCRIPCION]:[LIBRE UTILIZACION]],2,0),0)</f>
        <v>6</v>
      </c>
    </row>
    <row r="166" spans="2:9" x14ac:dyDescent="0.25">
      <c r="C166" t="s">
        <v>1136</v>
      </c>
      <c r="D166" t="s">
        <v>1137</v>
      </c>
      <c r="E166" s="19" t="s">
        <v>1085</v>
      </c>
      <c r="F166" t="str">
        <f>VLOOKUP(DICCIONARIO[[#This Row],[Desc color]],ImportarStock[DESCRIPCION],1,0)</f>
        <v>AMP WIFI NOVA MW6 KIT 3</v>
      </c>
      <c r="H166" t="e">
        <f>VLOOKUP(DICCIONARIO[[#This Row],[Modelo]],UNIFICADA[Equipo],1,0)</f>
        <v>#N/A</v>
      </c>
      <c r="I166">
        <f>IFERROR(VLOOKUP(DICCIONARIO[[#This Row],[Desc color]],ImportarStock[[DESCRIPCION]:[LIBRE UTILIZACION]],2,0),0)</f>
        <v>10</v>
      </c>
    </row>
    <row r="167" spans="2:9" x14ac:dyDescent="0.25">
      <c r="C167" t="s">
        <v>1136</v>
      </c>
      <c r="D167" t="s">
        <v>1137</v>
      </c>
      <c r="E167" s="19" t="s">
        <v>1080</v>
      </c>
      <c r="F167" t="str">
        <f>VLOOKUP(DICCIONARIO[[#This Row],[Desc color]],ImportarStock[DESCRIPCION],1,0)</f>
        <v>AUDIF APP AIRPODS 3RDG BL</v>
      </c>
      <c r="H167" t="e">
        <f>VLOOKUP(DICCIONARIO[[#This Row],[Modelo]],UNIFICADA[Equipo],1,0)</f>
        <v>#N/A</v>
      </c>
      <c r="I167">
        <f>IFERROR(VLOOKUP(DICCIONARIO[[#This Row],[Desc color]],ImportarStock[[DESCRIPCION]:[LIBRE UTILIZACION]],2,0),0)</f>
        <v>4</v>
      </c>
    </row>
    <row r="168" spans="2:9" x14ac:dyDescent="0.25">
      <c r="C168" t="s">
        <v>1136</v>
      </c>
      <c r="D168" t="s">
        <v>1137</v>
      </c>
      <c r="E168" s="19" t="s">
        <v>1079</v>
      </c>
      <c r="F168" t="str">
        <f>VLOOKUP(DICCIONARIO[[#This Row],[Desc color]],ImportarStock[DESCRIPCION],1,0)</f>
        <v>AUDIF APP AIRPODSPROCASEWRLS</v>
      </c>
      <c r="H168" t="e">
        <f>VLOOKUP(DICCIONARIO[[#This Row],[Modelo]],UNIFICADA[Equipo],1,0)</f>
        <v>#N/A</v>
      </c>
      <c r="I168">
        <f>IFERROR(VLOOKUP(DICCIONARIO[[#This Row],[Desc color]],ImportarStock[[DESCRIPCION]:[LIBRE UTILIZACION]],2,0),0)</f>
        <v>7</v>
      </c>
    </row>
    <row r="169" spans="2:9" x14ac:dyDescent="0.25">
      <c r="C169" t="s">
        <v>1136</v>
      </c>
      <c r="D169" t="s">
        <v>1137</v>
      </c>
      <c r="E169" s="19" t="s">
        <v>1089</v>
      </c>
      <c r="F169" t="str">
        <f>VLOOKUP(DICCIONARIO[[#This Row],[Desc color]],ImportarStock[DESCRIPCION],1,0)</f>
        <v>AUDIF BT BSHEP PLAYER PL</v>
      </c>
      <c r="H169" t="e">
        <f>VLOOKUP(DICCIONARIO[[#This Row],[Modelo]],UNIFICADA[Equipo],1,0)</f>
        <v>#N/A</v>
      </c>
      <c r="I169">
        <f>IFERROR(VLOOKUP(DICCIONARIO[[#This Row],[Desc color]],ImportarStock[[DESCRIPCION]:[LIBRE UTILIZACION]],2,0),0)</f>
        <v>1</v>
      </c>
    </row>
    <row r="170" spans="2:9" x14ac:dyDescent="0.25">
      <c r="C170" t="s">
        <v>1136</v>
      </c>
      <c r="D170" t="s">
        <v>1137</v>
      </c>
      <c r="E170" s="19" t="s">
        <v>1076</v>
      </c>
      <c r="F170" t="str">
        <f>VLOOKUP(DICCIONARIO[[#This Row],[Desc color]],ImportarStock[DESCRIPCION],1,0)</f>
        <v>AUDIF BT SENHEI CX 150 BL</v>
      </c>
      <c r="H170" t="e">
        <f>VLOOKUP(DICCIONARIO[[#This Row],[Modelo]],UNIFICADA[Equipo],1,0)</f>
        <v>#N/A</v>
      </c>
      <c r="I170">
        <f>IFERROR(VLOOKUP(DICCIONARIO[[#This Row],[Desc color]],ImportarStock[[DESCRIPCION]:[LIBRE UTILIZACION]],2,0),0)</f>
        <v>2</v>
      </c>
    </row>
    <row r="171" spans="2:9" x14ac:dyDescent="0.25">
      <c r="C171" t="s">
        <v>1136</v>
      </c>
      <c r="D171" t="s">
        <v>1137</v>
      </c>
      <c r="E171" s="19" t="s">
        <v>1083</v>
      </c>
      <c r="F171" t="str">
        <f>VLOOKUP(DICCIONARIO[[#This Row],[Desc color]],ImportarStock[DESCRIPCION],1,0)</f>
        <v>AUDIF BT SENHEI CX 80S NG</v>
      </c>
      <c r="H171" t="e">
        <f>VLOOKUP(DICCIONARIO[[#This Row],[Modelo]],UNIFICADA[Equipo],1,0)</f>
        <v>#N/A</v>
      </c>
      <c r="I171">
        <f>IFERROR(VLOOKUP(DICCIONARIO[[#This Row],[Desc color]],ImportarStock[[DESCRIPCION]:[LIBRE UTILIZACION]],2,0),0)</f>
        <v>6</v>
      </c>
    </row>
    <row r="172" spans="2:9" x14ac:dyDescent="0.25">
      <c r="C172" t="s">
        <v>1136</v>
      </c>
      <c r="D172" t="s">
        <v>1137</v>
      </c>
      <c r="E172" s="19" t="s">
        <v>1086</v>
      </c>
      <c r="F172" t="str">
        <f>VLOOKUP(DICCIONARIO[[#This Row],[Desc color]],ImportarStock[DESCRIPCION],1,0)</f>
        <v>AUDIF BT SKUL DIME NRJ</v>
      </c>
      <c r="H172" t="e">
        <f>VLOOKUP(DICCIONARIO[[#This Row],[Modelo]],UNIFICADA[Equipo],1,0)</f>
        <v>#N/A</v>
      </c>
      <c r="I172">
        <f>IFERROR(VLOOKUP(DICCIONARIO[[#This Row],[Desc color]],ImportarStock[[DESCRIPCION]:[LIBRE UTILIZACION]],2,0),0)</f>
        <v>3</v>
      </c>
    </row>
    <row r="173" spans="2:9" x14ac:dyDescent="0.25">
      <c r="C173" t="s">
        <v>1136</v>
      </c>
      <c r="D173" t="s">
        <v>1137</v>
      </c>
      <c r="E173" s="19" t="s">
        <v>1084</v>
      </c>
      <c r="F173" t="str">
        <f>VLOOKUP(DICCIONARIO[[#This Row],[Desc color]],ImportarStock[DESCRIPCION],1,0)</f>
        <v>AUDIF BT SKUL DIME RJ</v>
      </c>
      <c r="H173" t="e">
        <f>VLOOKUP(DICCIONARIO[[#This Row],[Modelo]],UNIFICADA[Equipo],1,0)</f>
        <v>#N/A</v>
      </c>
      <c r="I173">
        <f>IFERROR(VLOOKUP(DICCIONARIO[[#This Row],[Desc color]],ImportarStock[[DESCRIPCION]:[LIBRE UTILIZACION]],2,0),0)</f>
        <v>2</v>
      </c>
    </row>
    <row r="174" spans="2:9" x14ac:dyDescent="0.25">
      <c r="C174" t="s">
        <v>1136</v>
      </c>
      <c r="D174" t="s">
        <v>1137</v>
      </c>
      <c r="E174" s="19" t="s">
        <v>1106</v>
      </c>
      <c r="F174" t="str">
        <f>VLOOKUP(DICCIONARIO[[#This Row],[Desc color]],ImportarStock[DESCRIPCION],1,0)</f>
        <v>AUDIF BT ZTE HIFI SPORT BL</v>
      </c>
      <c r="H174" t="e">
        <f>VLOOKUP(DICCIONARIO[[#This Row],[Modelo]],UNIFICADA[Equipo],1,0)</f>
        <v>#N/A</v>
      </c>
      <c r="I174">
        <f>IFERROR(VLOOKUP(DICCIONARIO[[#This Row],[Desc color]],ImportarStock[[DESCRIPCION]:[LIBRE UTILIZACION]],2,0),0)</f>
        <v>8</v>
      </c>
    </row>
    <row r="175" spans="2:9" x14ac:dyDescent="0.25">
      <c r="C175" t="s">
        <v>1136</v>
      </c>
      <c r="D175" t="s">
        <v>1137</v>
      </c>
      <c r="E175" s="19" t="s">
        <v>1090</v>
      </c>
      <c r="F175" t="str">
        <f>VLOOKUP(DICCIONARIO[[#This Row],[Desc color]],ImportarStock[DESCRIPCION],1,0)</f>
        <v>AUDIF CABLE LIGHTNING APPIPH BL</v>
      </c>
      <c r="H175" t="e">
        <f>VLOOKUP(DICCIONARIO[[#This Row],[Modelo]],UNIFICADA[Equipo],1,0)</f>
        <v>#N/A</v>
      </c>
      <c r="I175">
        <f>IFERROR(VLOOKUP(DICCIONARIO[[#This Row],[Desc color]],ImportarStock[[DESCRIPCION]:[LIBRE UTILIZACION]],2,0),0)</f>
        <v>32</v>
      </c>
    </row>
    <row r="176" spans="2:9" x14ac:dyDescent="0.25">
      <c r="C176" t="s">
        <v>1136</v>
      </c>
      <c r="D176" t="s">
        <v>1137</v>
      </c>
      <c r="E176" s="19" t="s">
        <v>1068</v>
      </c>
      <c r="F176" t="str">
        <f>VLOOKUP(DICCIONARIO[[#This Row],[Desc color]],ImportarStock[DESCRIPCION],1,0)</f>
        <v>AUDIF HUA FREEBUDS3 SHARKBL_SED</v>
      </c>
      <c r="H176" t="e">
        <f>VLOOKUP(DICCIONARIO[[#This Row],[Modelo]],UNIFICADA[Equipo],1,0)</f>
        <v>#N/A</v>
      </c>
      <c r="I176">
        <f>IFERROR(VLOOKUP(DICCIONARIO[[#This Row],[Desc color]],ImportarStock[[DESCRIPCION]:[LIBRE UTILIZACION]],2,0),0)</f>
        <v>1</v>
      </c>
    </row>
    <row r="177" spans="3:9" x14ac:dyDescent="0.25">
      <c r="C177" t="s">
        <v>1136</v>
      </c>
      <c r="D177" t="s">
        <v>1137</v>
      </c>
      <c r="E177" s="19" t="s">
        <v>1070</v>
      </c>
      <c r="F177" t="str">
        <f>VLOOKUP(DICCIONARIO[[#This Row],[Desc color]],ImportarStock[DESCRIPCION],1,0)</f>
        <v>AUDIF SMG GALBUDPLUS NG</v>
      </c>
      <c r="H177" t="e">
        <f>VLOOKUP(DICCIONARIO[[#This Row],[Modelo]],UNIFICADA[Equipo],1,0)</f>
        <v>#N/A</v>
      </c>
      <c r="I177">
        <f>IFERROR(VLOOKUP(DICCIONARIO[[#This Row],[Desc color]],ImportarStock[[DESCRIPCION]:[LIBRE UTILIZACION]],2,0),0)</f>
        <v>1</v>
      </c>
    </row>
    <row r="178" spans="3:9" x14ac:dyDescent="0.25">
      <c r="C178" t="s">
        <v>1136</v>
      </c>
      <c r="D178" t="s">
        <v>1137</v>
      </c>
      <c r="E178" s="19" t="s">
        <v>1081</v>
      </c>
      <c r="F178" t="str">
        <f>VLOOKUP(DICCIONARIO[[#This Row],[Desc color]],ImportarStock[DESCRIPCION],1,0)</f>
        <v>AUDIF XIAO BUDS3LITENG</v>
      </c>
      <c r="H178" t="e">
        <f>VLOOKUP(DICCIONARIO[[#This Row],[Modelo]],UNIFICADA[Equipo],1,0)</f>
        <v>#N/A</v>
      </c>
      <c r="I178">
        <f>IFERROR(VLOOKUP(DICCIONARIO[[#This Row],[Desc color]],ImportarStock[[DESCRIPCION]:[LIBRE UTILIZACION]],2,0),0)</f>
        <v>3</v>
      </c>
    </row>
    <row r="179" spans="3:9" x14ac:dyDescent="0.25">
      <c r="C179" t="s">
        <v>1136</v>
      </c>
      <c r="D179" t="s">
        <v>1137</v>
      </c>
      <c r="E179" s="19" t="s">
        <v>1092</v>
      </c>
      <c r="F179" t="str">
        <f>VLOOKUP(DICCIONARIO[[#This Row],[Desc color]],ImportarStock[DESCRIPCION],1,0)</f>
        <v>BALANZA XIAOMI SCALE 2BL</v>
      </c>
      <c r="H179" t="e">
        <f>VLOOKUP(DICCIONARIO[[#This Row],[Modelo]],UNIFICADA[Equipo],1,0)</f>
        <v>#N/A</v>
      </c>
      <c r="I179">
        <f>IFERROR(VLOOKUP(DICCIONARIO[[#This Row],[Desc color]],ImportarStock[[DESCRIPCION]:[LIBRE UTILIZACION]],2,0),0)</f>
        <v>7</v>
      </c>
    </row>
    <row r="180" spans="3:9" x14ac:dyDescent="0.25">
      <c r="C180" t="s">
        <v>1136</v>
      </c>
      <c r="D180" t="s">
        <v>1137</v>
      </c>
      <c r="E180" s="19" t="s">
        <v>1093</v>
      </c>
      <c r="F180" t="str">
        <f>VLOOKUP(DICCIONARIO[[#This Row],[Desc color]],ImportarStock[DESCRIPCION],1,0)</f>
        <v>CAMARA SMART NEXT 2K INTERIOR</v>
      </c>
      <c r="H180" t="e">
        <f>VLOOKUP(DICCIONARIO[[#This Row],[Modelo]],UNIFICADA[Equipo],1,0)</f>
        <v>#N/A</v>
      </c>
      <c r="I180">
        <f>IFERROR(VLOOKUP(DICCIONARIO[[#This Row],[Desc color]],ImportarStock[[DESCRIPCION]:[LIBRE UTILIZACION]],2,0),0)</f>
        <v>2</v>
      </c>
    </row>
    <row r="181" spans="3:9" x14ac:dyDescent="0.25">
      <c r="C181" t="s">
        <v>1136</v>
      </c>
      <c r="D181" t="s">
        <v>1137</v>
      </c>
      <c r="E181" s="19" t="s">
        <v>1094</v>
      </c>
      <c r="F181" t="str">
        <f>VLOOKUP(DICCIONARIO[[#This Row],[Desc color]],ImportarStock[DESCRIPCION],1,0)</f>
        <v>CAMARA SMART NEXT 2K INTERIOR PK2</v>
      </c>
      <c r="H181" t="e">
        <f>VLOOKUP(DICCIONARIO[[#This Row],[Modelo]],UNIFICADA[Equipo],1,0)</f>
        <v>#N/A</v>
      </c>
      <c r="I181">
        <f>IFERROR(VLOOKUP(DICCIONARIO[[#This Row],[Desc color]],ImportarStock[[DESCRIPCION]:[LIBRE UTILIZACION]],2,0),0)</f>
        <v>2</v>
      </c>
    </row>
    <row r="182" spans="3:9" x14ac:dyDescent="0.25">
      <c r="C182" t="s">
        <v>1136</v>
      </c>
      <c r="D182" t="s">
        <v>1137</v>
      </c>
      <c r="E182" s="19" t="s">
        <v>1095</v>
      </c>
      <c r="F182" t="str">
        <f>VLOOKUP(DICCIONARIO[[#This Row],[Desc color]],ImportarStock[DESCRIPCION],1,0)</f>
        <v>CAMARA SMART NEXT PTZ2K INTERIOR</v>
      </c>
      <c r="H182" t="e">
        <f>VLOOKUP(DICCIONARIO[[#This Row],[Modelo]],UNIFICADA[Equipo],1,0)</f>
        <v>#N/A</v>
      </c>
      <c r="I182">
        <f>IFERROR(VLOOKUP(DICCIONARIO[[#This Row],[Desc color]],ImportarStock[[DESCRIPCION]:[LIBRE UTILIZACION]],2,0),0)</f>
        <v>2</v>
      </c>
    </row>
    <row r="183" spans="3:9" x14ac:dyDescent="0.25">
      <c r="C183" t="s">
        <v>1136</v>
      </c>
      <c r="D183" t="s">
        <v>1137</v>
      </c>
      <c r="E183" s="19" t="s">
        <v>1065</v>
      </c>
      <c r="F183" t="str">
        <f>VLOOKUP(DICCIONARIO[[#This Row],[Desc color]],ImportarStock[DESCRIPCION],1,0)</f>
        <v>CAMISA BLANCA REGU FIT TXL(17 1/2)V/19</v>
      </c>
      <c r="H183" t="e">
        <f>VLOOKUP(DICCIONARIO[[#This Row],[Modelo]],UNIFICADA[Equipo],1,0)</f>
        <v>#N/A</v>
      </c>
      <c r="I183">
        <f>IFERROR(VLOOKUP(DICCIONARIO[[#This Row],[Desc color]],ImportarStock[[DESCRIPCION]:[LIBRE UTILIZACION]],2,0),0)</f>
        <v>1</v>
      </c>
    </row>
    <row r="184" spans="3:9" x14ac:dyDescent="0.25">
      <c r="C184" t="s">
        <v>1136</v>
      </c>
      <c r="D184" t="s">
        <v>1137</v>
      </c>
      <c r="E184" s="19" t="s">
        <v>1067</v>
      </c>
      <c r="F184" t="str">
        <f>VLOOKUP(DICCIONARIO[[#This Row],[Desc color]],ImportarStock[DESCRIPCION],1,0)</f>
        <v>CAMISA BLANCA SLIM FIT TM(15 1/2)V/19</v>
      </c>
      <c r="H184" t="e">
        <f>VLOOKUP(DICCIONARIO[[#This Row],[Modelo]],UNIFICADA[Equipo],1,0)</f>
        <v>#N/A</v>
      </c>
      <c r="I184">
        <f>IFERROR(VLOOKUP(DICCIONARIO[[#This Row],[Desc color]],ImportarStock[[DESCRIPCION]:[LIBRE UTILIZACION]],2,0),0)</f>
        <v>1</v>
      </c>
    </row>
    <row r="185" spans="3:9" x14ac:dyDescent="0.25">
      <c r="C185" t="s">
        <v>1136</v>
      </c>
      <c r="D185" t="s">
        <v>1137</v>
      </c>
      <c r="E185" s="19" t="s">
        <v>1064</v>
      </c>
      <c r="F185" t="str">
        <f>VLOOKUP(DICCIONARIO[[#This Row],[Desc color]],ImportarStock[DESCRIPCION],1,0)</f>
        <v>CAMISA CELESTE REGU FIT TXL(17 1/2)V/19</v>
      </c>
      <c r="H185" t="e">
        <f>VLOOKUP(DICCIONARIO[[#This Row],[Modelo]],UNIFICADA[Equipo],1,0)</f>
        <v>#N/A</v>
      </c>
      <c r="I185">
        <f>IFERROR(VLOOKUP(DICCIONARIO[[#This Row],[Desc color]],ImportarStock[[DESCRIPCION]:[LIBRE UTILIZACION]],2,0),0)</f>
        <v>1</v>
      </c>
    </row>
    <row r="186" spans="3:9" x14ac:dyDescent="0.25">
      <c r="C186" t="s">
        <v>1136</v>
      </c>
      <c r="D186" t="s">
        <v>1137</v>
      </c>
      <c r="E186" s="19" t="s">
        <v>1066</v>
      </c>
      <c r="F186" t="str">
        <f>VLOOKUP(DICCIONARIO[[#This Row],[Desc color]],ImportarStock[DESCRIPCION],1,0)</f>
        <v>CAMISA CELESTE SLIM FIT TM(15 1/2)V/19</v>
      </c>
      <c r="H186" t="e">
        <f>VLOOKUP(DICCIONARIO[[#This Row],[Modelo]],UNIFICADA[Equipo],1,0)</f>
        <v>#N/A</v>
      </c>
      <c r="I186">
        <f>IFERROR(VLOOKUP(DICCIONARIO[[#This Row],[Desc color]],ImportarStock[[DESCRIPCION]:[LIBRE UTILIZACION]],2,0),0)</f>
        <v>2</v>
      </c>
    </row>
    <row r="187" spans="3:9" x14ac:dyDescent="0.25">
      <c r="C187" t="s">
        <v>1136</v>
      </c>
      <c r="D187" t="s">
        <v>1137</v>
      </c>
      <c r="E187" s="19" t="s">
        <v>1071</v>
      </c>
      <c r="F187" t="str">
        <f>VLOOKUP(DICCIONARIO[[#This Row],[Desc color]],ImportarStock[DESCRIPCION],1,0)</f>
        <v>CONTROL REMOTO AN-4803 ECOSS</v>
      </c>
      <c r="H187" t="e">
        <f>VLOOKUP(DICCIONARIO[[#This Row],[Modelo]],UNIFICADA[Equipo],1,0)</f>
        <v>#N/A</v>
      </c>
      <c r="I187">
        <f>IFERROR(VLOOKUP(DICCIONARIO[[#This Row],[Desc color]],ImportarStock[[DESCRIPCION]:[LIBRE UTILIZACION]],2,0),0)</f>
        <v>21</v>
      </c>
    </row>
    <row r="188" spans="3:9" x14ac:dyDescent="0.25">
      <c r="C188" t="s">
        <v>1136</v>
      </c>
      <c r="D188" t="s">
        <v>1137</v>
      </c>
      <c r="E188" s="19" t="s">
        <v>1059</v>
      </c>
      <c r="F188" t="str">
        <f>VLOOKUP(DICCIONARIO[[#This Row],[Desc color]],ImportarStock[DESCRIPCION],1,0)</f>
        <v>CONTROL REMOTO ARION ESTANDAR - HD</v>
      </c>
      <c r="H188" t="e">
        <f>VLOOKUP(DICCIONARIO[[#This Row],[Modelo]],UNIFICADA[Equipo],1,0)</f>
        <v>#N/A</v>
      </c>
      <c r="I188">
        <f>IFERROR(VLOOKUP(DICCIONARIO[[#This Row],[Desc color]],ImportarStock[[DESCRIPCION]:[LIBRE UTILIZACION]],2,0),0)</f>
        <v>3</v>
      </c>
    </row>
    <row r="189" spans="3:9" x14ac:dyDescent="0.25">
      <c r="C189" t="s">
        <v>1136</v>
      </c>
      <c r="D189" t="s">
        <v>1137</v>
      </c>
      <c r="E189" s="19" t="s">
        <v>1060</v>
      </c>
      <c r="F189" t="str">
        <f>VLOOKUP(DICCIONARIO[[#This Row],[Desc color]],ImportarStock[DESCRIPCION],1,0)</f>
        <v>CONTROL REMOTO COSHIP N90851 MPEG4 HDMI</v>
      </c>
      <c r="H189" t="e">
        <f>VLOOKUP(DICCIONARIO[[#This Row],[Modelo]],UNIFICADA[Equipo],1,0)</f>
        <v>#N/A</v>
      </c>
      <c r="I189">
        <f>IFERROR(VLOOKUP(DICCIONARIO[[#This Row],[Desc color]],ImportarStock[[DESCRIPCION]:[LIBRE UTILIZACION]],2,0),0)</f>
        <v>2</v>
      </c>
    </row>
    <row r="190" spans="3:9" x14ac:dyDescent="0.25">
      <c r="C190" t="s">
        <v>1136</v>
      </c>
      <c r="D190" t="s">
        <v>1137</v>
      </c>
      <c r="E190" s="19" t="s">
        <v>1061</v>
      </c>
      <c r="F190" t="str">
        <f>VLOOKUP(DICCIONARIO[[#This Row],[Desc color]],ImportarStock[DESCRIPCION],1,0)</f>
        <v>CONTROL REMOTO HANDAN CD-1004SN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6</v>
      </c>
    </row>
    <row r="191" spans="3:9" x14ac:dyDescent="0.25">
      <c r="C191" t="s">
        <v>1136</v>
      </c>
      <c r="D191" t="s">
        <v>1137</v>
      </c>
      <c r="E191" s="19" t="s">
        <v>1103</v>
      </c>
      <c r="F191" t="str">
        <f>VLOOKUP(DICCIONARIO[[#This Row],[Desc color]],ImportarStock[DESCRIPCION],1,0)</f>
        <v>ENCHUF SMART NEXT 220V 2PUSB NHPD610</v>
      </c>
      <c r="H191" t="e">
        <f>VLOOKUP(DICCIONARIO[[#This Row],[Modelo]],UNIFICADA[Equipo],1,0)</f>
        <v>#N/A</v>
      </c>
      <c r="I191">
        <f>IFERROR(VLOOKUP(DICCIONARIO[[#This Row],[Desc color]],ImportarStock[[DESCRIPCION]:[LIBRE UTILIZACION]],2,0),0)</f>
        <v>2</v>
      </c>
    </row>
    <row r="192" spans="3:9" x14ac:dyDescent="0.25">
      <c r="C192" t="s">
        <v>1136</v>
      </c>
      <c r="D192" t="s">
        <v>1137</v>
      </c>
      <c r="E192" s="19" t="s">
        <v>1104</v>
      </c>
      <c r="F192" t="str">
        <f>VLOOKUP(DICCIONARIO[[#This Row],[Desc color]],ImportarStock[DESCRIPCION],1,0)</f>
        <v>ENCHUF SMART NEXT 220V 4PUSB NHPT610</v>
      </c>
      <c r="H192" t="e">
        <f>VLOOKUP(DICCIONARIO[[#This Row],[Modelo]],UNIFICADA[Equipo],1,0)</f>
        <v>#N/A</v>
      </c>
      <c r="I192">
        <f>IFERROR(VLOOKUP(DICCIONARIO[[#This Row],[Desc color]],ImportarStock[[DESCRIPCION]:[LIBRE UTILIZACION]],2,0),0)</f>
        <v>2</v>
      </c>
    </row>
    <row r="193" spans="3:9" x14ac:dyDescent="0.25">
      <c r="C193" t="s">
        <v>1136</v>
      </c>
      <c r="D193" t="s">
        <v>1137</v>
      </c>
      <c r="E193" s="19" t="s">
        <v>1101</v>
      </c>
      <c r="F193" t="str">
        <f>VLOOKUP(DICCIONARIO[[#This Row],[Desc color]],ImportarStock[DESCRIPCION],1,0)</f>
        <v>ENCHUF SMART NEXT 220V AHIWPSO4U1PK1</v>
      </c>
      <c r="H193" t="e">
        <f>VLOOKUP(DICCIONARIO[[#This Row],[Modelo]],UNIFICADA[Equipo],1,0)</f>
        <v>#N/A</v>
      </c>
      <c r="I193">
        <f>IFERROR(VLOOKUP(DICCIONARIO[[#This Row],[Desc color]],ImportarStock[[DESCRIPCION]:[LIBRE UTILIZACION]],2,0),0)</f>
        <v>2</v>
      </c>
    </row>
    <row r="194" spans="3:9" x14ac:dyDescent="0.25">
      <c r="C194" t="s">
        <v>1136</v>
      </c>
      <c r="D194" t="s">
        <v>1137</v>
      </c>
      <c r="E194" s="19" t="s">
        <v>1102</v>
      </c>
      <c r="F194" t="str">
        <f>VLOOKUP(DICCIONARIO[[#This Row],[Desc color]],ImportarStock[DESCRIPCION],1,0)</f>
        <v>ENCHUF SMART NEXT 220V AHIWPSO4U1PK2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2</v>
      </c>
    </row>
    <row r="195" spans="3:9" x14ac:dyDescent="0.25">
      <c r="C195" t="s">
        <v>1136</v>
      </c>
      <c r="D195" t="s">
        <v>1137</v>
      </c>
      <c r="E195" s="19" t="s">
        <v>1072</v>
      </c>
      <c r="F195" t="str">
        <f>VLOOKUP(DICCIONARIO[[#This Row],[Desc color]],ImportarStock[DESCRIPCION],1,0)</f>
        <v>EQUIPO CONTROL REMOTO UNIV URC NEGRO</v>
      </c>
      <c r="H195" t="e">
        <f>VLOOKUP(DICCIONARIO[[#This Row],[Modelo]],UNIFICADA[Equipo],1,0)</f>
        <v>#N/A</v>
      </c>
      <c r="I195">
        <f>IFERROR(VLOOKUP(DICCIONARIO[[#This Row],[Desc color]],ImportarStock[[DESCRIPCION]:[LIBRE UTILIZACION]],2,0),0)</f>
        <v>3</v>
      </c>
    </row>
    <row r="196" spans="3:9" x14ac:dyDescent="0.25">
      <c r="C196" t="s">
        <v>1136</v>
      </c>
      <c r="D196" t="s">
        <v>1137</v>
      </c>
      <c r="E196" s="19" t="s">
        <v>1096</v>
      </c>
      <c r="F196" t="str">
        <f>VLOOKUP(DICCIONARIO[[#This Row],[Desc color]],ImportarStock[DESCRIPCION],1,0)</f>
        <v>FOCO SMARTNEXT C120 LUZCL PK2</v>
      </c>
      <c r="H196" t="e">
        <f>VLOOKUP(DICCIONARIO[[#This Row],[Modelo]],UNIFICADA[Equipo],1,0)</f>
        <v>#N/A</v>
      </c>
      <c r="I196">
        <f>IFERROR(VLOOKUP(DICCIONARIO[[#This Row],[Desc color]],ImportarStock[[DESCRIPCION]:[LIBRE UTILIZACION]],2,0),0)</f>
        <v>2</v>
      </c>
    </row>
    <row r="197" spans="3:9" x14ac:dyDescent="0.25">
      <c r="C197" t="s">
        <v>1136</v>
      </c>
      <c r="D197" t="s">
        <v>1137</v>
      </c>
      <c r="E197" s="19" t="s">
        <v>1097</v>
      </c>
      <c r="F197" t="str">
        <f>VLOOKUP(DICCIONARIO[[#This Row],[Desc color]],ImportarStock[DESCRIPCION],1,0)</f>
        <v>FOCO SMARTNEXT C120 LUZCL PK3</v>
      </c>
      <c r="H197" t="e">
        <f>VLOOKUP(DICCIONARIO[[#This Row],[Modelo]],UNIFICADA[Equipo],1,0)</f>
        <v>#N/A</v>
      </c>
      <c r="I197">
        <f>IFERROR(VLOOKUP(DICCIONARIO[[#This Row],[Desc color]],ImportarStock[[DESCRIPCION]:[LIBRE UTILIZACION]],2,0),0)</f>
        <v>2</v>
      </c>
    </row>
    <row r="198" spans="3:9" x14ac:dyDescent="0.25">
      <c r="C198" t="s">
        <v>1136</v>
      </c>
      <c r="D198" t="s">
        <v>1137</v>
      </c>
      <c r="E198" s="19" t="s">
        <v>1098</v>
      </c>
      <c r="F198" t="str">
        <f>VLOOKUP(DICCIONARIO[[#This Row],[Desc color]],ImportarStock[DESCRIPCION],1,0)</f>
        <v>FOCO SMARTNEXT W120 LUZBL</v>
      </c>
      <c r="H198" t="e">
        <f>VLOOKUP(DICCIONARIO[[#This Row],[Modelo]],UNIFICADA[Equipo],1,0)</f>
        <v>#N/A</v>
      </c>
      <c r="I198">
        <f>IFERROR(VLOOKUP(DICCIONARIO[[#This Row],[Desc color]],ImportarStock[[DESCRIPCION]:[LIBRE UTILIZACION]],2,0),0)</f>
        <v>2</v>
      </c>
    </row>
    <row r="199" spans="3:9" x14ac:dyDescent="0.25">
      <c r="C199" t="s">
        <v>1136</v>
      </c>
      <c r="D199" t="s">
        <v>1137</v>
      </c>
      <c r="E199" s="19" t="s">
        <v>1099</v>
      </c>
      <c r="F199" t="str">
        <f>VLOOKUP(DICCIONARIO[[#This Row],[Desc color]],ImportarStock[DESCRIPCION],1,0)</f>
        <v>FOCO SMARTNEXT W120 LUZBL PK2</v>
      </c>
      <c r="H199" t="e">
        <f>VLOOKUP(DICCIONARIO[[#This Row],[Modelo]],UNIFICADA[Equipo],1,0)</f>
        <v>#N/A</v>
      </c>
      <c r="I199">
        <f>IFERROR(VLOOKUP(DICCIONARIO[[#This Row],[Desc color]],ImportarStock[[DESCRIPCION]:[LIBRE UTILIZACION]],2,0),0)</f>
        <v>2</v>
      </c>
    </row>
    <row r="200" spans="3:9" x14ac:dyDescent="0.25">
      <c r="C200" t="s">
        <v>1136</v>
      </c>
      <c r="D200" t="s">
        <v>1137</v>
      </c>
      <c r="E200" s="19" t="s">
        <v>1100</v>
      </c>
      <c r="F200" t="str">
        <f>VLOOKUP(DICCIONARIO[[#This Row],[Desc color]],ImportarStock[DESCRIPCION],1,0)</f>
        <v>FOCO SMARTNEXT W120 LUZBLPK3</v>
      </c>
      <c r="H200" t="e">
        <f>VLOOKUP(DICCIONARIO[[#This Row],[Modelo]],UNIFICADA[Equipo],1,0)</f>
        <v>#N/A</v>
      </c>
      <c r="I200">
        <f>IFERROR(VLOOKUP(DICCIONARIO[[#This Row],[Desc color]],ImportarStock[[DESCRIPCION]:[LIBRE UTILIZACION]],2,0),0)</f>
        <v>2</v>
      </c>
    </row>
    <row r="201" spans="3:9" x14ac:dyDescent="0.25">
      <c r="C201" t="s">
        <v>1136</v>
      </c>
      <c r="D201" t="s">
        <v>1137</v>
      </c>
      <c r="E201" s="19" t="s">
        <v>1123</v>
      </c>
      <c r="F201" t="str">
        <f>VLOOKUP(DICCIONARIO[[#This Row],[Desc color]],ImportarStock[DESCRIPCION],1,0)</f>
        <v>HOR WATCT900PMAXL NG</v>
      </c>
      <c r="H201" t="e">
        <f>VLOOKUP(DICCIONARIO[[#This Row],[Modelo]],UNIFICADA[Equipo],1,0)</f>
        <v>#N/A</v>
      </c>
      <c r="I201">
        <f>IFERROR(VLOOKUP(DICCIONARIO[[#This Row],[Desc color]],ImportarStock[[DESCRIPCION]:[LIBRE UTILIZACION]],2,0),0)</f>
        <v>6</v>
      </c>
    </row>
    <row r="202" spans="3:9" x14ac:dyDescent="0.25">
      <c r="C202" t="s">
        <v>1136</v>
      </c>
      <c r="D202" t="s">
        <v>1137</v>
      </c>
      <c r="E202" s="19" t="s">
        <v>1124</v>
      </c>
      <c r="F202" t="str">
        <f>VLOOKUP(DICCIONARIO[[#This Row],[Desc color]],ImportarStock[DESCRIPCION],1,0)</f>
        <v>HOR WATCT900PMAXL RO</v>
      </c>
      <c r="H202" t="e">
        <f>VLOOKUP(DICCIONARIO[[#This Row],[Modelo]],UNIFICADA[Equipo],1,0)</f>
        <v>#N/A</v>
      </c>
      <c r="I202">
        <f>IFERROR(VLOOKUP(DICCIONARIO[[#This Row],[Desc color]],ImportarStock[[DESCRIPCION]:[LIBRE UTILIZACION]],2,0),0)</f>
        <v>49</v>
      </c>
    </row>
    <row r="203" spans="3:9" x14ac:dyDescent="0.25">
      <c r="C203" t="s">
        <v>1136</v>
      </c>
      <c r="D203" t="s">
        <v>1137</v>
      </c>
      <c r="E203" s="19" t="s">
        <v>1118</v>
      </c>
      <c r="F203" t="str">
        <f>VLOOKUP(DICCIONARIO[[#This Row],[Desc color]],ImportarStock[DESCRIPCION],1,0)</f>
        <v>HUA BAND 7 NG</v>
      </c>
      <c r="H203" t="e">
        <f>VLOOKUP(DICCIONARIO[[#This Row],[Modelo]],UNIFICADA[Equipo],1,0)</f>
        <v>#N/A</v>
      </c>
      <c r="I203">
        <f>IFERROR(VLOOKUP(DICCIONARIO[[#This Row],[Desc color]],ImportarStock[[DESCRIPCION]:[LIBRE UTILIZACION]],2,0),0)</f>
        <v>10</v>
      </c>
    </row>
    <row r="204" spans="3:9" x14ac:dyDescent="0.25">
      <c r="C204" t="s">
        <v>1136</v>
      </c>
      <c r="D204" t="s">
        <v>1137</v>
      </c>
      <c r="E204" s="19" t="s">
        <v>1091</v>
      </c>
      <c r="F204" t="str">
        <f>VLOOKUP(DICCIONARIO[[#This Row],[Desc color]],ImportarStock[DESCRIPCION],1,0)</f>
        <v>HUA WA8021V5 BL</v>
      </c>
      <c r="H204" t="e">
        <f>VLOOKUP(DICCIONARIO[[#This Row],[Modelo]],UNIFICADA[Equipo],1,0)</f>
        <v>#N/A</v>
      </c>
      <c r="I204">
        <f>IFERROR(VLOOKUP(DICCIONARIO[[#This Row],[Desc color]],ImportarStock[[DESCRIPCION]:[LIBRE UTILIZACION]],2,0),0)</f>
        <v>18</v>
      </c>
    </row>
    <row r="205" spans="3:9" x14ac:dyDescent="0.25">
      <c r="C205" t="s">
        <v>1136</v>
      </c>
      <c r="D205" t="s">
        <v>1137</v>
      </c>
      <c r="E205" s="19" t="s">
        <v>1130</v>
      </c>
      <c r="F205" t="str">
        <f>VLOOKUP(DICCIONARIO[[#This Row],[Desc color]],ImportarStock[DESCRIPCION],1,0)</f>
        <v>MOT WATCHZ37PROS7 NG</v>
      </c>
      <c r="H205" t="e">
        <f>VLOOKUP(DICCIONARIO[[#This Row],[Modelo]],UNIFICADA[Equipo],1,0)</f>
        <v>#N/A</v>
      </c>
      <c r="I205">
        <f>IFERROR(VLOOKUP(DICCIONARIO[[#This Row],[Desc color]],ImportarStock[[DESCRIPCION]:[LIBRE UTILIZACION]],2,0),0)</f>
        <v>13</v>
      </c>
    </row>
    <row r="206" spans="3:9" x14ac:dyDescent="0.25">
      <c r="C206" t="s">
        <v>1136</v>
      </c>
      <c r="D206" t="s">
        <v>1137</v>
      </c>
      <c r="E206" s="19" t="s">
        <v>1073</v>
      </c>
      <c r="F206" t="str">
        <f>VLOOKUP(DICCIONARIO[[#This Row],[Desc color]],ImportarStock[DESCRIPCION],1,0)</f>
        <v>PACK SIM CARD PRE ASOC 256KB TELF FIJO</v>
      </c>
      <c r="H206" t="e">
        <f>VLOOKUP(DICCIONARIO[[#This Row],[Modelo]],UNIFICADA[Equipo],1,0)</f>
        <v>#N/A</v>
      </c>
      <c r="I206">
        <f>IFERROR(VLOOKUP(DICCIONARIO[[#This Row],[Desc color]],ImportarStock[[DESCRIPCION]:[LIBRE UTILIZACION]],2,0),0)</f>
        <v>4</v>
      </c>
    </row>
    <row r="207" spans="3:9" x14ac:dyDescent="0.25">
      <c r="C207" t="s">
        <v>1136</v>
      </c>
      <c r="D207" t="s">
        <v>1137</v>
      </c>
      <c r="E207" s="19" t="s">
        <v>1074</v>
      </c>
      <c r="F207" t="str">
        <f>VLOOKUP(DICCIONARIO[[#This Row],[Desc color]],ImportarStock[DESCRIPCION],1,0)</f>
        <v>PACK SIM CARD REPUESTO TFI 256KB</v>
      </c>
      <c r="H207" t="e">
        <f>VLOOKUP(DICCIONARIO[[#This Row],[Modelo]],UNIFICADA[Equipo],1,0)</f>
        <v>#N/A</v>
      </c>
      <c r="I207">
        <f>IFERROR(VLOOKUP(DICCIONARIO[[#This Row],[Desc color]],ImportarStock[[DESCRIPCION]:[LIBRE UTILIZACION]],2,0),0)</f>
        <v>5</v>
      </c>
    </row>
    <row r="208" spans="3:9" x14ac:dyDescent="0.25">
      <c r="C208" t="s">
        <v>1136</v>
      </c>
      <c r="D208" t="s">
        <v>1137</v>
      </c>
      <c r="E208" s="19" t="s">
        <v>1062</v>
      </c>
      <c r="F208" t="str">
        <f>VLOOKUP(DICCIONARIO[[#This Row],[Desc color]],ImportarStock[DESCRIPCION],1,0)</f>
        <v>PACK SIM CARD REPUESTO TFI 64KB</v>
      </c>
      <c r="H208" t="e">
        <f>VLOOKUP(DICCIONARIO[[#This Row],[Modelo]],UNIFICADA[Equipo],1,0)</f>
        <v>#N/A</v>
      </c>
      <c r="I208">
        <f>IFERROR(VLOOKUP(DICCIONARIO[[#This Row],[Desc color]],ImportarStock[[DESCRIPCION]:[LIBRE UTILIZACION]],2,0),0)</f>
        <v>2</v>
      </c>
    </row>
    <row r="209" spans="3:9" x14ac:dyDescent="0.25">
      <c r="C209" t="s">
        <v>1136</v>
      </c>
      <c r="D209" t="s">
        <v>1137</v>
      </c>
      <c r="E209" s="19" t="s">
        <v>1082</v>
      </c>
      <c r="F209" t="str">
        <f>VLOOKUP(DICCIONARIO[[#This Row],[Desc color]],ImportarStock[DESCRIPCION],1,0)</f>
        <v>PARLA BT BSHEP DOME NG</v>
      </c>
      <c r="H209" t="e">
        <f>VLOOKUP(DICCIONARIO[[#This Row],[Modelo]],UNIFICADA[Equipo],1,0)</f>
        <v>#N/A</v>
      </c>
      <c r="I209">
        <f>IFERROR(VLOOKUP(DICCIONARIO[[#This Row],[Desc color]],ImportarStock[[DESCRIPCION]:[LIBRE UTILIZACION]],2,0),0)</f>
        <v>46</v>
      </c>
    </row>
    <row r="210" spans="3:9" x14ac:dyDescent="0.25">
      <c r="C210" t="s">
        <v>1136</v>
      </c>
      <c r="D210" t="s">
        <v>1137</v>
      </c>
      <c r="E210" s="19" t="s">
        <v>1105</v>
      </c>
      <c r="F210" t="str">
        <f>VLOOKUP(DICCIONARIO[[#This Row],[Desc color]],ImportarStock[DESCRIPCION],1,0)</f>
        <v>PARLA XTREME BT MOTOROLA MOTKBS-025 BG</v>
      </c>
      <c r="H210" t="e">
        <f>VLOOKUP(DICCIONARIO[[#This Row],[Modelo]],UNIFICADA[Equipo],1,0)</f>
        <v>#N/A</v>
      </c>
      <c r="I210">
        <f>IFERROR(VLOOKUP(DICCIONARIO[[#This Row],[Desc color]],ImportarStock[[DESCRIPCION]:[LIBRE UTILIZACION]],2,0),0)</f>
        <v>1</v>
      </c>
    </row>
    <row r="211" spans="3:9" x14ac:dyDescent="0.25">
      <c r="C211" t="s">
        <v>1136</v>
      </c>
      <c r="D211" t="s">
        <v>1137</v>
      </c>
      <c r="E211" s="19" t="s">
        <v>1063</v>
      </c>
      <c r="F211" t="str">
        <f>VLOOKUP(DICCIONARIO[[#This Row],[Desc color]],ImportarStock[DESCRIPCION],1,0)</f>
        <v>Parlante bluetooth</v>
      </c>
      <c r="H211" t="e">
        <f>VLOOKUP(DICCIONARIO[[#This Row],[Modelo]],UNIFICADA[Equipo],1,0)</f>
        <v>#N/A</v>
      </c>
      <c r="I211">
        <f>IFERROR(VLOOKUP(DICCIONARIO[[#This Row],[Desc color]],ImportarStock[[DESCRIPCION]:[LIBRE UTILIZACION]],2,0),0)</f>
        <v>1</v>
      </c>
    </row>
    <row r="212" spans="3:9" x14ac:dyDescent="0.25">
      <c r="C212" t="s">
        <v>1136</v>
      </c>
      <c r="D212" t="s">
        <v>1137</v>
      </c>
      <c r="E212" s="19" t="s">
        <v>903</v>
      </c>
      <c r="F212" t="str">
        <f>VLOOKUP(DICCIONARIO[[#This Row],[Desc color]],ImportarStock[DESCRIPCION],1,0)</f>
        <v>SIM CARD VIRGEN 256KB INTERNET</v>
      </c>
      <c r="H212" t="e">
        <f>VLOOKUP(DICCIONARIO[[#This Row],[Modelo]],UNIFICADA[Equipo],1,0)</f>
        <v>#N/A</v>
      </c>
      <c r="I212">
        <f>IFERROR(VLOOKUP(DICCIONARIO[[#This Row],[Desc color]],ImportarStock[[DESCRIPCION]:[LIBRE UTILIZACION]],2,0),0)</f>
        <v>17</v>
      </c>
    </row>
    <row r="213" spans="3:9" x14ac:dyDescent="0.25">
      <c r="C213" t="s">
        <v>1136</v>
      </c>
      <c r="D213" t="s">
        <v>1137</v>
      </c>
      <c r="E213" s="19" t="s">
        <v>904</v>
      </c>
      <c r="F213" t="str">
        <f>VLOOKUP(DICCIONARIO[[#This Row],[Desc color]],ImportarStock[DESCRIPCION],1,0)</f>
        <v>SIM CARD VIRGEN 256KB VOLTE 2FF-3FF-4FF</v>
      </c>
      <c r="H213" t="e">
        <f>VLOOKUP(DICCIONARIO[[#This Row],[Modelo]],UNIFICADA[Equipo],1,0)</f>
        <v>#N/A</v>
      </c>
      <c r="I213">
        <f>IFERROR(VLOOKUP(DICCIONARIO[[#This Row],[Desc color]],ImportarStock[[DESCRIPCION]:[LIBRE UTILIZACION]],2,0),0)</f>
        <v>1582</v>
      </c>
    </row>
    <row r="214" spans="3:9" x14ac:dyDescent="0.25">
      <c r="C214" t="s">
        <v>1136</v>
      </c>
      <c r="D214" t="s">
        <v>1137</v>
      </c>
      <c r="E214" s="19" t="s">
        <v>1087</v>
      </c>
      <c r="F214" t="str">
        <f>VLOOKUP(DICCIONARIO[[#This Row],[Desc color]],ImportarStock[DESCRIPCION],1,0)</f>
        <v>SMARTBAND XIAO MIBAND 7 NG</v>
      </c>
      <c r="H214" t="e">
        <f>VLOOKUP(DICCIONARIO[[#This Row],[Modelo]],UNIFICADA[Equipo],1,0)</f>
        <v>#N/A</v>
      </c>
      <c r="I214">
        <f>IFERROR(VLOOKUP(DICCIONARIO[[#This Row],[Desc color]],ImportarStock[[DESCRIPCION]:[LIBRE UTILIZACION]],2,0),0)</f>
        <v>3</v>
      </c>
    </row>
    <row r="215" spans="3:9" x14ac:dyDescent="0.25">
      <c r="C215" t="s">
        <v>1136</v>
      </c>
      <c r="D215" t="s">
        <v>1137</v>
      </c>
      <c r="E215" s="19" t="s">
        <v>1075</v>
      </c>
      <c r="F215" t="str">
        <f>VLOOKUP(DICCIONARIO[[#This Row],[Desc color]],ImportarStock[DESCRIPCION],1,0)</f>
        <v>SMARTWATCH ZTE WATCH LIVE NG</v>
      </c>
      <c r="H215" t="e">
        <f>VLOOKUP(DICCIONARIO[[#This Row],[Modelo]],UNIFICADA[Equipo],1,0)</f>
        <v>#N/A</v>
      </c>
      <c r="I215">
        <f>IFERROR(VLOOKUP(DICCIONARIO[[#This Row],[Desc color]],ImportarStock[[DESCRIPCION]:[LIBRE UTILIZACION]],2,0),0)</f>
        <v>1</v>
      </c>
    </row>
    <row r="216" spans="3:9" x14ac:dyDescent="0.25">
      <c r="C216" t="s">
        <v>1136</v>
      </c>
      <c r="D216" t="s">
        <v>1137</v>
      </c>
      <c r="E216" s="19" t="s">
        <v>916</v>
      </c>
      <c r="F216" t="str">
        <f>VLOOKUP(DICCIONARIO[[#This Row],[Desc color]],ImportarStock[DESCRIPCION],1,0)</f>
        <v>TARJETA SIM CARD 2FF/3FF 256KB IFI ALTA</v>
      </c>
      <c r="H216" t="e">
        <f>VLOOKUP(DICCIONARIO[[#This Row],[Modelo]],UNIFICADA[Equipo],1,0)</f>
        <v>#N/A</v>
      </c>
      <c r="I216">
        <f>IFERROR(VLOOKUP(DICCIONARIO[[#This Row],[Desc color]],ImportarStock[[DESCRIPCION]:[LIBRE UTILIZACION]],2,0),0)</f>
        <v>5</v>
      </c>
    </row>
    <row r="217" spans="3:9" x14ac:dyDescent="0.25">
      <c r="C217" t="s">
        <v>1136</v>
      </c>
      <c r="D217" t="s">
        <v>1137</v>
      </c>
      <c r="E217" s="19" t="s">
        <v>917</v>
      </c>
      <c r="F217" t="str">
        <f>VLOOKUP(DICCIONARIO[[#This Row],[Desc color]],ImportarStock[DESCRIPCION],1,0)</f>
        <v>TARJETA SIM CARD 2FF/3FF 256KB IFI REPO</v>
      </c>
      <c r="H217" t="e">
        <f>VLOOKUP(DICCIONARIO[[#This Row],[Modelo]],UNIFICADA[Equipo],1,0)</f>
        <v>#N/A</v>
      </c>
      <c r="I217">
        <f>IFERROR(VLOOKUP(DICCIONARIO[[#This Row],[Desc color]],ImportarStock[[DESCRIPCION]:[LIBRE UTILIZACION]],2,0),0)</f>
        <v>2</v>
      </c>
    </row>
    <row r="218" spans="3:9" x14ac:dyDescent="0.25">
      <c r="C218" t="s">
        <v>1136</v>
      </c>
      <c r="D218" t="s">
        <v>1137</v>
      </c>
      <c r="E218" s="19" t="s">
        <v>1133</v>
      </c>
      <c r="F218" t="str">
        <f>VLOOKUP(DICCIONARIO[[#This Row],[Desc color]],ImportarStock[DESCRIPCION],1,0)</f>
        <v>Texto breve de material</v>
      </c>
      <c r="H218" t="e">
        <f>VLOOKUP(DICCIONARIO[[#This Row],[Modelo]],UNIFICADA[Equipo],1,0)</f>
        <v>#N/A</v>
      </c>
      <c r="I218" t="str">
        <f>IFERROR(VLOOKUP(DICCIONARIO[[#This Row],[Desc color]],ImportarStock[[DESCRIPCION]:[LIBRE UTILIZACION]],2,0),0)</f>
        <v>Libre utilización</v>
      </c>
    </row>
    <row r="219" spans="3:9" x14ac:dyDescent="0.25">
      <c r="C219" t="s">
        <v>1136</v>
      </c>
      <c r="D219" t="s">
        <v>1137</v>
      </c>
      <c r="E219" s="19" t="s">
        <v>918</v>
      </c>
      <c r="F219" t="str">
        <f>VLOOKUP(DICCIONARIO[[#This Row],[Desc color]],ImportarStock[DESCRIPCION],1,0)</f>
        <v>TMC LOGICFIXO100G NG FIJO</v>
      </c>
      <c r="H219" t="e">
        <f>VLOOKUP(DICCIONARIO[[#This Row],[Modelo]],UNIFICADA[Equipo],1,0)</f>
        <v>#N/A</v>
      </c>
      <c r="I219">
        <f>IFERROR(VLOOKUP(DICCIONARIO[[#This Row],[Desc color]],ImportarStock[[DESCRIPCION]:[LIBRE UTILIZACION]],2,0),0)</f>
        <v>4</v>
      </c>
    </row>
    <row r="220" spans="3:9" x14ac:dyDescent="0.25">
      <c r="C220" t="s">
        <v>1136</v>
      </c>
      <c r="D220" t="s">
        <v>1137</v>
      </c>
      <c r="E220" s="19" t="s">
        <v>1107</v>
      </c>
      <c r="F220" t="str">
        <f>VLOOKUP(DICCIONARIO[[#This Row],[Desc color]],ImportarStock[DESCRIPCION],1,0)</f>
        <v>TMC LOGICFIXO100G NG FIJO SEED STOCK</v>
      </c>
      <c r="H220" t="e">
        <f>VLOOKUP(DICCIONARIO[[#This Row],[Modelo]],UNIFICADA[Equipo],1,0)</f>
        <v>#N/A</v>
      </c>
      <c r="I220">
        <f>IFERROR(VLOOKUP(DICCIONARIO[[#This Row],[Desc color]],ImportarStock[[DESCRIPCION]:[LIBRE UTILIZACION]],2,0),0)</f>
        <v>1</v>
      </c>
    </row>
    <row r="221" spans="3:9" x14ac:dyDescent="0.25">
      <c r="C221" t="s">
        <v>1136</v>
      </c>
      <c r="D221" t="s">
        <v>1137</v>
      </c>
      <c r="E221" s="19" t="s">
        <v>1078</v>
      </c>
      <c r="F221" t="str">
        <f>VLOOKUP(DICCIONARIO[[#This Row],[Desc color]],ImportarStock[DESCRIPCION],1,0)</f>
        <v>WATCH GAL 4 SMG 40MM NG</v>
      </c>
      <c r="H221" t="e">
        <f>VLOOKUP(DICCIONARIO[[#This Row],[Modelo]],UNIFICADA[Equipo],1,0)</f>
        <v>#N/A</v>
      </c>
      <c r="I221">
        <f>IFERROR(VLOOKUP(DICCIONARIO[[#This Row],[Desc color]],ImportarStock[[DESCRIPCION]:[LIBRE UTILIZACION]],2,0),0)</f>
        <v>1</v>
      </c>
    </row>
    <row r="222" spans="3:9" x14ac:dyDescent="0.25">
      <c r="C222" t="s">
        <v>1136</v>
      </c>
      <c r="D222" t="s">
        <v>1137</v>
      </c>
      <c r="E222" s="19" t="s">
        <v>1077</v>
      </c>
      <c r="F222" t="str">
        <f>VLOOKUP(DICCIONARIO[[#This Row],[Desc color]],ImportarStock[DESCRIPCION],1,0)</f>
        <v>WATCH GAL 4 SMG 44MM VR</v>
      </c>
      <c r="H222" t="e">
        <f>VLOOKUP(DICCIONARIO[[#This Row],[Modelo]],UNIFICADA[Equipo],1,0)</f>
        <v>#N/A</v>
      </c>
      <c r="I222">
        <f>IFERROR(VLOOKUP(DICCIONARIO[[#This Row],[Desc color]],ImportarStock[[DESCRIPCION]:[LIBRE UTILIZACION]],2,0),0)</f>
        <v>2</v>
      </c>
    </row>
    <row r="223" spans="3:9" x14ac:dyDescent="0.25">
      <c r="C223" t="s">
        <v>1136</v>
      </c>
      <c r="D223" t="s">
        <v>1137</v>
      </c>
      <c r="E223" s="19" t="s">
        <v>1131</v>
      </c>
      <c r="F223" t="str">
        <f>VLOOKUP(DICCIONARIO[[#This Row],[Desc color]],ImportarStock[DESCRIPCION],1,0)</f>
        <v>XIA REDMISMARTBA2 NG</v>
      </c>
      <c r="H223" t="e">
        <f>VLOOKUP(DICCIONARIO[[#This Row],[Modelo]],UNIFICADA[Equipo],1,0)</f>
        <v>#N/A</v>
      </c>
      <c r="I223">
        <f>IFERROR(VLOOKUP(DICCIONARIO[[#This Row],[Desc color]],ImportarStock[[DESCRIPCION]:[LIBRE UTILIZACION]],2,0),0)</f>
        <v>7</v>
      </c>
    </row>
    <row r="224" spans="3:9" x14ac:dyDescent="0.25">
      <c r="C224" t="s">
        <v>1136</v>
      </c>
      <c r="D224" t="s">
        <v>1137</v>
      </c>
      <c r="E224" s="19" t="s">
        <v>939</v>
      </c>
      <c r="F224" t="str">
        <f>VLOOKUP(DICCIONARIO[[#This Row],[Desc color]],ImportarStock[DESCRIPCION],1,0)</f>
        <v>ZTE MF286C BL</v>
      </c>
      <c r="H224" t="e">
        <f>VLOOKUP(DICCIONARIO[[#This Row],[Modelo]],UNIFICADA[Equipo],1,0)</f>
        <v>#N/A</v>
      </c>
      <c r="I224">
        <f>IFERROR(VLOOKUP(DICCIONARIO[[#This Row],[Desc color]],ImportarStock[[DESCRIPCION]:[LIBRE UTILIZACION]],2,0),0)</f>
        <v>4</v>
      </c>
    </row>
    <row r="225" spans="2:9" x14ac:dyDescent="0.25">
      <c r="C225" t="s">
        <v>1136</v>
      </c>
      <c r="D225" t="s">
        <v>1137</v>
      </c>
      <c r="E225" s="19" t="s">
        <v>940</v>
      </c>
      <c r="F225" t="str">
        <f>VLOOKUP(DICCIONARIO[[#This Row],[Desc color]],ImportarStock[DESCRIPCION],1,0)</f>
        <v>ZTE MF920U BL PB LTE</v>
      </c>
      <c r="H225" t="e">
        <f>VLOOKUP(DICCIONARIO[[#This Row],[Modelo]],UNIFICADA[Equipo],1,0)</f>
        <v>#N/A</v>
      </c>
      <c r="I225">
        <f>IFERROR(VLOOKUP(DICCIONARIO[[#This Row],[Desc color]],ImportarStock[[DESCRIPCION]:[LIBRE UTILIZACION]],2,0),0)</f>
        <v>17</v>
      </c>
    </row>
    <row r="226" spans="2:9" x14ac:dyDescent="0.25">
      <c r="B226">
        <v>70041380</v>
      </c>
      <c r="C226" t="s">
        <v>22</v>
      </c>
      <c r="D226" t="s">
        <v>675</v>
      </c>
      <c r="E226" s="19" t="s">
        <v>679</v>
      </c>
      <c r="F226" t="e">
        <f>VLOOKUP(DICCIONARIO[[#This Row],[Desc color]],ImportarStock[DESCRIPCION],1,0)</f>
        <v>#N/A</v>
      </c>
      <c r="G226" t="s">
        <v>618</v>
      </c>
      <c r="H226" t="e">
        <f>VLOOKUP(DICCIONARIO[[#This Row],[Modelo]],UNIFICADA[Equipo],1,0)</f>
        <v>#N/A</v>
      </c>
      <c r="I226">
        <f>IFERROR(VLOOKUP(DICCIONARIO[[#This Row],[Desc color]],ImportarStock[[DESCRIPCION]:[LIBRE UTILIZACION]],2,0),0)</f>
        <v>0</v>
      </c>
    </row>
    <row r="227" spans="2:9" x14ac:dyDescent="0.25">
      <c r="B227">
        <v>70041379</v>
      </c>
      <c r="C227" t="s">
        <v>22</v>
      </c>
      <c r="D227" t="s">
        <v>675</v>
      </c>
      <c r="E227" s="19" t="s">
        <v>678</v>
      </c>
      <c r="F227" t="e">
        <f>VLOOKUP(DICCIONARIO[[#This Row],[Desc color]],ImportarStock[DESCRIPCION],1,0)</f>
        <v>#N/A</v>
      </c>
      <c r="G227" t="s">
        <v>611</v>
      </c>
      <c r="H227" t="e">
        <f>VLOOKUP(DICCIONARIO[[#This Row],[Modelo]],UNIFICADA[Equipo],1,0)</f>
        <v>#N/A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471</v>
      </c>
      <c r="D228" t="s">
        <v>675</v>
      </c>
      <c r="E228" s="19" t="s">
        <v>1114</v>
      </c>
      <c r="F228" t="str">
        <f>VLOOKUP(DICCIONARIO[[#This Row],[Desc color]],ImportarStock[DESCRIPCION],1,0)</f>
        <v>OPP A17 64GB AZ</v>
      </c>
      <c r="H228" t="str">
        <f>VLOOKUP(DICCIONARIO[[#This Row],[Modelo]],UNIFICADA[Equipo],1,0)</f>
        <v>OPPO A17 64GB</v>
      </c>
      <c r="I228">
        <f>IFERROR(VLOOKUP(DICCIONARIO[[#This Row],[Desc color]],ImportarStock[[DESCRIPCION]:[LIBRE UTILIZACION]],2,0),0)</f>
        <v>1</v>
      </c>
    </row>
    <row r="229" spans="2:9" x14ac:dyDescent="0.25">
      <c r="C229" t="s">
        <v>471</v>
      </c>
      <c r="D229" t="s">
        <v>675</v>
      </c>
      <c r="E229" s="19" t="s">
        <v>889</v>
      </c>
      <c r="F229" t="str">
        <f>VLOOKUP(DICCIONARIO[[#This Row],[Desc color]],ImportarStock[DESCRIPCION],1,0)</f>
        <v>OPP A17 64GB AZ EARPHONE</v>
      </c>
      <c r="H229" t="str">
        <f>VLOOKUP(DICCIONARIO[[#This Row],[Modelo]],UNIFICADA[Equipo],1,0)</f>
        <v>OPPO A17 64GB</v>
      </c>
      <c r="I229">
        <f>IFERROR(VLOOKUP(DICCIONARIO[[#This Row],[Desc color]],ImportarStock[[DESCRIPCION]:[LIBRE UTILIZACION]],2,0),0)</f>
        <v>2</v>
      </c>
    </row>
    <row r="230" spans="2:9" x14ac:dyDescent="0.25">
      <c r="C230" t="s">
        <v>471</v>
      </c>
      <c r="D230" t="s">
        <v>675</v>
      </c>
      <c r="E230" s="19" t="s">
        <v>890</v>
      </c>
      <c r="F230" t="str">
        <f>VLOOKUP(DICCIONARIO[[#This Row],[Desc color]],ImportarStock[DESCRIPCION],1,0)</f>
        <v>OPP A17 64GB NG</v>
      </c>
      <c r="H230" t="str">
        <f>VLOOKUP(DICCIONARIO[[#This Row],[Modelo]],UNIFICADA[Equipo],1,0)</f>
        <v>OPPO A17 64GB</v>
      </c>
      <c r="I230">
        <f>IFERROR(VLOOKUP(DICCIONARIO[[#This Row],[Desc color]],ImportarStock[[DESCRIPCION]:[LIBRE UTILIZACION]],2,0),0)</f>
        <v>3</v>
      </c>
    </row>
    <row r="231" spans="2:9" x14ac:dyDescent="0.25">
      <c r="C231" t="s">
        <v>471</v>
      </c>
      <c r="D231" t="s">
        <v>675</v>
      </c>
      <c r="E231" s="19" t="s">
        <v>1011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A17 64GB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70041378</v>
      </c>
      <c r="C232" t="s">
        <v>23</v>
      </c>
      <c r="D232" t="s">
        <v>675</v>
      </c>
      <c r="E232" s="19" t="s">
        <v>677</v>
      </c>
      <c r="F232" t="e">
        <f>VLOOKUP(DICCIONARIO[[#This Row],[Desc color]],ImportarStock[DESCRIPCION],1,0)</f>
        <v>#N/A</v>
      </c>
      <c r="G232" t="s">
        <v>618</v>
      </c>
      <c r="H232" t="str">
        <f>VLOOKUP(DICCIONARIO[[#This Row],[Modelo]],UNIFICADA[Equipo],1,0)</f>
        <v>OPPO A54 128GB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70044806</v>
      </c>
      <c r="C233" t="s">
        <v>23</v>
      </c>
      <c r="D233" t="s">
        <v>675</v>
      </c>
      <c r="E233" s="19" t="s">
        <v>847</v>
      </c>
      <c r="F233" t="e">
        <f>VLOOKUP(DICCIONARIO[[#This Row],[Desc color]],ImportarStock[DESCRIPCION],1,0)</f>
        <v>#N/A</v>
      </c>
      <c r="G233" t="s">
        <v>618</v>
      </c>
      <c r="H233" t="str">
        <f>VLOOKUP(DICCIONARIO[[#This Row],[Modelo]],UNIFICADA[Equipo],1,0)</f>
        <v>OPPO A54 128GB</v>
      </c>
      <c r="I233">
        <f>IFERROR(VLOOKUP(DICCIONARIO[[#This Row],[Desc color]],ImportarStock[[DESCRIPCION]:[LIBRE UTILIZACION]],2,0),0)</f>
        <v>0</v>
      </c>
    </row>
    <row r="234" spans="2:9" x14ac:dyDescent="0.25">
      <c r="B234">
        <v>70041377</v>
      </c>
      <c r="C234" t="s">
        <v>23</v>
      </c>
      <c r="D234" t="s">
        <v>675</v>
      </c>
      <c r="E234" s="19" t="s">
        <v>676</v>
      </c>
      <c r="F234" t="e">
        <f>VLOOKUP(DICCIONARIO[[#This Row],[Desc color]],ImportarStock[DESCRIPCION],1,0)</f>
        <v>#N/A</v>
      </c>
      <c r="G234" t="s">
        <v>611</v>
      </c>
      <c r="H234" t="str">
        <f>VLOOKUP(DICCIONARIO[[#This Row],[Modelo]],UNIFICADA[Equipo],1,0)</f>
        <v>OPPO A54 128GB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123</v>
      </c>
      <c r="D235" t="s">
        <v>675</v>
      </c>
      <c r="E235" s="19" t="s">
        <v>891</v>
      </c>
      <c r="F235" t="str">
        <f>VLOOKUP(DICCIONARIO[[#This Row],[Desc color]],ImportarStock[DESCRIPCION],1,0)</f>
        <v>OPP A57 128GB NG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20</v>
      </c>
    </row>
    <row r="236" spans="2:9" x14ac:dyDescent="0.25">
      <c r="C236" t="s">
        <v>123</v>
      </c>
      <c r="D236" t="s">
        <v>675</v>
      </c>
      <c r="E236" s="19" t="s">
        <v>892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A57 128GB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123</v>
      </c>
      <c r="D237" t="s">
        <v>675</v>
      </c>
      <c r="E237" s="19" t="s">
        <v>893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A57 128GB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123</v>
      </c>
      <c r="D238" t="s">
        <v>675</v>
      </c>
      <c r="E238" s="19" t="s">
        <v>973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A57 128GB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123</v>
      </c>
      <c r="D239" t="s">
        <v>675</v>
      </c>
      <c r="E239" s="19" t="s">
        <v>894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OPPO A57 128GB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123</v>
      </c>
      <c r="D240" t="s">
        <v>675</v>
      </c>
      <c r="E240" s="19" t="s">
        <v>895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A57 128GB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124</v>
      </c>
      <c r="D241" t="s">
        <v>675</v>
      </c>
      <c r="E241" s="19" t="s">
        <v>896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A77 128GB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124</v>
      </c>
      <c r="D242" t="s">
        <v>675</v>
      </c>
      <c r="E242" s="19" t="s">
        <v>974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A77 128GB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124</v>
      </c>
      <c r="D243" t="s">
        <v>675</v>
      </c>
      <c r="E243" s="19" t="s">
        <v>897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A77 128GB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948</v>
      </c>
      <c r="D244" t="s">
        <v>675</v>
      </c>
      <c r="E244" s="19" t="s">
        <v>1052</v>
      </c>
      <c r="F244" t="str">
        <f>VLOOKUP(DICCIONARIO[[#This Row],[Desc color]],ImportarStock[DESCRIPCION],1,0)</f>
        <v>OPP A78 128GB AZ AUDIFONOS WIRELESS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4</v>
      </c>
    </row>
    <row r="245" spans="2:9" x14ac:dyDescent="0.25">
      <c r="C245" t="s">
        <v>948</v>
      </c>
      <c r="D245" t="s">
        <v>675</v>
      </c>
      <c r="E245" s="19" t="s">
        <v>1135</v>
      </c>
      <c r="F245" t="str">
        <f>VLOOKUP(DICCIONARIO[[#This Row],[Desc color]],ImportarStock[DESCRIPCION],1,0)</f>
        <v>OPP A78 128GB AZ SMARTWATCH</v>
      </c>
      <c r="H245" t="str">
        <f>VLOOKUP(DICCIONARIO[[#This Row],[Modelo]],UNIFICADA[Equipo],1,0)</f>
        <v>OPPO A78 128GB</v>
      </c>
      <c r="I245">
        <f>IFERROR(VLOOKUP(DICCIONARIO[[#This Row],[Desc color]],ImportarStock[[DESCRIPCION]:[LIBRE UTILIZACION]],2,0),0)</f>
        <v>10</v>
      </c>
    </row>
    <row r="246" spans="2:9" x14ac:dyDescent="0.25">
      <c r="C246" t="s">
        <v>948</v>
      </c>
      <c r="D246" t="s">
        <v>675</v>
      </c>
      <c r="E246" s="19" t="s">
        <v>1127</v>
      </c>
      <c r="F246" t="str">
        <f>VLOOKUP(DICCIONARIO[[#This Row],[Desc color]],ImportarStock[DESCRIPCION],1,0)</f>
        <v>OPP A78 128GB NG SMARTWATCH</v>
      </c>
      <c r="H246" t="str">
        <f>VLOOKUP(DICCIONARIO[[#This Row],[Modelo]],UNIFICADA[Equipo],1,0)</f>
        <v>OPPO A78 128GB</v>
      </c>
      <c r="I246">
        <f>IFERROR(VLOOKUP(DICCIONARIO[[#This Row],[Desc color]],ImportarStock[[DESCRIPCION]:[LIBRE UTILIZACION]],2,0),0)</f>
        <v>1</v>
      </c>
    </row>
    <row r="247" spans="2:9" x14ac:dyDescent="0.25">
      <c r="C247" t="s">
        <v>948</v>
      </c>
      <c r="D247" t="s">
        <v>675</v>
      </c>
      <c r="E247" s="19" t="s">
        <v>975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A78 128GB</v>
      </c>
      <c r="I247">
        <f>IFERROR(VLOOKUP(DICCIONARIO[[#This Row],[Desc color]],ImportarStock[[DESCRIPCION]:[LIBRE UTILIZACION]],2,0),0)</f>
        <v>0</v>
      </c>
    </row>
    <row r="248" spans="2:9" x14ac:dyDescent="0.25">
      <c r="B248">
        <v>70043911</v>
      </c>
      <c r="C248" t="s">
        <v>52</v>
      </c>
      <c r="D248" t="s">
        <v>675</v>
      </c>
      <c r="E248" s="19" t="s">
        <v>803</v>
      </c>
      <c r="F248" t="e">
        <f>VLOOKUP(DICCIONARIO[[#This Row],[Desc color]],ImportarStock[DESCRIPCION],1,0)</f>
        <v>#N/A</v>
      </c>
      <c r="G248" t="s">
        <v>611</v>
      </c>
      <c r="H248" t="str">
        <f>VLOOKUP(DICCIONARIO[[#This Row],[Modelo]],UNIFICADA[Equipo],1,0)</f>
        <v>OPPO RENO 6 LITE 128GB</v>
      </c>
      <c r="I248">
        <f>IFERROR(VLOOKUP(DICCIONARIO[[#This Row],[Desc color]],ImportarStock[[DESCRIPCION]:[LIBRE UTILIZACION]],2,0),0)</f>
        <v>0</v>
      </c>
    </row>
    <row r="249" spans="2:9" x14ac:dyDescent="0.25">
      <c r="B249">
        <v>70043913</v>
      </c>
      <c r="C249" t="s">
        <v>52</v>
      </c>
      <c r="D249" t="s">
        <v>675</v>
      </c>
      <c r="E249" s="19" t="s">
        <v>806</v>
      </c>
      <c r="F249" t="e">
        <f>VLOOKUP(DICCIONARIO[[#This Row],[Desc color]],ImportarStock[DESCRIPCION],1,0)</f>
        <v>#N/A</v>
      </c>
      <c r="G249" t="s">
        <v>611</v>
      </c>
      <c r="H249" t="str">
        <f>VLOOKUP(DICCIONARIO[[#This Row],[Modelo]],UNIFICADA[Equipo],1,0)</f>
        <v>OPPO RENO 6 LITE 128GB</v>
      </c>
      <c r="I249">
        <f>IFERROR(VLOOKUP(DICCIONARIO[[#This Row],[Desc color]],ImportarStock[[DESCRIPCION]:[LIBRE UTILIZACION]],2,0),0)</f>
        <v>0</v>
      </c>
    </row>
    <row r="250" spans="2:9" x14ac:dyDescent="0.25">
      <c r="B250">
        <v>70043912</v>
      </c>
      <c r="C250" t="s">
        <v>52</v>
      </c>
      <c r="D250" t="s">
        <v>675</v>
      </c>
      <c r="E250" s="19" t="s">
        <v>804</v>
      </c>
      <c r="F250" t="e">
        <f>VLOOKUP(DICCIONARIO[[#This Row],[Desc color]],ImportarStock[DESCRIPCION],1,0)</f>
        <v>#N/A</v>
      </c>
      <c r="G250" t="s">
        <v>805</v>
      </c>
      <c r="H250" t="str">
        <f>VLOOKUP(DICCIONARIO[[#This Row],[Modelo]],UNIFICADA[Equipo],1,0)</f>
        <v>OPPO RENO 6 LITE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102</v>
      </c>
      <c r="D251" t="s">
        <v>675</v>
      </c>
      <c r="E251" s="19" t="s">
        <v>898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RENO 7 128GB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102</v>
      </c>
      <c r="D252" t="s">
        <v>675</v>
      </c>
      <c r="E252" s="19" t="s">
        <v>899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OPPO RENO 7 128GB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102</v>
      </c>
      <c r="D253" t="s">
        <v>675</v>
      </c>
      <c r="E253" s="19" t="s">
        <v>900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102</v>
      </c>
      <c r="D254" t="s">
        <v>675</v>
      </c>
      <c r="E254" s="19" t="s">
        <v>901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604</v>
      </c>
      <c r="D255" t="s">
        <v>675</v>
      </c>
      <c r="E255" s="19" t="s">
        <v>1053</v>
      </c>
      <c r="F255" t="str">
        <f>VLOOKUP(DICCIONARIO[[#This Row],[Desc color]],ImportarStock[DESCRIPCION],1,0)</f>
        <v>OPP RENO7 256GB D1</v>
      </c>
      <c r="H255" t="str">
        <f>VLOOKUP(DICCIONARIO[[#This Row],[Modelo]],UNIFICADA[Equipo],1,0)</f>
        <v>OPPO RENO 7 256GB</v>
      </c>
      <c r="I255">
        <f>IFERROR(VLOOKUP(DICCIONARIO[[#This Row],[Desc color]],ImportarStock[[DESCRIPCION]:[LIBRE UTILIZACION]],2,0),0)</f>
        <v>15</v>
      </c>
    </row>
    <row r="256" spans="2:9" x14ac:dyDescent="0.25">
      <c r="C256" t="s">
        <v>604</v>
      </c>
      <c r="D256" t="s">
        <v>675</v>
      </c>
      <c r="E256" s="19" t="s">
        <v>976</v>
      </c>
      <c r="F256" t="str">
        <f>VLOOKUP(DICCIONARIO[[#This Row],[Desc color]],ImportarStock[DESCRIPCION],1,0)</f>
        <v>OPP RENO7 256GB NH SMART WATCH</v>
      </c>
      <c r="H256" t="str">
        <f>VLOOKUP(DICCIONARIO[[#This Row],[Modelo]],UNIFICADA[Equipo],1,0)</f>
        <v>OPPO RENO 7 256GB</v>
      </c>
      <c r="I256">
        <f>IFERROR(VLOOKUP(DICCIONARIO[[#This Row],[Desc color]],ImportarStock[[DESCRIPCION]:[LIBRE UTILIZACION]],2,0),0)</f>
        <v>10</v>
      </c>
    </row>
    <row r="257" spans="2:9" x14ac:dyDescent="0.25">
      <c r="C257" t="s">
        <v>604</v>
      </c>
      <c r="D257" t="s">
        <v>675</v>
      </c>
      <c r="E257" s="19" t="s">
        <v>1012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RENO 7 256GB</v>
      </c>
      <c r="I257">
        <f>IFERROR(VLOOKUP(DICCIONARIO[[#This Row],[Desc color]],ImportarStock[[DESCRIPCION]:[LIBRE UTILIZACION]],2,0),0)</f>
        <v>0</v>
      </c>
    </row>
    <row r="258" spans="2:9" x14ac:dyDescent="0.25">
      <c r="C258" t="s">
        <v>604</v>
      </c>
      <c r="D258" t="s">
        <v>675</v>
      </c>
      <c r="E258" s="19" t="s">
        <v>1048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7 256GB</v>
      </c>
      <c r="I258">
        <f>IFERROR(VLOOKUP(DICCIONARIO[[#This Row],[Desc color]],ImportarStock[[DESCRIPCION]:[LIBRE UTILIZACION]],2,0),0)</f>
        <v>0</v>
      </c>
    </row>
    <row r="259" spans="2:9" x14ac:dyDescent="0.25">
      <c r="B259">
        <v>70043557</v>
      </c>
      <c r="C259" t="s">
        <v>49</v>
      </c>
      <c r="D259" t="s">
        <v>788</v>
      </c>
      <c r="E259" s="19" t="s">
        <v>791</v>
      </c>
      <c r="F259" t="e">
        <f>VLOOKUP(DICCIONARIO[[#This Row],[Desc color]],ImportarStock[DESCRIPCION],1,0)</f>
        <v>#N/A</v>
      </c>
      <c r="G259" t="s">
        <v>792</v>
      </c>
      <c r="H259" t="str">
        <f>VLOOKUP(DICCIONARIO[[#This Row],[Modelo]],UNIFICADA[Equipo],1,0)</f>
        <v>REALME C21Y 64GB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49</v>
      </c>
      <c r="D260" t="s">
        <v>788</v>
      </c>
      <c r="E260" s="19" t="s">
        <v>996</v>
      </c>
      <c r="F260" t="e">
        <f>VLOOKUP(DICCIONARIO[[#This Row],[Desc color]],ImportarStock[DESCRIPCION],1,0)</f>
        <v>#N/A</v>
      </c>
      <c r="H260" t="str">
        <f>VLOOKUP(DICCIONARIO[[#This Row],[Modelo]],UNIFICADA[Equipo],1,0)</f>
        <v>REALME C21Y 64GB</v>
      </c>
      <c r="I260">
        <f>IFERROR(VLOOKUP(DICCIONARIO[[#This Row],[Desc color]],ImportarStock[[DESCRIPCION]:[LIBRE UTILIZACION]],2,0),0)</f>
        <v>0</v>
      </c>
    </row>
    <row r="261" spans="2:9" x14ac:dyDescent="0.25">
      <c r="B261">
        <v>70043555</v>
      </c>
      <c r="C261" t="s">
        <v>49</v>
      </c>
      <c r="D261" t="s">
        <v>788</v>
      </c>
      <c r="E261" s="19" t="s">
        <v>789</v>
      </c>
      <c r="F261" t="e">
        <f>VLOOKUP(DICCIONARIO[[#This Row],[Desc color]],ImportarStock[DESCRIPCION],1,0)</f>
        <v>#N/A</v>
      </c>
      <c r="G261" t="s">
        <v>790</v>
      </c>
      <c r="H261" t="str">
        <f>VLOOKUP(DICCIONARIO[[#This Row],[Modelo]],UNIFICADA[Equipo],1,0)</f>
        <v>REALME C21Y 64GB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125</v>
      </c>
      <c r="D262" t="s">
        <v>788</v>
      </c>
      <c r="E262" s="19" t="s">
        <v>902</v>
      </c>
      <c r="F262" t="e">
        <f>VLOOKUP(DICCIONARIO[[#This Row],[Desc color]],ImportarStock[DESCRIPCION],1,0)</f>
        <v>#N/A</v>
      </c>
      <c r="H262" t="str">
        <f>VLOOKUP(DICCIONARIO[[#This Row],[Modelo]],UNIFICADA[Equipo],1,0)</f>
        <v>REALME C35 128GB</v>
      </c>
      <c r="I262">
        <f>IFERROR(VLOOKUP(DICCIONARIO[[#This Row],[Desc color]],ImportarStock[[DESCRIPCION]:[LIBRE UTILIZACION]],2,0),0)</f>
        <v>0</v>
      </c>
    </row>
    <row r="263" spans="2:9" x14ac:dyDescent="0.25">
      <c r="C263" t="s">
        <v>125</v>
      </c>
      <c r="D263" t="s">
        <v>788</v>
      </c>
      <c r="E263" s="19" t="s">
        <v>977</v>
      </c>
      <c r="F263" t="e">
        <f>VLOOKUP(DICCIONARIO[[#This Row],[Desc color]],ImportarStock[DESCRIPCION],1,0)</f>
        <v>#N/A</v>
      </c>
      <c r="H263" t="str">
        <f>VLOOKUP(DICCIONARIO[[#This Row],[Modelo]],UNIFICADA[Equipo],1,0)</f>
        <v>REALME C35 128GB</v>
      </c>
      <c r="I263">
        <f>IFERROR(VLOOKUP(DICCIONARIO[[#This Row],[Desc color]],ImportarStock[[DESCRIPCION]:[LIBRE UTILIZACION]],2,0),0)</f>
        <v>0</v>
      </c>
    </row>
    <row r="264" spans="2:9" x14ac:dyDescent="0.25">
      <c r="B264">
        <v>70044359</v>
      </c>
      <c r="C264" t="s">
        <v>57</v>
      </c>
      <c r="D264" t="s">
        <v>609</v>
      </c>
      <c r="E264" s="19" t="s">
        <v>823</v>
      </c>
      <c r="F264" t="e">
        <f>VLOOKUP(DICCIONARIO[[#This Row],[Desc color]],ImportarStock[DESCRIPCION],1,0)</f>
        <v>#N/A</v>
      </c>
      <c r="G264" t="s">
        <v>611</v>
      </c>
      <c r="H264" t="str">
        <f>VLOOKUP(DICCIONARIO[[#This Row],[Modelo]],UNIFICADA[Equipo],1,0)</f>
        <v>SAMSUNG GALAXY A03 32GB</v>
      </c>
      <c r="I264">
        <f>IFERROR(VLOOKUP(DICCIONARIO[[#This Row],[Desc color]],ImportarStock[[DESCRIPCION]:[LIBRE UTILIZACION]],2,0),0)</f>
        <v>0</v>
      </c>
    </row>
    <row r="265" spans="2:9" x14ac:dyDescent="0.25">
      <c r="B265">
        <v>70044687</v>
      </c>
      <c r="C265" t="s">
        <v>65</v>
      </c>
      <c r="D265" t="s">
        <v>609</v>
      </c>
      <c r="E265" s="19" t="s">
        <v>809</v>
      </c>
      <c r="F265" t="e">
        <f>VLOOKUP(DICCIONARIO[[#This Row],[Desc color]],ImportarStock[DESCRIPCION],1,0)</f>
        <v>#N/A</v>
      </c>
      <c r="G265" t="s">
        <v>611</v>
      </c>
      <c r="H265" t="str">
        <f>VLOOKUP(DICCIONARIO[[#This Row],[Modelo]],UNIFICADA[Equipo],1,0)</f>
        <v>SAMSUNG GALAXY A03 CORE 32GB</v>
      </c>
      <c r="I265">
        <f>IFERROR(VLOOKUP(DICCIONARIO[[#This Row],[Desc color]],ImportarStock[[DESCRIPCION]:[LIBRE UTILIZACION]],2,0),0)</f>
        <v>0</v>
      </c>
    </row>
    <row r="266" spans="2:9" x14ac:dyDescent="0.25">
      <c r="B266">
        <v>70041018</v>
      </c>
      <c r="C266" t="s">
        <v>24</v>
      </c>
      <c r="D266" t="s">
        <v>609</v>
      </c>
      <c r="E266" s="19" t="s">
        <v>616</v>
      </c>
      <c r="F266" t="e">
        <f>VLOOKUP(DICCIONARIO[[#This Row],[Desc color]],ImportarStock[DESCRIPCION],1,0)</f>
        <v>#N/A</v>
      </c>
      <c r="G266" t="s">
        <v>611</v>
      </c>
      <c r="H266" t="str">
        <f>VLOOKUP(DICCIONARIO[[#This Row],[Modelo]],UNIFICADA[Equipo],1,0)</f>
        <v>SAMSUNG GALAXY A03S 32GB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130</v>
      </c>
      <c r="D267" t="s">
        <v>609</v>
      </c>
      <c r="E267" s="19" t="s">
        <v>907</v>
      </c>
      <c r="F267" t="str">
        <f>VLOOKUP(DICCIONARIO[[#This Row],[Desc color]],ImportarStock[DESCRIPCION],1,0)</f>
        <v>SMG GLA04E32A042M NG</v>
      </c>
      <c r="H267" t="str">
        <f>VLOOKUP(DICCIONARIO[[#This Row],[Modelo]],UNIFICADA[Equipo],1,0)</f>
        <v>SAMSUNG GALAXY A04E 32GB</v>
      </c>
      <c r="I267">
        <f>IFERROR(VLOOKUP(DICCIONARIO[[#This Row],[Desc color]],ImportarStock[[DESCRIPCION]:[LIBRE UTILIZACION]],2,0),0)</f>
        <v>13</v>
      </c>
    </row>
    <row r="268" spans="2:9" x14ac:dyDescent="0.25">
      <c r="C268" t="s">
        <v>949</v>
      </c>
      <c r="D268" t="s">
        <v>609</v>
      </c>
      <c r="E268" s="19" t="s">
        <v>979</v>
      </c>
      <c r="F268" t="str">
        <f>VLOOKUP(DICCIONARIO[[#This Row],[Desc color]],ImportarStock[DESCRIPCION],1,0)</f>
        <v>SMG GLA04S64A047M NG</v>
      </c>
      <c r="H268" t="str">
        <f>VLOOKUP(DICCIONARIO[[#This Row],[Modelo]],UNIFICADA[Equipo],1,0)</f>
        <v>SAMSUNG GALAXY A04S 64GB</v>
      </c>
      <c r="I268">
        <f>IFERROR(VLOOKUP(DICCIONARIO[[#This Row],[Desc color]],ImportarStock[[DESCRIPCION]:[LIBRE UTILIZACION]],2,0),0)</f>
        <v>17</v>
      </c>
    </row>
    <row r="269" spans="2:9" x14ac:dyDescent="0.25">
      <c r="C269" t="s">
        <v>72</v>
      </c>
      <c r="D269" t="s">
        <v>609</v>
      </c>
      <c r="E269" s="19" t="s">
        <v>910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SAMSUNG GALAXY A13 64GB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1016</v>
      </c>
      <c r="D270" t="s">
        <v>609</v>
      </c>
      <c r="E270" s="19" t="s">
        <v>1032</v>
      </c>
      <c r="F270" t="str">
        <f>VLOOKUP(DICCIONARIO[[#This Row],[Desc color]],ImportarStock[DESCRIPCION],1,0)</f>
        <v>SMG GA1451284146M NG</v>
      </c>
      <c r="H270" t="str">
        <f>VLOOKUP(DICCIONARIO[[#This Row],[Modelo]],UNIFICADA[Equipo],1,0)</f>
        <v>SAMSUNG GALAXY A14 128GB 5G</v>
      </c>
      <c r="I270">
        <f>IFERROR(VLOOKUP(DICCIONARIO[[#This Row],[Desc color]],ImportarStock[[DESCRIPCION]:[LIBRE UTILIZACION]],2,0),0)</f>
        <v>108</v>
      </c>
    </row>
    <row r="271" spans="2:9" x14ac:dyDescent="0.25">
      <c r="B271">
        <v>70041128</v>
      </c>
      <c r="C271" t="s">
        <v>25</v>
      </c>
      <c r="D271" t="s">
        <v>609</v>
      </c>
      <c r="E271" s="19" t="s">
        <v>617</v>
      </c>
      <c r="F271" t="e">
        <f>VLOOKUP(DICCIONARIO[[#This Row],[Desc color]],ImportarStock[DESCRIPCION],1,0)</f>
        <v>#N/A</v>
      </c>
      <c r="G271" t="s">
        <v>615</v>
      </c>
      <c r="H271" t="str">
        <f>VLOOKUP(DICCIONARIO[[#This Row],[Modelo]],UNIFICADA[Equipo],1,0)</f>
        <v>SAMSUNG GALAXY A22 128GB 5G</v>
      </c>
      <c r="I271">
        <f>IFERROR(VLOOKUP(DICCIONARIO[[#This Row],[Desc color]],ImportarStock[[DESCRIPCION]:[LIBRE UTILIZACION]],2,0),0)</f>
        <v>0</v>
      </c>
    </row>
    <row r="272" spans="2:9" x14ac:dyDescent="0.25">
      <c r="B272">
        <v>70043544</v>
      </c>
      <c r="C272" t="s">
        <v>26</v>
      </c>
      <c r="D272" t="s">
        <v>609</v>
      </c>
      <c r="E272" s="19" t="s">
        <v>787</v>
      </c>
      <c r="F272" t="e">
        <f>VLOOKUP(DICCIONARIO[[#This Row],[Desc color]],ImportarStock[DESCRIPCION],1,0)</f>
        <v>#N/A</v>
      </c>
      <c r="G272" t="s">
        <v>611</v>
      </c>
      <c r="H272" t="str">
        <f>VLOOKUP(DICCIONARIO[[#This Row],[Modelo]],UNIFICADA[Equipo],1,0)</f>
        <v>SAMSUNG GALAXY A22 64GB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79</v>
      </c>
      <c r="D273" t="s">
        <v>609</v>
      </c>
      <c r="E273" s="19" t="s">
        <v>911</v>
      </c>
      <c r="F273" t="e">
        <f>VLOOKUP(DICCIONARIO[[#This Row],[Desc color]],ImportarStock[DESCRIPCION],1,0)</f>
        <v>#N/A</v>
      </c>
      <c r="H273" t="str">
        <f>VLOOKUP(DICCIONARIO[[#This Row],[Modelo]],UNIFICADA[Equipo],1,0)</f>
        <v>SAMSUNG GALAXY A23 128GB</v>
      </c>
      <c r="I273">
        <f>IFERROR(VLOOKUP(DICCIONARIO[[#This Row],[Desc color]],ImportarStock[[DESCRIPCION]:[LIBRE UTILIZACION]],2,0),0)</f>
        <v>0</v>
      </c>
    </row>
    <row r="274" spans="2:9" x14ac:dyDescent="0.25">
      <c r="C274" t="s">
        <v>1056</v>
      </c>
      <c r="D274" t="s">
        <v>609</v>
      </c>
      <c r="E274" s="19" t="s">
        <v>1129</v>
      </c>
      <c r="F274" t="str">
        <f>VLOOKUP(DICCIONARIO[[#This Row],[Desc color]],ImportarStock[DESCRIPCION],1,0)</f>
        <v>SMG GXYA245M128/4 NG</v>
      </c>
      <c r="H274" t="str">
        <f>VLOOKUP(DICCIONARIO[[#This Row],[Modelo]],UNIFICADA[Equipo],1,0)</f>
        <v>SAMSUNG GALAXY A24 128GB</v>
      </c>
      <c r="I274">
        <f>IFERROR(VLOOKUP(DICCIONARIO[[#This Row],[Desc color]],ImportarStock[[DESCRIPCION]:[LIBRE UTILIZACION]],2,0),0)</f>
        <v>3</v>
      </c>
    </row>
    <row r="275" spans="2:9" x14ac:dyDescent="0.25">
      <c r="B275">
        <v>70044893</v>
      </c>
      <c r="C275" t="s">
        <v>81</v>
      </c>
      <c r="D275" t="s">
        <v>609</v>
      </c>
      <c r="E275" s="19" t="s">
        <v>824</v>
      </c>
      <c r="F275" t="e">
        <f>VLOOKUP(DICCIONARIO[[#This Row],[Desc color]],ImportarStock[DESCRIPCION],1,0)</f>
        <v>#N/A</v>
      </c>
      <c r="G275" t="s">
        <v>611</v>
      </c>
      <c r="H275" t="str">
        <f>VLOOKUP(DICCIONARIO[[#This Row],[Modelo]],UNIFICADA[Equipo],1,0)</f>
        <v>SAMSUNG GALAXY A33 128GB 5G</v>
      </c>
      <c r="I275">
        <f>IFERROR(VLOOKUP(DICCIONARIO[[#This Row],[Desc color]],ImportarStock[[DESCRIPCION]:[LIBRE UTILIZACION]],2,0),0)</f>
        <v>0</v>
      </c>
    </row>
    <row r="276" spans="2:9" x14ac:dyDescent="0.25">
      <c r="C276" t="s">
        <v>1017</v>
      </c>
      <c r="D276" t="s">
        <v>609</v>
      </c>
      <c r="E276" s="19" t="s">
        <v>1040</v>
      </c>
      <c r="F276" t="str">
        <f>VLOOKUP(DICCIONARIO[[#This Row],[Desc color]],ImportarStock[DESCRIPCION],1,0)</f>
        <v>SMG GXA34256A346M NG</v>
      </c>
      <c r="H276" t="str">
        <f>VLOOKUP(DICCIONARIO[[#This Row],[Modelo]],UNIFICADA[Equipo],1,0)</f>
        <v>SAMSUNG GALAXY A34 256GB 5G</v>
      </c>
      <c r="I276">
        <f>IFERROR(VLOOKUP(DICCIONARIO[[#This Row],[Desc color]],ImportarStock[[DESCRIPCION]:[LIBRE UTILIZACION]],2,0),0)</f>
        <v>16</v>
      </c>
    </row>
    <row r="277" spans="2:9" x14ac:dyDescent="0.25">
      <c r="B277">
        <v>70042274</v>
      </c>
      <c r="C277" t="s">
        <v>29</v>
      </c>
      <c r="D277" t="s">
        <v>609</v>
      </c>
      <c r="E277" s="19" t="s">
        <v>681</v>
      </c>
      <c r="F277" t="e">
        <f>VLOOKUP(DICCIONARIO[[#This Row],[Desc color]],ImportarStock[DESCRIPCION],1,0)</f>
        <v>#N/A</v>
      </c>
      <c r="G277" t="s">
        <v>682</v>
      </c>
      <c r="H277" t="str">
        <f>VLOOKUP(DICCIONARIO[[#This Row],[Modelo]],UNIFICADA[Equipo],1,0)</f>
        <v>SAMSUNG GALAXY A52S 128GB</v>
      </c>
      <c r="I277">
        <f>IFERROR(VLOOKUP(DICCIONARIO[[#This Row],[Desc color]],ImportarStock[[DESCRIPCION]:[LIBRE UTILIZACION]],2,0),0)</f>
        <v>0</v>
      </c>
    </row>
    <row r="278" spans="2:9" x14ac:dyDescent="0.25">
      <c r="C278" t="s">
        <v>73</v>
      </c>
      <c r="D278" t="s">
        <v>609</v>
      </c>
      <c r="E278" s="19" t="s">
        <v>912</v>
      </c>
      <c r="F278" t="e">
        <f>VLOOKUP(DICCIONARIO[[#This Row],[Desc color]],ImportarStock[DESCRIPCION],1,0)</f>
        <v>#N/A</v>
      </c>
      <c r="H278" t="str">
        <f>VLOOKUP(DICCIONARIO[[#This Row],[Modelo]],UNIFICADA[Equipo],1,0)</f>
        <v>SAMSUNG GALAXY A53 128GB 5G</v>
      </c>
      <c r="I278">
        <f>IFERROR(VLOOKUP(DICCIONARIO[[#This Row],[Desc color]],ImportarStock[[DESCRIPCION]:[LIBRE UTILIZACION]],2,0),0)</f>
        <v>0</v>
      </c>
    </row>
    <row r="279" spans="2:9" x14ac:dyDescent="0.25">
      <c r="B279">
        <v>70044358</v>
      </c>
      <c r="C279" t="s">
        <v>73</v>
      </c>
      <c r="D279" t="s">
        <v>609</v>
      </c>
      <c r="E279" s="19" t="s">
        <v>825</v>
      </c>
      <c r="F279" t="e">
        <f>VLOOKUP(DICCIONARIO[[#This Row],[Desc color]],ImportarStock[DESCRIPCION],1,0)</f>
        <v>#N/A</v>
      </c>
      <c r="G279" t="s">
        <v>611</v>
      </c>
      <c r="H279" t="str">
        <f>VLOOKUP(DICCIONARIO[[#This Row],[Modelo]],UNIFICADA[Equipo],1,0)</f>
        <v>SAMSUNG GALAXY A53 128GB 5G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1018</v>
      </c>
      <c r="D280" t="s">
        <v>609</v>
      </c>
      <c r="E280" s="19" t="s">
        <v>1041</v>
      </c>
      <c r="F280" t="str">
        <f>VLOOKUP(DICCIONARIO[[#This Row],[Desc color]],ImportarStock[DESCRIPCION],1,0)</f>
        <v>SMG GXA54256A546E NG</v>
      </c>
      <c r="H280" t="str">
        <f>VLOOKUP(DICCIONARIO[[#This Row],[Modelo]],UNIFICADA[Equipo],1,0)</f>
        <v>SAMSUNG GALAXY A54 256GB 5G</v>
      </c>
      <c r="I280">
        <f>IFERROR(VLOOKUP(DICCIONARIO[[#This Row],[Desc color]],ImportarStock[[DESCRIPCION]:[LIBRE UTILIZACION]],2,0),0)</f>
        <v>12</v>
      </c>
    </row>
    <row r="281" spans="2:9" x14ac:dyDescent="0.25">
      <c r="B281">
        <v>70041301</v>
      </c>
      <c r="C281" t="s">
        <v>30</v>
      </c>
      <c r="D281" t="s">
        <v>609</v>
      </c>
      <c r="E281" s="19" t="s">
        <v>610</v>
      </c>
      <c r="F281" t="e">
        <f>VLOOKUP(DICCIONARIO[[#This Row],[Desc color]],ImportarStock[DESCRIPCION],1,0)</f>
        <v>#N/A</v>
      </c>
      <c r="G281" t="s">
        <v>611</v>
      </c>
      <c r="H281" t="str">
        <f>VLOOKUP(DICCIONARIO[[#This Row],[Modelo]],UNIFICADA[Equipo],1,0)</f>
        <v>SAMSUNG GALAXY NOTE 10 256GB</v>
      </c>
      <c r="I281">
        <f>IFERROR(VLOOKUP(DICCIONARIO[[#This Row],[Desc color]],ImportarStock[[DESCRIPCION]:[LIBRE UTILIZACION]],2,0),0)</f>
        <v>0</v>
      </c>
    </row>
    <row r="282" spans="2:9" x14ac:dyDescent="0.25">
      <c r="C282" t="s">
        <v>84</v>
      </c>
      <c r="D282" t="s">
        <v>609</v>
      </c>
      <c r="E282" s="19" t="s">
        <v>913</v>
      </c>
      <c r="F282" t="str">
        <f>VLOOKUP(DICCIONARIO[[#This Row],[Desc color]],ImportarStock[DESCRIPCION],1,0)</f>
        <v>SMG GXYS20FEGT80F AZ</v>
      </c>
      <c r="H282" t="str">
        <f>VLOOKUP(DICCIONARIO[[#This Row],[Modelo]],UNIFICADA[Equipo],1,0)</f>
        <v>SAMSUNG GALAXY S20FE 128GB 5G</v>
      </c>
      <c r="I282">
        <f>IFERROR(VLOOKUP(DICCIONARIO[[#This Row],[Desc color]],ImportarStock[[DESCRIPCION]:[LIBRE UTILIZACION]],2,0),0)</f>
        <v>12</v>
      </c>
    </row>
    <row r="283" spans="2:9" x14ac:dyDescent="0.25">
      <c r="C283" t="s">
        <v>50</v>
      </c>
      <c r="D283" t="s">
        <v>609</v>
      </c>
      <c r="E283" s="19" t="s">
        <v>983</v>
      </c>
      <c r="F283" t="str">
        <f>VLOOKUP(DICCIONARIO[[#This Row],[Desc color]],ImportarStock[DESCRIPCION],1,0)</f>
        <v>SMG GXYS21FE128/6 GR</v>
      </c>
      <c r="H283" t="str">
        <f>VLOOKUP(DICCIONARIO[[#This Row],[Modelo]],UNIFICADA[Equipo],1,0)</f>
        <v>SAMSUNG GALAXY S21FE 128GB</v>
      </c>
      <c r="I283">
        <f>IFERROR(VLOOKUP(DICCIONARIO[[#This Row],[Desc color]],ImportarStock[[DESCRIPCION]:[LIBRE UTILIZACION]],2,0),0)</f>
        <v>6</v>
      </c>
    </row>
    <row r="284" spans="2:9" x14ac:dyDescent="0.25">
      <c r="B284">
        <v>70041015</v>
      </c>
      <c r="C284" t="s">
        <v>50</v>
      </c>
      <c r="D284" t="s">
        <v>609</v>
      </c>
      <c r="E284" s="19" t="s">
        <v>614</v>
      </c>
      <c r="F284" t="e">
        <f>VLOOKUP(DICCIONARIO[[#This Row],[Desc color]],ImportarStock[DESCRIPCION],1,0)</f>
        <v>#N/A</v>
      </c>
      <c r="G284" t="s">
        <v>615</v>
      </c>
      <c r="H284" t="str">
        <f>VLOOKUP(DICCIONARIO[[#This Row],[Modelo]],UNIFICADA[Equipo],1,0)</f>
        <v>SAMSUNG GALAXY S21FE 128GB</v>
      </c>
      <c r="I284">
        <f>IFERROR(VLOOKUP(DICCIONARIO[[#This Row],[Desc color]],ImportarStock[[DESCRIPCION]:[LIBRE UTILIZACION]],2,0),0)</f>
        <v>0</v>
      </c>
    </row>
    <row r="285" spans="2:9" x14ac:dyDescent="0.25">
      <c r="B285">
        <v>70044892</v>
      </c>
      <c r="C285" t="s">
        <v>50</v>
      </c>
      <c r="D285" t="s">
        <v>609</v>
      </c>
      <c r="E285" s="19" t="s">
        <v>822</v>
      </c>
      <c r="F285" t="e">
        <f>VLOOKUP(DICCIONARIO[[#This Row],[Desc color]],ImportarStock[DESCRIPCION],1,0)</f>
        <v>#N/A</v>
      </c>
      <c r="G285" t="s">
        <v>615</v>
      </c>
      <c r="H285" t="str">
        <f>VLOOKUP(DICCIONARIO[[#This Row],[Modelo]],UNIFICADA[Equipo],1,0)</f>
        <v>SAMSUNG GALAXY S21FE 128GB</v>
      </c>
      <c r="I285">
        <f>IFERROR(VLOOKUP(DICCIONARIO[[#This Row],[Desc color]],ImportarStock[[DESCRIPCION]:[LIBRE UTILIZACION]],2,0),0)</f>
        <v>0</v>
      </c>
    </row>
    <row r="286" spans="2:9" x14ac:dyDescent="0.25">
      <c r="B286">
        <v>70044890</v>
      </c>
      <c r="C286" t="s">
        <v>50</v>
      </c>
      <c r="D286" t="s">
        <v>609</v>
      </c>
      <c r="E286" s="19" t="s">
        <v>820</v>
      </c>
      <c r="F286" t="e">
        <f>VLOOKUP(DICCIONARIO[[#This Row],[Desc color]],ImportarStock[DESCRIPCION],1,0)</f>
        <v>#N/A</v>
      </c>
      <c r="G286" t="s">
        <v>633</v>
      </c>
      <c r="H286" t="str">
        <f>VLOOKUP(DICCIONARIO[[#This Row],[Modelo]],UNIFICADA[Equipo],1,0)</f>
        <v>SAMSUNG GALAXY S21FE 128GB</v>
      </c>
      <c r="I286">
        <f>IFERROR(VLOOKUP(DICCIONARIO[[#This Row],[Desc color]],ImportarStock[[DESCRIPCION]:[LIBRE UTILIZACION]],2,0),0)</f>
        <v>0</v>
      </c>
    </row>
    <row r="287" spans="2:9" x14ac:dyDescent="0.25">
      <c r="B287">
        <v>70044891</v>
      </c>
      <c r="C287" t="s">
        <v>50</v>
      </c>
      <c r="D287" t="s">
        <v>609</v>
      </c>
      <c r="E287" s="19" t="s">
        <v>821</v>
      </c>
      <c r="F287" t="e">
        <f>VLOOKUP(DICCIONARIO[[#This Row],[Desc color]],ImportarStock[DESCRIPCION],1,0)</f>
        <v>#N/A</v>
      </c>
      <c r="G287" t="s">
        <v>622</v>
      </c>
      <c r="H287" t="str">
        <f>VLOOKUP(DICCIONARIO[[#This Row],[Modelo]],UNIFICADA[Equipo],1,0)</f>
        <v>SAMSUNG GALAXY S21FE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70044887</v>
      </c>
      <c r="C288" t="s">
        <v>61</v>
      </c>
      <c r="D288" t="s">
        <v>609</v>
      </c>
      <c r="E288" s="19" t="s">
        <v>817</v>
      </c>
      <c r="F288" t="e">
        <f>VLOOKUP(DICCIONARIO[[#This Row],[Desc color]],ImportarStock[DESCRIPCION],1,0)</f>
        <v>#N/A</v>
      </c>
      <c r="G288" t="s">
        <v>611</v>
      </c>
      <c r="H288" t="str">
        <f>VLOOKUP(DICCIONARIO[[#This Row],[Modelo]],UNIFICADA[Equipo],1,0)</f>
        <v>SAMSUNG GALAXY S22 128GB</v>
      </c>
      <c r="I288">
        <f>IFERROR(VLOOKUP(DICCIONARIO[[#This Row],[Desc color]],ImportarStock[[DESCRIPCION]:[LIBRE UTILIZACION]],2,0),0)</f>
        <v>0</v>
      </c>
    </row>
    <row r="289" spans="2:9" x14ac:dyDescent="0.25">
      <c r="C289" t="s">
        <v>61</v>
      </c>
      <c r="D289" t="s">
        <v>609</v>
      </c>
      <c r="E289" s="19" t="s">
        <v>984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SAMSUNG GALAXY S22 128GB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70044889</v>
      </c>
      <c r="C290" t="s">
        <v>61</v>
      </c>
      <c r="D290" t="s">
        <v>609</v>
      </c>
      <c r="E290" s="19" t="s">
        <v>819</v>
      </c>
      <c r="F290" t="e">
        <f>VLOOKUP(DICCIONARIO[[#This Row],[Desc color]],ImportarStock[DESCRIPCION],1,0)</f>
        <v>#N/A</v>
      </c>
      <c r="G290" t="s">
        <v>814</v>
      </c>
      <c r="H290" t="str">
        <f>VLOOKUP(DICCIONARIO[[#This Row],[Modelo]],UNIFICADA[Equipo],1,0)</f>
        <v>SAMSUNG GALAXY S22 128GB</v>
      </c>
      <c r="I290">
        <f>IFERROR(VLOOKUP(DICCIONARIO[[#This Row],[Desc color]],ImportarStock[[DESCRIPCION]:[LIBRE UTILIZACION]],2,0),0)</f>
        <v>0</v>
      </c>
    </row>
    <row r="291" spans="2:9" x14ac:dyDescent="0.25">
      <c r="B291">
        <v>70044888</v>
      </c>
      <c r="C291" t="s">
        <v>61</v>
      </c>
      <c r="D291" t="s">
        <v>609</v>
      </c>
      <c r="E291" s="19" t="s">
        <v>818</v>
      </c>
      <c r="F291" t="e">
        <f>VLOOKUP(DICCIONARIO[[#This Row],[Desc color]],ImportarStock[DESCRIPCION],1,0)</f>
        <v>#N/A</v>
      </c>
      <c r="G291" t="s">
        <v>633</v>
      </c>
      <c r="H291" t="str">
        <f>VLOOKUP(DICCIONARIO[[#This Row],[Modelo]],UNIFICADA[Equipo],1,0)</f>
        <v>SAMSUNG GALAXY S22 128GB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62</v>
      </c>
      <c r="D292" t="s">
        <v>609</v>
      </c>
      <c r="E292" s="19" t="s">
        <v>914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S22 PLUS 128GB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70044886</v>
      </c>
      <c r="C293" t="s">
        <v>62</v>
      </c>
      <c r="D293" t="s">
        <v>609</v>
      </c>
      <c r="E293" s="19" t="s">
        <v>816</v>
      </c>
      <c r="F293" t="e">
        <f>VLOOKUP(DICCIONARIO[[#This Row],[Desc color]],ImportarStock[DESCRIPCION],1,0)</f>
        <v>#N/A</v>
      </c>
      <c r="G293" t="s">
        <v>611</v>
      </c>
      <c r="H293" t="str">
        <f>VLOOKUP(DICCIONARIO[[#This Row],[Modelo]],UNIFICADA[Equipo],1,0)</f>
        <v>SAMSUNG GALAXY S22 PLUS 128GB</v>
      </c>
      <c r="I293">
        <f>IFERROR(VLOOKUP(DICCIONARIO[[#This Row],[Desc color]],ImportarStock[[DESCRIPCION]:[LIBRE UTILIZACION]],2,0),0)</f>
        <v>0</v>
      </c>
    </row>
    <row r="294" spans="2:9" x14ac:dyDescent="0.25">
      <c r="B294">
        <v>70044688</v>
      </c>
      <c r="C294" t="s">
        <v>62</v>
      </c>
      <c r="D294" t="s">
        <v>609</v>
      </c>
      <c r="E294" s="19" t="s">
        <v>813</v>
      </c>
      <c r="F294" t="e">
        <f>VLOOKUP(DICCIONARIO[[#This Row],[Desc color]],ImportarStock[DESCRIPCION],1,0)</f>
        <v>#N/A</v>
      </c>
      <c r="G294" t="s">
        <v>814</v>
      </c>
      <c r="H294" t="str">
        <f>VLOOKUP(DICCIONARIO[[#This Row],[Modelo]],UNIFICADA[Equipo],1,0)</f>
        <v>SAMSUNG GALAXY S22 PLUS 128GB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70044885</v>
      </c>
      <c r="C295" t="s">
        <v>62</v>
      </c>
      <c r="D295" t="s">
        <v>609</v>
      </c>
      <c r="E295" s="19" t="s">
        <v>815</v>
      </c>
      <c r="F295" t="e">
        <f>VLOOKUP(DICCIONARIO[[#This Row],[Desc color]],ImportarStock[DESCRIPCION],1,0)</f>
        <v>#N/A</v>
      </c>
      <c r="G295" t="s">
        <v>633</v>
      </c>
      <c r="H295" t="str">
        <f>VLOOKUP(DICCIONARIO[[#This Row],[Modelo]],UNIFICADA[Equipo],1,0)</f>
        <v>SAMSUNG GALAXY S22 PLUS 128GB</v>
      </c>
      <c r="I295">
        <f>IFERROR(VLOOKUP(DICCIONARIO[[#This Row],[Desc color]],ImportarStock[[DESCRIPCION]:[LIBRE UTILIZACION]],2,0),0)</f>
        <v>0</v>
      </c>
    </row>
    <row r="296" spans="2:9" x14ac:dyDescent="0.25">
      <c r="C296" t="s">
        <v>63</v>
      </c>
      <c r="D296" t="s">
        <v>609</v>
      </c>
      <c r="E296" s="19" t="s">
        <v>915</v>
      </c>
      <c r="F296" t="e">
        <f>VLOOKUP(DICCIONARIO[[#This Row],[Desc color]],ImportarStock[DESCRIPCION],1,0)</f>
        <v>#N/A</v>
      </c>
      <c r="H296" t="str">
        <f>VLOOKUP(DICCIONARIO[[#This Row],[Modelo]],UNIFICADA[Equipo],1,0)</f>
        <v>SAMSUNG GALAXY S22 ULTRA 128GB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70044894</v>
      </c>
      <c r="C297" t="s">
        <v>63</v>
      </c>
      <c r="D297" t="s">
        <v>609</v>
      </c>
      <c r="E297" s="19" t="s">
        <v>810</v>
      </c>
      <c r="F297" t="e">
        <f>VLOOKUP(DICCIONARIO[[#This Row],[Desc color]],ImportarStock[DESCRIPCION],1,0)</f>
        <v>#N/A</v>
      </c>
      <c r="G297" t="s">
        <v>811</v>
      </c>
      <c r="H297" t="str">
        <f>VLOOKUP(DICCIONARIO[[#This Row],[Modelo]],UNIFICADA[Equipo],1,0)</f>
        <v>SAMSUNG GALAXY S22 ULTRA 128GB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63</v>
      </c>
      <c r="D298" t="s">
        <v>609</v>
      </c>
      <c r="E298" s="19" t="s">
        <v>985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S22 ULTRA 128GB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70044895</v>
      </c>
      <c r="C299" t="s">
        <v>63</v>
      </c>
      <c r="D299" t="s">
        <v>609</v>
      </c>
      <c r="E299" s="19" t="s">
        <v>812</v>
      </c>
      <c r="F299" t="e">
        <f>VLOOKUP(DICCIONARIO[[#This Row],[Desc color]],ImportarStock[DESCRIPCION],1,0)</f>
        <v>#N/A</v>
      </c>
      <c r="G299" t="s">
        <v>611</v>
      </c>
      <c r="H299" t="str">
        <f>VLOOKUP(DICCIONARIO[[#This Row],[Modelo]],UNIFICADA[Equipo],1,0)</f>
        <v>SAMSUNG GALAXY S22 ULTRA 128GB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597</v>
      </c>
      <c r="D300" t="s">
        <v>609</v>
      </c>
      <c r="E300" s="19" t="s">
        <v>978</v>
      </c>
      <c r="F300" t="str">
        <f>VLOOKUP(DICCIONARIO[[#This Row],[Desc color]],ImportarStock[DESCRIPCION],1,0)</f>
        <v>SMG GAS23256S911B NG</v>
      </c>
      <c r="H300" t="str">
        <f>VLOOKUP(DICCIONARIO[[#This Row],[Modelo]],UNIFICADA[Equipo],1,0)</f>
        <v>SAMSUNG GALAXY S23 256GB</v>
      </c>
      <c r="I300">
        <f>IFERROR(VLOOKUP(DICCIONARIO[[#This Row],[Desc color]],ImportarStock[[DESCRIPCION]:[LIBRE UTILIZACION]],2,0),0)</f>
        <v>4</v>
      </c>
    </row>
    <row r="301" spans="2:9" x14ac:dyDescent="0.25">
      <c r="C301" t="s">
        <v>597</v>
      </c>
      <c r="D301" t="s">
        <v>609</v>
      </c>
      <c r="E301" s="19" t="s">
        <v>905</v>
      </c>
      <c r="F301" t="e">
        <f>VLOOKUP(DICCIONARIO[[#This Row],[Desc color]],ImportarStock[DESCRIPCION],1,0)</f>
        <v>#N/A</v>
      </c>
      <c r="H301" t="str">
        <f>VLOOKUP(DICCIONARIO[[#This Row],[Modelo]],UNIFICADA[Equipo],1,0)</f>
        <v>SAMSUNG GALAXY S23 256GB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597</v>
      </c>
      <c r="D302" t="s">
        <v>609</v>
      </c>
      <c r="E302" s="19" t="s">
        <v>906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SAMSUNG GALAXY S23 256GB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598</v>
      </c>
      <c r="D303" t="s">
        <v>609</v>
      </c>
      <c r="E303" s="19" t="s">
        <v>980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SAMSUNG GALAXY S23 PLUS 256GB</v>
      </c>
      <c r="I303">
        <f>IFERROR(VLOOKUP(DICCIONARIO[[#This Row],[Desc color]],ImportarStock[[DESCRIPCION]:[LIBRE UTILIZACION]],2,0),0)</f>
        <v>0</v>
      </c>
    </row>
    <row r="304" spans="2:9" x14ac:dyDescent="0.25">
      <c r="C304" t="s">
        <v>599</v>
      </c>
      <c r="D304" t="s">
        <v>609</v>
      </c>
      <c r="E304" s="19" t="s">
        <v>908</v>
      </c>
      <c r="F304" t="str">
        <f>VLOOKUP(DICCIONARIO[[#This Row],[Desc color]],ImportarStock[DESCRIPCION],1,0)</f>
        <v>SMG GS23P512S916B NG</v>
      </c>
      <c r="H304" t="str">
        <f>VLOOKUP(DICCIONARIO[[#This Row],[Modelo]],UNIFICADA[Equipo],1,0)</f>
        <v>SAMSUNG GALAXY S23 PLUS 512GB</v>
      </c>
      <c r="I304">
        <f>IFERROR(VLOOKUP(DICCIONARIO[[#This Row],[Desc color]],ImportarStock[[DESCRIPCION]:[LIBRE UTILIZACION]],2,0),0)</f>
        <v>1</v>
      </c>
    </row>
    <row r="305" spans="2:9" x14ac:dyDescent="0.25">
      <c r="C305" t="s">
        <v>600</v>
      </c>
      <c r="D305" t="s">
        <v>609</v>
      </c>
      <c r="E305" s="19" t="s">
        <v>1117</v>
      </c>
      <c r="F305" t="str">
        <f>VLOOKUP(DICCIONARIO[[#This Row],[Desc color]],ImportarStock[DESCRIPCION],1,0)</f>
        <v>SMG GXYS23U2568S9 VR</v>
      </c>
      <c r="H305" t="str">
        <f>VLOOKUP(DICCIONARIO[[#This Row],[Modelo]],UNIFICADA[Equipo],1,0)</f>
        <v>SAMSUNG GALAXY S23 ULTRA 256GB</v>
      </c>
      <c r="I305">
        <f>IFERROR(VLOOKUP(DICCIONARIO[[#This Row],[Desc color]],ImportarStock[[DESCRIPCION]:[LIBRE UTILIZACION]],2,0),0)</f>
        <v>5</v>
      </c>
    </row>
    <row r="306" spans="2:9" x14ac:dyDescent="0.25">
      <c r="C306" t="s">
        <v>600</v>
      </c>
      <c r="D306" t="s">
        <v>609</v>
      </c>
      <c r="E306" s="19" t="s">
        <v>986</v>
      </c>
      <c r="F306" t="e">
        <f>VLOOKUP(DICCIONARIO[[#This Row],[Desc color]],ImportarStock[DESCRIPCION],1,0)</f>
        <v>#N/A</v>
      </c>
      <c r="H306" t="str">
        <f>VLOOKUP(DICCIONARIO[[#This Row],[Modelo]],UNIFICADA[Equipo],1,0)</f>
        <v>SAMSUNG GALAXY S23 ULTRA 256GB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601</v>
      </c>
      <c r="D307" t="s">
        <v>609</v>
      </c>
      <c r="E307" s="19" t="s">
        <v>909</v>
      </c>
      <c r="F307" t="str">
        <f>VLOOKUP(DICCIONARIO[[#This Row],[Desc color]],ImportarStock[DESCRIPCION],1,0)</f>
        <v>SMG GS23U512S918B NG</v>
      </c>
      <c r="H307" t="str">
        <f>VLOOKUP(DICCIONARIO[[#This Row],[Modelo]],UNIFICADA[Equipo],1,0)</f>
        <v>SAMSUNG GALAXY S23 ULTRA 512GB</v>
      </c>
      <c r="I307">
        <f>IFERROR(VLOOKUP(DICCIONARIO[[#This Row],[Desc color]],ImportarStock[[DESCRIPCION]:[LIBRE UTILIZACION]],2,0),0)</f>
        <v>9</v>
      </c>
    </row>
    <row r="308" spans="2:9" x14ac:dyDescent="0.25">
      <c r="C308" t="s">
        <v>601</v>
      </c>
      <c r="D308" t="s">
        <v>609</v>
      </c>
      <c r="E308" s="19" t="s">
        <v>981</v>
      </c>
      <c r="F308" t="e">
        <f>VLOOKUP(DICCIONARIO[[#This Row],[Desc color]],ImportarStock[DESCRIPCION],1,0)</f>
        <v>#N/A</v>
      </c>
      <c r="H308" t="str">
        <f>VLOOKUP(DICCIONARIO[[#This Row],[Modelo]],UNIFICADA[Equipo],1,0)</f>
        <v>SAMSUNG GALAXY S23 ULTRA 512GB</v>
      </c>
      <c r="I308">
        <f>IFERROR(VLOOKUP(DICCIONARIO[[#This Row],[Desc color]],ImportarStock[[DESCRIPCION]:[LIBRE UTILIZACION]],2,0),0)</f>
        <v>0</v>
      </c>
    </row>
    <row r="309" spans="2:9" x14ac:dyDescent="0.25">
      <c r="C309" t="s">
        <v>601</v>
      </c>
      <c r="D309" t="s">
        <v>609</v>
      </c>
      <c r="E309" s="19" t="s">
        <v>982</v>
      </c>
      <c r="F309" t="e">
        <f>VLOOKUP(DICCIONARIO[[#This Row],[Desc color]],ImportarStock[DESCRIPCION],1,0)</f>
        <v>#N/A</v>
      </c>
      <c r="H309" t="str">
        <f>VLOOKUP(DICCIONARIO[[#This Row],[Modelo]],UNIFICADA[Equipo],1,0)</f>
        <v>SAMSUNG GALAXY S23 ULTRA 512GB</v>
      </c>
      <c r="I309">
        <f>IFERROR(VLOOKUP(DICCIONARIO[[#This Row],[Desc color]],ImportarStock[[DESCRIPCION]:[LIBRE UTILIZACION]],2,0),0)</f>
        <v>0</v>
      </c>
    </row>
    <row r="310" spans="2:9" x14ac:dyDescent="0.25">
      <c r="C310" t="s">
        <v>104</v>
      </c>
      <c r="D310" t="s">
        <v>632</v>
      </c>
      <c r="E310" s="19" t="s">
        <v>988</v>
      </c>
      <c r="F310" t="e">
        <f>VLOOKUP(DICCIONARIO[[#This Row],[Desc color]],ImportarStock[DESCRIPCION],1,0)</f>
        <v>#N/A</v>
      </c>
      <c r="H310" t="str">
        <f>VLOOKUP(DICCIONARIO[[#This Row],[Modelo]],UNIFICADA[Equipo],1,0)</f>
        <v>SAMSUNG GALAXY Z FLIP 4 256GB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105</v>
      </c>
      <c r="D311" t="s">
        <v>609</v>
      </c>
      <c r="E311" s="19" t="s">
        <v>987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Z FOLD 4 256GB</v>
      </c>
      <c r="I311">
        <f>IFERROR(VLOOKUP(DICCIONARIO[[#This Row],[Desc color]],ImportarStock[[DESCRIPCION]:[LIBRE UTILIZACION]],2,0),0)</f>
        <v>0</v>
      </c>
    </row>
    <row r="312" spans="2:9" x14ac:dyDescent="0.25">
      <c r="C312" t="s">
        <v>105</v>
      </c>
      <c r="D312" t="s">
        <v>609</v>
      </c>
      <c r="E312" s="19" t="s">
        <v>1013</v>
      </c>
      <c r="F312" t="e">
        <f>VLOOKUP(DICCIONARIO[[#This Row],[Desc color]],ImportarStock[DESCRIPCION],1,0)</f>
        <v>#N/A</v>
      </c>
      <c r="H312" t="str">
        <f>VLOOKUP(DICCIONARIO[[#This Row],[Modelo]],UNIFICADA[Equipo],1,0)</f>
        <v>SAMSUNG GALAXY Z FOLD 4 256GB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92</v>
      </c>
      <c r="D313" t="s">
        <v>802</v>
      </c>
      <c r="E313" s="19" t="s">
        <v>757</v>
      </c>
      <c r="F313" t="e">
        <f>VLOOKUP(DICCIONARIO[[#This Row],[Desc color]],ImportarStock[DESCRIPCION],1,0)</f>
        <v>#N/A</v>
      </c>
      <c r="G313" t="s">
        <v>615</v>
      </c>
      <c r="H313" t="str">
        <f>VLOOKUP(DICCIONARIO[[#This Row],[Modelo]],UNIFICADA[Equipo],1,0)</f>
        <v>TCL 20 PRO 5G 256GB</v>
      </c>
      <c r="I313">
        <f>IFERROR(VLOOKUP(DICCIONARIO[[#This Row],[Desc color]],ImportarStock[[DESCRIPCION]:[LIBRE UTILIZACION]],2,0),0)</f>
        <v>0</v>
      </c>
    </row>
    <row r="314" spans="2:9" x14ac:dyDescent="0.25">
      <c r="B314">
        <v>70043801</v>
      </c>
      <c r="C314" t="s">
        <v>87</v>
      </c>
      <c r="D314" t="s">
        <v>793</v>
      </c>
      <c r="E314" s="19" t="s">
        <v>798</v>
      </c>
      <c r="F314" t="str">
        <f>VLOOKUP(DICCIONARIO[[#This Row],[Desc color]],ImportarStock[DESCRIPCION],1,0)</f>
        <v>VI V21 128GB 5G SD</v>
      </c>
      <c r="G314" t="s">
        <v>799</v>
      </c>
      <c r="H314" t="str">
        <f>VLOOKUP(DICCIONARIO[[#This Row],[Modelo]],UNIFICADA[Equipo],1,0)</f>
        <v>VIVO V21 5G 128GB</v>
      </c>
      <c r="I314">
        <f>IFERROR(VLOOKUP(DICCIONARIO[[#This Row],[Desc color]],ImportarStock[[DESCRIPCION]:[LIBRE UTILIZACION]],2,0),0)</f>
        <v>4</v>
      </c>
    </row>
    <row r="315" spans="2:9" x14ac:dyDescent="0.25">
      <c r="B315">
        <v>70043802</v>
      </c>
      <c r="C315" t="s">
        <v>87</v>
      </c>
      <c r="D315" t="s">
        <v>793</v>
      </c>
      <c r="E315" s="19" t="s">
        <v>800</v>
      </c>
      <c r="F315" t="e">
        <f>VLOOKUP(DICCIONARIO[[#This Row],[Desc color]],ImportarStock[DESCRIPCION],1,0)</f>
        <v>#N/A</v>
      </c>
      <c r="G315" t="s">
        <v>801</v>
      </c>
      <c r="H315" t="str">
        <f>VLOOKUP(DICCIONARIO[[#This Row],[Modelo]],UNIFICADA[Equipo],1,0)</f>
        <v>VIVO V21 5G 128GB</v>
      </c>
      <c r="I315">
        <f>IFERROR(VLOOKUP(DICCIONARIO[[#This Row],[Desc color]],ImportarStock[[DESCRIPCION]:[LIBRE UTILIZACION]],2,0),0)</f>
        <v>0</v>
      </c>
    </row>
    <row r="316" spans="2:9" x14ac:dyDescent="0.25">
      <c r="C316" t="s">
        <v>1045</v>
      </c>
      <c r="D316" t="s">
        <v>793</v>
      </c>
      <c r="E316" s="19" t="s">
        <v>1122</v>
      </c>
      <c r="F316" t="str">
        <f>VLOOKUP(DICCIONARIO[[#This Row],[Desc color]],ImportarStock[DESCRIPCION],1,0)</f>
        <v>VI Y16 64GB NG BUND AUDIF</v>
      </c>
      <c r="H316" t="str">
        <f>VLOOKUP(DICCIONARIO[[#This Row],[Modelo]],UNIFICADA[Equipo],1,0)</f>
        <v>VIVO Y16 64GB</v>
      </c>
      <c r="I316">
        <f>IFERROR(VLOOKUP(DICCIONARIO[[#This Row],[Desc color]],ImportarStock[[DESCRIPCION]:[LIBRE UTILIZACION]],2,0),0)</f>
        <v>13</v>
      </c>
    </row>
    <row r="317" spans="2:9" x14ac:dyDescent="0.25">
      <c r="C317" t="s">
        <v>1043</v>
      </c>
      <c r="D317" t="s">
        <v>793</v>
      </c>
      <c r="E317" s="19" t="s">
        <v>1121</v>
      </c>
      <c r="F317" t="str">
        <f>VLOOKUP(DICCIONARIO[[#This Row],[Desc color]],ImportarStock[DESCRIPCION],1,0)</f>
        <v>VI Y22S 128/6GB BL BUND AUDIF</v>
      </c>
      <c r="H317" t="str">
        <f>VLOOKUP(DICCIONARIO[[#This Row],[Modelo]],UNIFICADA[Equipo],1,0)</f>
        <v>VIVO Y22s 128GB</v>
      </c>
      <c r="I317">
        <f>IFERROR(VLOOKUP(DICCIONARIO[[#This Row],[Desc color]],ImportarStock[[DESCRIPCION]:[LIBRE UTILIZACION]],2,0),0)</f>
        <v>8</v>
      </c>
    </row>
    <row r="318" spans="2:9" x14ac:dyDescent="0.25">
      <c r="C318" t="s">
        <v>1043</v>
      </c>
      <c r="D318" t="s">
        <v>793</v>
      </c>
      <c r="E318" s="19" t="s">
        <v>1054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VIVO Y22s 128GB</v>
      </c>
      <c r="I318">
        <f>IFERROR(VLOOKUP(DICCIONARIO[[#This Row],[Desc color]],ImportarStock[[DESCRIPCION]:[LIBRE UTILIZACION]],2,0),0)</f>
        <v>0</v>
      </c>
    </row>
    <row r="319" spans="2:9" x14ac:dyDescent="0.25">
      <c r="B319">
        <v>70043804</v>
      </c>
      <c r="C319" t="s">
        <v>85</v>
      </c>
      <c r="D319" t="s">
        <v>793</v>
      </c>
      <c r="E319" s="19" t="s">
        <v>796</v>
      </c>
      <c r="F319" t="e">
        <f>VLOOKUP(DICCIONARIO[[#This Row],[Desc color]],ImportarStock[DESCRIPCION],1,0)</f>
        <v>#N/A</v>
      </c>
      <c r="G319" t="s">
        <v>794</v>
      </c>
      <c r="H319" t="str">
        <f>VLOOKUP(DICCIONARIO[[#This Row],[Modelo]],UNIFICADA[Equipo],1,0)</f>
        <v>VIVO Y33 128GB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70043805</v>
      </c>
      <c r="C320" t="s">
        <v>85</v>
      </c>
      <c r="D320" t="s">
        <v>793</v>
      </c>
      <c r="E320" s="19" t="s">
        <v>797</v>
      </c>
      <c r="F320" t="e">
        <f>VLOOKUP(DICCIONARIO[[#This Row],[Desc color]],ImportarStock[DESCRIPCION],1,0)</f>
        <v>#N/A</v>
      </c>
      <c r="G320" t="s">
        <v>795</v>
      </c>
      <c r="H320" t="str">
        <f>VLOOKUP(DICCIONARIO[[#This Row],[Modelo]],UNIFICADA[Equipo],1,0)</f>
        <v>VIVO Y33 128GB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1044</v>
      </c>
      <c r="D321" t="s">
        <v>793</v>
      </c>
      <c r="E321" s="19" t="s">
        <v>1120</v>
      </c>
      <c r="F321" t="str">
        <f>VLOOKUP(DICCIONARIO[[#This Row],[Desc color]],ImportarStock[DESCRIPCION],1,0)</f>
        <v>VI Y35 128GB DO BUND RELOJ</v>
      </c>
      <c r="H321" t="str">
        <f>VLOOKUP(DICCIONARIO[[#This Row],[Modelo]],UNIFICADA[Equipo],1,0)</f>
        <v>VIVO Y35 128GB</v>
      </c>
      <c r="I321">
        <f>IFERROR(VLOOKUP(DICCIONARIO[[#This Row],[Desc color]],ImportarStock[[DESCRIPCION]:[LIBRE UTILIZACION]],2,0),0)</f>
        <v>2</v>
      </c>
    </row>
    <row r="322" spans="2:9" x14ac:dyDescent="0.25">
      <c r="C322" t="s">
        <v>1044</v>
      </c>
      <c r="D322" t="s">
        <v>793</v>
      </c>
      <c r="E322" s="19" t="s">
        <v>1119</v>
      </c>
      <c r="F322" t="str">
        <f>VLOOKUP(DICCIONARIO[[#This Row],[Desc color]],ImportarStock[DESCRIPCION],1,0)</f>
        <v>VI Y35 128GB NG BUND RELOJ</v>
      </c>
      <c r="H322" t="str">
        <f>VLOOKUP(DICCIONARIO[[#This Row],[Modelo]],UNIFICADA[Equipo],1,0)</f>
        <v>VIVO Y35 128GB</v>
      </c>
      <c r="I322">
        <f>IFERROR(VLOOKUP(DICCIONARIO[[#This Row],[Desc color]],ImportarStock[[DESCRIPCION]:[LIBRE UTILIZACION]],2,0),0)</f>
        <v>3</v>
      </c>
    </row>
    <row r="323" spans="2:9" x14ac:dyDescent="0.25">
      <c r="B323">
        <v>70043182</v>
      </c>
      <c r="C323" t="s">
        <v>34</v>
      </c>
      <c r="D323" t="s">
        <v>632</v>
      </c>
      <c r="E323" s="19" t="s">
        <v>769</v>
      </c>
      <c r="F323" t="e">
        <f>VLOOKUP(DICCIONARIO[[#This Row],[Desc color]],ImportarStock[DESCRIPCION],1,0)</f>
        <v>#N/A</v>
      </c>
      <c r="G323" t="s">
        <v>762</v>
      </c>
      <c r="H323" t="str">
        <f>VLOOKUP(DICCIONARIO[[#This Row],[Modelo]],UNIFICADA[Equipo],1,0)</f>
        <v>XIAOMI 11 LITE 5G NE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70043202</v>
      </c>
      <c r="C324" t="s">
        <v>34</v>
      </c>
      <c r="D324" t="s">
        <v>632</v>
      </c>
      <c r="E324" s="19" t="s">
        <v>770</v>
      </c>
      <c r="F324" t="e">
        <f>VLOOKUP(DICCIONARIO[[#This Row],[Desc color]],ImportarStock[DESCRIPCION],1,0)</f>
        <v>#N/A</v>
      </c>
      <c r="G324" t="s">
        <v>762</v>
      </c>
      <c r="H324" t="str">
        <f>VLOOKUP(DICCIONARIO[[#This Row],[Modelo]],UNIFICADA[Equipo],1,0)</f>
        <v>XIAOMI 11 LITE 5G NE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70043183</v>
      </c>
      <c r="C325" t="s">
        <v>34</v>
      </c>
      <c r="D325" t="s">
        <v>632</v>
      </c>
      <c r="E325" s="19" t="s">
        <v>771</v>
      </c>
      <c r="F325" t="e">
        <f>VLOOKUP(DICCIONARIO[[#This Row],[Desc color]],ImportarStock[DESCRIPCION],1,0)</f>
        <v>#N/A</v>
      </c>
      <c r="G325" t="s">
        <v>765</v>
      </c>
      <c r="H325" t="str">
        <f>VLOOKUP(DICCIONARIO[[#This Row],[Modelo]],UNIFICADA[Equipo],1,0)</f>
        <v>XIAOMI 11 LITE 5G NE 128GB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70043196</v>
      </c>
      <c r="C326" t="s">
        <v>34</v>
      </c>
      <c r="D326" t="s">
        <v>632</v>
      </c>
      <c r="E326" s="19" t="s">
        <v>767</v>
      </c>
      <c r="F326" t="e">
        <f>VLOOKUP(DICCIONARIO[[#This Row],[Desc color]],ImportarStock[DESCRIPCION],1,0)</f>
        <v>#N/A</v>
      </c>
      <c r="G326" t="s">
        <v>759</v>
      </c>
      <c r="H326" t="str">
        <f>VLOOKUP(DICCIONARIO[[#This Row],[Modelo]],UNIFICADA[Equipo],1,0)</f>
        <v>XIAOMI 11 LITE 5G NE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70043201</v>
      </c>
      <c r="C327" t="s">
        <v>34</v>
      </c>
      <c r="D327" t="s">
        <v>632</v>
      </c>
      <c r="E327" s="19" t="s">
        <v>768</v>
      </c>
      <c r="F327" t="e">
        <f>VLOOKUP(DICCIONARIO[[#This Row],[Desc color]],ImportarStock[DESCRIPCION],1,0)</f>
        <v>#N/A</v>
      </c>
      <c r="G327" t="s">
        <v>759</v>
      </c>
      <c r="H327" t="str">
        <f>VLOOKUP(DICCIONARIO[[#This Row],[Modelo]],UNIFICADA[Equipo],1,0)</f>
        <v>XIAOMI 11 LITE 5G NE 128GB</v>
      </c>
      <c r="I327">
        <f>IFERROR(VLOOKUP(DICCIONARIO[[#This Row],[Desc color]],ImportarStock[[DESCRIPCION]:[LIBRE UTILIZACION]],2,0),0)</f>
        <v>0</v>
      </c>
    </row>
    <row r="328" spans="2:9" x14ac:dyDescent="0.25">
      <c r="B328">
        <v>70043180</v>
      </c>
      <c r="C328" t="s">
        <v>35</v>
      </c>
      <c r="D328" t="s">
        <v>632</v>
      </c>
      <c r="E328" s="19" t="s">
        <v>761</v>
      </c>
      <c r="F328" t="e">
        <f>VLOOKUP(DICCIONARIO[[#This Row],[Desc color]],ImportarStock[DESCRIPCION],1,0)</f>
        <v>#N/A</v>
      </c>
      <c r="G328" t="s">
        <v>762</v>
      </c>
      <c r="H328" t="str">
        <f>VLOOKUP(DICCIONARIO[[#This Row],[Modelo]],UNIFICADA[Equipo],1,0)</f>
        <v>XIAOMI 11 LITE 5G NE 256GB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70043199</v>
      </c>
      <c r="C329" t="s">
        <v>35</v>
      </c>
      <c r="D329" t="s">
        <v>632</v>
      </c>
      <c r="E329" s="19" t="s">
        <v>763</v>
      </c>
      <c r="F329" t="e">
        <f>VLOOKUP(DICCIONARIO[[#This Row],[Desc color]],ImportarStock[DESCRIPCION],1,0)</f>
        <v>#N/A</v>
      </c>
      <c r="G329" t="s">
        <v>762</v>
      </c>
      <c r="H329" t="str">
        <f>VLOOKUP(DICCIONARIO[[#This Row],[Modelo]],UNIFICADA[Equipo],1,0)</f>
        <v>XIAOMI 11 LITE 5G NE 256GB</v>
      </c>
      <c r="I329">
        <f>IFERROR(VLOOKUP(DICCIONARIO[[#This Row],[Desc color]],ImportarStock[[DESCRIPCION]:[LIBRE UTILIZACION]],2,0),0)</f>
        <v>0</v>
      </c>
    </row>
    <row r="330" spans="2:9" x14ac:dyDescent="0.25">
      <c r="B330">
        <v>70044925</v>
      </c>
      <c r="C330" t="s">
        <v>35</v>
      </c>
      <c r="D330" t="s">
        <v>632</v>
      </c>
      <c r="E330" s="19" t="s">
        <v>826</v>
      </c>
      <c r="F330" t="e">
        <f>VLOOKUP(DICCIONARIO[[#This Row],[Desc color]],ImportarStock[DESCRIPCION],1,0)</f>
        <v>#N/A</v>
      </c>
      <c r="G330" t="s">
        <v>827</v>
      </c>
      <c r="H330" t="str">
        <f>VLOOKUP(DICCIONARIO[[#This Row],[Modelo]],UNIFICADA[Equipo],1,0)</f>
        <v>XIAOMI 11 LITE 5G NE 256GB</v>
      </c>
      <c r="I330">
        <f>IFERROR(VLOOKUP(DICCIONARIO[[#This Row],[Desc color]],ImportarStock[[DESCRIPCION]:[LIBRE UTILIZACION]],2,0),0)</f>
        <v>0</v>
      </c>
    </row>
    <row r="331" spans="2:9" x14ac:dyDescent="0.25">
      <c r="B331">
        <v>70043181</v>
      </c>
      <c r="C331" t="s">
        <v>35</v>
      </c>
      <c r="D331" t="s">
        <v>632</v>
      </c>
      <c r="E331" s="19" t="s">
        <v>764</v>
      </c>
      <c r="F331" t="e">
        <f>VLOOKUP(DICCIONARIO[[#This Row],[Desc color]],ImportarStock[DESCRIPCION],1,0)</f>
        <v>#N/A</v>
      </c>
      <c r="G331" t="s">
        <v>765</v>
      </c>
      <c r="H331" t="str">
        <f>VLOOKUP(DICCIONARIO[[#This Row],[Modelo]],UNIFICADA[Equipo],1,0)</f>
        <v>XIAOMI 11 LITE 5G NE 256GB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70043200</v>
      </c>
      <c r="C332" t="s">
        <v>35</v>
      </c>
      <c r="D332" t="s">
        <v>632</v>
      </c>
      <c r="E332" s="19" t="s">
        <v>766</v>
      </c>
      <c r="F332" t="e">
        <f>VLOOKUP(DICCIONARIO[[#This Row],[Desc color]],ImportarStock[DESCRIPCION],1,0)</f>
        <v>#N/A</v>
      </c>
      <c r="G332" t="s">
        <v>765</v>
      </c>
      <c r="H332" t="str">
        <f>VLOOKUP(DICCIONARIO[[#This Row],[Modelo]],UNIFICADA[Equipo],1,0)</f>
        <v>XIAOMI 11 LITE 5G NE 256GB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70043179</v>
      </c>
      <c r="C333" t="s">
        <v>35</v>
      </c>
      <c r="D333" t="s">
        <v>632</v>
      </c>
      <c r="E333" s="19" t="s">
        <v>758</v>
      </c>
      <c r="F333" t="e">
        <f>VLOOKUP(DICCIONARIO[[#This Row],[Desc color]],ImportarStock[DESCRIPCION],1,0)</f>
        <v>#N/A</v>
      </c>
      <c r="G333" t="s">
        <v>759</v>
      </c>
      <c r="H333" t="str">
        <f>VLOOKUP(DICCIONARIO[[#This Row],[Modelo]],UNIFICADA[Equipo],1,0)</f>
        <v>XIAOMI 11 LITE 5G NE 256GB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70043198</v>
      </c>
      <c r="C334" t="s">
        <v>35</v>
      </c>
      <c r="D334" t="s">
        <v>632</v>
      </c>
      <c r="E334" s="19" t="s">
        <v>760</v>
      </c>
      <c r="F334" t="e">
        <f>VLOOKUP(DICCIONARIO[[#This Row],[Desc color]],ImportarStock[DESCRIPCION],1,0)</f>
        <v>#N/A</v>
      </c>
      <c r="G334" t="s">
        <v>759</v>
      </c>
      <c r="H334" t="str">
        <f>VLOOKUP(DICCIONARIO[[#This Row],[Modelo]],UNIFICADA[Equipo],1,0)</f>
        <v>XIAOMI 11 LITE 5G NE 256GB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70043194</v>
      </c>
      <c r="C335" t="s">
        <v>36</v>
      </c>
      <c r="D335" t="s">
        <v>632</v>
      </c>
      <c r="E335" s="19" t="s">
        <v>778</v>
      </c>
      <c r="F335" t="e">
        <f>VLOOKUP(DICCIONARIO[[#This Row],[Desc color]],ImportarStock[DESCRIPCION],1,0)</f>
        <v>#N/A</v>
      </c>
      <c r="G335" t="s">
        <v>779</v>
      </c>
      <c r="H335" t="str">
        <f>VLOOKUP(DICCIONARIO[[#This Row],[Modelo]],UNIFICADA[Equipo],1,0)</f>
        <v>XIAOMI 11T 256GB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70043208</v>
      </c>
      <c r="C336" t="s">
        <v>36</v>
      </c>
      <c r="D336" t="s">
        <v>632</v>
      </c>
      <c r="E336" s="19" t="s">
        <v>780</v>
      </c>
      <c r="F336" t="e">
        <f>VLOOKUP(DICCIONARIO[[#This Row],[Desc color]],ImportarStock[DESCRIPCION],1,0)</f>
        <v>#N/A</v>
      </c>
      <c r="G336" t="s">
        <v>779</v>
      </c>
      <c r="H336" t="str">
        <f>VLOOKUP(DICCIONARIO[[#This Row],[Modelo]],UNIFICADA[Equipo],1,0)</f>
        <v>XIAOMI 11T 256GB</v>
      </c>
      <c r="I336">
        <f>IFERROR(VLOOKUP(DICCIONARIO[[#This Row],[Desc color]],ImportarStock[[DESCRIPCION]:[LIBRE UTILIZACION]],2,0),0)</f>
        <v>0</v>
      </c>
    </row>
    <row r="337" spans="2:9" x14ac:dyDescent="0.25">
      <c r="B337">
        <v>70042381</v>
      </c>
      <c r="C337" t="s">
        <v>36</v>
      </c>
      <c r="D337" t="s">
        <v>632</v>
      </c>
      <c r="E337" s="19" t="s">
        <v>775</v>
      </c>
      <c r="F337" t="e">
        <f>VLOOKUP(DICCIONARIO[[#This Row],[Desc color]],ImportarStock[DESCRIPCION],1,0)</f>
        <v>#N/A</v>
      </c>
      <c r="G337" t="s">
        <v>776</v>
      </c>
      <c r="H337" t="str">
        <f>VLOOKUP(DICCIONARIO[[#This Row],[Modelo]],UNIFICADA[Equipo],1,0)</f>
        <v>XIAOMI 11T 256GB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70043207</v>
      </c>
      <c r="C338" t="s">
        <v>36</v>
      </c>
      <c r="D338" t="s">
        <v>632</v>
      </c>
      <c r="E338" s="19" t="s">
        <v>777</v>
      </c>
      <c r="F338" t="e">
        <f>VLOOKUP(DICCIONARIO[[#This Row],[Desc color]],ImportarStock[DESCRIPCION],1,0)</f>
        <v>#N/A</v>
      </c>
      <c r="G338" t="s">
        <v>776</v>
      </c>
      <c r="H338" t="str">
        <f>VLOOKUP(DICCIONARIO[[#This Row],[Modelo]],UNIFICADA[Equipo],1,0)</f>
        <v>XIAOMI 11T 256GB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70042380</v>
      </c>
      <c r="C339" t="s">
        <v>36</v>
      </c>
      <c r="D339" t="s">
        <v>632</v>
      </c>
      <c r="E339" s="19" t="s">
        <v>774</v>
      </c>
      <c r="F339" t="e">
        <f>VLOOKUP(DICCIONARIO[[#This Row],[Desc color]],ImportarStock[DESCRIPCION],1,0)</f>
        <v>#N/A</v>
      </c>
      <c r="G339" t="s">
        <v>773</v>
      </c>
      <c r="H339" t="str">
        <f>VLOOKUP(DICCIONARIO[[#This Row],[Modelo]],UNIFICADA[Equipo],1,0)</f>
        <v>XIAOMI 11T 256GB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70043205</v>
      </c>
      <c r="C340" t="s">
        <v>36</v>
      </c>
      <c r="D340" t="s">
        <v>632</v>
      </c>
      <c r="E340" s="19" t="s">
        <v>772</v>
      </c>
      <c r="F340" t="e">
        <f>VLOOKUP(DICCIONARIO[[#This Row],[Desc color]],ImportarStock[DESCRIPCION],1,0)</f>
        <v>#N/A</v>
      </c>
      <c r="G340" t="s">
        <v>773</v>
      </c>
      <c r="H340" t="str">
        <f>VLOOKUP(DICCIONARIO[[#This Row],[Modelo]],UNIFICADA[Equipo],1,0)</f>
        <v>XIAOMI 11T 256GB</v>
      </c>
      <c r="I340">
        <f>IFERROR(VLOOKUP(DICCIONARIO[[#This Row],[Desc color]],ImportarStock[[DESCRIPCION]:[LIBRE UTILIZACION]],2,0),0)</f>
        <v>0</v>
      </c>
    </row>
    <row r="341" spans="2:9" x14ac:dyDescent="0.25">
      <c r="B341">
        <v>70044936</v>
      </c>
      <c r="C341" t="s">
        <v>64</v>
      </c>
      <c r="D341" t="s">
        <v>632</v>
      </c>
      <c r="E341" s="19" t="s">
        <v>832</v>
      </c>
      <c r="F341" t="e">
        <f>VLOOKUP(DICCIONARIO[[#This Row],[Desc color]],ImportarStock[DESCRIPCION],1,0)</f>
        <v>#N/A</v>
      </c>
      <c r="G341" t="s">
        <v>684</v>
      </c>
      <c r="H341" t="str">
        <f>VLOOKUP(DICCIONARIO[[#This Row],[Modelo]],UNIFICADA[Equipo],1,0)</f>
        <v>XIAOMI 11T PRO 256GB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70044937</v>
      </c>
      <c r="C342" t="s">
        <v>64</v>
      </c>
      <c r="D342" t="s">
        <v>632</v>
      </c>
      <c r="E342" s="19" t="s">
        <v>833</v>
      </c>
      <c r="F342" t="e">
        <f>VLOOKUP(DICCIONARIO[[#This Row],[Desc color]],ImportarStock[DESCRIPCION],1,0)</f>
        <v>#N/A</v>
      </c>
      <c r="G342" t="s">
        <v>684</v>
      </c>
      <c r="H342" t="str">
        <f>VLOOKUP(DICCIONARIO[[#This Row],[Modelo]],UNIFICADA[Equipo],1,0)</f>
        <v>XIAOMI 11T PRO 256GB</v>
      </c>
      <c r="I342">
        <f>IFERROR(VLOOKUP(DICCIONARIO[[#This Row],[Desc color]],ImportarStock[[DESCRIPCION]:[LIBRE UTILIZACION]],2,0),0)</f>
        <v>0</v>
      </c>
    </row>
    <row r="343" spans="2:9" x14ac:dyDescent="0.25">
      <c r="B343">
        <v>70044923</v>
      </c>
      <c r="C343" t="s">
        <v>64</v>
      </c>
      <c r="D343" t="s">
        <v>632</v>
      </c>
      <c r="E343" s="19" t="s">
        <v>828</v>
      </c>
      <c r="F343" t="e">
        <f>VLOOKUP(DICCIONARIO[[#This Row],[Desc color]],ImportarStock[DESCRIPCION],1,0)</f>
        <v>#N/A</v>
      </c>
      <c r="G343" t="s">
        <v>686</v>
      </c>
      <c r="H343" t="str">
        <f>VLOOKUP(DICCIONARIO[[#This Row],[Modelo]],UNIFICADA[Equipo],1,0)</f>
        <v>XIAOMI 11T PRO 256GB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70044934</v>
      </c>
      <c r="C344" t="s">
        <v>64</v>
      </c>
      <c r="D344" t="s">
        <v>632</v>
      </c>
      <c r="E344" s="19" t="s">
        <v>829</v>
      </c>
      <c r="F344" t="e">
        <f>VLOOKUP(DICCIONARIO[[#This Row],[Desc color]],ImportarStock[DESCRIPCION],1,0)</f>
        <v>#N/A</v>
      </c>
      <c r="G344" t="s">
        <v>830</v>
      </c>
      <c r="H344" t="str">
        <f>VLOOKUP(DICCIONARIO[[#This Row],[Modelo]],UNIFICADA[Equipo],1,0)</f>
        <v>XIAOMI 11T PRO 256GB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70044935</v>
      </c>
      <c r="C345" t="s">
        <v>64</v>
      </c>
      <c r="D345" t="s">
        <v>632</v>
      </c>
      <c r="E345" s="19" t="s">
        <v>831</v>
      </c>
      <c r="F345" t="e">
        <f>VLOOKUP(DICCIONARIO[[#This Row],[Desc color]],ImportarStock[DESCRIPCION],1,0)</f>
        <v>#N/A</v>
      </c>
      <c r="G345" t="s">
        <v>830</v>
      </c>
      <c r="H345" t="str">
        <f>VLOOKUP(DICCIONARIO[[#This Row],[Modelo]],UNIFICADA[Equipo],1,0)</f>
        <v>XIAOMI 11T PRO 256GB</v>
      </c>
      <c r="I345">
        <f>IFERROR(VLOOKUP(DICCIONARIO[[#This Row],[Desc color]],ImportarStock[[DESCRIPCION]:[LIBRE UTILIZACION]],2,0),0)</f>
        <v>0</v>
      </c>
    </row>
    <row r="346" spans="2:9" x14ac:dyDescent="0.25">
      <c r="C346" t="s">
        <v>82</v>
      </c>
      <c r="D346" t="s">
        <v>632</v>
      </c>
      <c r="E346" s="19" t="s">
        <v>919</v>
      </c>
      <c r="F346" t="e">
        <f>VLOOKUP(DICCIONARIO[[#This Row],[Desc color]],ImportarStock[DESCRIPCION],1,0)</f>
        <v>#N/A</v>
      </c>
      <c r="H346" t="str">
        <f>VLOOKUP(DICCIONARIO[[#This Row],[Modelo]],UNIFICADA[Equipo],1,0)</f>
        <v>XIAOMI 12 256GB</v>
      </c>
      <c r="I346">
        <f>IFERROR(VLOOKUP(DICCIONARIO[[#This Row],[Desc color]],ImportarStock[[DESCRIPCION]:[LIBRE UTILIZACION]],2,0),0)</f>
        <v>0</v>
      </c>
    </row>
    <row r="347" spans="2:9" x14ac:dyDescent="0.25">
      <c r="C347" t="s">
        <v>82</v>
      </c>
      <c r="D347" t="s">
        <v>632</v>
      </c>
      <c r="E347" s="19" t="s">
        <v>920</v>
      </c>
      <c r="F347" t="e">
        <f>VLOOKUP(DICCIONARIO[[#This Row],[Desc color]],ImportarStock[DESCRIPCION],1,0)</f>
        <v>#N/A</v>
      </c>
      <c r="H347" t="str">
        <f>VLOOKUP(DICCIONARIO[[#This Row],[Modelo]],UNIFICADA[Equipo],1,0)</f>
        <v>XIAOMI 12 256GB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82</v>
      </c>
      <c r="D348" t="s">
        <v>632</v>
      </c>
      <c r="E348" s="19" t="s">
        <v>921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XIAOMI 12 256GB</v>
      </c>
      <c r="I348">
        <f>IFERROR(VLOOKUP(DICCIONARIO[[#This Row],[Desc color]],ImportarStock[[DESCRIPCION]:[LIBRE UTILIZACION]],2,0),0)</f>
        <v>0</v>
      </c>
    </row>
    <row r="349" spans="2:9" x14ac:dyDescent="0.25">
      <c r="C349" t="s">
        <v>511</v>
      </c>
      <c r="D349" t="s">
        <v>632</v>
      </c>
      <c r="E349" s="19" t="s">
        <v>997</v>
      </c>
      <c r="F349" t="str">
        <f>VLOOKUP(DICCIONARIO[[#This Row],[Desc color]],ImportarStock[DESCRIPCION],1,0)</f>
        <v>XIA REDMI102264GB AZ</v>
      </c>
      <c r="H349" t="str">
        <f>VLOOKUP(DICCIONARIO[[#This Row],[Modelo]],UNIFICADA[Equipo],1,0)</f>
        <v>XIAOMI REDMI 10 2022 64GB</v>
      </c>
      <c r="I349">
        <f>IFERROR(VLOOKUP(DICCIONARIO[[#This Row],[Desc color]],ImportarStock[[DESCRIPCION]:[LIBRE UTILIZACION]],2,0),0)</f>
        <v>1</v>
      </c>
    </row>
    <row r="350" spans="2:9" x14ac:dyDescent="0.25">
      <c r="C350" t="s">
        <v>511</v>
      </c>
      <c r="D350" t="s">
        <v>632</v>
      </c>
      <c r="E350" s="19" t="s">
        <v>1126</v>
      </c>
      <c r="F350" t="str">
        <f>VLOOKUP(DICCIONARIO[[#This Row],[Desc color]],ImportarStock[DESCRIPCION],1,0)</f>
        <v>XIA REDMI102264GB BL</v>
      </c>
      <c r="H350" t="str">
        <f>VLOOKUP(DICCIONARIO[[#This Row],[Modelo]],UNIFICADA[Equipo],1,0)</f>
        <v>XIAOMI REDMI 10 2022 64GB</v>
      </c>
      <c r="I350">
        <f>IFERROR(VLOOKUP(DICCIONARIO[[#This Row],[Desc color]],ImportarStock[[DESCRIPCION]:[LIBRE UTILIZACION]],2,0),0)</f>
        <v>3</v>
      </c>
    </row>
    <row r="351" spans="2:9" x14ac:dyDescent="0.25">
      <c r="C351" t="s">
        <v>511</v>
      </c>
      <c r="D351" t="s">
        <v>632</v>
      </c>
      <c r="E351" s="19" t="s">
        <v>998</v>
      </c>
      <c r="F351" t="e">
        <f>VLOOKUP(DICCIONARIO[[#This Row],[Desc color]],ImportarStock[DESCRIPCION],1,0)</f>
        <v>#N/A</v>
      </c>
      <c r="H351" t="str">
        <f>VLOOKUP(DICCIONARIO[[#This Row],[Modelo]],UNIFICADA[Equipo],1,0)</f>
        <v>XIAOMI REDMI 10 2022 64GB</v>
      </c>
      <c r="I351">
        <f>IFERROR(VLOOKUP(DICCIONARIO[[#This Row],[Desc color]],ImportarStock[[DESCRIPCION]:[LIBRE UTILIZACION]],2,0),0)</f>
        <v>0</v>
      </c>
    </row>
    <row r="352" spans="2:9" x14ac:dyDescent="0.25">
      <c r="C352" t="s">
        <v>511</v>
      </c>
      <c r="D352" t="s">
        <v>632</v>
      </c>
      <c r="E352" s="19" t="s">
        <v>930</v>
      </c>
      <c r="F352" t="e">
        <f>VLOOKUP(DICCIONARIO[[#This Row],[Desc color]],ImportarStock[DESCRIPCION],1,0)</f>
        <v>#N/A</v>
      </c>
      <c r="H352" t="str">
        <f>VLOOKUP(DICCIONARIO[[#This Row],[Modelo]],UNIFICADA[Equipo],1,0)</f>
        <v>XIAOMI REDMI 10 2022 64GB</v>
      </c>
      <c r="I352">
        <f>IFERROR(VLOOKUP(DICCIONARIO[[#This Row],[Desc color]],ImportarStock[[DESCRIPCION]:[LIBRE UTILIZACION]],2,0),0)</f>
        <v>0</v>
      </c>
    </row>
    <row r="353" spans="2:9" x14ac:dyDescent="0.25">
      <c r="C353" t="s">
        <v>89</v>
      </c>
      <c r="D353" t="s">
        <v>632</v>
      </c>
      <c r="E353" s="19" t="s">
        <v>999</v>
      </c>
      <c r="F353" t="e">
        <f>VLOOKUP(DICCIONARIO[[#This Row],[Desc color]],ImportarStock[DESCRIPCION],1,0)</f>
        <v>#N/A</v>
      </c>
      <c r="H353" t="str">
        <f>VLOOKUP(DICCIONARIO[[#This Row],[Modelo]],UNIFICADA[Equipo],1,0)</f>
        <v>XIAOMI REDMI 10C 64GB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70036527</v>
      </c>
      <c r="C354" t="s">
        <v>68</v>
      </c>
      <c r="D354" t="s">
        <v>632</v>
      </c>
      <c r="E354" s="19" t="s">
        <v>636</v>
      </c>
      <c r="F354" t="e">
        <f>VLOOKUP(DICCIONARIO[[#This Row],[Desc color]],ImportarStock[DESCRIPCION],1,0)</f>
        <v>#N/A</v>
      </c>
      <c r="G354" t="s">
        <v>618</v>
      </c>
      <c r="H354" t="str">
        <f>VLOOKUP(DICCIONARIO[[#This Row],[Modelo]],UNIFICADA[Equipo],1,0)</f>
        <v>XIAOMI REDMI 9A 32GB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70036802</v>
      </c>
      <c r="C355" t="s">
        <v>68</v>
      </c>
      <c r="D355" t="s">
        <v>632</v>
      </c>
      <c r="E355" s="19" t="s">
        <v>640</v>
      </c>
      <c r="F355" t="e">
        <f>VLOOKUP(DICCIONARIO[[#This Row],[Desc color]],ImportarStock[DESCRIPCION],1,0)</f>
        <v>#N/A</v>
      </c>
      <c r="G355" t="s">
        <v>618</v>
      </c>
      <c r="H355" t="str">
        <f>VLOOKUP(DICCIONARIO[[#This Row],[Modelo]],UNIFICADA[Equipo],1,0)</f>
        <v>XIAOMI REDMI 9A 32GB</v>
      </c>
      <c r="I355">
        <f>IFERROR(VLOOKUP(DICCIONARIO[[#This Row],[Desc color]],ImportarStock[[DESCRIPCION]:[LIBRE UTILIZACION]],2,0),0)</f>
        <v>0</v>
      </c>
    </row>
    <row r="356" spans="2:9" x14ac:dyDescent="0.25">
      <c r="C356" t="s">
        <v>509</v>
      </c>
      <c r="D356" t="s">
        <v>632</v>
      </c>
      <c r="E356" s="19" t="s">
        <v>925</v>
      </c>
      <c r="F356" t="e">
        <f>VLOOKUP(DICCIONARIO[[#This Row],[Desc color]],ImportarStock[DESCRIPCION],1,0)</f>
        <v>#N/A</v>
      </c>
      <c r="H356" t="str">
        <f>VLOOKUP(DICCIONARIO[[#This Row],[Modelo]],UNIFICADA[Equipo],1,0)</f>
        <v>XIAOMI REDMI 9A 32GB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70036526</v>
      </c>
      <c r="C357" t="s">
        <v>68</v>
      </c>
      <c r="D357" t="s">
        <v>632</v>
      </c>
      <c r="E357" s="19" t="s">
        <v>635</v>
      </c>
      <c r="F357" t="e">
        <f>VLOOKUP(DICCIONARIO[[#This Row],[Desc color]],ImportarStock[DESCRIPCION],1,0)</f>
        <v>#N/A</v>
      </c>
      <c r="G357" t="s">
        <v>615</v>
      </c>
      <c r="H357" t="str">
        <f>VLOOKUP(DICCIONARIO[[#This Row],[Modelo]],UNIFICADA[Equipo],1,0)</f>
        <v>XIAOMI REDMI 9A 32GB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70036801</v>
      </c>
      <c r="C358" t="s">
        <v>68</v>
      </c>
      <c r="D358" t="s">
        <v>632</v>
      </c>
      <c r="E358" s="19" t="s">
        <v>639</v>
      </c>
      <c r="F358" t="e">
        <f>VLOOKUP(DICCIONARIO[[#This Row],[Desc color]],ImportarStock[DESCRIPCION],1,0)</f>
        <v>#N/A</v>
      </c>
      <c r="G358" t="s">
        <v>615</v>
      </c>
      <c r="H358" t="str">
        <f>VLOOKUP(DICCIONARIO[[#This Row],[Modelo]],UNIFICADA[Equipo],1,0)</f>
        <v>XIAOMI REDMI 9A 32GB</v>
      </c>
      <c r="I358">
        <f>IFERROR(VLOOKUP(DICCIONARIO[[#This Row],[Desc color]],ImportarStock[[DESCRIPCION]:[LIBRE UTILIZACION]],2,0),0)</f>
        <v>0</v>
      </c>
    </row>
    <row r="359" spans="2:9" x14ac:dyDescent="0.25">
      <c r="C359" t="s">
        <v>509</v>
      </c>
      <c r="D359" t="s">
        <v>632</v>
      </c>
      <c r="E359" s="19" t="s">
        <v>926</v>
      </c>
      <c r="F359" t="e">
        <f>VLOOKUP(DICCIONARIO[[#This Row],[Desc color]],ImportarStock[DESCRIPCION],1,0)</f>
        <v>#N/A</v>
      </c>
      <c r="H359" t="str">
        <f>VLOOKUP(DICCIONARIO[[#This Row],[Modelo]],UNIFICADA[Equipo],1,0)</f>
        <v>XIAOMI REDMI 9A 32GB</v>
      </c>
      <c r="I359">
        <f>IFERROR(VLOOKUP(DICCIONARIO[[#This Row],[Desc color]],ImportarStock[[DESCRIPCION]:[LIBRE UTILIZACION]],2,0),0)</f>
        <v>0</v>
      </c>
    </row>
    <row r="360" spans="2:9" x14ac:dyDescent="0.25">
      <c r="C360" t="s">
        <v>509</v>
      </c>
      <c r="D360" t="s">
        <v>632</v>
      </c>
      <c r="E360" s="19" t="s">
        <v>927</v>
      </c>
      <c r="F360" t="e">
        <f>VLOOKUP(DICCIONARIO[[#This Row],[Desc color]],ImportarStock[DESCRIPCION],1,0)</f>
        <v>#N/A</v>
      </c>
      <c r="H360" t="str">
        <f>VLOOKUP(DICCIONARIO[[#This Row],[Modelo]],UNIFICADA[Equipo],1,0)</f>
        <v>XIAOMI REDMI 9A 32GB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70038035</v>
      </c>
      <c r="C361" t="s">
        <v>68</v>
      </c>
      <c r="D361" t="s">
        <v>632</v>
      </c>
      <c r="E361" s="19" t="s">
        <v>652</v>
      </c>
      <c r="F361" t="e">
        <f>VLOOKUP(DICCIONARIO[[#This Row],[Desc color]],ImportarStock[DESCRIPCION],1,0)</f>
        <v>#N/A</v>
      </c>
      <c r="G361" t="s">
        <v>633</v>
      </c>
      <c r="H361" t="str">
        <f>VLOOKUP(DICCIONARIO[[#This Row],[Modelo]],UNIFICADA[Equipo],1,0)</f>
        <v>XIAOMI REDMI 9A 32GB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70038114</v>
      </c>
      <c r="C362" t="s">
        <v>68</v>
      </c>
      <c r="D362" t="s">
        <v>632</v>
      </c>
      <c r="E362" s="19" t="s">
        <v>653</v>
      </c>
      <c r="F362" t="e">
        <f>VLOOKUP(DICCIONARIO[[#This Row],[Desc color]],ImportarStock[DESCRIPCION],1,0)</f>
        <v>#N/A</v>
      </c>
      <c r="G362" t="s">
        <v>633</v>
      </c>
      <c r="H362" t="str">
        <f>VLOOKUP(DICCIONARIO[[#This Row],[Modelo]],UNIFICADA[Equipo],1,0)</f>
        <v>XIAOMI REDMI 9A 32GB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70044826</v>
      </c>
      <c r="C363" t="s">
        <v>67</v>
      </c>
      <c r="D363" t="s">
        <v>632</v>
      </c>
      <c r="E363" s="19" t="s">
        <v>854</v>
      </c>
      <c r="F363" t="e">
        <f>VLOOKUP(DICCIONARIO[[#This Row],[Desc color]],ImportarStock[DESCRIPCION],1,0)</f>
        <v>#N/A</v>
      </c>
      <c r="G363" t="s">
        <v>615</v>
      </c>
      <c r="H363" t="str">
        <f>VLOOKUP(DICCIONARIO[[#This Row],[Modelo]],UNIFICADA[Equipo],1,0)</f>
        <v>XIAOMI REDMI 9C 64GB</v>
      </c>
      <c r="I363">
        <f>IFERROR(VLOOKUP(DICCIONARIO[[#This Row],[Desc color]],ImportarStock[[DESCRIPCION]:[LIBRE UTILIZACION]],2,0),0)</f>
        <v>0</v>
      </c>
    </row>
    <row r="364" spans="2:9" x14ac:dyDescent="0.25">
      <c r="C364" t="s">
        <v>135</v>
      </c>
      <c r="D364" t="s">
        <v>632</v>
      </c>
      <c r="E364" s="19" t="s">
        <v>989</v>
      </c>
      <c r="F364" t="str">
        <f>VLOOKUP(DICCIONARIO[[#This Row],[Desc color]],ImportarStock[DESCRIPCION],1,0)</f>
        <v>XIA REDMI A1 32GB ZC</v>
      </c>
      <c r="H364" t="str">
        <f>VLOOKUP(DICCIONARIO[[#This Row],[Modelo]],UNIFICADA[Equipo],1,0)</f>
        <v>XIAOMI REDMI A1 32GB</v>
      </c>
      <c r="I364">
        <f>IFERROR(VLOOKUP(DICCIONARIO[[#This Row],[Desc color]],ImportarStock[[DESCRIPCION]:[LIBRE UTILIZACION]],2,0),0)</f>
        <v>8</v>
      </c>
    </row>
    <row r="365" spans="2:9" x14ac:dyDescent="0.25">
      <c r="C365" t="s">
        <v>135</v>
      </c>
      <c r="D365" t="s">
        <v>632</v>
      </c>
      <c r="E365" s="19" t="s">
        <v>928</v>
      </c>
      <c r="F365" t="e">
        <f>VLOOKUP(DICCIONARIO[[#This Row],[Desc color]],ImportarStock[DESCRIPCION],1,0)</f>
        <v>#N/A</v>
      </c>
      <c r="H365" t="str">
        <f>VLOOKUP(DICCIONARIO[[#This Row],[Modelo]],UNIFICADA[Equipo],1,0)</f>
        <v>XIAOMI REDMI A1 32GB</v>
      </c>
      <c r="I365">
        <f>IFERROR(VLOOKUP(DICCIONARIO[[#This Row],[Desc color]],ImportarStock[[DESCRIPCION]:[LIBRE UTILIZACION]],2,0),0)</f>
        <v>0</v>
      </c>
    </row>
    <row r="366" spans="2:9" x14ac:dyDescent="0.25">
      <c r="C366" t="s">
        <v>135</v>
      </c>
      <c r="D366" t="s">
        <v>632</v>
      </c>
      <c r="E366" s="19" t="s">
        <v>929</v>
      </c>
      <c r="F366" t="e">
        <f>VLOOKUP(DICCIONARIO[[#This Row],[Desc color]],ImportarStock[DESCRIPCION],1,0)</f>
        <v>#N/A</v>
      </c>
      <c r="H366" t="str">
        <f>VLOOKUP(DICCIONARIO[[#This Row],[Modelo]],UNIFICADA[Equipo],1,0)</f>
        <v>XIAOMI REDMI A1 32GB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1058</v>
      </c>
      <c r="D367" t="s">
        <v>632</v>
      </c>
      <c r="E367" s="19" t="s">
        <v>1128</v>
      </c>
      <c r="F367" t="str">
        <f>VLOOKUP(DICCIONARIO[[#This Row],[Desc color]],ImportarStock[DESCRIPCION],1,0)</f>
        <v>XIA REDMI A2 32GB NG IN EARPHON</v>
      </c>
      <c r="H367" t="str">
        <f>VLOOKUP(DICCIONARIO[[#This Row],[Modelo]],UNIFICADA[Equipo],1,0)</f>
        <v>XIAOMI REDMI A2 32GB</v>
      </c>
      <c r="I367">
        <f>IFERROR(VLOOKUP(DICCIONARIO[[#This Row],[Desc color]],ImportarStock[[DESCRIPCION]:[LIBRE UTILIZACION]],2,0),0)</f>
        <v>2</v>
      </c>
    </row>
    <row r="368" spans="2:9" x14ac:dyDescent="0.25">
      <c r="B368">
        <v>70039722</v>
      </c>
      <c r="C368" t="s">
        <v>38</v>
      </c>
      <c r="D368" t="s">
        <v>632</v>
      </c>
      <c r="E368" s="19" t="s">
        <v>656</v>
      </c>
      <c r="F368" t="e">
        <f>VLOOKUP(DICCIONARIO[[#This Row],[Desc color]],ImportarStock[DESCRIPCION],1,0)</f>
        <v>#N/A</v>
      </c>
      <c r="G368" t="s">
        <v>657</v>
      </c>
      <c r="H368" t="str">
        <f>VLOOKUP(DICCIONARIO[[#This Row],[Modelo]],UNIFICADA[Equipo],1,0)</f>
        <v>XIAOMI REDMI NOTE 10 PRO 128GB SE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39</v>
      </c>
      <c r="D369" t="s">
        <v>632</v>
      </c>
      <c r="E369" s="19" t="s">
        <v>922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REDMI NOTE 10S 128GB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70039940</v>
      </c>
      <c r="C370" t="s">
        <v>39</v>
      </c>
      <c r="D370" t="s">
        <v>632</v>
      </c>
      <c r="E370" s="19" t="s">
        <v>660</v>
      </c>
      <c r="F370" t="e">
        <f>VLOOKUP(DICCIONARIO[[#This Row],[Desc color]],ImportarStock[DESCRIPCION],1,0)</f>
        <v>#N/A</v>
      </c>
      <c r="G370" t="s">
        <v>618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70039941</v>
      </c>
      <c r="C371" t="s">
        <v>39</v>
      </c>
      <c r="D371" t="s">
        <v>632</v>
      </c>
      <c r="E371" s="19" t="s">
        <v>661</v>
      </c>
      <c r="F371" t="e">
        <f>VLOOKUP(DICCIONARIO[[#This Row],[Desc color]],ImportarStock[DESCRIPCION],1,0)</f>
        <v>#N/A</v>
      </c>
      <c r="G371" t="s">
        <v>618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C372" t="s">
        <v>39</v>
      </c>
      <c r="D372" t="s">
        <v>632</v>
      </c>
      <c r="E372" s="19" t="s">
        <v>923</v>
      </c>
      <c r="F372" t="e">
        <f>VLOOKUP(DICCIONARIO[[#This Row],[Desc color]],ImportarStock[DESCRIPCION],1,0)</f>
        <v>#N/A</v>
      </c>
      <c r="H372" t="str">
        <f>VLOOKUP(DICCIONARIO[[#This Row],[Modelo]],UNIFICADA[Equipo],1,0)</f>
        <v>XIAOMI REDMI NOTE 10S 128GB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70039942</v>
      </c>
      <c r="C373" t="s">
        <v>39</v>
      </c>
      <c r="D373" t="s">
        <v>632</v>
      </c>
      <c r="E373" s="19" t="s">
        <v>662</v>
      </c>
      <c r="F373" t="e">
        <f>VLOOKUP(DICCIONARIO[[#This Row],[Desc color]],ImportarStock[DESCRIPCION],1,0)</f>
        <v>#N/A</v>
      </c>
      <c r="G373" t="s">
        <v>624</v>
      </c>
      <c r="H373" t="str">
        <f>VLOOKUP(DICCIONARIO[[#This Row],[Modelo]],UNIFICADA[Equipo],1,0)</f>
        <v>XIAOMI REDMI NOTE 10S 128GB</v>
      </c>
      <c r="I373">
        <f>IFERROR(VLOOKUP(DICCIONARIO[[#This Row],[Desc color]],ImportarStock[[DESCRIPCION]:[LIBRE UTILIZACION]],2,0),0)</f>
        <v>0</v>
      </c>
    </row>
    <row r="374" spans="2:9" x14ac:dyDescent="0.25">
      <c r="C374" t="s">
        <v>39</v>
      </c>
      <c r="D374" t="s">
        <v>632</v>
      </c>
      <c r="E374" s="19" t="s">
        <v>924</v>
      </c>
      <c r="F374" t="e">
        <f>VLOOKUP(DICCIONARIO[[#This Row],[Desc color]],ImportarStock[DESCRIPCION],1,0)</f>
        <v>#N/A</v>
      </c>
      <c r="H374" t="str">
        <f>VLOOKUP(DICCIONARIO[[#This Row],[Modelo]],UNIFICADA[Equipo],1,0)</f>
        <v>XIAOMI REDMI NOTE 10S 128GB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70039938</v>
      </c>
      <c r="C375" t="s">
        <v>39</v>
      </c>
      <c r="D375" t="s">
        <v>632</v>
      </c>
      <c r="E375" s="19" t="s">
        <v>658</v>
      </c>
      <c r="F375" t="e">
        <f>VLOOKUP(DICCIONARIO[[#This Row],[Desc color]],ImportarStock[DESCRIPCION],1,0)</f>
        <v>#N/A</v>
      </c>
      <c r="G375" t="s">
        <v>611</v>
      </c>
      <c r="H375" t="str">
        <f>VLOOKUP(DICCIONARIO[[#This Row],[Modelo]],UNIFICADA[Equipo],1,0)</f>
        <v>XIAOMI REDMI NOTE 10S 128GB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70039939</v>
      </c>
      <c r="C376" t="s">
        <v>39</v>
      </c>
      <c r="D376" t="s">
        <v>632</v>
      </c>
      <c r="E376" s="19" t="s">
        <v>659</v>
      </c>
      <c r="F376" t="e">
        <f>VLOOKUP(DICCIONARIO[[#This Row],[Desc color]],ImportarStock[DESCRIPCION],1,0)</f>
        <v>#N/A</v>
      </c>
      <c r="G376" t="s">
        <v>611</v>
      </c>
      <c r="H376" t="str">
        <f>VLOOKUP(DICCIONARIO[[#This Row],[Modelo]],UNIFICADA[Equipo],1,0)</f>
        <v>XIAOMI REDMI NOTE 10S 128GB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70044979</v>
      </c>
      <c r="C377" t="s">
        <v>80</v>
      </c>
      <c r="D377" t="s">
        <v>632</v>
      </c>
      <c r="E377" s="19" t="s">
        <v>836</v>
      </c>
      <c r="F377" t="e">
        <f>VLOOKUP(DICCIONARIO[[#This Row],[Desc color]],ImportarStock[DESCRIPCION],1,0)</f>
        <v>#N/A</v>
      </c>
      <c r="G377" t="s">
        <v>837</v>
      </c>
      <c r="H377" t="str">
        <f>VLOOKUP(DICCIONARIO[[#This Row],[Modelo]],UNIFICADA[Equipo],1,0)</f>
        <v>XIAOMI REDMI NOTE 11 128GB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80</v>
      </c>
      <c r="D378" t="s">
        <v>632</v>
      </c>
      <c r="E378" s="19" t="s">
        <v>934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11 128GB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70044970</v>
      </c>
      <c r="C379" t="s">
        <v>80</v>
      </c>
      <c r="D379" t="s">
        <v>632</v>
      </c>
      <c r="E379" s="19" t="s">
        <v>839</v>
      </c>
      <c r="F379" t="e">
        <f>VLOOKUP(DICCIONARIO[[#This Row],[Desc color]],ImportarStock[DESCRIPCION],1,0)</f>
        <v>#N/A</v>
      </c>
      <c r="G379" t="s">
        <v>684</v>
      </c>
      <c r="H379" t="str">
        <f>VLOOKUP(DICCIONARIO[[#This Row],[Modelo]],UNIFICADA[Equipo],1,0)</f>
        <v>XIAOMI REDMI NOTE 11 128GB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80</v>
      </c>
      <c r="D380" t="s">
        <v>632</v>
      </c>
      <c r="E380" s="19" t="s">
        <v>1000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XIAOMI REDMI NOTE 11 128GB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70044968</v>
      </c>
      <c r="C381" t="s">
        <v>80</v>
      </c>
      <c r="D381" t="s">
        <v>632</v>
      </c>
      <c r="E381" s="19" t="s">
        <v>834</v>
      </c>
      <c r="F381" t="e">
        <f>VLOOKUP(DICCIONARIO[[#This Row],[Desc color]],ImportarStock[DESCRIPCION],1,0)</f>
        <v>#N/A</v>
      </c>
      <c r="G381" t="s">
        <v>830</v>
      </c>
      <c r="H381" t="str">
        <f>VLOOKUP(DICCIONARIO[[#This Row],[Modelo]],UNIFICADA[Equipo],1,0)</f>
        <v>XIAOMI REDMI NOTE 11 128GB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70044980</v>
      </c>
      <c r="C382" t="s">
        <v>58</v>
      </c>
      <c r="D382" t="s">
        <v>632</v>
      </c>
      <c r="E382" s="19" t="s">
        <v>838</v>
      </c>
      <c r="F382" t="e">
        <f>VLOOKUP(DICCIONARIO[[#This Row],[Desc color]],ImportarStock[DESCRIPCION],1,0)</f>
        <v>#N/A</v>
      </c>
      <c r="G382" t="s">
        <v>837</v>
      </c>
      <c r="H382" t="str">
        <f>VLOOKUP(DICCIONARIO[[#This Row],[Modelo]],UNIFICADA[Equipo],1,0)</f>
        <v>XIAOMI REDMI NOTE 11 128GB - OS</v>
      </c>
      <c r="I382">
        <f>IFERROR(VLOOKUP(DICCIONARIO[[#This Row],[Desc color]],ImportarStock[[DESCRIPCION]:[LIBRE UTILIZACION]],2,0),0)</f>
        <v>0</v>
      </c>
    </row>
    <row r="383" spans="2:9" x14ac:dyDescent="0.25">
      <c r="B383">
        <v>70044971</v>
      </c>
      <c r="C383" t="s">
        <v>58</v>
      </c>
      <c r="D383" t="s">
        <v>632</v>
      </c>
      <c r="E383" s="19" t="s">
        <v>841</v>
      </c>
      <c r="F383" t="e">
        <f>VLOOKUP(DICCIONARIO[[#This Row],[Desc color]],ImportarStock[DESCRIPCION],1,0)</f>
        <v>#N/A</v>
      </c>
      <c r="G383" t="s">
        <v>684</v>
      </c>
      <c r="H383" t="str">
        <f>VLOOKUP(DICCIONARIO[[#This Row],[Modelo]],UNIFICADA[Equipo],1,0)</f>
        <v>XIAOMI REDMI NOTE 11 128GB - OS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70044972</v>
      </c>
      <c r="C384" t="s">
        <v>58</v>
      </c>
      <c r="D384" t="s">
        <v>632</v>
      </c>
      <c r="E384" s="19" t="s">
        <v>840</v>
      </c>
      <c r="F384" t="e">
        <f>VLOOKUP(DICCIONARIO[[#This Row],[Desc color]],ImportarStock[DESCRIPCION],1,0)</f>
        <v>#N/A</v>
      </c>
      <c r="G384" t="s">
        <v>684</v>
      </c>
      <c r="H384" t="str">
        <f>VLOOKUP(DICCIONARIO[[#This Row],[Modelo]],UNIFICADA[Equipo],1,0)</f>
        <v>XIAOMI REDMI NOTE 11 128GB - OS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70044969</v>
      </c>
      <c r="C385" t="s">
        <v>58</v>
      </c>
      <c r="D385" t="s">
        <v>632</v>
      </c>
      <c r="E385" s="19" t="s">
        <v>835</v>
      </c>
      <c r="F385" t="e">
        <f>VLOOKUP(DICCIONARIO[[#This Row],[Desc color]],ImportarStock[DESCRIPCION],1,0)</f>
        <v>#N/A</v>
      </c>
      <c r="G385" t="s">
        <v>830</v>
      </c>
      <c r="H385" t="str">
        <f>VLOOKUP(DICCIONARIO[[#This Row],[Modelo]],UNIFICADA[Equipo],1,0)</f>
        <v>XIAOMI REDMI NOTE 11 128GB - OS</v>
      </c>
      <c r="I385">
        <f>IFERROR(VLOOKUP(DICCIONARIO[[#This Row],[Desc color]],ImportarStock[[DESCRIPCION]:[LIBRE UTILIZACION]],2,0),0)</f>
        <v>0</v>
      </c>
    </row>
    <row r="386" spans="2:9" x14ac:dyDescent="0.25">
      <c r="C386" t="s">
        <v>88</v>
      </c>
      <c r="D386" t="s">
        <v>632</v>
      </c>
      <c r="E386" s="19" t="s">
        <v>931</v>
      </c>
      <c r="F386" t="e">
        <f>VLOOKUP(DICCIONARIO[[#This Row],[Desc color]],ImportarStock[DESCRIPCION],1,0)</f>
        <v>#N/A</v>
      </c>
      <c r="H386" t="str">
        <f>VLOOKUP(DICCIONARIO[[#This Row],[Modelo]],UNIFICADA[Equipo],1,0)</f>
        <v>XIAOMI REDMI NOTE 11 128GB SE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88</v>
      </c>
      <c r="D387" t="s">
        <v>632</v>
      </c>
      <c r="E387" s="19" t="s">
        <v>932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REDMI NOTE 11 128GB SE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88</v>
      </c>
      <c r="D388" t="s">
        <v>632</v>
      </c>
      <c r="E388" s="19" t="s">
        <v>933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NOTE 11 128GB SE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70044973</v>
      </c>
      <c r="C389" t="s">
        <v>71</v>
      </c>
      <c r="D389" t="s">
        <v>632</v>
      </c>
      <c r="E389" s="19" t="s">
        <v>844</v>
      </c>
      <c r="F389" t="e">
        <f>VLOOKUP(DICCIONARIO[[#This Row],[Desc color]],ImportarStock[DESCRIPCION],1,0)</f>
        <v>#N/A</v>
      </c>
      <c r="G389" t="s">
        <v>684</v>
      </c>
      <c r="H389" t="str">
        <f>VLOOKUP(DICCIONARIO[[#This Row],[Modelo]],UNIFICADA[Equipo],1,0)</f>
        <v>XIAOMI REDMI NOTE 11S 128GB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70044976</v>
      </c>
      <c r="C390" t="s">
        <v>71</v>
      </c>
      <c r="D390" t="s">
        <v>632</v>
      </c>
      <c r="E390" s="19" t="s">
        <v>845</v>
      </c>
      <c r="F390" t="e">
        <f>VLOOKUP(DICCIONARIO[[#This Row],[Desc color]],ImportarStock[DESCRIPCION],1,0)</f>
        <v>#N/A</v>
      </c>
      <c r="G390" t="s">
        <v>684</v>
      </c>
      <c r="H390" t="str">
        <f>VLOOKUP(DICCIONARIO[[#This Row],[Modelo]],UNIFICADA[Equipo],1,0)</f>
        <v>XIAOMI REDMI NOTE 11S 128GB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71</v>
      </c>
      <c r="D391" t="s">
        <v>632</v>
      </c>
      <c r="E391" s="19" t="s">
        <v>935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NOTE 11S 128GB</v>
      </c>
      <c r="I391">
        <f>IFERROR(VLOOKUP(DICCIONARIO[[#This Row],[Desc color]],ImportarStock[[DESCRIPCION]:[LIBRE UTILIZACION]],2,0),0)</f>
        <v>0</v>
      </c>
    </row>
    <row r="392" spans="2:9" x14ac:dyDescent="0.25">
      <c r="B392">
        <v>70044975</v>
      </c>
      <c r="C392" t="s">
        <v>71</v>
      </c>
      <c r="D392" t="s">
        <v>632</v>
      </c>
      <c r="E392" s="19" t="s">
        <v>846</v>
      </c>
      <c r="F392" t="e">
        <f>VLOOKUP(DICCIONARIO[[#This Row],[Desc color]],ImportarStock[DESCRIPCION],1,0)</f>
        <v>#N/A</v>
      </c>
      <c r="G392" t="s">
        <v>686</v>
      </c>
      <c r="H392" t="str">
        <f>VLOOKUP(DICCIONARIO[[#This Row],[Modelo]],UNIFICADA[Equipo],1,0)</f>
        <v>XIAOMI REDMI NOTE 11S 128GB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70044981</v>
      </c>
      <c r="C393" t="s">
        <v>71</v>
      </c>
      <c r="D393" t="s">
        <v>632</v>
      </c>
      <c r="E393" s="19" t="s">
        <v>842</v>
      </c>
      <c r="F393" t="e">
        <f>VLOOKUP(DICCIONARIO[[#This Row],[Desc color]],ImportarStock[DESCRIPCION],1,0)</f>
        <v>#N/A</v>
      </c>
      <c r="G393" t="s">
        <v>830</v>
      </c>
      <c r="H393" t="str">
        <f>VLOOKUP(DICCIONARIO[[#This Row],[Modelo]],UNIFICADA[Equipo],1,0)</f>
        <v>XIAOMI REDMI NOTE 11S 128GB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70044982</v>
      </c>
      <c r="C394" t="s">
        <v>71</v>
      </c>
      <c r="D394" t="s">
        <v>632</v>
      </c>
      <c r="E394" s="19" t="s">
        <v>843</v>
      </c>
      <c r="F394" t="e">
        <f>VLOOKUP(DICCIONARIO[[#This Row],[Desc color]],ImportarStock[DESCRIPCION],1,0)</f>
        <v>#N/A</v>
      </c>
      <c r="G394" t="s">
        <v>830</v>
      </c>
      <c r="H394" t="str">
        <f>VLOOKUP(DICCIONARIO[[#This Row],[Modelo]],UNIFICADA[Equipo],1,0)</f>
        <v>XIAOMI REDMI NOTE 11S 128GB</v>
      </c>
      <c r="I394">
        <f>IFERROR(VLOOKUP(DICCIONARIO[[#This Row],[Desc color]],ImportarStock[[DESCRIPCION]:[LIBRE UTILIZACION]],2,0),0)</f>
        <v>0</v>
      </c>
    </row>
    <row r="395" spans="2:9" x14ac:dyDescent="0.25">
      <c r="C395" t="s">
        <v>1132</v>
      </c>
      <c r="D395" t="s">
        <v>632</v>
      </c>
      <c r="E395" s="19" t="s">
        <v>1125</v>
      </c>
      <c r="F395" t="str">
        <f>VLOOKUP(DICCIONARIO[[#This Row],[Desc color]],ImportarStock[DESCRIPCION],1,0)</f>
        <v>XIA REDMINOT12128 AZ SPEAKER</v>
      </c>
      <c r="H395" t="str">
        <f>VLOOKUP(DICCIONARIO[[#This Row],[Modelo]],UNIFICADA[Equipo],1,0)</f>
        <v>XIAOMI REDMI NOTE 12 128GB</v>
      </c>
      <c r="I395">
        <f>IFERROR(VLOOKUP(DICCIONARIO[[#This Row],[Desc color]],ImportarStock[[DESCRIPCION]:[LIBRE UTILIZACION]],2,0),0)</f>
        <v>3</v>
      </c>
    </row>
    <row r="396" spans="2:9" x14ac:dyDescent="0.25">
      <c r="C396" t="s">
        <v>70</v>
      </c>
      <c r="D396" t="s">
        <v>627</v>
      </c>
      <c r="E396" s="19" t="s">
        <v>937</v>
      </c>
      <c r="F396" t="str">
        <f>VLOOKUP(DICCIONARIO[[#This Row],[Desc color]],ImportarStock[DESCRIPCION],1,0)</f>
        <v>ZTE BLADEA31P321G AZ</v>
      </c>
      <c r="H396" t="str">
        <f>VLOOKUP(DICCIONARIO[[#This Row],[Modelo]],UNIFICADA[Equipo],1,0)</f>
        <v>ZTE BLADE A31 PLUS 32GB</v>
      </c>
      <c r="I396">
        <f>IFERROR(VLOOKUP(DICCIONARIO[[#This Row],[Desc color]],ImportarStock[[DESCRIPCION]:[LIBRE UTILIZACION]],2,0),0)</f>
        <v>5</v>
      </c>
    </row>
    <row r="397" spans="2:9" x14ac:dyDescent="0.25">
      <c r="C397" t="s">
        <v>70</v>
      </c>
      <c r="D397" t="s">
        <v>627</v>
      </c>
      <c r="E397" s="19" t="s">
        <v>1014</v>
      </c>
      <c r="F397" t="str">
        <f>VLOOKUP(DICCIONARIO[[#This Row],[Desc color]],ImportarStock[DESCRIPCION],1,0)</f>
        <v>ZTE BLADEA31P321G GR</v>
      </c>
      <c r="H397" t="str">
        <f>VLOOKUP(DICCIONARIO[[#This Row],[Modelo]],UNIFICADA[Equipo],1,0)</f>
        <v>ZTE BLADE A31 PLUS 32GB</v>
      </c>
      <c r="I397">
        <f>IFERROR(VLOOKUP(DICCIONARIO[[#This Row],[Desc color]],ImportarStock[[DESCRIPCION]:[LIBRE UTILIZACION]],2,0),0)</f>
        <v>12</v>
      </c>
    </row>
    <row r="398" spans="2:9" x14ac:dyDescent="0.25">
      <c r="B398">
        <v>70044686</v>
      </c>
      <c r="C398" t="s">
        <v>70</v>
      </c>
      <c r="D398" t="s">
        <v>627</v>
      </c>
      <c r="E398" s="19" t="s">
        <v>808</v>
      </c>
      <c r="F398" t="e">
        <f>VLOOKUP(DICCIONARIO[[#This Row],[Desc color]],ImportarStock[DESCRIPCION],1,0)</f>
        <v>#N/A</v>
      </c>
      <c r="G398" t="s">
        <v>618</v>
      </c>
      <c r="H398" t="str">
        <f>VLOOKUP(DICCIONARIO[[#This Row],[Modelo]],UNIFICADA[Equipo],1,0)</f>
        <v>ZTE BLADE A31 PLUS 32GB</v>
      </c>
      <c r="I398">
        <f>IFERROR(VLOOKUP(DICCIONARIO[[#This Row],[Desc color]],ImportarStock[[DESCRIPCION]:[LIBRE UTILIZACION]],2,0),0)</f>
        <v>0</v>
      </c>
    </row>
    <row r="399" spans="2:9" x14ac:dyDescent="0.25">
      <c r="B399">
        <v>70044685</v>
      </c>
      <c r="C399" t="s">
        <v>70</v>
      </c>
      <c r="D399" t="s">
        <v>627</v>
      </c>
      <c r="E399" s="19" t="s">
        <v>807</v>
      </c>
      <c r="F399" t="e">
        <f>VLOOKUP(DICCIONARIO[[#This Row],[Desc color]],ImportarStock[DESCRIPCION],1,0)</f>
        <v>#N/A</v>
      </c>
      <c r="G399" t="s">
        <v>615</v>
      </c>
      <c r="H399" t="str">
        <f>VLOOKUP(DICCIONARIO[[#This Row],[Modelo]],UNIFICADA[Equipo],1,0)</f>
        <v>ZTE BLADE A31 PLUS 32GB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70034305</v>
      </c>
      <c r="C400" t="s">
        <v>40</v>
      </c>
      <c r="D400" t="s">
        <v>627</v>
      </c>
      <c r="E400" s="19" t="s">
        <v>629</v>
      </c>
      <c r="F400" t="e">
        <f>VLOOKUP(DICCIONARIO[[#This Row],[Desc color]],ImportarStock[DESCRIPCION],1,0)</f>
        <v>#N/A</v>
      </c>
      <c r="G400" t="s">
        <v>618</v>
      </c>
      <c r="H400" t="str">
        <f>VLOOKUP(DICCIONARIO[[#This Row],[Modelo]],UNIFICADA[Equipo],1,0)</f>
        <v>ZTE BLADE A5 2020 32GB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70036709</v>
      </c>
      <c r="C401" t="s">
        <v>40</v>
      </c>
      <c r="D401" t="s">
        <v>627</v>
      </c>
      <c r="E401" s="19" t="s">
        <v>638</v>
      </c>
      <c r="F401" t="e">
        <f>VLOOKUP(DICCIONARIO[[#This Row],[Desc color]],ImportarStock[DESCRIPCION],1,0)</f>
        <v>#N/A</v>
      </c>
      <c r="G401" t="s">
        <v>618</v>
      </c>
      <c r="H401" t="str">
        <f>VLOOKUP(DICCIONARIO[[#This Row],[Modelo]],UNIFICADA[Equipo],1,0)</f>
        <v>ZTE BLADE A5 2020 32GB</v>
      </c>
      <c r="I401">
        <f>IFERROR(VLOOKUP(DICCIONARIO[[#This Row],[Desc color]],ImportarStock[[DESCRIPCION]:[LIBRE UTILIZACION]],2,0),0)</f>
        <v>0</v>
      </c>
    </row>
    <row r="402" spans="2:9" x14ac:dyDescent="0.25">
      <c r="C402" t="s">
        <v>40</v>
      </c>
      <c r="D402" t="s">
        <v>627</v>
      </c>
      <c r="E402" s="19" t="s">
        <v>1033</v>
      </c>
      <c r="F402" t="e">
        <f>VLOOKUP(DICCIONARIO[[#This Row],[Desc color]],ImportarStock[DESCRIPCION],1,0)</f>
        <v>#N/A</v>
      </c>
      <c r="H402" t="str">
        <f>VLOOKUP(DICCIONARIO[[#This Row],[Modelo]],UNIFICADA[Equipo],1,0)</f>
        <v>ZTE BLADE A5 2020 32GB</v>
      </c>
      <c r="I402">
        <f>IFERROR(VLOOKUP(DICCIONARIO[[#This Row],[Desc color]],ImportarStock[[DESCRIPCION]:[LIBRE UTILIZACION]],2,0),0)</f>
        <v>0</v>
      </c>
    </row>
    <row r="403" spans="2:9" x14ac:dyDescent="0.25">
      <c r="B403">
        <v>70034121</v>
      </c>
      <c r="C403" t="s">
        <v>40</v>
      </c>
      <c r="D403" t="s">
        <v>627</v>
      </c>
      <c r="E403" s="19" t="s">
        <v>628</v>
      </c>
      <c r="F403" t="e">
        <f>VLOOKUP(DICCIONARIO[[#This Row],[Desc color]],ImportarStock[DESCRIPCION],1,0)</f>
        <v>#N/A</v>
      </c>
      <c r="G403" t="s">
        <v>611</v>
      </c>
      <c r="H403" t="str">
        <f>VLOOKUP(DICCIONARIO[[#This Row],[Modelo]],UNIFICADA[Equipo],1,0)</f>
        <v>ZTE BLADE A5 2020 32GB</v>
      </c>
      <c r="I403">
        <f>IFERROR(VLOOKUP(DICCIONARIO[[#This Row],[Desc color]],ImportarStock[[DESCRIPCION]:[LIBRE UTILIZACION]],2,0),0)</f>
        <v>0</v>
      </c>
    </row>
    <row r="404" spans="2:9" x14ac:dyDescent="0.25">
      <c r="B404">
        <v>70036708</v>
      </c>
      <c r="C404" t="s">
        <v>40</v>
      </c>
      <c r="D404" t="s">
        <v>627</v>
      </c>
      <c r="E404" s="19" t="s">
        <v>637</v>
      </c>
      <c r="F404" t="e">
        <f>VLOOKUP(DICCIONARIO[[#This Row],[Desc color]],ImportarStock[DESCRIPCION],1,0)</f>
        <v>#N/A</v>
      </c>
      <c r="G404" t="s">
        <v>611</v>
      </c>
      <c r="H404" t="str">
        <f>VLOOKUP(DICCIONARIO[[#This Row],[Modelo]],UNIFICADA[Equipo],1,0)</f>
        <v>ZTE BLADE A5 2020 32GB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70040626</v>
      </c>
      <c r="C405" t="s">
        <v>41</v>
      </c>
      <c r="D405" t="s">
        <v>627</v>
      </c>
      <c r="E405" s="19" t="s">
        <v>665</v>
      </c>
      <c r="F405" t="str">
        <f>VLOOKUP(DICCIONARIO[[#This Row],[Desc color]],ImportarStock[DESCRIPCION],1,0)</f>
        <v>ZTE BLADEA5132GB AZ</v>
      </c>
      <c r="G405" t="s">
        <v>618</v>
      </c>
      <c r="H405" t="str">
        <f>VLOOKUP(DICCIONARIO[[#This Row],[Modelo]],UNIFICADA[Equipo],1,0)</f>
        <v>ZTE BLADE A51 32GB</v>
      </c>
      <c r="I405">
        <f>IFERROR(VLOOKUP(DICCIONARIO[[#This Row],[Desc color]],ImportarStock[[DESCRIPCION]:[LIBRE UTILIZACION]],2,0),0)</f>
        <v>12</v>
      </c>
    </row>
    <row r="406" spans="2:9" x14ac:dyDescent="0.25">
      <c r="B406">
        <v>70040971</v>
      </c>
      <c r="C406" t="s">
        <v>41</v>
      </c>
      <c r="D406" t="s">
        <v>627</v>
      </c>
      <c r="E406" s="19" t="s">
        <v>669</v>
      </c>
      <c r="F406" t="e">
        <f>VLOOKUP(DICCIONARIO[[#This Row],[Desc color]],ImportarStock[DESCRIPCION],1,0)</f>
        <v>#N/A</v>
      </c>
      <c r="G406" t="s">
        <v>615</v>
      </c>
      <c r="H406" t="str">
        <f>VLOOKUP(DICCIONARIO[[#This Row],[Modelo]],UNIFICADA[Equipo],1,0)</f>
        <v>ZTE BLADE A51 32GB</v>
      </c>
      <c r="I406">
        <f>IFERROR(VLOOKUP(DICCIONARIO[[#This Row],[Desc color]],ImportarStock[[DESCRIPCION]:[LIBRE UTILIZACION]],2,0),0)</f>
        <v>0</v>
      </c>
    </row>
    <row r="407" spans="2:9" x14ac:dyDescent="0.25">
      <c r="B407">
        <v>70040625</v>
      </c>
      <c r="C407" t="s">
        <v>41</v>
      </c>
      <c r="D407" t="s">
        <v>627</v>
      </c>
      <c r="E407" s="19" t="s">
        <v>664</v>
      </c>
      <c r="F407" t="e">
        <f>VLOOKUP(DICCIONARIO[[#This Row],[Desc color]],ImportarStock[DESCRIPCION],1,0)</f>
        <v>#N/A</v>
      </c>
      <c r="G407" t="s">
        <v>611</v>
      </c>
      <c r="H407" t="str">
        <f>VLOOKUP(DICCIONARIO[[#This Row],[Modelo]],UNIFICADA[Equipo],1,0)</f>
        <v>ZTE BLADE A51 32GB</v>
      </c>
      <c r="I407">
        <f>IFERROR(VLOOKUP(DICCIONARIO[[#This Row],[Desc color]],ImportarStock[[DESCRIPCION]:[LIBRE UTILIZACION]],2,0),0)</f>
        <v>0</v>
      </c>
    </row>
    <row r="408" spans="2:9" x14ac:dyDescent="0.25">
      <c r="B408">
        <v>70040605</v>
      </c>
      <c r="C408" t="s">
        <v>42</v>
      </c>
      <c r="D408" t="s">
        <v>627</v>
      </c>
      <c r="E408" s="19" t="s">
        <v>668</v>
      </c>
      <c r="F408" t="str">
        <f>VLOOKUP(DICCIONARIO[[#This Row],[Desc color]],ImportarStock[DESCRIPCION],1,0)</f>
        <v>ZTE BLADE A71 64G AZ</v>
      </c>
      <c r="G408" t="s">
        <v>618</v>
      </c>
      <c r="H408" t="str">
        <f>VLOOKUP(DICCIONARIO[[#This Row],[Modelo]],UNIFICADA[Equipo],1,0)</f>
        <v>ZTE BLADE A71 64GB</v>
      </c>
      <c r="I408">
        <f>IFERROR(VLOOKUP(DICCIONARIO[[#This Row],[Desc color]],ImportarStock[[DESCRIPCION]:[LIBRE UTILIZACION]],2,0),0)</f>
        <v>9</v>
      </c>
    </row>
    <row r="409" spans="2:9" x14ac:dyDescent="0.25">
      <c r="B409">
        <v>70040969</v>
      </c>
      <c r="C409" t="s">
        <v>42</v>
      </c>
      <c r="D409" t="s">
        <v>627</v>
      </c>
      <c r="E409" s="19" t="s">
        <v>670</v>
      </c>
      <c r="F409" t="str">
        <f>VLOOKUP(DICCIONARIO[[#This Row],[Desc color]],ImportarStock[DESCRIPCION],1,0)</f>
        <v>ZTE BLADE A71 64G GR</v>
      </c>
      <c r="G409" t="s">
        <v>615</v>
      </c>
      <c r="H409" t="str">
        <f>VLOOKUP(DICCIONARIO[[#This Row],[Modelo]],UNIFICADA[Equipo],1,0)</f>
        <v>ZTE BLADE A71 64GB</v>
      </c>
      <c r="I409">
        <f>IFERROR(VLOOKUP(DICCIONARIO[[#This Row],[Desc color]],ImportarStock[[DESCRIPCION]:[LIBRE UTILIZACION]],2,0),0)</f>
        <v>1</v>
      </c>
    </row>
    <row r="410" spans="2:9" x14ac:dyDescent="0.25">
      <c r="B410">
        <v>70040970</v>
      </c>
      <c r="C410" t="s">
        <v>42</v>
      </c>
      <c r="D410" t="s">
        <v>627</v>
      </c>
      <c r="E410" s="19" t="s">
        <v>671</v>
      </c>
      <c r="F410" t="e">
        <f>VLOOKUP(DICCIONARIO[[#This Row],[Desc color]],ImportarStock[DESCRIPCION],1,0)</f>
        <v>#N/A</v>
      </c>
      <c r="G410" t="s">
        <v>615</v>
      </c>
      <c r="H410" t="str">
        <f>VLOOKUP(DICCIONARIO[[#This Row],[Modelo]],UNIFICADA[Equipo],1,0)</f>
        <v>ZTE BLADE A71 64GB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70040603</v>
      </c>
      <c r="C411" t="s">
        <v>42</v>
      </c>
      <c r="D411" t="s">
        <v>627</v>
      </c>
      <c r="E411" s="19" t="s">
        <v>666</v>
      </c>
      <c r="F411" t="e">
        <f>VLOOKUP(DICCIONARIO[[#This Row],[Desc color]],ImportarStock[DESCRIPCION],1,0)</f>
        <v>#N/A</v>
      </c>
      <c r="G411" t="s">
        <v>611</v>
      </c>
      <c r="H411" t="str">
        <f>VLOOKUP(DICCIONARIO[[#This Row],[Modelo]],UNIFICADA[Equipo],1,0)</f>
        <v>ZTE BLADE A71 64GB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70040604</v>
      </c>
      <c r="C412" t="s">
        <v>42</v>
      </c>
      <c r="D412" t="s">
        <v>627</v>
      </c>
      <c r="E412" s="19" t="s">
        <v>667</v>
      </c>
      <c r="F412" t="e">
        <f>VLOOKUP(DICCIONARIO[[#This Row],[Desc color]],ImportarStock[DESCRIPCION],1,0)</f>
        <v>#N/A</v>
      </c>
      <c r="G412" t="s">
        <v>611</v>
      </c>
      <c r="H412" t="str">
        <f>VLOOKUP(DICCIONARIO[[#This Row],[Modelo]],UNIFICADA[Equipo],1,0)</f>
        <v>ZTE BLADE A71 64GB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70042382</v>
      </c>
      <c r="C413" t="s">
        <v>47</v>
      </c>
      <c r="D413" t="s">
        <v>627</v>
      </c>
      <c r="E413" s="19" t="s">
        <v>781</v>
      </c>
      <c r="F413" t="e">
        <f>VLOOKUP(DICCIONARIO[[#This Row],[Desc color]],ImportarStock[DESCRIPCION],1,0)</f>
        <v>#N/A</v>
      </c>
      <c r="G413" t="s">
        <v>618</v>
      </c>
      <c r="H413" t="str">
        <f>VLOOKUP(DICCIONARIO[[#This Row],[Modelo]],UNIFICADA[Equipo],1,0)</f>
        <v>ZTE BLADE V30 VITA 128GB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70043214</v>
      </c>
      <c r="C414" t="s">
        <v>47</v>
      </c>
      <c r="D414" t="s">
        <v>627</v>
      </c>
      <c r="E414" s="19" t="s">
        <v>783</v>
      </c>
      <c r="F414" t="e">
        <f>VLOOKUP(DICCIONARIO[[#This Row],[Desc color]],ImportarStock[DESCRIPCION],1,0)</f>
        <v>#N/A</v>
      </c>
      <c r="G414" t="s">
        <v>615</v>
      </c>
      <c r="H414" t="str">
        <f>VLOOKUP(DICCIONARIO[[#This Row],[Modelo]],UNIFICADA[Equipo],1,0)</f>
        <v>ZTE BLADE V30 VITA 128GB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70042383</v>
      </c>
      <c r="C415" t="s">
        <v>47</v>
      </c>
      <c r="D415" t="s">
        <v>627</v>
      </c>
      <c r="E415" s="19" t="s">
        <v>782</v>
      </c>
      <c r="F415" t="e">
        <f>VLOOKUP(DICCIONARIO[[#This Row],[Desc color]],ImportarStock[DESCRIPCION],1,0)</f>
        <v>#N/A</v>
      </c>
      <c r="G415" t="s">
        <v>615</v>
      </c>
      <c r="H415" t="str">
        <f>VLOOKUP(DICCIONARIO[[#This Row],[Modelo]],UNIFICADA[Equipo],1,0)</f>
        <v>ZTE BLADE V30 VITA 128GB</v>
      </c>
      <c r="I415">
        <f>IFERROR(VLOOKUP(DICCIONARIO[[#This Row],[Desc color]],ImportarStock[[DESCRIPCION]:[LIBRE UTILIZACION]],2,0),0)</f>
        <v>0</v>
      </c>
    </row>
    <row r="416" spans="2:9" x14ac:dyDescent="0.25">
      <c r="C416" t="s">
        <v>1050</v>
      </c>
      <c r="D416" t="s">
        <v>627</v>
      </c>
      <c r="E416" s="19" t="s">
        <v>1055</v>
      </c>
      <c r="F416" t="e">
        <f>VLOOKUP(DICCIONARIO[[#This Row],[Desc color]],ImportarStock[DESCRIPCION],1,0)</f>
        <v>#N/A</v>
      </c>
      <c r="H416" t="e">
        <f>VLOOKUP(DICCIONARIO[[#This Row],[Modelo]],UNIFICADA[Equipo],1,0)</f>
        <v>#N/A</v>
      </c>
      <c r="I416">
        <f>IFERROR(VLOOKUP(DICCIONARIO[[#This Row],[Desc color]],ImportarStock[[DESCRIPCION]:[LIBRE UTILIZACION]],2,0),0)</f>
        <v>0</v>
      </c>
    </row>
    <row r="417" spans="3:9" x14ac:dyDescent="0.25">
      <c r="C417" t="s">
        <v>136</v>
      </c>
      <c r="D417" t="s">
        <v>627</v>
      </c>
      <c r="E417" s="19" t="s">
        <v>938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ZTE BLADE V40 SMART 128GB 5G</v>
      </c>
      <c r="I417">
        <f>IFERROR(VLOOKUP(DICCIONARIO[[#This Row],[Desc color]],ImportarStock[[DESCRIPCION]:[LIBRE UTILIZACION]],2,0),0)</f>
        <v>0</v>
      </c>
    </row>
    <row r="418" spans="3:9" x14ac:dyDescent="0.25">
      <c r="C418" t="s">
        <v>137</v>
      </c>
      <c r="D418" t="s">
        <v>627</v>
      </c>
      <c r="E418" s="19" t="s">
        <v>990</v>
      </c>
      <c r="F418" t="str">
        <f>VLOOKUP(DICCIONARIO[[#This Row],[Desc color]],ImportarStock[DESCRIPCION],1,0)</f>
        <v>ZTE BLADE V40 VIT NG</v>
      </c>
      <c r="H418" t="str">
        <f>VLOOKUP(DICCIONARIO[[#This Row],[Modelo]],UNIFICADA[Equipo],1,0)</f>
        <v>ZTE BLADE V40 VITA 128GB</v>
      </c>
      <c r="I418">
        <f>IFERROR(VLOOKUP(DICCIONARIO[[#This Row],[Desc color]],ImportarStock[[DESCRIPCION]:[LIBRE UTILIZACION]],2,0),0)</f>
        <v>21</v>
      </c>
    </row>
    <row r="419" spans="3:9" x14ac:dyDescent="0.25">
      <c r="C419" t="s">
        <v>137</v>
      </c>
      <c r="D419" t="s">
        <v>627</v>
      </c>
      <c r="E419" s="19" t="s">
        <v>1042</v>
      </c>
      <c r="F419" t="str">
        <f>VLOOKUP(DICCIONARIO[[#This Row],[Desc color]],ImportarStock[DESCRIPCION],1,0)</f>
        <v>ZTE BLADE V40 VIT NG SPEAKER</v>
      </c>
      <c r="H419" t="str">
        <f>VLOOKUP(DICCIONARIO[[#This Row],[Modelo]],UNIFICADA[Equipo],1,0)</f>
        <v>ZTE BLADE V40 VITA 128GB</v>
      </c>
      <c r="I419">
        <f>IFERROR(VLOOKUP(DICCIONARIO[[#This Row],[Desc color]],ImportarStock[[DESCRIPCION]:[LIBRE UTILIZACION]],2,0),0)</f>
        <v>4</v>
      </c>
    </row>
    <row r="420" spans="3:9" x14ac:dyDescent="0.25">
      <c r="C420" t="s">
        <v>137</v>
      </c>
      <c r="D420" t="s">
        <v>627</v>
      </c>
      <c r="E420" s="19" t="s">
        <v>936</v>
      </c>
      <c r="F420" t="e">
        <f>VLOOKUP(DICCIONARIO[[#This Row],[Desc color]],ImportarStock[DESCRIPCION],1,0)</f>
        <v>#N/A</v>
      </c>
      <c r="H420" t="str">
        <f>VLOOKUP(DICCIONARIO[[#This Row],[Modelo]],UNIFICADA[Equipo],1,0)</f>
        <v>ZTE BLADE V40 VITA 128GB</v>
      </c>
      <c r="I420">
        <f>IFERROR(VLOOKUP(DICCIONARIO[[#This Row],[Desc color]],ImportarStock[[DESCRIPCION]:[LIBRE UTILIZACION]],2,0),0)</f>
        <v>0</v>
      </c>
    </row>
    <row r="421" spans="3:9" x14ac:dyDescent="0.25">
      <c r="C421" t="s">
        <v>137</v>
      </c>
      <c r="D421" t="s">
        <v>627</v>
      </c>
      <c r="E421" s="19" t="s">
        <v>1034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ZTE BLADE V40 VITA 128GB</v>
      </c>
      <c r="I421">
        <f>IFERROR(VLOOKUP(DICCIONARIO[[#This Row],[Desc color]],ImportarStock[[DESCRIPCION]:[LIBRE UTILIZACION]],2,0),0)</f>
        <v>0</v>
      </c>
    </row>
    <row r="422" spans="3:9" x14ac:dyDescent="0.25">
      <c r="C422" t="s">
        <v>1136</v>
      </c>
      <c r="D422" t="s">
        <v>612</v>
      </c>
      <c r="E422" s="19" t="s">
        <v>1108</v>
      </c>
      <c r="F422" t="str">
        <f>VLOOKUP(DICCIONARIO[[#This Row],[Desc color]],ImportarStock[DESCRIPCION],1,0)</f>
        <v>APP IPH732BSAC NG SEED STOCK C/ ACCES</v>
      </c>
      <c r="H422" t="e">
        <f>VLOOKUP(DICCIONARIO[[#This Row],[Modelo]],UNIFICADA[Equipo],1,0)</f>
        <v>#N/A</v>
      </c>
      <c r="I422">
        <f>IFERROR(VLOOKUP(DICCIONARIO[[#This Row],[Desc color]],ImportarStock[[DESCRIPCION]:[LIBRE UTILIZACION]],2,0),0)</f>
        <v>5</v>
      </c>
    </row>
    <row r="423" spans="3:9" x14ac:dyDescent="0.25">
      <c r="C423" t="s">
        <v>1136</v>
      </c>
      <c r="D423" t="s">
        <v>612</v>
      </c>
      <c r="E423" s="19" t="s">
        <v>1111</v>
      </c>
      <c r="F423" t="str">
        <f>VLOOKUP(DICCIONARIO[[#This Row],[Desc color]],ImportarStock[DESCRIPCION],1,0)</f>
        <v>APP IPH8P64SGSAC GR SEED STOCK C/ ACCES</v>
      </c>
      <c r="H423" t="e">
        <f>VLOOKUP(DICCIONARIO[[#This Row],[Modelo]],UNIFICADA[Equipo],1,0)</f>
        <v>#N/A</v>
      </c>
      <c r="I423">
        <f>IFERROR(VLOOKUP(DICCIONARIO[[#This Row],[Desc color]],ImportarStock[[DESCRIPCION]:[LIBRE UTILIZACION]],2,0),0)</f>
        <v>1</v>
      </c>
    </row>
    <row r="424" spans="3:9" x14ac:dyDescent="0.25">
      <c r="C424" t="s">
        <v>1136</v>
      </c>
      <c r="D424" t="s">
        <v>612</v>
      </c>
      <c r="E424" s="19" t="s">
        <v>1112</v>
      </c>
      <c r="F424" t="str">
        <f>VLOOKUP(DICCIONARIO[[#This Row],[Desc color]],ImportarStock[DESCRIPCION],1,0)</f>
        <v>APP IPHXS64SPGSAC GR SEED STOCK C/ ACCES</v>
      </c>
      <c r="H424" t="e">
        <f>VLOOKUP(DICCIONARIO[[#This Row],[Modelo]],UNIFICADA[Equipo],1,0)</f>
        <v>#N/A</v>
      </c>
      <c r="I424">
        <f>IFERROR(VLOOKUP(DICCIONARIO[[#This Row],[Desc color]],ImportarStock[[DESCRIPCION]:[LIBRE UTILIZACION]],2,0),0)</f>
        <v>1</v>
      </c>
    </row>
    <row r="425" spans="3:9" x14ac:dyDescent="0.25">
      <c r="C425" t="s">
        <v>1136</v>
      </c>
      <c r="E425" s="19" t="s">
        <v>1150</v>
      </c>
      <c r="F425" t="str">
        <f>VLOOKUP(DICCIONARIO[[#This Row],[Desc color]],ImportarStock[DESCRIPCION],1,0)</f>
        <v>AUDIF BT BSHEP TWS DRUMS RJ</v>
      </c>
      <c r="H425" t="e">
        <f>VLOOKUP(DICCIONARIO[[#This Row],[Modelo]],UNIFICADA[Equipo],1,0)</f>
        <v>#N/A</v>
      </c>
      <c r="I425">
        <f>IFERROR(VLOOKUP(DICCIONARIO[[#This Row],[Desc color]],ImportarStock[[DESCRIPCION]:[LIBRE UTILIZACION]],2,0),0)</f>
        <v>1</v>
      </c>
    </row>
  </sheetData>
  <conditionalFormatting sqref="C96">
    <cfRule type="duplicateValues" dxfId="10" priority="13"/>
  </conditionalFormatting>
  <conditionalFormatting sqref="C120">
    <cfRule type="duplicateValues" dxfId="9" priority="11"/>
  </conditionalFormatting>
  <conditionalFormatting sqref="C121">
    <cfRule type="duplicateValues" dxfId="8" priority="10"/>
  </conditionalFormatting>
  <conditionalFormatting sqref="C162">
    <cfRule type="duplicateValues" dxfId="7" priority="9"/>
  </conditionalFormatting>
  <conditionalFormatting sqref="C163">
    <cfRule type="duplicateValues" dxfId="6" priority="8"/>
  </conditionalFormatting>
  <conditionalFormatting sqref="C164">
    <cfRule type="duplicateValues" dxfId="5" priority="7"/>
  </conditionalFormatting>
  <conditionalFormatting sqref="C165">
    <cfRule type="duplicateValues" dxfId="4" priority="6"/>
  </conditionalFormatting>
  <conditionalFormatting sqref="C202">
    <cfRule type="duplicateValues" dxfId="3" priority="4"/>
  </conditionalFormatting>
  <conditionalFormatting sqref="C203">
    <cfRule type="duplicateValues" dxfId="2" priority="3"/>
  </conditionalFormatting>
  <conditionalFormatting sqref="C204">
    <cfRule type="duplicateValues" dxfId="1" priority="2"/>
  </conditionalFormatting>
  <conditionalFormatting sqref="C210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6"/>
  <sheetViews>
    <sheetView topLeftCell="A140" zoomScale="115" zoomScaleNormal="115" workbookViewId="0">
      <selection activeCell="D2" sqref="D2:D166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18.42578125" style="11" bestFit="1" customWidth="1"/>
    <col min="7" max="7" width="26.2851562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ht="45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1023</v>
      </c>
    </row>
    <row r="2" spans="1:22" ht="16.5" customHeight="1" x14ac:dyDescent="0.25">
      <c r="A2" t="s">
        <v>1151</v>
      </c>
      <c r="B2" t="str">
        <f>VLOOKUP(VERIFICAREQUIPOS[[#This Row],[SEGÚN LISTA]],EQUIPOS[EQUIPOS],1,0)</f>
        <v>MOTOROLA MOTO G53 128GB 5G</v>
      </c>
      <c r="D2" s="3" t="s">
        <v>471</v>
      </c>
      <c r="E2" s="12"/>
      <c r="F2" s="12">
        <v>12</v>
      </c>
      <c r="G2" s="16" t="s">
        <v>1173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1186</v>
      </c>
      <c r="N2" s="12" t="s">
        <v>951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1049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1050</v>
      </c>
      <c r="B5" t="e">
        <f>VLOOKUP(VERIFICAREQUIPOS[[#This Row],[SEGÚN LISTA]],EQUIPOS[EQUIPOS],1,0)</f>
        <v>#N/A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1152</v>
      </c>
      <c r="B6" t="e">
        <f>VLOOKUP(VERIFICAREQUIPOS[[#This Row],[SEGÚN LISTA]],EQUIPOS[EQUIPOS],1,0)</f>
        <v>#N/A</v>
      </c>
      <c r="D6" s="3" t="s">
        <v>948</v>
      </c>
      <c r="E6" s="12"/>
      <c r="F6" s="12" t="s">
        <v>952</v>
      </c>
      <c r="G6" s="12" t="s">
        <v>1174</v>
      </c>
      <c r="H6" s="12" t="s">
        <v>591</v>
      </c>
      <c r="I6" s="12">
        <v>2</v>
      </c>
      <c r="J6" s="12" t="s">
        <v>955</v>
      </c>
      <c r="K6" s="15" t="s">
        <v>160</v>
      </c>
      <c r="L6" s="12">
        <v>1024</v>
      </c>
      <c r="M6" s="12" t="s">
        <v>953</v>
      </c>
      <c r="N6" s="12" t="s">
        <v>951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1192</v>
      </c>
      <c r="U6" s="12">
        <v>5</v>
      </c>
      <c r="V6" s="11">
        <v>5</v>
      </c>
    </row>
    <row r="7" spans="1:22" ht="16.5" customHeight="1" x14ac:dyDescent="0.25">
      <c r="A7" t="s">
        <v>1153</v>
      </c>
      <c r="B7" t="e">
        <f>VLOOKUP(VERIFICAREQUIPOS[[#This Row],[SEGÚN LISTA]],EQUIPOS[EQUIPOS],1,0)</f>
        <v>#N/A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1154</v>
      </c>
      <c r="B8" t="e">
        <f>VLOOKUP(VERIFICAREQUIPOS[[#This Row],[SEGÚN LISTA]],EQUIPOS[EQUIPOS],1,0)</f>
        <v>#N/A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1155</v>
      </c>
      <c r="B9" t="e">
        <f>VLOOKUP(VERIFICAREQUIPOS[[#This Row],[SEGÚN LISTA]],EQUIPOS[EQUIPOS],1,0)</f>
        <v>#N/A</v>
      </c>
      <c r="D9" s="3" t="s">
        <v>604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1156</v>
      </c>
      <c r="B10" t="e">
        <f>VLOOKUP(VERIFICAREQUIPOS[[#This Row],[SEGÚN LISTA]],EQUIPOS[EQUIPOS],1,0)</f>
        <v>#N/A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1157</v>
      </c>
      <c r="B11" t="e">
        <f>VLOOKUP(VERIFICAREQUIPOS[[#This Row],[SEGÚN LISTA]],EQUIPOS[EQUIPOS],1,0)</f>
        <v>#N/A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1158</v>
      </c>
      <c r="B12" t="e">
        <f>VLOOKUP(VERIFICAREQUIPOS[[#This Row],[SEGÚN LISTA]],EQUIPOS[EQUIPOS],1,0)</f>
        <v>#N/A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1159</v>
      </c>
      <c r="B13" t="e">
        <f>VLOOKUP(VERIFICAREQUIPOS[[#This Row],[SEGÚN LISTA]],EQUIPOS[EQUIPOS],1,0)</f>
        <v>#N/A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1160</v>
      </c>
      <c r="B14" t="e">
        <f>VLOOKUP(VERIFICAREQUIPOS[[#This Row],[SEGÚN LISTA]],EQUIPOS[EQUIPOS],1,0)</f>
        <v>#N/A</v>
      </c>
      <c r="D14" s="3" t="s">
        <v>947</v>
      </c>
      <c r="E14" s="12"/>
      <c r="F14" s="12" t="s">
        <v>950</v>
      </c>
      <c r="G14" s="12" t="s">
        <v>1175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951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1161</v>
      </c>
      <c r="B15" t="e">
        <f>VLOOKUP(VERIFICAREQUIPOS[[#This Row],[SEGÚN LISTA]],EQUIPOS[EQUIPOS],1,0)</f>
        <v>#N/A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1162</v>
      </c>
      <c r="B16" t="e">
        <f>VLOOKUP(VERIFICAREQUIPOS[[#This Row],[SEGÚN LISTA]],EQUIPOS[EQUIPOS],1,0)</f>
        <v>#N/A</v>
      </c>
      <c r="D16" s="3" t="s">
        <v>589</v>
      </c>
      <c r="E16" s="12"/>
      <c r="F16" s="12">
        <v>12</v>
      </c>
      <c r="G16" s="12" t="s">
        <v>1176</v>
      </c>
      <c r="H16" s="12" t="s">
        <v>591</v>
      </c>
      <c r="I16" s="12">
        <v>3</v>
      </c>
      <c r="J16" s="12" t="s">
        <v>592</v>
      </c>
      <c r="K16" s="12" t="s">
        <v>160</v>
      </c>
      <c r="L16" s="12">
        <v>1024</v>
      </c>
      <c r="M16" s="12" t="s">
        <v>1185</v>
      </c>
      <c r="N16" s="12" t="s">
        <v>593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1163</v>
      </c>
      <c r="B17" t="e">
        <f>VLOOKUP(VERIFICAREQUIPOS[[#This Row],[SEGÚN LISTA]],EQUIPOS[EQUIPOS],1,0)</f>
        <v>#N/A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1164</v>
      </c>
      <c r="B18" t="e">
        <f>VLOOKUP(VERIFICAREQUIPOS[[#This Row],[SEGÚN LISTA]],EQUIPOS[EQUIPOS],1,0)</f>
        <v>#N/A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1165</v>
      </c>
      <c r="B19" t="e">
        <f>VLOOKUP(VERIFICAREQUIPOS[[#This Row],[SEGÚN LISTA]],EQUIPOS[EQUIPOS],1,0)</f>
        <v>#N/A</v>
      </c>
      <c r="D19" s="3" t="s">
        <v>590</v>
      </c>
      <c r="E19" s="12"/>
      <c r="F19" s="12">
        <v>12</v>
      </c>
      <c r="G19" s="12" t="s">
        <v>1177</v>
      </c>
      <c r="H19" s="12" t="s">
        <v>591</v>
      </c>
      <c r="I19" s="12">
        <v>3</v>
      </c>
      <c r="J19" s="12" t="s">
        <v>594</v>
      </c>
      <c r="K19" s="12" t="s">
        <v>160</v>
      </c>
      <c r="L19" s="12">
        <v>1024</v>
      </c>
      <c r="M19" s="12" t="s">
        <v>1187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1193</v>
      </c>
      <c r="U19" s="12">
        <v>4</v>
      </c>
      <c r="V19" s="11">
        <v>18</v>
      </c>
    </row>
    <row r="20" spans="1:22" ht="16.5" customHeight="1" x14ac:dyDescent="0.25">
      <c r="A20" t="s">
        <v>1166</v>
      </c>
      <c r="B20" t="e">
        <f>VLOOKUP(VERIFICAREQUIPOS[[#This Row],[SEGÚN LISTA]],EQUIPOS[EQUIPOS],1,0)</f>
        <v>#N/A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1167</v>
      </c>
      <c r="B21" t="e">
        <f>VLOOKUP(VERIFICAREQUIPOS[[#This Row],[SEGÚN LISTA]],EQUIPOS[EQUIPOS],1,0)</f>
        <v>#N/A</v>
      </c>
      <c r="D21" s="3" t="s">
        <v>603</v>
      </c>
      <c r="E21" s="12"/>
      <c r="F21" s="12">
        <v>12</v>
      </c>
      <c r="G21" s="12" t="s">
        <v>1178</v>
      </c>
      <c r="H21" s="12" t="s">
        <v>946</v>
      </c>
      <c r="I21" s="12">
        <v>3</v>
      </c>
      <c r="J21" s="12" t="s">
        <v>945</v>
      </c>
      <c r="K21" s="12" t="s">
        <v>160</v>
      </c>
      <c r="L21" s="12">
        <v>0</v>
      </c>
      <c r="M21" s="12" t="s">
        <v>1188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1194</v>
      </c>
      <c r="U21" s="12">
        <v>4</v>
      </c>
      <c r="V21" s="11">
        <v>20</v>
      </c>
    </row>
    <row r="22" spans="1:22" ht="16.5" customHeight="1" x14ac:dyDescent="0.25">
      <c r="A22" t="s">
        <v>1168</v>
      </c>
      <c r="B22" t="e">
        <f>VLOOKUP(VERIFICAREQUIPOS[[#This Row],[SEGÚN LISTA]],EQUIPOS[EQUIPOS],1,0)</f>
        <v>#N/A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1169</v>
      </c>
      <c r="B23" t="e">
        <f>VLOOKUP(VERIFICAREQUIPOS[[#This Row],[SEGÚN LISTA]],EQUIPOS[EQUIPOS],1,0)</f>
        <v>#N/A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1170</v>
      </c>
      <c r="B24" t="e">
        <f>VLOOKUP(VERIFICAREQUIPOS[[#This Row],[SEGÚN LISTA]],EQUIPOS[EQUIPOS],1,0)</f>
        <v>#N/A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137</v>
      </c>
      <c r="B25" t="str">
        <f>VLOOKUP(VERIFICAREQUIPOS[[#This Row],[SEGÚN LISTA]],EQUIPOS[EQUIPOS],1,0)</f>
        <v>ZTE BLADE V40 VITA 128GB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136</v>
      </c>
      <c r="B26" t="str">
        <f>VLOOKUP(VERIFICAREQUIPOS[[#This Row],[SEGÚN LISTA]],EQUIPOS[EQUIPOS],1,0)</f>
        <v>ZTE BLADE V40 SMART 128GB 5G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47</v>
      </c>
      <c r="B27" t="str">
        <f>VLOOKUP(VERIFICAREQUIPOS[[#This Row],[SEGÚN LISTA]],EQUIPOS[EQUIPOS],1,0)</f>
        <v>ZTE BLADE V30 VITA 128GB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42</v>
      </c>
      <c r="B28" t="str">
        <f>VLOOKUP(VERIFICAREQUIPOS[[#This Row],[SEGÚN LISTA]],EQUIPOS[EQUIPOS],1,0)</f>
        <v>ZTE BLADE A71 64GB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41</v>
      </c>
      <c r="B29" t="str">
        <f>VLOOKUP(VERIFICAREQUIPOS[[#This Row],[SEGÚN LISTA]],EQUIPOS[EQUIPOS],1,0)</f>
        <v>ZTE BLADE A51 32GB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40</v>
      </c>
      <c r="B30" t="str">
        <f>VLOOKUP(VERIFICAREQUIPOS[[#This Row],[SEGÚN LISTA]],EQUIPOS[EQUIPOS],1,0)</f>
        <v>ZTE BLADE A5 2020 32GB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70</v>
      </c>
      <c r="B31" t="str">
        <f>VLOOKUP(VERIFICAREQUIPOS[[#This Row],[SEGÚN LISTA]],EQUIPOS[EQUIPOS],1,0)</f>
        <v>ZTE BLADE A31 PLUS 32GB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1132</v>
      </c>
      <c r="B32" t="str">
        <f>VLOOKUP(VERIFICAREQUIPOS[[#This Row],[SEGÚN LISTA]],EQUIPOS[EQUIPOS],1,0)</f>
        <v>XIAOMI REDMI NOTE 12 128GB</v>
      </c>
      <c r="D32" s="3" t="s">
        <v>1015</v>
      </c>
      <c r="E32" s="12"/>
      <c r="F32" s="12" t="s">
        <v>1019</v>
      </c>
      <c r="G32" s="12" t="s">
        <v>1179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1020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71</v>
      </c>
      <c r="B33" t="str">
        <f>VLOOKUP(VERIFICAREQUIPOS[[#This Row],[SEGÚN LISTA]],EQUIPOS[EQUIPOS],1,0)</f>
        <v>XIAOMI REDMI NOTE 11S 128GB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80</v>
      </c>
      <c r="B34" t="str">
        <f>VLOOKUP(VERIFICAREQUIPOS[[#This Row],[SEGÚN LISTA]],EQUIPOS[EQUIPOS],1,0)</f>
        <v>XIAOMI REDMI NOTE 11 128GB</v>
      </c>
      <c r="D34" s="3" t="s">
        <v>595</v>
      </c>
      <c r="E34" s="12"/>
      <c r="F34" s="12">
        <v>12</v>
      </c>
      <c r="G34" s="12" t="s">
        <v>1180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1187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39</v>
      </c>
      <c r="B35" t="str">
        <f>VLOOKUP(VERIFICAREQUIPOS[[#This Row],[SEGÚN LISTA]],EQUIPOS[EQUIPOS],1,0)</f>
        <v>XIAOMI REDMI NOTE 10S 128GB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38</v>
      </c>
      <c r="B36" t="str">
        <f>VLOOKUP(VERIFICAREQUIPOS[[#This Row],[SEGÚN LISTA]],EQUIPOS[EQUIPOS],1,0)</f>
        <v>XIAOMI REDMI NOTE 10 PRO 128GB SE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1058</v>
      </c>
      <c r="B37" t="str">
        <f>VLOOKUP(VERIFICAREQUIPOS[[#This Row],[SEGÚN LISTA]],EQUIPOS[EQUIPOS],1,0)</f>
        <v>XIAOMI REDMI A2 32GB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135</v>
      </c>
      <c r="B38" t="str">
        <f>VLOOKUP(VERIFICAREQUIPOS[[#This Row],[SEGÚN LISTA]],EQUIPOS[EQUIPOS],1,0)</f>
        <v>XIAOMI REDMI A1 32GB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68</v>
      </c>
      <c r="B39" t="str">
        <f>VLOOKUP(VERIFICAREQUIPOS[[#This Row],[SEGÚN LISTA]],EQUIPOS[EQUIPOS],1,0)</f>
        <v>XIAOMI REDMI 9A 32GB</v>
      </c>
      <c r="D39" s="3" t="s">
        <v>129</v>
      </c>
      <c r="E39" s="12"/>
      <c r="F39" s="12">
        <v>12</v>
      </c>
      <c r="G39" s="12" t="s">
        <v>178</v>
      </c>
      <c r="H39" s="12">
        <v>64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179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1057</v>
      </c>
      <c r="B40" t="str">
        <f>VLOOKUP(VERIFICAREQUIPOS[[#This Row],[SEGÚN LISTA]],EQUIPOS[EQUIPOS],1,0)</f>
        <v>XIAOMI REDMI 12C 64GB</v>
      </c>
      <c r="D40" s="3" t="s">
        <v>991</v>
      </c>
      <c r="E40" s="12"/>
      <c r="F40" s="12">
        <v>13</v>
      </c>
      <c r="G40" s="12" t="s">
        <v>1001</v>
      </c>
      <c r="H40" s="12" t="s">
        <v>1002</v>
      </c>
      <c r="I40" s="12">
        <v>3</v>
      </c>
      <c r="J40" s="12" t="s">
        <v>1003</v>
      </c>
      <c r="K40" s="15" t="s">
        <v>160</v>
      </c>
      <c r="L40" s="12">
        <v>512</v>
      </c>
      <c r="M40" s="12" t="s">
        <v>1189</v>
      </c>
      <c r="N40" s="12">
        <v>2</v>
      </c>
      <c r="O40" s="12">
        <v>8</v>
      </c>
      <c r="P40" s="12">
        <v>184</v>
      </c>
      <c r="Q40" s="12">
        <v>16.3</v>
      </c>
      <c r="R40" s="12" t="s">
        <v>1004</v>
      </c>
      <c r="S40" s="12">
        <v>0.82</v>
      </c>
      <c r="T40" s="12" t="s">
        <v>1195</v>
      </c>
      <c r="U40" s="12">
        <v>4</v>
      </c>
      <c r="V40" s="11">
        <v>39</v>
      </c>
    </row>
    <row r="41" spans="1:22" ht="16.5" customHeight="1" x14ac:dyDescent="0.25">
      <c r="A41" t="s">
        <v>89</v>
      </c>
      <c r="B41" t="str">
        <f>VLOOKUP(VERIFICAREQUIPOS[[#This Row],[SEGÚN LISTA]],EQUIPOS[EQUIPOS],1,0)</f>
        <v>XIAOMI REDMI 10C 64GB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90</v>
      </c>
      <c r="B42" t="str">
        <f>VLOOKUP(VERIFICAREQUIPOS[[#This Row],[SEGÚN LISTA]],EQUIPOS[EQUIPOS],1,0)</f>
        <v>XIAOMI REDMI 10A 32GB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511</v>
      </c>
      <c r="B43" t="str">
        <f>VLOOKUP(VERIFICAREQUIPOS[[#This Row],[SEGÚN LISTA]],EQUIPOS[EQUIPOS],1,0)</f>
        <v>XIAOMI REDMI 10 2022 64GB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180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99</v>
      </c>
      <c r="B44" t="str">
        <f>VLOOKUP(VERIFICAREQUIPOS[[#This Row],[SEGÚN LISTA]],EQUIPOS[EQUIPOS],1,0)</f>
        <v>XIAOMI REDMI 10 2022 128GB</v>
      </c>
      <c r="D44" s="22" t="s">
        <v>1151</v>
      </c>
      <c r="E44" s="20"/>
      <c r="F44" s="20">
        <v>13</v>
      </c>
      <c r="G44" s="20" t="s">
        <v>1172</v>
      </c>
      <c r="H44" s="20">
        <v>50</v>
      </c>
      <c r="I44" s="20">
        <v>2</v>
      </c>
      <c r="J44" s="20">
        <v>8</v>
      </c>
      <c r="K44" s="20" t="s">
        <v>160</v>
      </c>
      <c r="L44" s="20">
        <v>0</v>
      </c>
      <c r="M44" s="20">
        <v>8</v>
      </c>
      <c r="N44" s="20" t="s">
        <v>1171</v>
      </c>
      <c r="O44" s="20">
        <v>8</v>
      </c>
      <c r="P44" s="20">
        <v>183</v>
      </c>
      <c r="Q44" s="20">
        <v>16.3</v>
      </c>
      <c r="R44" s="20">
        <v>7.47</v>
      </c>
      <c r="S44" s="20">
        <v>0.82</v>
      </c>
      <c r="T44" s="20" t="s">
        <v>1140</v>
      </c>
      <c r="U44" s="20">
        <v>5</v>
      </c>
      <c r="V44" s="11">
        <v>43</v>
      </c>
    </row>
    <row r="45" spans="1:22" ht="16.5" customHeight="1" x14ac:dyDescent="0.25">
      <c r="A45" t="s">
        <v>134</v>
      </c>
      <c r="B45" t="str">
        <f>VLOOKUP(VERIFICAREQUIPOS[[#This Row],[SEGÚN LISTA]],EQUIPOS[EQUIPOS],1,0)</f>
        <v>XIAOMI 12T PRO 256GB</v>
      </c>
      <c r="D45" s="3" t="s">
        <v>21</v>
      </c>
      <c r="E45" s="12"/>
      <c r="F45" s="12">
        <v>11</v>
      </c>
      <c r="G45" s="12">
        <v>6.8</v>
      </c>
      <c r="H45" s="12">
        <v>64</v>
      </c>
      <c r="I45" s="12">
        <v>4</v>
      </c>
      <c r="J45" s="12">
        <v>16</v>
      </c>
      <c r="K45" s="15" t="s">
        <v>160</v>
      </c>
      <c r="L45" s="12">
        <v>256</v>
      </c>
      <c r="M45" s="12">
        <v>8</v>
      </c>
      <c r="N45" s="12" t="s">
        <v>181</v>
      </c>
      <c r="O45" s="12">
        <v>6</v>
      </c>
      <c r="P45" s="12">
        <v>212</v>
      </c>
      <c r="Q45" s="12">
        <v>16.899999999999999</v>
      </c>
      <c r="R45" s="12">
        <v>7.59</v>
      </c>
      <c r="S45" s="12">
        <v>0.96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133</v>
      </c>
      <c r="B46" t="str">
        <f>VLOOKUP(VERIFICAREQUIPOS[[#This Row],[SEGÚN LISTA]],EQUIPOS[EQUIPOS],1,0)</f>
        <v>XIAOMI 12T 256GB</v>
      </c>
      <c r="D46" s="3" t="s">
        <v>69</v>
      </c>
      <c r="E46" s="12"/>
      <c r="F46" s="12">
        <v>11</v>
      </c>
      <c r="G46" s="12">
        <v>6.4</v>
      </c>
      <c r="H46" s="12">
        <v>50</v>
      </c>
      <c r="I46" s="12">
        <v>3</v>
      </c>
      <c r="J46" s="12">
        <v>16</v>
      </c>
      <c r="K46" s="15" t="s">
        <v>160</v>
      </c>
      <c r="L46" s="12">
        <v>0</v>
      </c>
      <c r="M46" s="12">
        <v>8</v>
      </c>
      <c r="N46" s="12" t="s">
        <v>182</v>
      </c>
      <c r="O46" s="12">
        <v>6</v>
      </c>
      <c r="P46" s="12">
        <v>179</v>
      </c>
      <c r="Q46" s="12">
        <v>16</v>
      </c>
      <c r="R46" s="12">
        <v>7.39</v>
      </c>
      <c r="S46" s="12">
        <v>0.85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132</v>
      </c>
      <c r="B47" t="str">
        <f>VLOOKUP(VERIFICAREQUIPOS[[#This Row],[SEGÚN LISTA]],EQUIPOS[EQUIPOS],1,0)</f>
        <v>XIAOMI 12 LITE 5G 128GB</v>
      </c>
      <c r="D47" s="3" t="s">
        <v>103</v>
      </c>
      <c r="E47" s="12"/>
      <c r="F47" s="12">
        <v>12</v>
      </c>
      <c r="G47" s="12">
        <v>6.6</v>
      </c>
      <c r="H47" s="12">
        <v>50</v>
      </c>
      <c r="I47" s="12">
        <v>3</v>
      </c>
      <c r="J47" s="12">
        <v>16</v>
      </c>
      <c r="K47" s="15" t="s">
        <v>160</v>
      </c>
      <c r="L47" s="12">
        <v>256</v>
      </c>
      <c r="M47" s="12">
        <v>8</v>
      </c>
      <c r="N47" s="12" t="s">
        <v>182</v>
      </c>
      <c r="O47" s="12">
        <v>6</v>
      </c>
      <c r="P47" s="12">
        <v>173</v>
      </c>
      <c r="Q47" s="12">
        <v>16</v>
      </c>
      <c r="R47" s="12">
        <v>7.45</v>
      </c>
      <c r="S47" s="12">
        <v>0.8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1044</v>
      </c>
      <c r="B48" t="str">
        <f>VLOOKUP(VERIFICAREQUIPOS[[#This Row],[SEGÚN LISTA]],EQUIPOS[EQUIPOS],1,0)</f>
        <v>VIVO Y35 128GB</v>
      </c>
      <c r="D48" s="3" t="s">
        <v>49</v>
      </c>
      <c r="E48" s="12"/>
      <c r="F48" s="12">
        <v>11</v>
      </c>
      <c r="G48" s="12">
        <v>6.5</v>
      </c>
      <c r="H48" s="12">
        <v>13</v>
      </c>
      <c r="I48" s="12">
        <v>3</v>
      </c>
      <c r="J48" s="12">
        <v>5</v>
      </c>
      <c r="K48" s="15" t="s">
        <v>159</v>
      </c>
      <c r="L48" s="12">
        <v>256</v>
      </c>
      <c r="M48" s="12">
        <v>8</v>
      </c>
      <c r="N48" s="12">
        <v>1.8</v>
      </c>
      <c r="O48" s="12">
        <v>4</v>
      </c>
      <c r="P48" s="12">
        <v>200</v>
      </c>
      <c r="Q48" s="12">
        <v>16.399999999999999</v>
      </c>
      <c r="R48" s="12">
        <v>7.6</v>
      </c>
      <c r="S48" s="12">
        <v>0.91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85</v>
      </c>
      <c r="B49" t="str">
        <f>VLOOKUP(VERIFICAREQUIPOS[[#This Row],[SEGÚN LISTA]],EQUIPOS[EQUIPOS],1,0)</f>
        <v>VIVO Y33 128GB</v>
      </c>
      <c r="D49" s="3" t="s">
        <v>125</v>
      </c>
      <c r="E49" s="12"/>
      <c r="F49" s="12">
        <v>11</v>
      </c>
      <c r="G49" s="12">
        <v>6.6</v>
      </c>
      <c r="H49" s="12">
        <v>50</v>
      </c>
      <c r="I49" s="12">
        <v>3</v>
      </c>
      <c r="J49" s="12">
        <v>8</v>
      </c>
      <c r="K49" s="15" t="s">
        <v>160</v>
      </c>
      <c r="L49" s="12">
        <v>256</v>
      </c>
      <c r="M49" s="12">
        <v>8</v>
      </c>
      <c r="N49" s="12" t="s">
        <v>186</v>
      </c>
      <c r="O49" s="12">
        <v>4</v>
      </c>
      <c r="P49" s="12">
        <v>189</v>
      </c>
      <c r="Q49" s="12">
        <v>16.399999999999999</v>
      </c>
      <c r="R49" s="12">
        <v>7.6</v>
      </c>
      <c r="S49" s="12">
        <v>0.81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1043</v>
      </c>
      <c r="B50" t="str">
        <f>VLOOKUP(VERIFICAREQUIPOS[[#This Row],[SEGÚN LISTA]],EQUIPOS[EQUIPOS],1,0)</f>
        <v>VIVO Y22s 128GB</v>
      </c>
      <c r="D50" s="21" t="s">
        <v>57</v>
      </c>
      <c r="E50" s="12"/>
      <c r="F50" s="12">
        <v>11</v>
      </c>
      <c r="G50" s="12">
        <v>6.5</v>
      </c>
      <c r="H50" s="12">
        <v>48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177</v>
      </c>
      <c r="O50" s="12">
        <v>3</v>
      </c>
      <c r="P50" s="12">
        <v>196</v>
      </c>
      <c r="Q50" s="12">
        <v>16.399999999999999</v>
      </c>
      <c r="R50" s="12">
        <v>7.59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1045</v>
      </c>
      <c r="B51" t="str">
        <f>VLOOKUP(VERIFICAREQUIPOS[[#This Row],[SEGÚN LISTA]],EQUIPOS[EQUIPOS],1,0)</f>
        <v>VIVO Y16 64GB</v>
      </c>
      <c r="D51" s="3" t="s">
        <v>65</v>
      </c>
      <c r="E51" s="12"/>
      <c r="F51" s="12">
        <v>11</v>
      </c>
      <c r="G51" s="12">
        <v>6.5</v>
      </c>
      <c r="H51" s="12">
        <v>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165</v>
      </c>
      <c r="O51" s="12">
        <v>2</v>
      </c>
      <c r="P51" s="12">
        <v>211</v>
      </c>
      <c r="Q51" s="12">
        <v>16.399999999999999</v>
      </c>
      <c r="R51" s="12">
        <v>7.75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131</v>
      </c>
      <c r="B52" t="str">
        <f>VLOOKUP(VERIFICAREQUIPOS[[#This Row],[SEGÚN LISTA]],EQUIPOS[EQUIPOS],1,0)</f>
        <v>VIVO X80 PRO 256GB 5G</v>
      </c>
      <c r="D52" s="3" t="s">
        <v>24</v>
      </c>
      <c r="E52" s="12"/>
      <c r="F52" s="12">
        <v>11</v>
      </c>
      <c r="G52" s="12">
        <v>6.5</v>
      </c>
      <c r="H52" s="12">
        <v>13</v>
      </c>
      <c r="I52" s="12">
        <v>3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183</v>
      </c>
      <c r="O52" s="12">
        <v>3</v>
      </c>
      <c r="P52" s="12">
        <v>196</v>
      </c>
      <c r="Q52" s="12">
        <v>16.399999999999999</v>
      </c>
      <c r="R52" s="12">
        <v>7.59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87</v>
      </c>
      <c r="B53" t="str">
        <f>VLOOKUP(VERIFICAREQUIPOS[[#This Row],[SEGÚN LISTA]],EQUIPOS[EQUIPOS],1,0)</f>
        <v>VIVO V21 5G 128GB</v>
      </c>
      <c r="D53" s="3" t="s">
        <v>126</v>
      </c>
      <c r="E53" s="12"/>
      <c r="F53" s="12">
        <v>12</v>
      </c>
      <c r="G53" s="12">
        <v>6.5</v>
      </c>
      <c r="H53" s="12">
        <v>50</v>
      </c>
      <c r="I53" s="12">
        <v>2</v>
      </c>
      <c r="J53" s="12">
        <v>5</v>
      </c>
      <c r="K53" s="15" t="s">
        <v>159</v>
      </c>
      <c r="L53" s="12">
        <v>256</v>
      </c>
      <c r="M53" s="12">
        <v>8</v>
      </c>
      <c r="N53" s="12" t="s">
        <v>187</v>
      </c>
      <c r="O53" s="12">
        <v>3</v>
      </c>
      <c r="P53" s="12">
        <v>192</v>
      </c>
      <c r="Q53" s="12">
        <v>16.399999999999999</v>
      </c>
      <c r="R53" s="12">
        <v>7.63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105</v>
      </c>
      <c r="B54" t="str">
        <f>VLOOKUP(VERIFICAREQUIPOS[[#This Row],[SEGÚN LISTA]],EQUIPOS[EQUIPOS],1,0)</f>
        <v>SAMSUNG GALAXY Z FOLD 4 256GB</v>
      </c>
      <c r="D54" s="3" t="s">
        <v>130</v>
      </c>
      <c r="E54" s="12"/>
      <c r="F54" s="12">
        <v>12</v>
      </c>
      <c r="G54" s="12">
        <v>6.5</v>
      </c>
      <c r="H54" s="12">
        <v>13</v>
      </c>
      <c r="I54" s="12">
        <v>2</v>
      </c>
      <c r="J54" s="12">
        <v>5</v>
      </c>
      <c r="K54" s="15" t="s">
        <v>176</v>
      </c>
      <c r="L54" s="12">
        <v>128</v>
      </c>
      <c r="M54" s="12">
        <v>8</v>
      </c>
      <c r="N54" s="12" t="s">
        <v>187</v>
      </c>
      <c r="O54" s="12">
        <v>3</v>
      </c>
      <c r="P54" s="12">
        <v>188</v>
      </c>
      <c r="Q54" s="12">
        <v>16.399999999999999</v>
      </c>
      <c r="R54" s="12">
        <v>7.59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104</v>
      </c>
      <c r="B55" t="str">
        <f>VLOOKUP(VERIFICAREQUIPOS[[#This Row],[SEGÚN LISTA]],EQUIPOS[EQUIPOS],1,0)</f>
        <v>SAMSUNG GALAXY Z FLIP 4 256GB</v>
      </c>
      <c r="D55" s="3" t="s">
        <v>949</v>
      </c>
      <c r="E55" s="12"/>
      <c r="F55" s="12">
        <v>12</v>
      </c>
      <c r="G55" s="12" t="s">
        <v>954</v>
      </c>
      <c r="H55" s="12" t="s">
        <v>591</v>
      </c>
      <c r="I55" s="12">
        <v>3</v>
      </c>
      <c r="J55" s="12">
        <v>5</v>
      </c>
      <c r="K55" s="15" t="s">
        <v>159</v>
      </c>
      <c r="L55" s="12">
        <v>1024</v>
      </c>
      <c r="M55" s="12">
        <v>8</v>
      </c>
      <c r="N55" s="12">
        <v>2</v>
      </c>
      <c r="O55" s="12">
        <v>3</v>
      </c>
      <c r="P55" s="12">
        <v>195</v>
      </c>
      <c r="Q55" s="12">
        <v>16.5</v>
      </c>
      <c r="R55" s="12">
        <v>7.67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601</v>
      </c>
      <c r="B56" t="str">
        <f>VLOOKUP(VERIFICAREQUIPOS[[#This Row],[SEGÚN LISTA]],EQUIPOS[EQUIPOS],1,0)</f>
        <v>SAMSUNG GALAXY S23 ULTRA 512GB</v>
      </c>
      <c r="D56" s="3" t="s">
        <v>72</v>
      </c>
      <c r="E56" s="12"/>
      <c r="F56" s="12">
        <v>12</v>
      </c>
      <c r="G56" s="12">
        <v>6.6</v>
      </c>
      <c r="H56" s="12">
        <v>50</v>
      </c>
      <c r="I56" s="12">
        <v>4</v>
      </c>
      <c r="J56" s="12">
        <v>8</v>
      </c>
      <c r="K56" s="15" t="s">
        <v>159</v>
      </c>
      <c r="L56" s="12">
        <v>256</v>
      </c>
      <c r="M56" s="12">
        <v>8</v>
      </c>
      <c r="N56" s="12" t="s">
        <v>188</v>
      </c>
      <c r="O56" s="12">
        <v>4</v>
      </c>
      <c r="P56" s="12">
        <v>195</v>
      </c>
      <c r="Q56" s="12">
        <v>16.5</v>
      </c>
      <c r="R56" s="12">
        <v>7.64</v>
      </c>
      <c r="S56" s="12">
        <v>0.88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600</v>
      </c>
      <c r="B57" t="str">
        <f>VLOOKUP(VERIFICAREQUIPOS[[#This Row],[SEGÚN LISTA]],EQUIPOS[EQUIPOS],1,0)</f>
        <v>SAMSUNG GALAXY S23 ULTRA 256GB</v>
      </c>
      <c r="D57" s="3" t="s">
        <v>1016</v>
      </c>
      <c r="E57" s="12"/>
      <c r="F57" s="12">
        <v>13</v>
      </c>
      <c r="G57" s="12" t="s">
        <v>1181</v>
      </c>
      <c r="H57" s="12">
        <v>50</v>
      </c>
      <c r="I57" s="12">
        <v>3</v>
      </c>
      <c r="J57" s="12">
        <v>13</v>
      </c>
      <c r="K57" s="15" t="s">
        <v>160</v>
      </c>
      <c r="L57" s="12">
        <v>1024</v>
      </c>
      <c r="M57" s="12" t="s">
        <v>1021</v>
      </c>
      <c r="N57" s="12" t="s">
        <v>1022</v>
      </c>
      <c r="O57" s="12">
        <v>4</v>
      </c>
      <c r="P57" s="12">
        <v>202</v>
      </c>
      <c r="Q57" s="12">
        <v>16.77</v>
      </c>
      <c r="R57" s="12">
        <v>7.8</v>
      </c>
      <c r="S57" s="12">
        <v>0.91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599</v>
      </c>
      <c r="B58" t="str">
        <f>VLOOKUP(VERIFICAREQUIPOS[[#This Row],[SEGÚN LISTA]],EQUIPOS[EQUIPOS],1,0)</f>
        <v>SAMSUNG GALAXY S23 PLUS 512GB</v>
      </c>
      <c r="D58" s="3" t="s">
        <v>25</v>
      </c>
      <c r="E58" s="12"/>
      <c r="F58" s="12">
        <v>11</v>
      </c>
      <c r="G58" s="12">
        <v>6.6</v>
      </c>
      <c r="H58" s="12">
        <v>48</v>
      </c>
      <c r="I58" s="12">
        <v>3</v>
      </c>
      <c r="J58" s="12">
        <v>8</v>
      </c>
      <c r="K58" s="15" t="s">
        <v>160</v>
      </c>
      <c r="L58" s="12">
        <v>256</v>
      </c>
      <c r="M58" s="12">
        <v>8</v>
      </c>
      <c r="N58" s="12" t="s">
        <v>188</v>
      </c>
      <c r="O58" s="12">
        <v>4</v>
      </c>
      <c r="P58" s="12">
        <v>203</v>
      </c>
      <c r="Q58" s="12">
        <v>16.7</v>
      </c>
      <c r="R58" s="12">
        <v>7.64</v>
      </c>
      <c r="S58" s="12">
        <v>0.9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598</v>
      </c>
      <c r="B59" t="str">
        <f>VLOOKUP(VERIFICAREQUIPOS[[#This Row],[SEGÚN LISTA]],EQUIPOS[EQUIPOS],1,0)</f>
        <v>SAMSUNG GALAXY S23 PLUS 256GB</v>
      </c>
      <c r="D59" s="3" t="s">
        <v>26</v>
      </c>
      <c r="E59" s="12"/>
      <c r="F59" s="12">
        <v>11</v>
      </c>
      <c r="G59" s="12">
        <v>6.4</v>
      </c>
      <c r="H59" s="12">
        <v>48</v>
      </c>
      <c r="I59" s="12">
        <v>4</v>
      </c>
      <c r="J59" s="12">
        <v>13</v>
      </c>
      <c r="K59" s="13" t="s">
        <v>159</v>
      </c>
      <c r="L59" s="12">
        <v>512</v>
      </c>
      <c r="M59" s="12">
        <v>8</v>
      </c>
      <c r="N59" s="14" t="s">
        <v>167</v>
      </c>
      <c r="O59" s="12">
        <v>4</v>
      </c>
      <c r="P59" s="12">
        <v>186</v>
      </c>
      <c r="Q59" s="12">
        <v>15.9</v>
      </c>
      <c r="R59" s="12">
        <v>7.36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597</v>
      </c>
      <c r="B60" t="str">
        <f>VLOOKUP(VERIFICAREQUIPOS[[#This Row],[SEGÚN LISTA]],EQUIPOS[EQUIPOS],1,0)</f>
        <v>SAMSUNG GALAXY S23 256GB</v>
      </c>
      <c r="D60" s="3" t="s">
        <v>79</v>
      </c>
      <c r="E60" s="12"/>
      <c r="F60" s="12">
        <v>12</v>
      </c>
      <c r="G60" s="12">
        <v>6.6</v>
      </c>
      <c r="H60" s="12">
        <v>50</v>
      </c>
      <c r="I60" s="12">
        <v>4</v>
      </c>
      <c r="J60" s="12">
        <v>8</v>
      </c>
      <c r="K60" s="15" t="s">
        <v>160</v>
      </c>
      <c r="L60" s="12">
        <v>256</v>
      </c>
      <c r="M60" s="12">
        <v>8</v>
      </c>
      <c r="N60" s="12" t="s">
        <v>170</v>
      </c>
      <c r="O60" s="12">
        <v>6</v>
      </c>
      <c r="P60" s="12">
        <v>195</v>
      </c>
      <c r="Q60" s="12">
        <v>16.399999999999999</v>
      </c>
      <c r="R60" s="12">
        <v>7.69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596</v>
      </c>
      <c r="B61" t="str">
        <f>VLOOKUP(VERIFICAREQUIPOS[[#This Row],[SEGÚN LISTA]],EQUIPOS[EQUIPOS],1,0)</f>
        <v>SAMSUNG GALAXY S23 128GB</v>
      </c>
      <c r="D61" s="3" t="s">
        <v>1056</v>
      </c>
      <c r="E61" s="12"/>
      <c r="F61" s="12">
        <v>13</v>
      </c>
      <c r="G61" s="12" t="s">
        <v>1138</v>
      </c>
      <c r="H61" s="12">
        <v>50</v>
      </c>
      <c r="I61" s="12">
        <v>3</v>
      </c>
      <c r="J61" s="12">
        <v>13</v>
      </c>
      <c r="K61" s="12" t="s">
        <v>160</v>
      </c>
      <c r="L61" s="12">
        <v>1024</v>
      </c>
      <c r="M61" s="12">
        <v>8</v>
      </c>
      <c r="N61" s="12" t="s">
        <v>170</v>
      </c>
      <c r="O61" s="12">
        <v>6</v>
      </c>
      <c r="P61" s="12">
        <v>195</v>
      </c>
      <c r="Q61" s="12">
        <v>16.2</v>
      </c>
      <c r="R61" s="12">
        <v>7.76</v>
      </c>
      <c r="S61" s="12">
        <v>0.83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63</v>
      </c>
      <c r="B62" t="str">
        <f>VLOOKUP(VERIFICAREQUIPOS[[#This Row],[SEGÚN LISTA]],EQUIPOS[EQUIPOS],1,0)</f>
        <v>SAMSUNG GALAXY S22 ULTRA 128GB</v>
      </c>
      <c r="D62" s="3" t="s">
        <v>27</v>
      </c>
      <c r="E62" s="12"/>
      <c r="F62" s="12">
        <v>11</v>
      </c>
      <c r="G62" s="12">
        <v>6.4</v>
      </c>
      <c r="H62" s="12">
        <v>64</v>
      </c>
      <c r="I62" s="12">
        <v>4</v>
      </c>
      <c r="J62" s="12">
        <v>20</v>
      </c>
      <c r="K62" s="13" t="s">
        <v>160</v>
      </c>
      <c r="L62" s="12">
        <v>512</v>
      </c>
      <c r="M62" s="12">
        <v>8</v>
      </c>
      <c r="N62" s="14" t="s">
        <v>167</v>
      </c>
      <c r="O62" s="12">
        <v>4</v>
      </c>
      <c r="P62" s="12">
        <v>184</v>
      </c>
      <c r="Q62" s="12">
        <v>15.8</v>
      </c>
      <c r="R62" s="12">
        <v>7.36</v>
      </c>
      <c r="S62" s="12">
        <v>0.84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62</v>
      </c>
      <c r="B63" t="str">
        <f>VLOOKUP(VERIFICAREQUIPOS[[#This Row],[SEGÚN LISTA]],EQUIPOS[EQUIPOS],1,0)</f>
        <v>SAMSUNG GALAXY S22 PLUS 128GB</v>
      </c>
      <c r="D63" s="3" t="s">
        <v>81</v>
      </c>
      <c r="E63" s="12"/>
      <c r="F63" s="12">
        <v>12</v>
      </c>
      <c r="G63" s="12">
        <v>6.5</v>
      </c>
      <c r="H63" s="12">
        <v>48</v>
      </c>
      <c r="I63" s="12">
        <v>4</v>
      </c>
      <c r="J63" s="12">
        <v>13</v>
      </c>
      <c r="K63" s="15" t="s">
        <v>160</v>
      </c>
      <c r="L63" s="12">
        <v>256</v>
      </c>
      <c r="M63" s="12">
        <v>8</v>
      </c>
      <c r="N63" s="12" t="s">
        <v>189</v>
      </c>
      <c r="O63" s="12">
        <v>6</v>
      </c>
      <c r="P63" s="12">
        <v>186</v>
      </c>
      <c r="Q63" s="12">
        <v>16.899999999999999</v>
      </c>
      <c r="R63" s="12">
        <v>7.5</v>
      </c>
      <c r="S63" s="12">
        <v>0.81</v>
      </c>
      <c r="T63" s="12">
        <v>5000</v>
      </c>
      <c r="U63" s="12">
        <v>5</v>
      </c>
      <c r="V63" s="11">
        <v>62</v>
      </c>
    </row>
    <row r="64" spans="1:22" ht="16.5" customHeight="1" x14ac:dyDescent="0.25">
      <c r="A64" t="s">
        <v>61</v>
      </c>
      <c r="B64" t="str">
        <f>VLOOKUP(VERIFICAREQUIPOS[[#This Row],[SEGÚN LISTA]],EQUIPOS[EQUIPOS],1,0)</f>
        <v>SAMSUNG GALAXY S22 128GB</v>
      </c>
      <c r="D64" s="3" t="s">
        <v>1017</v>
      </c>
      <c r="E64" s="12"/>
      <c r="F64" s="12">
        <v>13</v>
      </c>
      <c r="G64" s="12" t="s">
        <v>1035</v>
      </c>
      <c r="H64" s="12" t="s">
        <v>1036</v>
      </c>
      <c r="I64" s="12">
        <v>3</v>
      </c>
      <c r="J64" s="12" t="s">
        <v>1037</v>
      </c>
      <c r="K64" s="15" t="s">
        <v>160</v>
      </c>
      <c r="L64" s="12">
        <v>1024</v>
      </c>
      <c r="M64" s="12" t="s">
        <v>1190</v>
      </c>
      <c r="N64" s="12">
        <v>2.6</v>
      </c>
      <c r="O64" s="12">
        <v>6</v>
      </c>
      <c r="P64" s="12">
        <v>199</v>
      </c>
      <c r="Q64" s="12">
        <v>16.100000000000001</v>
      </c>
      <c r="R64" s="12">
        <v>7.81</v>
      </c>
      <c r="S64" s="12">
        <v>0.82</v>
      </c>
      <c r="T64" s="12">
        <v>5000</v>
      </c>
      <c r="U64" s="12">
        <v>4.5</v>
      </c>
      <c r="V64" s="11">
        <v>63</v>
      </c>
    </row>
    <row r="65" spans="1:22" ht="16.5" customHeight="1" x14ac:dyDescent="0.25">
      <c r="A65" t="s">
        <v>50</v>
      </c>
      <c r="B65" t="str">
        <f>VLOOKUP(VERIFICAREQUIPOS[[#This Row],[SEGÚN LISTA]],EQUIPOS[EQUIPOS],1,0)</f>
        <v>SAMSUNG GALAXY S21FE 128GB</v>
      </c>
      <c r="D65" s="3" t="s">
        <v>28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512</v>
      </c>
      <c r="M65" s="12">
        <v>8</v>
      </c>
      <c r="N65" s="12" t="s">
        <v>171</v>
      </c>
      <c r="O65" s="12">
        <v>4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4</v>
      </c>
      <c r="V65" s="11">
        <v>64</v>
      </c>
    </row>
    <row r="66" spans="1:22" ht="16.5" customHeight="1" x14ac:dyDescent="0.25">
      <c r="A66" t="s">
        <v>84</v>
      </c>
      <c r="B66" t="str">
        <f>VLOOKUP(VERIFICAREQUIPOS[[#This Row],[SEGÚN LISTA]],EQUIPOS[EQUIPOS],1,0)</f>
        <v>SAMSUNG GALAXY S20FE 128GB 5G</v>
      </c>
      <c r="D66" s="3" t="s">
        <v>29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170</v>
      </c>
      <c r="O66" s="12">
        <v>6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5</v>
      </c>
      <c r="V66" s="11">
        <v>65</v>
      </c>
    </row>
    <row r="67" spans="1:22" ht="16.5" customHeight="1" x14ac:dyDescent="0.25">
      <c r="A67" t="s">
        <v>30</v>
      </c>
      <c r="B67" t="str">
        <f>VLOOKUP(VERIFICAREQUIPOS[[#This Row],[SEGÚN LISTA]],EQUIPOS[EQUIPOS],1,0)</f>
        <v>SAMSUNG GALAXY NOTE 10 256GB</v>
      </c>
      <c r="D67" s="3" t="s">
        <v>73</v>
      </c>
      <c r="E67" s="12"/>
      <c r="F67" s="12">
        <v>12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190</v>
      </c>
      <c r="O67" s="12">
        <v>6</v>
      </c>
      <c r="P67" s="12">
        <v>189</v>
      </c>
      <c r="Q67" s="12">
        <v>15.9</v>
      </c>
      <c r="R67" s="12">
        <v>7.48</v>
      </c>
      <c r="S67" s="12">
        <v>0.81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1018</v>
      </c>
      <c r="B68" t="str">
        <f>VLOOKUP(VERIFICAREQUIPOS[[#This Row],[SEGÚN LISTA]],EQUIPOS[EQUIPOS],1,0)</f>
        <v>SAMSUNG GALAXY A54 256GB 5G</v>
      </c>
      <c r="D68" s="3" t="s">
        <v>1018</v>
      </c>
      <c r="E68" s="12"/>
      <c r="F68" s="12">
        <v>13</v>
      </c>
      <c r="G68" s="12" t="s">
        <v>1038</v>
      </c>
      <c r="H68" s="12" t="s">
        <v>1200</v>
      </c>
      <c r="I68" s="12">
        <v>3</v>
      </c>
      <c r="J68" s="12" t="s">
        <v>1201</v>
      </c>
      <c r="K68" s="15" t="s">
        <v>157</v>
      </c>
      <c r="L68" s="12">
        <v>1024</v>
      </c>
      <c r="M68" s="12" t="s">
        <v>1039</v>
      </c>
      <c r="N68" s="12" t="s">
        <v>190</v>
      </c>
      <c r="O68" s="12">
        <v>8</v>
      </c>
      <c r="P68" s="12">
        <v>202</v>
      </c>
      <c r="Q68" s="12">
        <v>15.82</v>
      </c>
      <c r="R68" s="12">
        <v>7.67</v>
      </c>
      <c r="S68" s="12">
        <v>0.82</v>
      </c>
      <c r="T68" s="12">
        <v>5000</v>
      </c>
      <c r="U68" s="12">
        <v>4.5</v>
      </c>
      <c r="V68" s="11">
        <v>67</v>
      </c>
    </row>
    <row r="69" spans="1:22" ht="16.5" customHeight="1" x14ac:dyDescent="0.25">
      <c r="A69" t="s">
        <v>73</v>
      </c>
      <c r="B69" t="str">
        <f>VLOOKUP(VERIFICAREQUIPOS[[#This Row],[SEGÚN LISTA]],EQUIPOS[EQUIPOS],1,0)</f>
        <v>SAMSUNG GALAXY A53 128GB 5G</v>
      </c>
      <c r="D69" s="3" t="s">
        <v>30</v>
      </c>
      <c r="E69" s="12"/>
      <c r="F69" s="12">
        <v>12</v>
      </c>
      <c r="G69" s="12">
        <v>6.3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191</v>
      </c>
      <c r="O69" s="12">
        <v>8</v>
      </c>
      <c r="P69" s="12">
        <v>168</v>
      </c>
      <c r="Q69" s="12">
        <v>15.1</v>
      </c>
      <c r="R69" s="12">
        <v>7.18</v>
      </c>
      <c r="S69" s="12">
        <v>0.79</v>
      </c>
      <c r="T69" s="12">
        <v>3500</v>
      </c>
      <c r="U69" s="12">
        <v>4.5</v>
      </c>
      <c r="V69" s="11">
        <v>68</v>
      </c>
    </row>
    <row r="70" spans="1:22" ht="16.5" customHeight="1" x14ac:dyDescent="0.25">
      <c r="A70" t="s">
        <v>1017</v>
      </c>
      <c r="B70" t="str">
        <f>VLOOKUP(VERIFICAREQUIPOS[[#This Row],[SEGÚN LISTA]],EQUIPOS[EQUIPOS],1,0)</f>
        <v>SAMSUNG GALAXY A34 256GB 5G</v>
      </c>
      <c r="D70" s="3" t="s">
        <v>31</v>
      </c>
      <c r="E70" s="12"/>
      <c r="F70" s="12">
        <v>12</v>
      </c>
      <c r="G70" s="12">
        <v>6.8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192</v>
      </c>
      <c r="O70" s="12">
        <v>12</v>
      </c>
      <c r="P70" s="12">
        <v>196</v>
      </c>
      <c r="Q70" s="12">
        <v>16.2</v>
      </c>
      <c r="R70" s="12">
        <v>7.7</v>
      </c>
      <c r="S70" s="12">
        <v>0.79</v>
      </c>
      <c r="T70" s="12">
        <v>4300</v>
      </c>
      <c r="U70" s="12">
        <v>4.5</v>
      </c>
      <c r="V70" s="11">
        <v>69</v>
      </c>
    </row>
    <row r="71" spans="1:22" ht="16.5" customHeight="1" x14ac:dyDescent="0.25">
      <c r="A71" t="s">
        <v>81</v>
      </c>
      <c r="B71" t="str">
        <f>VLOOKUP(VERIFICAREQUIPOS[[#This Row],[SEGÚN LISTA]],EQUIPOS[EQUIPOS],1,0)</f>
        <v>SAMSUNG GALAXY A33 128GB 5G</v>
      </c>
      <c r="D71" s="3" t="s">
        <v>84</v>
      </c>
      <c r="E71" s="12"/>
      <c r="F71" s="12">
        <v>10</v>
      </c>
      <c r="G71" s="12">
        <v>6.5</v>
      </c>
      <c r="H71" s="12">
        <v>12</v>
      </c>
      <c r="I71" s="12">
        <v>3</v>
      </c>
      <c r="J71" s="12">
        <v>32</v>
      </c>
      <c r="K71" s="13" t="s">
        <v>160</v>
      </c>
      <c r="L71" s="12">
        <v>1024</v>
      </c>
      <c r="M71" s="12">
        <v>8</v>
      </c>
      <c r="N71" s="14" t="s">
        <v>193</v>
      </c>
      <c r="O71" s="12">
        <v>6</v>
      </c>
      <c r="P71" s="12">
        <v>190</v>
      </c>
      <c r="Q71" s="12">
        <v>15.9</v>
      </c>
      <c r="R71" s="12">
        <v>7.45</v>
      </c>
      <c r="S71" s="12">
        <v>0.84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1056</v>
      </c>
      <c r="B72" t="str">
        <f>VLOOKUP(VERIFICAREQUIPOS[[#This Row],[SEGÚN LISTA]],EQUIPOS[EQUIPOS],1,0)</f>
        <v>SAMSUNG GALAXY A24 128GB</v>
      </c>
      <c r="D72" s="3" t="s">
        <v>50</v>
      </c>
      <c r="E72" s="12"/>
      <c r="F72" s="12">
        <v>11</v>
      </c>
      <c r="G72" s="12">
        <v>6.4</v>
      </c>
      <c r="H72" s="12">
        <v>12</v>
      </c>
      <c r="I72" s="12">
        <v>3</v>
      </c>
      <c r="J72" s="12">
        <v>32</v>
      </c>
      <c r="K72" s="13" t="s">
        <v>160</v>
      </c>
      <c r="L72" s="12">
        <v>0</v>
      </c>
      <c r="M72" s="12">
        <v>8</v>
      </c>
      <c r="N72" s="14" t="s">
        <v>194</v>
      </c>
      <c r="O72" s="12">
        <v>8</v>
      </c>
      <c r="P72" s="12">
        <v>177</v>
      </c>
      <c r="Q72" s="12">
        <v>15.5</v>
      </c>
      <c r="R72" s="12">
        <v>7.45</v>
      </c>
      <c r="S72" s="12">
        <v>0.79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79</v>
      </c>
      <c r="B73" t="str">
        <f>VLOOKUP(VERIFICAREQUIPOS[[#This Row],[SEGÚN LISTA]],EQUIPOS[EQUIPOS],1,0)</f>
        <v>SAMSUNG GALAXY A23 128GB</v>
      </c>
      <c r="D73" s="3" t="s">
        <v>61</v>
      </c>
      <c r="E73" s="12"/>
      <c r="F73" s="12">
        <v>12</v>
      </c>
      <c r="G73" s="12">
        <v>6.1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195</v>
      </c>
      <c r="O73" s="12">
        <v>8</v>
      </c>
      <c r="P73" s="12">
        <v>167</v>
      </c>
      <c r="Q73" s="12">
        <v>14.6</v>
      </c>
      <c r="R73" s="12">
        <v>7.06</v>
      </c>
      <c r="S73" s="12">
        <v>0.76</v>
      </c>
      <c r="T73" s="12">
        <v>3700</v>
      </c>
      <c r="U73" s="12">
        <v>5</v>
      </c>
      <c r="V73" s="11">
        <v>72</v>
      </c>
    </row>
    <row r="74" spans="1:22" ht="16.5" customHeight="1" x14ac:dyDescent="0.25">
      <c r="A74" t="s">
        <v>25</v>
      </c>
      <c r="B74" t="str">
        <f>VLOOKUP(VERIFICAREQUIPOS[[#This Row],[SEGÚN LISTA]],EQUIPOS[EQUIPOS],1,0)</f>
        <v>SAMSUNG GALAXY A22 128GB 5G</v>
      </c>
      <c r="D74" s="3" t="s">
        <v>62</v>
      </c>
      <c r="E74" s="12"/>
      <c r="F74" s="12">
        <v>12</v>
      </c>
      <c r="G74" s="12">
        <v>6.6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195</v>
      </c>
      <c r="Q74" s="12">
        <v>15.7</v>
      </c>
      <c r="R74" s="12">
        <v>7.58</v>
      </c>
      <c r="S74" s="12">
        <v>0.76</v>
      </c>
      <c r="T74" s="12">
        <v>4500</v>
      </c>
      <c r="U74" s="12">
        <v>5</v>
      </c>
      <c r="V74" s="11">
        <v>73</v>
      </c>
    </row>
    <row r="75" spans="1:22" ht="16.5" customHeight="1" x14ac:dyDescent="0.25">
      <c r="A75" t="s">
        <v>1016</v>
      </c>
      <c r="B75" t="str">
        <f>VLOOKUP(VERIFICAREQUIPOS[[#This Row],[SEGÚN LISTA]],EQUIPOS[EQUIPOS],1,0)</f>
        <v>SAMSUNG GALAXY A14 128GB 5G</v>
      </c>
      <c r="D75" s="3" t="s">
        <v>63</v>
      </c>
      <c r="E75" s="12"/>
      <c r="F75" s="12">
        <v>12</v>
      </c>
      <c r="G75" s="12">
        <v>6.8</v>
      </c>
      <c r="H75" s="12">
        <v>108</v>
      </c>
      <c r="I75" s="12">
        <v>3</v>
      </c>
      <c r="J75" s="12">
        <v>40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228</v>
      </c>
      <c r="Q75" s="12">
        <v>16.3</v>
      </c>
      <c r="R75" s="12">
        <v>7.79</v>
      </c>
      <c r="S75" s="12">
        <v>0.89</v>
      </c>
      <c r="T75" s="12">
        <v>5000</v>
      </c>
      <c r="U75" s="12">
        <v>5</v>
      </c>
      <c r="V75" s="11">
        <v>74</v>
      </c>
    </row>
    <row r="76" spans="1:22" ht="16.5" customHeight="1" x14ac:dyDescent="0.25">
      <c r="A76" t="s">
        <v>72</v>
      </c>
      <c r="B76" t="str">
        <f>VLOOKUP(VERIFICAREQUIPOS[[#This Row],[SEGÚN LISTA]],EQUIPOS[EQUIPOS],1,0)</f>
        <v>SAMSUNG GALAXY A13 64GB</v>
      </c>
      <c r="D76" s="3" t="s">
        <v>596</v>
      </c>
      <c r="E76" s="12"/>
      <c r="F76" s="12">
        <v>13</v>
      </c>
      <c r="G76" s="12" t="s">
        <v>1182</v>
      </c>
      <c r="H76" s="12">
        <v>50</v>
      </c>
      <c r="I76" s="12">
        <v>3</v>
      </c>
      <c r="J76" s="12">
        <v>12</v>
      </c>
      <c r="K76" s="13" t="s">
        <v>160</v>
      </c>
      <c r="L76" s="12">
        <v>0</v>
      </c>
      <c r="M76" s="12" t="s">
        <v>602</v>
      </c>
      <c r="N76" s="14"/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1196</v>
      </c>
      <c r="U76" s="12">
        <v>5</v>
      </c>
      <c r="V76" s="11">
        <v>75</v>
      </c>
    </row>
    <row r="77" spans="1:22" ht="16.5" customHeight="1" x14ac:dyDescent="0.25">
      <c r="A77" t="s">
        <v>949</v>
      </c>
      <c r="B77" t="str">
        <f>VLOOKUP(VERIFICAREQUIPOS[[#This Row],[SEGÚN LISTA]],EQUIPOS[EQUIPOS],1,0)</f>
        <v>SAMSUNG GALAXY A04S 64GB</v>
      </c>
      <c r="D77" s="3" t="s">
        <v>597</v>
      </c>
      <c r="E77" s="12"/>
      <c r="F77" s="12">
        <v>13</v>
      </c>
      <c r="G77" s="12" t="s">
        <v>1182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602</v>
      </c>
      <c r="N77" s="14"/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1196</v>
      </c>
      <c r="U77" s="12">
        <v>5</v>
      </c>
      <c r="V77" s="11">
        <v>76</v>
      </c>
    </row>
    <row r="78" spans="1:22" ht="16.5" customHeight="1" x14ac:dyDescent="0.25">
      <c r="A78" t="s">
        <v>130</v>
      </c>
      <c r="B78" t="str">
        <f>VLOOKUP(VERIFICAREQUIPOS[[#This Row],[SEGÚN LISTA]],EQUIPOS[EQUIPOS],1,0)</f>
        <v>SAMSUNG GALAXY A04E 32GB</v>
      </c>
      <c r="D78" s="3" t="s">
        <v>598</v>
      </c>
      <c r="E78" s="12"/>
      <c r="F78" s="12">
        <v>13</v>
      </c>
      <c r="G78" s="12" t="s">
        <v>1183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 t="s">
        <v>602</v>
      </c>
      <c r="N78" s="14"/>
      <c r="O78" s="12">
        <v>8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1197</v>
      </c>
      <c r="U78" s="12">
        <v>5</v>
      </c>
      <c r="V78" s="11">
        <v>77</v>
      </c>
    </row>
    <row r="79" spans="1:22" ht="16.5" customHeight="1" x14ac:dyDescent="0.25">
      <c r="A79" t="s">
        <v>126</v>
      </c>
      <c r="B79" t="str">
        <f>VLOOKUP(VERIFICAREQUIPOS[[#This Row],[SEGÚN LISTA]],EQUIPOS[EQUIPOS],1,0)</f>
        <v>SAMSUNG GALAXY A04 64GB</v>
      </c>
      <c r="D79" s="3" t="s">
        <v>599</v>
      </c>
      <c r="E79" s="12"/>
      <c r="F79" s="12">
        <v>13</v>
      </c>
      <c r="G79" s="12" t="s">
        <v>1183</v>
      </c>
      <c r="H79" s="12">
        <v>50</v>
      </c>
      <c r="I79" s="12">
        <v>3</v>
      </c>
      <c r="J79" s="12">
        <v>12</v>
      </c>
      <c r="K79" s="13" t="s">
        <v>162</v>
      </c>
      <c r="L79" s="12">
        <v>0</v>
      </c>
      <c r="M79" s="12" t="s">
        <v>602</v>
      </c>
      <c r="N79" s="14"/>
      <c r="O79" s="12">
        <v>12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1197</v>
      </c>
      <c r="U79" s="12">
        <v>5</v>
      </c>
      <c r="V79" s="11">
        <v>78</v>
      </c>
    </row>
    <row r="80" spans="1:22" ht="16.5" customHeight="1" x14ac:dyDescent="0.25">
      <c r="A80" t="s">
        <v>65</v>
      </c>
      <c r="B80" t="str">
        <f>VLOOKUP(VERIFICAREQUIPOS[[#This Row],[SEGÚN LISTA]],EQUIPOS[EQUIPOS],1,0)</f>
        <v>SAMSUNG GALAXY A03 CORE 32GB</v>
      </c>
      <c r="D80" s="3" t="s">
        <v>600</v>
      </c>
      <c r="E80" s="12"/>
      <c r="F80" s="12">
        <v>13</v>
      </c>
      <c r="G80" s="12" t="s">
        <v>1184</v>
      </c>
      <c r="H80" s="12">
        <v>200</v>
      </c>
      <c r="I80" s="12">
        <v>5</v>
      </c>
      <c r="J80" s="12">
        <v>12</v>
      </c>
      <c r="K80" s="13" t="s">
        <v>157</v>
      </c>
      <c r="L80" s="12">
        <v>0</v>
      </c>
      <c r="M80" s="12" t="s">
        <v>602</v>
      </c>
      <c r="N80" s="14"/>
      <c r="O80" s="12">
        <v>8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1198</v>
      </c>
      <c r="U80" s="12">
        <v>5</v>
      </c>
      <c r="V80" s="11">
        <v>79</v>
      </c>
    </row>
    <row r="81" spans="1:22" ht="16.5" customHeight="1" x14ac:dyDescent="0.25">
      <c r="A81" t="s">
        <v>57</v>
      </c>
      <c r="B81" t="str">
        <f>VLOOKUP(VERIFICAREQUIPOS[[#This Row],[SEGÚN LISTA]],EQUIPOS[EQUIPOS],1,0)</f>
        <v>SAMSUNG GALAXY A03 32GB</v>
      </c>
      <c r="D81" s="3" t="s">
        <v>601</v>
      </c>
      <c r="E81" s="12"/>
      <c r="F81" s="12">
        <v>13</v>
      </c>
      <c r="G81" s="12" t="s">
        <v>1184</v>
      </c>
      <c r="H81" s="12">
        <v>200</v>
      </c>
      <c r="I81" s="12">
        <v>5</v>
      </c>
      <c r="J81" s="12">
        <v>12</v>
      </c>
      <c r="K81" s="13" t="s">
        <v>162</v>
      </c>
      <c r="L81" s="12">
        <v>0</v>
      </c>
      <c r="M81" s="12" t="s">
        <v>602</v>
      </c>
      <c r="N81" s="14"/>
      <c r="O81" s="12">
        <v>12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1198</v>
      </c>
      <c r="U81" s="12">
        <v>5</v>
      </c>
      <c r="V81" s="11">
        <v>80</v>
      </c>
    </row>
    <row r="82" spans="1:22" ht="16.5" customHeight="1" x14ac:dyDescent="0.25">
      <c r="A82" t="s">
        <v>125</v>
      </c>
      <c r="B82" t="str">
        <f>VLOOKUP(VERIFICAREQUIPOS[[#This Row],[SEGÚN LISTA]],EQUIPOS[EQUIPOS],1,0)</f>
        <v>REALME C35 128GB</v>
      </c>
      <c r="D82" s="3" t="s">
        <v>32</v>
      </c>
      <c r="E82" s="12"/>
      <c r="F82" s="12">
        <v>11</v>
      </c>
      <c r="G82" s="12">
        <v>6.7</v>
      </c>
      <c r="H82" s="12">
        <v>12</v>
      </c>
      <c r="I82" s="12">
        <v>2</v>
      </c>
      <c r="J82" s="12">
        <v>10</v>
      </c>
      <c r="K82" s="13" t="s">
        <v>157</v>
      </c>
      <c r="L82" s="12">
        <v>0</v>
      </c>
      <c r="M82" s="12">
        <v>8</v>
      </c>
      <c r="N82" s="14"/>
      <c r="O82" s="12">
        <v>8</v>
      </c>
      <c r="P82" s="12">
        <v>183</v>
      </c>
      <c r="Q82" s="14">
        <v>86.4</v>
      </c>
      <c r="R82" s="12">
        <v>7.22</v>
      </c>
      <c r="S82" s="12">
        <v>0.69</v>
      </c>
      <c r="T82" s="12">
        <v>3300</v>
      </c>
      <c r="U82" s="12">
        <v>5</v>
      </c>
      <c r="V82" s="11">
        <v>81</v>
      </c>
    </row>
    <row r="83" spans="1:22" ht="16.5" customHeight="1" x14ac:dyDescent="0.25">
      <c r="A83" t="s">
        <v>49</v>
      </c>
      <c r="B83" t="str">
        <f>VLOOKUP(VERIFICAREQUIPOS[[#This Row],[SEGÚN LISTA]],EQUIPOS[EQUIPOS],1,0)</f>
        <v>REALME C21Y 64GB</v>
      </c>
      <c r="D83" s="3" t="s">
        <v>104</v>
      </c>
      <c r="E83" s="12"/>
      <c r="F83" s="12">
        <v>12</v>
      </c>
      <c r="G83" s="12">
        <v>6.7</v>
      </c>
      <c r="H83" s="12">
        <v>12</v>
      </c>
      <c r="I83" s="12">
        <v>2</v>
      </c>
      <c r="J83" s="12">
        <v>10</v>
      </c>
      <c r="K83" s="15" t="s">
        <v>157</v>
      </c>
      <c r="L83" s="12">
        <v>0</v>
      </c>
      <c r="M83" s="12">
        <v>8</v>
      </c>
      <c r="N83" s="12" t="s">
        <v>196</v>
      </c>
      <c r="O83" s="12">
        <v>8</v>
      </c>
      <c r="P83" s="12">
        <v>187</v>
      </c>
      <c r="Q83" s="12">
        <v>16.5</v>
      </c>
      <c r="R83" s="12">
        <v>7.13</v>
      </c>
      <c r="S83" s="12">
        <v>0.69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604</v>
      </c>
      <c r="B84" t="str">
        <f>VLOOKUP(VERIFICAREQUIPOS[[#This Row],[SEGÚN LISTA]],EQUIPOS[EQUIPOS],1,0)</f>
        <v>OPPO RENO 7 256GB</v>
      </c>
      <c r="D84" s="3" t="s">
        <v>33</v>
      </c>
      <c r="E84" s="12"/>
      <c r="F84" s="12">
        <v>11</v>
      </c>
      <c r="G84" s="12">
        <v>7.6</v>
      </c>
      <c r="H84" s="12">
        <v>12</v>
      </c>
      <c r="I84" s="12">
        <v>3</v>
      </c>
      <c r="J84" s="12">
        <v>12</v>
      </c>
      <c r="K84" s="13" t="s">
        <v>157</v>
      </c>
      <c r="L84" s="12">
        <v>0</v>
      </c>
      <c r="M84" s="12">
        <v>8</v>
      </c>
      <c r="N84" s="14" t="s">
        <v>173</v>
      </c>
      <c r="O84" s="12">
        <v>12</v>
      </c>
      <c r="P84" s="12">
        <v>271</v>
      </c>
      <c r="Q84" s="14">
        <v>15.8</v>
      </c>
      <c r="R84" s="12">
        <v>12.8</v>
      </c>
      <c r="S84" s="12">
        <v>0.64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102</v>
      </c>
      <c r="B85" t="str">
        <f>VLOOKUP(VERIFICAREQUIPOS[[#This Row],[SEGÚN LISTA]],EQUIPOS[EQUIPOS],1,0)</f>
        <v>OPPO RENO 7 128GB</v>
      </c>
      <c r="D85" s="3" t="s">
        <v>105</v>
      </c>
      <c r="E85" s="12"/>
      <c r="F85" s="12">
        <v>12</v>
      </c>
      <c r="G85" s="12">
        <v>7.6</v>
      </c>
      <c r="H85" s="12">
        <v>50</v>
      </c>
      <c r="I85" s="12">
        <v>3</v>
      </c>
      <c r="J85" s="12">
        <v>10</v>
      </c>
      <c r="K85" s="15" t="s">
        <v>157</v>
      </c>
      <c r="L85" s="12">
        <v>0</v>
      </c>
      <c r="M85" s="12">
        <v>8</v>
      </c>
      <c r="N85" s="12" t="s">
        <v>197</v>
      </c>
      <c r="O85" s="12">
        <v>12</v>
      </c>
      <c r="P85" s="12">
        <v>263</v>
      </c>
      <c r="Q85" s="12">
        <v>15.5</v>
      </c>
      <c r="R85" s="12">
        <v>13</v>
      </c>
      <c r="S85" s="12">
        <v>0.63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52</v>
      </c>
      <c r="B86" t="str">
        <f>VLOOKUP(VERIFICAREQUIPOS[[#This Row],[SEGÚN LISTA]],EQUIPOS[EQUIPOS],1,0)</f>
        <v>OPPO RENO 6 LITE 128GB</v>
      </c>
      <c r="D86" s="3" t="s">
        <v>92</v>
      </c>
      <c r="E86" s="12"/>
      <c r="F86" s="12">
        <v>11</v>
      </c>
      <c r="G86" s="12">
        <v>6.67</v>
      </c>
      <c r="H86" s="12">
        <v>48</v>
      </c>
      <c r="I86" s="12">
        <v>4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172</v>
      </c>
      <c r="O86" s="12">
        <v>6</v>
      </c>
      <c r="P86" s="12">
        <v>190</v>
      </c>
      <c r="Q86" s="12">
        <v>16.399999999999999</v>
      </c>
      <c r="R86" s="12">
        <v>7.3</v>
      </c>
      <c r="S86" s="12">
        <v>0.88</v>
      </c>
      <c r="T86" s="12">
        <v>4500</v>
      </c>
      <c r="U86" s="12">
        <v>5</v>
      </c>
      <c r="V86" s="11">
        <v>85</v>
      </c>
    </row>
    <row r="87" spans="1:22" ht="16.5" customHeight="1" x14ac:dyDescent="0.25">
      <c r="A87" t="s">
        <v>948</v>
      </c>
      <c r="B87" t="str">
        <f>VLOOKUP(VERIFICAREQUIPOS[[#This Row],[SEGÚN LISTA]],EQUIPOS[EQUIPOS],1,0)</f>
        <v>OPPO A78 128GB</v>
      </c>
      <c r="D87" s="3" t="s">
        <v>87</v>
      </c>
      <c r="E87" s="12"/>
      <c r="F87" s="12">
        <v>11</v>
      </c>
      <c r="G87" s="12">
        <v>6.44</v>
      </c>
      <c r="H87" s="12">
        <v>64</v>
      </c>
      <c r="I87" s="12">
        <v>3</v>
      </c>
      <c r="J87" s="12">
        <v>44</v>
      </c>
      <c r="K87" s="13" t="s">
        <v>160</v>
      </c>
      <c r="L87" s="12">
        <v>256</v>
      </c>
      <c r="M87" s="12">
        <v>8</v>
      </c>
      <c r="N87" s="14" t="s">
        <v>189</v>
      </c>
      <c r="O87" s="12">
        <v>8</v>
      </c>
      <c r="P87" s="12">
        <v>176</v>
      </c>
      <c r="Q87" s="12">
        <v>15.9</v>
      </c>
      <c r="R87" s="12">
        <v>7.39</v>
      </c>
      <c r="S87" s="12">
        <v>0.73</v>
      </c>
      <c r="T87" s="12">
        <v>4000</v>
      </c>
      <c r="U87" s="12">
        <v>5</v>
      </c>
      <c r="V87" s="11">
        <v>86</v>
      </c>
    </row>
    <row r="88" spans="1:22" ht="16.5" customHeight="1" x14ac:dyDescent="0.25">
      <c r="A88" t="s">
        <v>124</v>
      </c>
      <c r="B88" t="str">
        <f>VLOOKUP(VERIFICAREQUIPOS[[#This Row],[SEGÚN LISTA]],EQUIPOS[EQUIPOS],1,0)</f>
        <v>OPPO A77 128GB</v>
      </c>
      <c r="D88" s="3" t="s">
        <v>131</v>
      </c>
      <c r="E88" s="12"/>
      <c r="F88" s="12">
        <v>12</v>
      </c>
      <c r="G88" s="12">
        <v>6.78</v>
      </c>
      <c r="H88" s="12">
        <v>50</v>
      </c>
      <c r="I88" s="12">
        <v>4</v>
      </c>
      <c r="J88" s="12">
        <v>32</v>
      </c>
      <c r="K88" s="15" t="s">
        <v>157</v>
      </c>
      <c r="L88" s="12">
        <v>0</v>
      </c>
      <c r="M88" s="12">
        <v>8</v>
      </c>
      <c r="N88" s="12" t="s">
        <v>195</v>
      </c>
      <c r="O88" s="12">
        <v>12</v>
      </c>
      <c r="P88" s="12">
        <v>215</v>
      </c>
      <c r="Q88" s="12">
        <v>16.399999999999999</v>
      </c>
      <c r="R88" s="12">
        <v>7.53</v>
      </c>
      <c r="S88" s="12">
        <v>0.91</v>
      </c>
      <c r="T88" s="12">
        <v>4700</v>
      </c>
      <c r="U88" s="12">
        <v>5</v>
      </c>
      <c r="V88" s="11">
        <v>87</v>
      </c>
    </row>
    <row r="89" spans="1:22" ht="16.5" customHeight="1" x14ac:dyDescent="0.25">
      <c r="A89" t="s">
        <v>123</v>
      </c>
      <c r="B89" t="str">
        <f>VLOOKUP(VERIFICAREQUIPOS[[#This Row],[SEGÚN LISTA]],EQUIPOS[EQUIPOS],1,0)</f>
        <v>OPPO A57 128GB</v>
      </c>
      <c r="D89" s="3" t="s">
        <v>1045</v>
      </c>
      <c r="E89" s="12"/>
      <c r="F89" s="12">
        <v>12</v>
      </c>
      <c r="G89" s="12" t="s">
        <v>1139</v>
      </c>
      <c r="H89" s="12">
        <v>13</v>
      </c>
      <c r="I89" s="12">
        <v>2</v>
      </c>
      <c r="J89" s="12">
        <v>5</v>
      </c>
      <c r="K89" s="12" t="s">
        <v>159</v>
      </c>
      <c r="L89" s="12">
        <v>0</v>
      </c>
      <c r="M89" s="12">
        <v>8</v>
      </c>
      <c r="N89" s="12" t="s">
        <v>1142</v>
      </c>
      <c r="O89" s="12">
        <v>4</v>
      </c>
      <c r="P89" s="12">
        <v>183</v>
      </c>
      <c r="Q89" s="12">
        <v>16.399999999999999</v>
      </c>
      <c r="R89" s="12">
        <v>7.55</v>
      </c>
      <c r="S89" s="12">
        <v>0.82</v>
      </c>
      <c r="T89" s="12" t="s">
        <v>1140</v>
      </c>
      <c r="U89" s="12">
        <v>4</v>
      </c>
      <c r="V89" s="11">
        <v>88</v>
      </c>
    </row>
    <row r="90" spans="1:22" ht="16.5" customHeight="1" x14ac:dyDescent="0.25">
      <c r="A90" t="s">
        <v>23</v>
      </c>
      <c r="B90" t="str">
        <f>VLOOKUP(VERIFICAREQUIPOS[[#This Row],[SEGÚN LISTA]],EQUIPOS[EQUIPOS],1,0)</f>
        <v>OPPO A54 128GB</v>
      </c>
      <c r="D90" s="3" t="s">
        <v>1043</v>
      </c>
      <c r="E90" s="12"/>
      <c r="F90" s="12">
        <v>12</v>
      </c>
      <c r="G90" s="12" t="s">
        <v>1141</v>
      </c>
      <c r="H90" s="12">
        <v>50</v>
      </c>
      <c r="I90" s="12">
        <v>3</v>
      </c>
      <c r="J90" s="12">
        <v>8</v>
      </c>
      <c r="K90" s="12" t="s">
        <v>160</v>
      </c>
      <c r="L90" s="12">
        <v>1024</v>
      </c>
      <c r="M90" s="12">
        <v>8</v>
      </c>
      <c r="N90" s="12" t="s">
        <v>1145</v>
      </c>
      <c r="O90" s="12">
        <v>6</v>
      </c>
      <c r="P90" s="12">
        <v>192</v>
      </c>
      <c r="Q90" s="12">
        <v>16.43</v>
      </c>
      <c r="R90" s="12">
        <v>7.61</v>
      </c>
      <c r="S90" s="12">
        <v>0.84</v>
      </c>
      <c r="T90" s="12" t="s">
        <v>1143</v>
      </c>
      <c r="U90" s="12">
        <v>4</v>
      </c>
      <c r="V90" s="11">
        <v>89</v>
      </c>
    </row>
    <row r="91" spans="1:22" ht="16.5" customHeight="1" x14ac:dyDescent="0.25">
      <c r="A91" t="s">
        <v>471</v>
      </c>
      <c r="B91" t="str">
        <f>VLOOKUP(VERIFICAREQUIPOS[[#This Row],[SEGÚN LISTA]],EQUIPOS[EQUIPOS],1,0)</f>
        <v>OPPO A17 64GB</v>
      </c>
      <c r="D91" s="3" t="s">
        <v>85</v>
      </c>
      <c r="E91" s="12"/>
      <c r="F91" s="12">
        <v>11</v>
      </c>
      <c r="G91" s="12">
        <v>6.58</v>
      </c>
      <c r="H91" s="12">
        <v>48</v>
      </c>
      <c r="I91" s="12">
        <v>3</v>
      </c>
      <c r="J91" s="12">
        <v>16</v>
      </c>
      <c r="K91" s="13" t="s">
        <v>160</v>
      </c>
      <c r="L91" s="12">
        <v>256</v>
      </c>
      <c r="M91" s="12">
        <v>8</v>
      </c>
      <c r="N91" s="14" t="s">
        <v>167</v>
      </c>
      <c r="O91" s="12">
        <v>4</v>
      </c>
      <c r="P91" s="12">
        <v>191</v>
      </c>
      <c r="Q91" s="12">
        <v>16.399999999999999</v>
      </c>
      <c r="R91" s="12">
        <v>7.55</v>
      </c>
      <c r="S91" s="12">
        <v>0.84</v>
      </c>
      <c r="T91" s="12">
        <v>5000</v>
      </c>
      <c r="U91" s="12">
        <v>4.5</v>
      </c>
      <c r="V91" s="11">
        <v>90</v>
      </c>
    </row>
    <row r="92" spans="1:22" ht="16.5" customHeight="1" x14ac:dyDescent="0.25">
      <c r="A92" t="s">
        <v>103</v>
      </c>
      <c r="B92" t="str">
        <f>VLOOKUP(VERIFICAREQUIPOS[[#This Row],[SEGÚN LISTA]],EQUIPOS[EQUIPOS],1,0)</f>
        <v>MOTOROLA MOTO G82 128GB 5G</v>
      </c>
      <c r="D92" s="3" t="s">
        <v>1044</v>
      </c>
      <c r="E92" s="12"/>
      <c r="F92" s="12">
        <v>12</v>
      </c>
      <c r="G92" s="12" t="s">
        <v>1144</v>
      </c>
      <c r="H92" s="12">
        <v>50</v>
      </c>
      <c r="I92" s="12">
        <v>3</v>
      </c>
      <c r="J92" s="12">
        <v>16</v>
      </c>
      <c r="K92" s="12" t="s">
        <v>160</v>
      </c>
      <c r="L92" s="12">
        <v>0</v>
      </c>
      <c r="M92" s="12">
        <v>8</v>
      </c>
      <c r="N92" s="12" t="s">
        <v>1145</v>
      </c>
      <c r="O92" s="12">
        <v>8</v>
      </c>
      <c r="P92" s="12">
        <v>188</v>
      </c>
      <c r="Q92" s="12">
        <v>16.43</v>
      </c>
      <c r="R92" s="12">
        <v>7.61</v>
      </c>
      <c r="S92" s="12">
        <v>0.83</v>
      </c>
      <c r="T92" s="12" t="s">
        <v>1146</v>
      </c>
      <c r="U92" s="12">
        <v>4.5</v>
      </c>
      <c r="V92" s="11">
        <v>91</v>
      </c>
    </row>
    <row r="93" spans="1:22" ht="16.5" customHeight="1" x14ac:dyDescent="0.25">
      <c r="A93" t="s">
        <v>21</v>
      </c>
      <c r="B93" t="str">
        <f>VLOOKUP(VERIFICAREQUIPOS[[#This Row],[SEGÚN LISTA]],EQUIPOS[EQUIPOS],1,0)</f>
        <v>MOTOROLA MOTO G60S 128GB</v>
      </c>
      <c r="D93" s="3" t="s">
        <v>86</v>
      </c>
      <c r="E93" s="12"/>
      <c r="F93" s="12">
        <v>11</v>
      </c>
      <c r="G93" s="12">
        <v>6.58</v>
      </c>
      <c r="H93" s="12">
        <v>64</v>
      </c>
      <c r="I93" s="12">
        <v>3</v>
      </c>
      <c r="J93" s="12">
        <v>16</v>
      </c>
      <c r="K93" s="13" t="s">
        <v>160</v>
      </c>
      <c r="L93" s="12">
        <v>256</v>
      </c>
      <c r="M93" s="12">
        <v>8</v>
      </c>
      <c r="N93" s="14" t="s">
        <v>167</v>
      </c>
      <c r="O93" s="12">
        <v>6</v>
      </c>
      <c r="P93" s="12">
        <v>190</v>
      </c>
      <c r="Q93" s="12">
        <v>16.5</v>
      </c>
      <c r="R93" s="12">
        <v>7.55</v>
      </c>
      <c r="S93" s="12">
        <v>0.84</v>
      </c>
      <c r="T93" s="12">
        <v>5000</v>
      </c>
      <c r="U93" s="12">
        <v>4.5</v>
      </c>
      <c r="V93" s="11">
        <v>92</v>
      </c>
    </row>
    <row r="94" spans="1:22" ht="16.5" customHeight="1" x14ac:dyDescent="0.25">
      <c r="A94" t="s">
        <v>54</v>
      </c>
      <c r="B94" t="str">
        <f>VLOOKUP(VERIFICAREQUIPOS[[#This Row],[SEGÚN LISTA]],EQUIPOS[EQUIPOS],1,0)</f>
        <v>MOTOROLA MOTO G51 128GB</v>
      </c>
      <c r="D94" s="3" t="s">
        <v>34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160</v>
      </c>
      <c r="L94" s="12">
        <v>256</v>
      </c>
      <c r="M94" s="12">
        <v>8</v>
      </c>
      <c r="N94" s="12" t="s">
        <v>166</v>
      </c>
      <c r="O94" s="12">
        <v>6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991</v>
      </c>
      <c r="B95" t="str">
        <f>VLOOKUP(VERIFICAREQUIPOS[[#This Row],[SEGÚN LISTA]],EQUIPOS[EQUIPOS],1,0)</f>
        <v>MOTOROLA MOTO G23 128GB</v>
      </c>
      <c r="D95" s="3" t="s">
        <v>35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157</v>
      </c>
      <c r="L95" s="12">
        <v>256</v>
      </c>
      <c r="M95" s="12">
        <v>8</v>
      </c>
      <c r="N95" s="12" t="s">
        <v>166</v>
      </c>
      <c r="O95" s="12">
        <v>8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129</v>
      </c>
      <c r="B96" t="str">
        <f>VLOOKUP(VERIFICAREQUIPOS[[#This Row],[SEGÚN LISTA]],EQUIPOS[EQUIPOS],1,0)</f>
        <v>MOTOROLA MOTO EDGE 30 NEO 128GB</v>
      </c>
      <c r="D96" s="3" t="s">
        <v>36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198</v>
      </c>
      <c r="O96" s="12">
        <v>8</v>
      </c>
      <c r="P96" s="12">
        <v>203</v>
      </c>
      <c r="Q96" s="12">
        <v>16.399999999999999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128</v>
      </c>
      <c r="B97" t="str">
        <f>VLOOKUP(VERIFICAREQUIPOS[[#This Row],[SEGÚN LISTA]],EQUIPOS[EQUIPOS],1,0)</f>
        <v>MOTOROLA MOTO EDGE 30 FUSION 256GB</v>
      </c>
      <c r="D97" s="3" t="s">
        <v>64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173</v>
      </c>
      <c r="O97" s="12">
        <v>8</v>
      </c>
      <c r="P97" s="12">
        <v>204</v>
      </c>
      <c r="Q97" s="12">
        <v>16.100000000000001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101</v>
      </c>
      <c r="B98" t="str">
        <f>VLOOKUP(VERIFICAREQUIPOS[[#This Row],[SEGÚN LISTA]],EQUIPOS[EQUIPOS],1,0)</f>
        <v>MOTOROLA MOTO E32 64GB</v>
      </c>
      <c r="D98" s="3" t="s">
        <v>82</v>
      </c>
      <c r="E98" s="12"/>
      <c r="F98" s="12">
        <v>12</v>
      </c>
      <c r="G98" s="12">
        <v>6.28</v>
      </c>
      <c r="H98" s="12">
        <v>50</v>
      </c>
      <c r="I98" s="12">
        <v>3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174</v>
      </c>
      <c r="O98" s="12">
        <v>8</v>
      </c>
      <c r="P98" s="12">
        <v>180</v>
      </c>
      <c r="Q98" s="12">
        <v>15.2</v>
      </c>
      <c r="R98" s="12">
        <v>6.99</v>
      </c>
      <c r="S98" s="12">
        <v>0.82</v>
      </c>
      <c r="T98" s="12">
        <v>4500</v>
      </c>
      <c r="U98" s="12">
        <v>5</v>
      </c>
      <c r="V98" s="11">
        <v>97</v>
      </c>
    </row>
    <row r="99" spans="1:22" ht="16.5" customHeight="1" x14ac:dyDescent="0.25">
      <c r="A99" t="s">
        <v>46</v>
      </c>
      <c r="B99" t="str">
        <f>VLOOKUP(VERIFICAREQUIPOS[[#This Row],[SEGÚN LISTA]],EQUIPOS[EQUIPOS],1,0)</f>
        <v>MOTOROLA MOTO E30 32GB</v>
      </c>
      <c r="D99" s="3" t="s">
        <v>132</v>
      </c>
      <c r="E99" s="12"/>
      <c r="F99" s="12">
        <v>12</v>
      </c>
      <c r="G99" s="12" t="s">
        <v>199</v>
      </c>
      <c r="H99" s="12">
        <v>108</v>
      </c>
      <c r="I99" s="12">
        <v>3</v>
      </c>
      <c r="J99" s="12">
        <v>32</v>
      </c>
      <c r="K99" s="15" t="s">
        <v>160</v>
      </c>
      <c r="L99" s="12">
        <v>0</v>
      </c>
      <c r="M99" s="12" t="s">
        <v>200</v>
      </c>
      <c r="N99" s="14"/>
      <c r="O99" s="12">
        <v>8</v>
      </c>
      <c r="P99" s="12">
        <v>173</v>
      </c>
      <c r="Q99" s="12">
        <v>15.9</v>
      </c>
      <c r="R99" s="12">
        <v>7.33</v>
      </c>
      <c r="S99" s="12">
        <v>0.73</v>
      </c>
      <c r="T99" s="12" t="s">
        <v>1199</v>
      </c>
      <c r="U99" s="12">
        <v>5</v>
      </c>
      <c r="V99" s="11">
        <v>98</v>
      </c>
    </row>
    <row r="100" spans="1:22" ht="16.5" customHeight="1" x14ac:dyDescent="0.25">
      <c r="A100" t="s">
        <v>595</v>
      </c>
      <c r="B100" t="str">
        <f>VLOOKUP(VERIFICAREQUIPOS[[#This Row],[SEGÚN LISTA]],EQUIPOS[EQUIPOS],1,0)</f>
        <v>MOTOROLA MOTO E22i 64GB</v>
      </c>
      <c r="D100" s="3" t="s">
        <v>133</v>
      </c>
      <c r="E100" s="12"/>
      <c r="F100" s="12">
        <v>12</v>
      </c>
      <c r="G100" s="12">
        <v>6.67</v>
      </c>
      <c r="H100" s="12">
        <v>108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202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18</v>
      </c>
      <c r="B101" t="str">
        <f>VLOOKUP(VERIFICAREQUIPOS[[#This Row],[SEGÚN LISTA]],EQUIPOS[EQUIPOS],1,0)</f>
        <v>MOTOROLA MOTO E20 32GB</v>
      </c>
      <c r="D101" s="3" t="s">
        <v>134</v>
      </c>
      <c r="E101" s="12"/>
      <c r="F101" s="12">
        <v>12</v>
      </c>
      <c r="G101" s="12">
        <v>6.67</v>
      </c>
      <c r="H101" s="12">
        <v>200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205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1015</v>
      </c>
      <c r="B102" t="str">
        <f>VLOOKUP(VERIFICAREQUIPOS[[#This Row],[SEGÚN LISTA]],EQUIPOS[EQUIPOS],1,0)</f>
        <v>MOTOROLA MOTO E13 64GB</v>
      </c>
      <c r="D102" s="3" t="s">
        <v>98</v>
      </c>
      <c r="E102" s="12"/>
      <c r="F102" s="12">
        <v>11</v>
      </c>
      <c r="G102" s="12">
        <v>6.6</v>
      </c>
      <c r="H102" s="12">
        <v>50</v>
      </c>
      <c r="I102" s="12">
        <v>3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190</v>
      </c>
      <c r="O102" s="12">
        <v>4</v>
      </c>
      <c r="P102" s="12">
        <v>195</v>
      </c>
      <c r="Q102" s="12">
        <v>16.3</v>
      </c>
      <c r="R102" s="12">
        <v>7.58</v>
      </c>
      <c r="S102" s="12">
        <v>0.88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76</v>
      </c>
      <c r="B103" t="str">
        <f>VLOOKUP(VERIFICAREQUIPOS[[#This Row],[SEGÚN LISTA]],EQUIPOS[EQUIPOS],1,0)</f>
        <v>MOTOROLA G22 128GB</v>
      </c>
      <c r="D103" s="3" t="s">
        <v>99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5" t="s">
        <v>160</v>
      </c>
      <c r="L103" s="12">
        <v>256</v>
      </c>
      <c r="M103" s="12">
        <v>8</v>
      </c>
      <c r="N103" s="12" t="s">
        <v>202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17</v>
      </c>
      <c r="B104" t="str">
        <f>VLOOKUP(VERIFICAREQUIPOS[[#This Row],[SEGÚN LISTA]],EQUIPOS[EQUIPOS],1,0)</f>
        <v>HUAWEI Y9A 128GB</v>
      </c>
      <c r="D104" s="3" t="s">
        <v>511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2" t="s">
        <v>159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127</v>
      </c>
      <c r="B105" t="str">
        <f>VLOOKUP(VERIFICAREQUIPOS[[#This Row],[SEGÚN LISTA]],EQUIPOS[EQUIPOS],1,0)</f>
        <v>HUAWEI NOVA Y90 128GB</v>
      </c>
      <c r="D105" s="3" t="s">
        <v>90</v>
      </c>
      <c r="E105" s="12"/>
      <c r="F105" s="12">
        <v>11</v>
      </c>
      <c r="G105" s="12">
        <v>6.53</v>
      </c>
      <c r="H105" s="12">
        <v>13</v>
      </c>
      <c r="I105" s="12">
        <v>1</v>
      </c>
      <c r="J105" s="12">
        <v>5</v>
      </c>
      <c r="K105" s="15" t="s">
        <v>176</v>
      </c>
      <c r="L105" s="12">
        <v>256</v>
      </c>
      <c r="M105" s="12">
        <v>8</v>
      </c>
      <c r="N105" s="12" t="s">
        <v>169</v>
      </c>
      <c r="O105" s="12">
        <v>2</v>
      </c>
      <c r="P105" s="12">
        <v>194</v>
      </c>
      <c r="Q105" s="12">
        <v>16.399999999999999</v>
      </c>
      <c r="R105" s="12">
        <v>7.71</v>
      </c>
      <c r="S105" s="12">
        <v>0.9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95</v>
      </c>
      <c r="B106" t="str">
        <f>VLOOKUP(VERIFICAREQUIPOS[[#This Row],[SEGÚN LISTA]],EQUIPOS[EQUIPOS],1,0)</f>
        <v>HUAWEI NOVA Y70 128GB</v>
      </c>
      <c r="D106" s="3" t="s">
        <v>89</v>
      </c>
      <c r="E106" s="12"/>
      <c r="F106" s="12">
        <v>11</v>
      </c>
      <c r="G106" s="12">
        <v>6.71</v>
      </c>
      <c r="H106" s="12">
        <v>50</v>
      </c>
      <c r="I106" s="12">
        <v>2</v>
      </c>
      <c r="J106" s="12">
        <v>5</v>
      </c>
      <c r="K106" s="15" t="s">
        <v>159</v>
      </c>
      <c r="L106" s="12">
        <v>1024</v>
      </c>
      <c r="M106" s="12">
        <v>8</v>
      </c>
      <c r="N106" s="12" t="s">
        <v>167</v>
      </c>
      <c r="O106" s="12">
        <v>4</v>
      </c>
      <c r="P106" s="12">
        <v>190</v>
      </c>
      <c r="Q106" s="12">
        <v>16.899999999999999</v>
      </c>
      <c r="R106" s="12">
        <v>7.66</v>
      </c>
      <c r="S106" s="12">
        <v>0.83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94</v>
      </c>
      <c r="B107" t="str">
        <f>VLOOKUP(VERIFICAREQUIPOS[[#This Row],[SEGÚN LISTA]],EQUIPOS[EQUIPOS],1,0)</f>
        <v>HUAWEI NOVA 9 SE 128GB</v>
      </c>
      <c r="D107" s="3" t="s">
        <v>1057</v>
      </c>
      <c r="E107" s="12"/>
      <c r="F107" s="12">
        <v>12</v>
      </c>
      <c r="G107" s="12" t="s">
        <v>1147</v>
      </c>
      <c r="H107" s="12">
        <v>50</v>
      </c>
      <c r="I107" s="12">
        <v>2</v>
      </c>
      <c r="J107" s="12">
        <v>5</v>
      </c>
      <c r="K107" s="12" t="s">
        <v>159</v>
      </c>
      <c r="L107" s="12">
        <v>1024</v>
      </c>
      <c r="M107" s="12">
        <v>8</v>
      </c>
      <c r="N107" s="12" t="s">
        <v>1189</v>
      </c>
      <c r="O107" s="12">
        <v>4</v>
      </c>
      <c r="P107" s="12">
        <v>192</v>
      </c>
      <c r="Q107" s="12">
        <v>16.88</v>
      </c>
      <c r="R107" s="12">
        <v>7.64</v>
      </c>
      <c r="S107" s="12">
        <v>0.88</v>
      </c>
      <c r="T107" s="12" t="s">
        <v>1140</v>
      </c>
      <c r="U107" s="12">
        <v>4</v>
      </c>
      <c r="V107" s="11">
        <v>106</v>
      </c>
    </row>
    <row r="108" spans="1:22" ht="16.5" customHeight="1" x14ac:dyDescent="0.25">
      <c r="A108" t="s">
        <v>16</v>
      </c>
      <c r="B108" t="str">
        <f>VLOOKUP(VERIFICAREQUIPOS[[#This Row],[SEGÚN LISTA]],EQUIPOS[EQUIPOS],1,0)</f>
        <v>HUAWEI NOVA 9 128GB</v>
      </c>
      <c r="D108" s="3" t="s">
        <v>68</v>
      </c>
      <c r="E108" s="12"/>
      <c r="F108" s="12">
        <v>10</v>
      </c>
      <c r="G108" s="12">
        <v>6.53</v>
      </c>
      <c r="H108" s="12">
        <v>13</v>
      </c>
      <c r="I108" s="12">
        <v>1</v>
      </c>
      <c r="J108" s="12">
        <v>5</v>
      </c>
      <c r="K108" s="15" t="s">
        <v>176</v>
      </c>
      <c r="L108" s="12">
        <v>256</v>
      </c>
      <c r="M108" s="23">
        <v>8</v>
      </c>
      <c r="N108" s="12" t="s">
        <v>169</v>
      </c>
      <c r="O108" s="12">
        <v>2</v>
      </c>
      <c r="P108" s="12">
        <v>196</v>
      </c>
      <c r="Q108" s="12">
        <v>16.399999999999999</v>
      </c>
      <c r="R108" s="12">
        <v>7.71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97</v>
      </c>
      <c r="B109" t="str">
        <f>VLOOKUP(VERIFICAREQUIPOS[[#This Row],[SEGÚN LISTA]],EQUIPOS[EQUIPOS],1,0)</f>
        <v>HONOR X9 128GB</v>
      </c>
      <c r="D109" s="3" t="s">
        <v>67</v>
      </c>
      <c r="E109" s="12"/>
      <c r="F109" s="12">
        <v>10</v>
      </c>
      <c r="G109" s="12">
        <v>6.53</v>
      </c>
      <c r="H109" s="12">
        <v>13</v>
      </c>
      <c r="I109" s="12">
        <v>3</v>
      </c>
      <c r="J109" s="12">
        <v>5</v>
      </c>
      <c r="K109" s="15" t="s">
        <v>159</v>
      </c>
      <c r="L109" s="12">
        <v>512</v>
      </c>
      <c r="M109" s="12">
        <v>8</v>
      </c>
      <c r="N109" s="12" t="s">
        <v>171</v>
      </c>
      <c r="O109" s="12">
        <v>2</v>
      </c>
      <c r="P109" s="12">
        <v>196</v>
      </c>
      <c r="Q109" s="12">
        <v>16.399999999999999</v>
      </c>
      <c r="R109" s="12">
        <v>7.07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603</v>
      </c>
      <c r="B110" t="str">
        <f>VLOOKUP(VERIFICAREQUIPOS[[#This Row],[SEGÚN LISTA]],EQUIPOS[EQUIPOS],1,0)</f>
        <v>HONOR X8A 128GB</v>
      </c>
      <c r="D110" s="3" t="s">
        <v>135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5" t="s">
        <v>176</v>
      </c>
      <c r="L110" s="12">
        <v>1024</v>
      </c>
      <c r="M110" s="12">
        <v>8</v>
      </c>
      <c r="N110" s="12">
        <v>2.2000000000000002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0.91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77</v>
      </c>
      <c r="B111" t="str">
        <f>VLOOKUP(VERIFICAREQUIPOS[[#This Row],[SEGÚN LISTA]],EQUIPOS[EQUIPOS],1,0)</f>
        <v>HONOR X8 128GB</v>
      </c>
      <c r="D111" s="3" t="s">
        <v>1058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2" t="s">
        <v>176</v>
      </c>
      <c r="L111" s="12">
        <v>1024</v>
      </c>
      <c r="M111" s="12">
        <v>8</v>
      </c>
      <c r="N111" s="12" t="s">
        <v>1148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</v>
      </c>
      <c r="T111" s="12" t="s">
        <v>1140</v>
      </c>
      <c r="U111" s="12">
        <v>4</v>
      </c>
      <c r="V111" s="11">
        <v>110</v>
      </c>
    </row>
    <row r="112" spans="1:22" ht="16.5" customHeight="1" x14ac:dyDescent="0.25">
      <c r="A112" t="s">
        <v>590</v>
      </c>
      <c r="B112" t="str">
        <f>VLOOKUP(VERIFICAREQUIPOS[[#This Row],[SEGÚN LISTA]],EQUIPOS[EQUIPOS],1,0)</f>
        <v>HONOR X7A 128GB</v>
      </c>
      <c r="D112" s="3" t="s">
        <v>37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256</v>
      </c>
      <c r="M112" s="12">
        <v>8</v>
      </c>
      <c r="N112" s="12" t="s">
        <v>171</v>
      </c>
      <c r="O112" s="12">
        <v>6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5020</v>
      </c>
      <c r="U112" s="12">
        <v>4.5</v>
      </c>
      <c r="V112" s="11">
        <v>111</v>
      </c>
    </row>
    <row r="113" spans="1:22" ht="16.5" customHeight="1" x14ac:dyDescent="0.25">
      <c r="A113" t="s">
        <v>100</v>
      </c>
      <c r="B113" t="str">
        <f>VLOOKUP(VERIFICAREQUIPOS[[#This Row],[SEGÚN LISTA]],EQUIPOS[EQUIPOS],1,0)</f>
        <v>HONOR X7 128GB PRO</v>
      </c>
      <c r="D113" s="3" t="s">
        <v>38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512</v>
      </c>
      <c r="M113" s="12">
        <v>8</v>
      </c>
      <c r="N113" s="12" t="s">
        <v>171</v>
      </c>
      <c r="O113" s="12">
        <v>8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5030</v>
      </c>
      <c r="U113" s="12">
        <v>4.5</v>
      </c>
      <c r="V113" s="11">
        <v>112</v>
      </c>
    </row>
    <row r="114" spans="1:22" ht="16.5" customHeight="1" x14ac:dyDescent="0.25">
      <c r="A114" t="s">
        <v>589</v>
      </c>
      <c r="B114" t="str">
        <f>VLOOKUP(VERIFICAREQUIPOS[[#This Row],[SEGÚN LISTA]],EQUIPOS[EQUIPOS],1,0)</f>
        <v>HONOR X6S 128GB</v>
      </c>
      <c r="D114" s="3" t="s">
        <v>39</v>
      </c>
      <c r="E114" s="12"/>
      <c r="F114" s="12">
        <v>11</v>
      </c>
      <c r="G114" s="12">
        <v>6.43</v>
      </c>
      <c r="H114" s="12">
        <v>64</v>
      </c>
      <c r="I114" s="12">
        <v>4</v>
      </c>
      <c r="J114" s="12">
        <v>13</v>
      </c>
      <c r="K114" s="15" t="s">
        <v>160</v>
      </c>
      <c r="L114" s="12">
        <v>512</v>
      </c>
      <c r="M114" s="12">
        <v>8</v>
      </c>
      <c r="N114" s="12" t="s">
        <v>203</v>
      </c>
      <c r="O114" s="12">
        <v>6</v>
      </c>
      <c r="P114" s="12">
        <v>178</v>
      </c>
      <c r="Q114" s="12">
        <v>16</v>
      </c>
      <c r="R114" s="12">
        <v>7.45</v>
      </c>
      <c r="S114" s="12">
        <v>0.83</v>
      </c>
      <c r="T114" s="12">
        <v>5000</v>
      </c>
      <c r="U114" s="12">
        <v>4</v>
      </c>
      <c r="V114" s="11">
        <v>113</v>
      </c>
    </row>
    <row r="115" spans="1:22" ht="16.5" customHeight="1" x14ac:dyDescent="0.25">
      <c r="A115" t="s">
        <v>122</v>
      </c>
      <c r="B115" t="str">
        <f>VLOOKUP(VERIFICAREQUIPOS[[#This Row],[SEGÚN LISTA]],EQUIPOS[EQUIPOS],1,0)</f>
        <v>HONOR X6 64GB</v>
      </c>
      <c r="D115" s="3" t="s">
        <v>80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166</v>
      </c>
      <c r="O115" s="12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947</v>
      </c>
      <c r="B116" t="str">
        <f>VLOOKUP(VERIFICAREQUIPOS[[#This Row],[SEGÚN LISTA]],EQUIPOS[EQUIPOS],1,0)</f>
        <v>HONOR MAGIC 5 LITE 128GB 5G</v>
      </c>
      <c r="D116" s="3" t="s">
        <v>58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170</v>
      </c>
      <c r="O116" s="16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121</v>
      </c>
      <c r="B117" t="str">
        <f>VLOOKUP(VERIFICAREQUIPOS[[#This Row],[SEGÚN LISTA]],EQUIPOS[EQUIPOS],1,0)</f>
        <v>HONOR 70 256GB</v>
      </c>
      <c r="D117" s="3" t="s">
        <v>88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166</v>
      </c>
      <c r="O117" s="12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5</v>
      </c>
      <c r="V117" s="11">
        <v>116</v>
      </c>
    </row>
    <row r="118" spans="1:22" ht="16.5" customHeight="1" x14ac:dyDescent="0.25">
      <c r="A118" t="s">
        <v>120</v>
      </c>
      <c r="B118" t="str">
        <f>VLOOKUP(VERIFICAREQUIPOS[[#This Row],[SEGÚN LISTA]],EQUIPOS[EQUIPOS],1,0)</f>
        <v>HONOR 70 128GB</v>
      </c>
      <c r="D118" s="3" t="s">
        <v>74</v>
      </c>
      <c r="E118" s="12"/>
      <c r="F118" s="12">
        <v>11</v>
      </c>
      <c r="G118" s="12">
        <v>6.67</v>
      </c>
      <c r="H118" s="12">
        <v>108</v>
      </c>
      <c r="I118" s="12">
        <v>4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203</v>
      </c>
      <c r="O118" s="12">
        <v>6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4.5</v>
      </c>
      <c r="V118" s="11">
        <v>117</v>
      </c>
    </row>
    <row r="119" spans="1:22" ht="16.5" customHeight="1" x14ac:dyDescent="0.25">
      <c r="A119" t="s">
        <v>55</v>
      </c>
      <c r="B119" t="str">
        <f>VLOOKUP(VERIFICAREQUIPOS[[#This Row],[SEGÚN LISTA]],EQUIPOS[EQUIPOS],1,0)</f>
        <v>APPLE IPHONE XR 64GB</v>
      </c>
      <c r="D119" s="3" t="s">
        <v>75</v>
      </c>
      <c r="E119" s="12"/>
      <c r="F119" s="12">
        <v>11</v>
      </c>
      <c r="G119" s="12">
        <v>6.67</v>
      </c>
      <c r="H119" s="12">
        <v>108</v>
      </c>
      <c r="I119" s="12">
        <v>3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182</v>
      </c>
      <c r="O119" s="12">
        <v>4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5</v>
      </c>
      <c r="V119" s="11">
        <v>118</v>
      </c>
    </row>
    <row r="120" spans="1:22" ht="16.5" customHeight="1" x14ac:dyDescent="0.25">
      <c r="A120" t="s">
        <v>119</v>
      </c>
      <c r="B120" t="str">
        <f>VLOOKUP(VERIFICAREQUIPOS[[#This Row],[SEGÚN LISTA]],EQUIPOS[EQUIPOS],1,0)</f>
        <v>APPLE IPHONE 14 PRO MAX 512GB</v>
      </c>
      <c r="D120" s="3" t="s">
        <v>71</v>
      </c>
      <c r="E120" s="12"/>
      <c r="F120" s="12">
        <v>11</v>
      </c>
      <c r="G120" s="12">
        <v>6.43</v>
      </c>
      <c r="H120" s="12">
        <v>108</v>
      </c>
      <c r="I120" s="12">
        <v>4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203</v>
      </c>
      <c r="O120" s="12">
        <v>6</v>
      </c>
      <c r="P120" s="12">
        <v>179</v>
      </c>
      <c r="Q120" s="12">
        <v>15.9</v>
      </c>
      <c r="R120" s="12">
        <v>7.73</v>
      </c>
      <c r="S120" s="12">
        <v>0.81</v>
      </c>
      <c r="T120" s="12">
        <v>5000</v>
      </c>
      <c r="U120" s="12">
        <v>4.5</v>
      </c>
      <c r="V120" s="11">
        <v>119</v>
      </c>
    </row>
    <row r="121" spans="1:22" ht="16.5" customHeight="1" x14ac:dyDescent="0.25">
      <c r="A121" t="s">
        <v>118</v>
      </c>
      <c r="B121" t="str">
        <f>VLOOKUP(VERIFICAREQUIPOS[[#This Row],[SEGÚN LISTA]],EQUIPOS[EQUIPOS],1,0)</f>
        <v>APPLE IPHONE 14 PRO MAX 256GB</v>
      </c>
      <c r="D121" s="3" t="s">
        <v>1132</v>
      </c>
      <c r="E121" s="12"/>
      <c r="F121" s="12">
        <v>12</v>
      </c>
      <c r="G121" s="12">
        <v>6.67</v>
      </c>
      <c r="H121" s="12">
        <v>48</v>
      </c>
      <c r="I121" s="12">
        <v>3</v>
      </c>
      <c r="J121" s="12">
        <v>16</v>
      </c>
      <c r="K121" s="12" t="s">
        <v>160</v>
      </c>
      <c r="L121" s="12">
        <v>0</v>
      </c>
      <c r="M121" s="12">
        <v>8</v>
      </c>
      <c r="N121" s="12" t="s">
        <v>1191</v>
      </c>
      <c r="O121" s="12">
        <v>4</v>
      </c>
      <c r="P121" s="12">
        <v>189</v>
      </c>
      <c r="Q121" s="12">
        <v>16.600000000000001</v>
      </c>
      <c r="R121" s="12">
        <v>7.62</v>
      </c>
      <c r="S121" s="12">
        <v>0.8</v>
      </c>
      <c r="T121" s="12" t="s">
        <v>1149</v>
      </c>
      <c r="U121" s="12">
        <v>5</v>
      </c>
      <c r="V121" s="11">
        <v>120</v>
      </c>
    </row>
    <row r="122" spans="1:22" ht="16.5" customHeight="1" x14ac:dyDescent="0.25">
      <c r="A122" t="s">
        <v>117</v>
      </c>
      <c r="B122" t="str">
        <f>VLOOKUP(VERIFICAREQUIPOS[[#This Row],[SEGÚN LISTA]],EQUIPOS[EQUIPOS],1,0)</f>
        <v>APPLE IPHONE 14 PRO MAX 1TB</v>
      </c>
      <c r="D122" s="3" t="s">
        <v>70</v>
      </c>
      <c r="E122" s="12"/>
      <c r="F122" s="12">
        <v>11</v>
      </c>
      <c r="G122" s="12">
        <v>6</v>
      </c>
      <c r="H122" s="12">
        <v>5</v>
      </c>
      <c r="I122" s="12">
        <v>1</v>
      </c>
      <c r="J122" s="12">
        <v>2</v>
      </c>
      <c r="K122" s="15" t="s">
        <v>176</v>
      </c>
      <c r="L122" s="12">
        <v>256</v>
      </c>
      <c r="M122" s="12">
        <v>8</v>
      </c>
      <c r="N122" s="12" t="s">
        <v>165</v>
      </c>
      <c r="O122" s="12">
        <v>1</v>
      </c>
      <c r="P122" s="12">
        <v>173</v>
      </c>
      <c r="Q122" s="12">
        <v>15.9</v>
      </c>
      <c r="R122" s="12">
        <v>7.75</v>
      </c>
      <c r="S122" s="12">
        <v>0.96</v>
      </c>
      <c r="T122" s="12">
        <v>3000</v>
      </c>
      <c r="U122" s="12">
        <v>4</v>
      </c>
      <c r="V122" s="11">
        <v>121</v>
      </c>
    </row>
    <row r="123" spans="1:22" ht="16.5" customHeight="1" x14ac:dyDescent="0.25">
      <c r="A123" t="s">
        <v>116</v>
      </c>
      <c r="B123" t="str">
        <f>VLOOKUP(VERIFICAREQUIPOS[[#This Row],[SEGÚN LISTA]],EQUIPOS[EQUIPOS],1,0)</f>
        <v>APPLE IPHONE 14 PRO MAX 128GB</v>
      </c>
      <c r="D123" s="3" t="s">
        <v>40</v>
      </c>
      <c r="E123" s="12"/>
      <c r="F123" s="12">
        <v>9</v>
      </c>
      <c r="G123" s="12">
        <v>6.09</v>
      </c>
      <c r="H123" s="12">
        <v>13</v>
      </c>
      <c r="I123" s="12">
        <v>2</v>
      </c>
      <c r="J123" s="12">
        <v>8</v>
      </c>
      <c r="K123" s="15" t="s">
        <v>176</v>
      </c>
      <c r="L123" s="12">
        <v>128</v>
      </c>
      <c r="M123" s="12">
        <v>8</v>
      </c>
      <c r="N123" s="12" t="s">
        <v>165</v>
      </c>
      <c r="O123" s="12">
        <v>2</v>
      </c>
      <c r="P123" s="12">
        <v>155</v>
      </c>
      <c r="Q123" s="12">
        <v>15.6</v>
      </c>
      <c r="R123" s="12">
        <v>7.26</v>
      </c>
      <c r="S123" s="12">
        <v>0.8</v>
      </c>
      <c r="T123" s="12">
        <v>3200</v>
      </c>
      <c r="U123" s="12">
        <v>4</v>
      </c>
      <c r="V123" s="11">
        <v>122</v>
      </c>
    </row>
    <row r="124" spans="1:22" ht="16.5" customHeight="1" x14ac:dyDescent="0.25">
      <c r="A124" t="s">
        <v>115</v>
      </c>
      <c r="B124" t="str">
        <f>VLOOKUP(VERIFICAREQUIPOS[[#This Row],[SEGÚN LISTA]],EQUIPOS[EQUIPOS],1,0)</f>
        <v>APPLE IPHONE 14 PRO 512GB</v>
      </c>
      <c r="D124" s="3" t="s">
        <v>41</v>
      </c>
      <c r="E124" s="12"/>
      <c r="F124" s="12">
        <v>10</v>
      </c>
      <c r="G124" s="12">
        <v>6.53</v>
      </c>
      <c r="H124" s="12">
        <v>13</v>
      </c>
      <c r="I124" s="12">
        <v>2</v>
      </c>
      <c r="J124" s="12">
        <v>5</v>
      </c>
      <c r="K124" s="15" t="s">
        <v>176</v>
      </c>
      <c r="L124" s="12">
        <v>256</v>
      </c>
      <c r="M124" s="12">
        <v>8</v>
      </c>
      <c r="N124" s="12" t="s">
        <v>165</v>
      </c>
      <c r="O124" s="12">
        <v>2</v>
      </c>
      <c r="P124" s="12">
        <v>174</v>
      </c>
      <c r="Q124" s="12">
        <v>16.600000000000001</v>
      </c>
      <c r="R124" s="12">
        <v>7.5</v>
      </c>
      <c r="S124" s="12">
        <v>0.85</v>
      </c>
      <c r="T124" s="12">
        <v>3200</v>
      </c>
      <c r="U124" s="12">
        <v>4</v>
      </c>
      <c r="V124" s="11">
        <v>123</v>
      </c>
    </row>
    <row r="125" spans="1:22" ht="16.5" customHeight="1" x14ac:dyDescent="0.25">
      <c r="A125" t="s">
        <v>114</v>
      </c>
      <c r="B125" t="str">
        <f>VLOOKUP(VERIFICAREQUIPOS[[#This Row],[SEGÚN LISTA]],EQUIPOS[EQUIPOS],1,0)</f>
        <v>APPLE IPHONE 14 PRO 256GB</v>
      </c>
      <c r="D125" s="3" t="s">
        <v>42</v>
      </c>
      <c r="E125" s="12"/>
      <c r="F125" s="12">
        <v>11</v>
      </c>
      <c r="G125" s="12">
        <v>6.52</v>
      </c>
      <c r="H125" s="12">
        <v>16</v>
      </c>
      <c r="I125" s="12">
        <v>3</v>
      </c>
      <c r="J125" s="12">
        <v>8</v>
      </c>
      <c r="K125" s="15" t="s">
        <v>159</v>
      </c>
      <c r="L125" s="12">
        <v>256</v>
      </c>
      <c r="M125" s="12">
        <v>8</v>
      </c>
      <c r="N125" s="12" t="s">
        <v>165</v>
      </c>
      <c r="O125" s="12">
        <v>3</v>
      </c>
      <c r="P125" s="12">
        <v>180</v>
      </c>
      <c r="Q125" s="12">
        <v>16.5</v>
      </c>
      <c r="R125" s="12">
        <v>7.52</v>
      </c>
      <c r="S125" s="12">
        <v>0.82</v>
      </c>
      <c r="T125" s="12">
        <v>4000</v>
      </c>
      <c r="U125" s="12">
        <v>4</v>
      </c>
      <c r="V125" s="11">
        <v>124</v>
      </c>
    </row>
    <row r="126" spans="1:22" ht="16.5" customHeight="1" x14ac:dyDescent="0.25">
      <c r="A126" t="s">
        <v>113</v>
      </c>
      <c r="B126" t="str">
        <f>VLOOKUP(VERIFICAREQUIPOS[[#This Row],[SEGÚN LISTA]],EQUIPOS[EQUIPOS],1,0)</f>
        <v>APPLE IPHONE 14 PRO 1TB</v>
      </c>
      <c r="D126" s="3" t="s">
        <v>47</v>
      </c>
      <c r="E126" s="12"/>
      <c r="F126" s="12">
        <v>11</v>
      </c>
      <c r="G126" s="12">
        <v>6.82</v>
      </c>
      <c r="H126" s="12">
        <v>48</v>
      </c>
      <c r="I126" s="12">
        <v>3</v>
      </c>
      <c r="J126" s="12">
        <v>8</v>
      </c>
      <c r="K126" s="15" t="s">
        <v>160</v>
      </c>
      <c r="L126" s="12">
        <v>256</v>
      </c>
      <c r="M126" s="12">
        <v>8</v>
      </c>
      <c r="N126" s="12">
        <v>1.6</v>
      </c>
      <c r="O126" s="12">
        <v>3</v>
      </c>
      <c r="P126" s="12">
        <v>210</v>
      </c>
      <c r="Q126" s="12">
        <v>17.3</v>
      </c>
      <c r="R126" s="12">
        <v>7.81</v>
      </c>
      <c r="S126" s="12">
        <v>0.89</v>
      </c>
      <c r="T126" s="12">
        <v>5000</v>
      </c>
      <c r="U126" s="12">
        <v>4</v>
      </c>
      <c r="V126" s="11">
        <v>125</v>
      </c>
    </row>
    <row r="127" spans="1:22" ht="16.5" customHeight="1" x14ac:dyDescent="0.25">
      <c r="A127" t="s">
        <v>112</v>
      </c>
      <c r="B127" t="str">
        <f>VLOOKUP(VERIFICAREQUIPOS[[#This Row],[SEGÚN LISTA]],EQUIPOS[EQUIPOS],1,0)</f>
        <v>APPLE IPHONE 14 PRO 128GB</v>
      </c>
      <c r="D127" s="3" t="s">
        <v>136</v>
      </c>
      <c r="E127" s="12"/>
      <c r="F127" s="12">
        <v>11</v>
      </c>
      <c r="G127" s="12" t="s">
        <v>204</v>
      </c>
      <c r="H127" s="12" t="s">
        <v>205</v>
      </c>
      <c r="I127" s="12">
        <v>3</v>
      </c>
      <c r="J127" s="12">
        <v>5</v>
      </c>
      <c r="K127" s="13" t="s">
        <v>160</v>
      </c>
      <c r="L127" s="12">
        <v>256</v>
      </c>
      <c r="M127" s="12" t="s">
        <v>206</v>
      </c>
      <c r="N127" s="14">
        <v>1.6</v>
      </c>
      <c r="O127" s="12">
        <v>3</v>
      </c>
      <c r="P127" s="12">
        <v>215</v>
      </c>
      <c r="Q127" s="12">
        <v>16.8</v>
      </c>
      <c r="R127" s="12">
        <v>7.75</v>
      </c>
      <c r="S127" s="12">
        <v>0.94</v>
      </c>
      <c r="T127" s="12">
        <v>6000</v>
      </c>
      <c r="U127" s="12">
        <v>5</v>
      </c>
      <c r="V127" s="11">
        <v>126</v>
      </c>
    </row>
    <row r="128" spans="1:22" ht="16.5" customHeight="1" x14ac:dyDescent="0.25">
      <c r="A128" t="s">
        <v>111</v>
      </c>
      <c r="B128" t="str">
        <f>VLOOKUP(VERIFICAREQUIPOS[[#This Row],[SEGÚN LISTA]],EQUIPOS[EQUIPOS],1,0)</f>
        <v>APPLE IPHONE 14 PLUS 512GB</v>
      </c>
      <c r="D128" s="3" t="s">
        <v>137</v>
      </c>
      <c r="E128" s="12"/>
      <c r="F128" s="12">
        <v>11</v>
      </c>
      <c r="G128" s="12">
        <v>6.74</v>
      </c>
      <c r="H128" s="12">
        <v>48</v>
      </c>
      <c r="I128" s="12">
        <v>3</v>
      </c>
      <c r="J128" s="12">
        <v>8</v>
      </c>
      <c r="K128" s="15" t="s">
        <v>160</v>
      </c>
      <c r="L128" s="12">
        <v>1024</v>
      </c>
      <c r="M128" s="12">
        <v>8</v>
      </c>
      <c r="N128" s="12">
        <v>2.2000000000000002</v>
      </c>
      <c r="O128" s="12">
        <v>4</v>
      </c>
      <c r="P128" s="12">
        <v>214</v>
      </c>
      <c r="Q128" s="12">
        <v>16.600000000000001</v>
      </c>
      <c r="R128" s="12">
        <v>7.75</v>
      </c>
      <c r="S128" s="12">
        <v>0.94</v>
      </c>
      <c r="T128" s="12">
        <v>6000</v>
      </c>
      <c r="U128" s="12">
        <v>4</v>
      </c>
      <c r="V128" s="11">
        <v>127</v>
      </c>
    </row>
    <row r="129" spans="1:22" ht="16.5" customHeight="1" x14ac:dyDescent="0.25">
      <c r="A129" t="s">
        <v>110</v>
      </c>
      <c r="B129" t="str">
        <f>VLOOKUP(VERIFICAREQUIPOS[[#This Row],[SEGÚN LISTA]],EQUIPOS[EQUIPOS],1,0)</f>
        <v>APPLE IPHONE 14 PLUS 256GB</v>
      </c>
      <c r="D129" s="3" t="s">
        <v>0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1:22" ht="16.5" customHeight="1" x14ac:dyDescent="0.25">
      <c r="A130" t="s">
        <v>109</v>
      </c>
      <c r="B130" t="str">
        <f>VLOOKUP(VERIFICAREQUIPOS[[#This Row],[SEGÚN LISTA]],EQUIPOS[EQUIPOS],1,0)</f>
        <v>APPLE IPHONE 14 PLUS 128GB</v>
      </c>
      <c r="D130" s="3" t="s">
        <v>1</v>
      </c>
      <c r="E130" s="12"/>
      <c r="F130" s="12">
        <v>13</v>
      </c>
      <c r="G130" s="12">
        <v>6.1</v>
      </c>
      <c r="H130" s="12">
        <v>13</v>
      </c>
      <c r="I130" s="12">
        <v>2</v>
      </c>
      <c r="J130" s="12">
        <v>12</v>
      </c>
      <c r="K130" s="13" t="s">
        <v>159</v>
      </c>
      <c r="L130" s="12">
        <v>0</v>
      </c>
      <c r="M130" s="12">
        <v>6</v>
      </c>
      <c r="N130" s="14" t="s">
        <v>158</v>
      </c>
      <c r="O130" s="12">
        <v>4</v>
      </c>
      <c r="P130" s="12">
        <v>194</v>
      </c>
      <c r="Q130" s="12">
        <v>15</v>
      </c>
      <c r="R130" s="12">
        <v>7.57</v>
      </c>
      <c r="S130" s="12">
        <v>0.83</v>
      </c>
      <c r="T130" s="12">
        <v>3110</v>
      </c>
      <c r="U130" s="12">
        <v>4.5</v>
      </c>
      <c r="V130" s="11">
        <v>129</v>
      </c>
    </row>
    <row r="131" spans="1:22" ht="16.5" customHeight="1" x14ac:dyDescent="0.25">
      <c r="A131" t="s">
        <v>108</v>
      </c>
      <c r="B131" t="str">
        <f>VLOOKUP(VERIFICAREQUIPOS[[#This Row],[SEGÚN LISTA]],EQUIPOS[EQUIPOS],1,0)</f>
        <v>APPLE IPHONE 14 512GB</v>
      </c>
      <c r="D131" s="3" t="s">
        <v>2</v>
      </c>
      <c r="E131" s="12"/>
      <c r="F131" s="12">
        <v>14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160</v>
      </c>
      <c r="L131" s="12">
        <v>0</v>
      </c>
      <c r="M131" s="12">
        <v>6</v>
      </c>
      <c r="N131" s="14" t="s">
        <v>161</v>
      </c>
      <c r="O131" s="12">
        <v>4</v>
      </c>
      <c r="P131" s="12">
        <v>164</v>
      </c>
      <c r="Q131" s="12">
        <v>14.6</v>
      </c>
      <c r="R131" s="12">
        <v>7.15</v>
      </c>
      <c r="S131" s="12">
        <v>0.74</v>
      </c>
      <c r="T131" s="12">
        <v>2815</v>
      </c>
      <c r="U131" s="12">
        <v>5</v>
      </c>
      <c r="V131" s="11">
        <v>130</v>
      </c>
    </row>
    <row r="132" spans="1:22" ht="16.5" customHeight="1" x14ac:dyDescent="0.25">
      <c r="A132" t="s">
        <v>107</v>
      </c>
      <c r="B132" t="str">
        <f>VLOOKUP(VERIFICAREQUIPOS[[#This Row],[SEGÚN LISTA]],EQUIPOS[EQUIPOS],1,0)</f>
        <v>APPLE IPHONE 14 256GB</v>
      </c>
      <c r="D132" s="3" t="s">
        <v>3</v>
      </c>
      <c r="E132" s="12"/>
      <c r="F132" s="12">
        <v>14</v>
      </c>
      <c r="G132" s="12">
        <v>6.1</v>
      </c>
      <c r="H132" s="12">
        <v>12</v>
      </c>
      <c r="I132" s="12">
        <v>2</v>
      </c>
      <c r="J132" s="12">
        <v>12</v>
      </c>
      <c r="K132" s="13" t="s">
        <v>159</v>
      </c>
      <c r="L132" s="12">
        <v>0</v>
      </c>
      <c r="M132" s="12">
        <v>6</v>
      </c>
      <c r="N132" s="14" t="s">
        <v>161</v>
      </c>
      <c r="O132" s="12">
        <v>4</v>
      </c>
      <c r="P132" s="12">
        <v>164</v>
      </c>
      <c r="Q132" s="12">
        <v>14.6</v>
      </c>
      <c r="R132" s="12">
        <v>7.15</v>
      </c>
      <c r="S132" s="12">
        <v>0.74</v>
      </c>
      <c r="T132" s="12">
        <v>2815</v>
      </c>
      <c r="U132" s="12">
        <v>5</v>
      </c>
      <c r="V132" s="11">
        <v>131</v>
      </c>
    </row>
    <row r="133" spans="1:22" ht="16.5" customHeight="1" x14ac:dyDescent="0.25">
      <c r="A133" t="s">
        <v>106</v>
      </c>
      <c r="B133" t="str">
        <f>VLOOKUP(VERIFICAREQUIPOS[[#This Row],[SEGÚN LISTA]],EQUIPOS[EQUIPOS],1,0)</f>
        <v>APPLE IPHONE 14 128GB</v>
      </c>
      <c r="D133" s="3" t="s">
        <v>53</v>
      </c>
      <c r="E133" s="12"/>
      <c r="F133" s="12">
        <v>14</v>
      </c>
      <c r="G133" s="12">
        <v>5.4</v>
      </c>
      <c r="H133" s="12">
        <v>12</v>
      </c>
      <c r="I133" s="12">
        <v>2</v>
      </c>
      <c r="J133" s="12">
        <v>12</v>
      </c>
      <c r="K133" s="13" t="s">
        <v>157</v>
      </c>
      <c r="L133" s="12">
        <v>0</v>
      </c>
      <c r="M133" s="12">
        <v>6</v>
      </c>
      <c r="N133" s="14" t="s">
        <v>161</v>
      </c>
      <c r="O133" s="12">
        <v>4</v>
      </c>
      <c r="P133" s="12">
        <v>135</v>
      </c>
      <c r="Q133" s="12">
        <v>13.1</v>
      </c>
      <c r="R133" s="12">
        <v>6.42</v>
      </c>
      <c r="S133" s="12">
        <v>0.74</v>
      </c>
      <c r="T133" s="12">
        <v>2227</v>
      </c>
      <c r="U133" s="12">
        <v>5</v>
      </c>
      <c r="V133" s="11">
        <v>132</v>
      </c>
    </row>
    <row r="134" spans="1:22" ht="16.5" customHeight="1" x14ac:dyDescent="0.25">
      <c r="A134" t="s">
        <v>59</v>
      </c>
      <c r="B134" t="str">
        <f>VLOOKUP(VERIFICAREQUIPOS[[#This Row],[SEGÚN LISTA]],EQUIPOS[EQUIPOS],1,0)</f>
        <v>APPLE IPHONE 13 PRO MAX 256GB</v>
      </c>
      <c r="D134" s="3" t="s">
        <v>4</v>
      </c>
      <c r="E134" s="12"/>
      <c r="F134" s="12">
        <v>15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160</v>
      </c>
      <c r="L134" s="12">
        <v>0</v>
      </c>
      <c r="M134" s="12">
        <v>6</v>
      </c>
      <c r="N134" s="14" t="s">
        <v>163</v>
      </c>
      <c r="O134" s="12">
        <v>4</v>
      </c>
      <c r="P134" s="12">
        <v>174</v>
      </c>
      <c r="Q134" s="12">
        <v>14.6</v>
      </c>
      <c r="R134" s="12">
        <v>7.15</v>
      </c>
      <c r="S134" s="12">
        <v>0.77</v>
      </c>
      <c r="T134" s="12">
        <v>3227</v>
      </c>
      <c r="U134" s="12">
        <v>5</v>
      </c>
      <c r="V134" s="11">
        <v>133</v>
      </c>
    </row>
    <row r="135" spans="1:22" ht="16.5" customHeight="1" x14ac:dyDescent="0.25">
      <c r="A135" t="s">
        <v>44</v>
      </c>
      <c r="B135" t="str">
        <f>VLOOKUP(VERIFICAREQUIPOS[[#This Row],[SEGÚN LISTA]],EQUIPOS[EQUIPOS],1,0)</f>
        <v>APPLE IPHONE 13 PRO MAX 1TB</v>
      </c>
      <c r="D135" s="3" t="s">
        <v>5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157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1:22" ht="16.5" customHeight="1" x14ac:dyDescent="0.25">
      <c r="A136" t="s">
        <v>7</v>
      </c>
      <c r="B136" t="str">
        <f>VLOOKUP(VERIFICAREQUIPOS[[#This Row],[SEGÚN LISTA]],EQUIPOS[EQUIPOS],1,0)</f>
        <v>APPLE IPHONE 13 MINI 128GB</v>
      </c>
      <c r="D136" s="3" t="s">
        <v>6</v>
      </c>
      <c r="E136" s="12"/>
      <c r="F136" s="12">
        <v>15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162</v>
      </c>
      <c r="L136" s="12">
        <v>0</v>
      </c>
      <c r="M136" s="12">
        <v>6</v>
      </c>
      <c r="N136" s="14" t="s">
        <v>163</v>
      </c>
      <c r="O136" s="12">
        <v>4</v>
      </c>
      <c r="P136" s="12">
        <v>174</v>
      </c>
      <c r="Q136" s="12">
        <v>14.6</v>
      </c>
      <c r="R136" s="12">
        <v>7.15</v>
      </c>
      <c r="S136" s="12">
        <v>0.77</v>
      </c>
      <c r="T136" s="12">
        <v>3227</v>
      </c>
      <c r="U136" s="12">
        <v>5</v>
      </c>
      <c r="V136" s="11">
        <v>135</v>
      </c>
    </row>
    <row r="137" spans="1:22" ht="16.5" customHeight="1" x14ac:dyDescent="0.25">
      <c r="A137" t="s">
        <v>5</v>
      </c>
      <c r="B137" t="str">
        <f>VLOOKUP(VERIFICAREQUIPOS[[#This Row],[SEGÚN LISTA]],EQUIPOS[EQUIPOS],1,0)</f>
        <v>APPLE IPHONE 13 256GB</v>
      </c>
      <c r="D137" s="3" t="s">
        <v>7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136</v>
      </c>
    </row>
    <row r="138" spans="1:22" ht="16.5" customHeight="1" x14ac:dyDescent="0.25">
      <c r="A138" t="s">
        <v>4</v>
      </c>
      <c r="B138" t="str">
        <f>VLOOKUP(VERIFICAREQUIPOS[[#This Row],[SEGÚN LISTA]],EQUIPOS[EQUIPOS],1,0)</f>
        <v>APPLE IPHONE 13 128GB</v>
      </c>
      <c r="D138" s="3" t="s">
        <v>8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1:22" ht="16.5" customHeight="1" x14ac:dyDescent="0.25">
      <c r="A139" t="s">
        <v>3</v>
      </c>
      <c r="B139" t="str">
        <f>VLOOKUP(VERIFICAREQUIPOS[[#This Row],[SEGÚN LISTA]],EQUIPOS[EQUIPOS],1,0)</f>
        <v>APPLE IPHONE 12 64GB</v>
      </c>
      <c r="D139" s="3" t="s">
        <v>9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162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138</v>
      </c>
    </row>
    <row r="140" spans="1:22" ht="16.5" customHeight="1" x14ac:dyDescent="0.25">
      <c r="A140" t="s">
        <v>2</v>
      </c>
      <c r="B140" t="str">
        <f>VLOOKUP(VERIFICAREQUIPOS[[#This Row],[SEGÚN LISTA]],EQUIPOS[EQUIPOS],1,0)</f>
        <v>APPLE IPHONE 12 128GB</v>
      </c>
      <c r="D140" s="3" t="s">
        <v>10</v>
      </c>
      <c r="E140" s="12"/>
      <c r="F140" s="12">
        <v>15</v>
      </c>
      <c r="G140" s="12">
        <v>6.1</v>
      </c>
      <c r="H140" s="12">
        <v>12</v>
      </c>
      <c r="I140" s="12">
        <v>3</v>
      </c>
      <c r="J140" s="12">
        <v>12</v>
      </c>
      <c r="K140" s="13" t="s">
        <v>160</v>
      </c>
      <c r="L140" s="12">
        <v>0</v>
      </c>
      <c r="M140" s="12">
        <v>6</v>
      </c>
      <c r="N140" s="14" t="s">
        <v>163</v>
      </c>
      <c r="O140" s="12">
        <v>3</v>
      </c>
      <c r="P140" s="12">
        <v>204</v>
      </c>
      <c r="Q140" s="12">
        <v>14.6</v>
      </c>
      <c r="R140" s="12">
        <v>7.15</v>
      </c>
      <c r="S140" s="12">
        <v>0.77</v>
      </c>
      <c r="T140" s="12">
        <v>3095</v>
      </c>
      <c r="U140" s="12">
        <v>5</v>
      </c>
      <c r="V140" s="11">
        <v>139</v>
      </c>
    </row>
    <row r="141" spans="1:22" ht="16.5" customHeight="1" x14ac:dyDescent="0.25">
      <c r="A141" t="s">
        <v>1</v>
      </c>
      <c r="B141" t="str">
        <f>VLOOKUP(VERIFICAREQUIPOS[[#This Row],[SEGÚN LISTA]],EQUIPOS[EQUIPOS],1,0)</f>
        <v>APPLE IPHONE 11 64GB</v>
      </c>
      <c r="D141" s="3" t="s">
        <v>11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164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1:22" ht="16.5" customHeight="1" x14ac:dyDescent="0.25">
      <c r="A142" t="s">
        <v>0</v>
      </c>
      <c r="B142" t="str">
        <f>VLOOKUP(VERIFICAREQUIPOS[[#This Row],[SEGÚN LISTA]],EQUIPOS[EQUIPOS],1,0)</f>
        <v>APPLE IPHONE 11 256GB</v>
      </c>
      <c r="D142" s="3" t="s">
        <v>12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157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1:22" ht="16.5" customHeight="1" x14ac:dyDescent="0.25">
      <c r="D143" s="3" t="s">
        <v>13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162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customHeight="1" x14ac:dyDescent="0.25">
      <c r="D144" s="3" t="s">
        <v>43</v>
      </c>
      <c r="E144" s="12"/>
      <c r="F144" s="12">
        <v>15</v>
      </c>
      <c r="G144" s="12">
        <v>6.7</v>
      </c>
      <c r="H144" s="12">
        <v>12</v>
      </c>
      <c r="I144" s="12">
        <v>3</v>
      </c>
      <c r="J144" s="12">
        <v>12</v>
      </c>
      <c r="K144" s="15" t="s">
        <v>160</v>
      </c>
      <c r="L144" s="12">
        <v>0</v>
      </c>
      <c r="M144" s="12">
        <v>6</v>
      </c>
      <c r="N144" s="14" t="s">
        <v>163</v>
      </c>
      <c r="O144" s="12">
        <v>6</v>
      </c>
      <c r="P144" s="12">
        <v>238</v>
      </c>
      <c r="Q144" s="12">
        <v>16</v>
      </c>
      <c r="R144" s="12">
        <v>7.65</v>
      </c>
      <c r="S144" s="12">
        <v>0.78</v>
      </c>
      <c r="T144" s="12">
        <v>4352</v>
      </c>
      <c r="U144" s="12">
        <v>5</v>
      </c>
      <c r="V144" s="11">
        <v>143</v>
      </c>
    </row>
    <row r="145" spans="4:22" ht="16.5" customHeight="1" x14ac:dyDescent="0.25">
      <c r="D145" s="3" t="s">
        <v>44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164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4:22" ht="18" customHeight="1" x14ac:dyDescent="0.25">
      <c r="D146" s="21" t="s">
        <v>59</v>
      </c>
      <c r="E146" s="23"/>
      <c r="F146" s="23">
        <v>15</v>
      </c>
      <c r="G146" s="23">
        <v>6.7</v>
      </c>
      <c r="H146" s="23">
        <v>12</v>
      </c>
      <c r="I146" s="23">
        <v>3</v>
      </c>
      <c r="J146" s="23">
        <v>12</v>
      </c>
      <c r="K146" s="24" t="s">
        <v>157</v>
      </c>
      <c r="L146" s="23">
        <v>0</v>
      </c>
      <c r="M146" s="23">
        <v>6</v>
      </c>
      <c r="N146" s="26" t="s">
        <v>163</v>
      </c>
      <c r="O146" s="23">
        <v>6</v>
      </c>
      <c r="P146" s="23">
        <v>238</v>
      </c>
      <c r="Q146" s="23">
        <v>16</v>
      </c>
      <c r="R146" s="23">
        <v>7.65</v>
      </c>
      <c r="S146" s="23">
        <v>0.78</v>
      </c>
      <c r="T146" s="23">
        <v>4352</v>
      </c>
      <c r="U146" s="12">
        <v>5</v>
      </c>
      <c r="V146" s="11">
        <v>145</v>
      </c>
    </row>
    <row r="147" spans="4:22" ht="18" customHeight="1" x14ac:dyDescent="0.25">
      <c r="D147" s="21" t="s">
        <v>45</v>
      </c>
      <c r="E147" s="23"/>
      <c r="F147" s="23">
        <v>15</v>
      </c>
      <c r="G147" s="23">
        <v>6.7</v>
      </c>
      <c r="H147" s="23">
        <v>12</v>
      </c>
      <c r="I147" s="23">
        <v>3</v>
      </c>
      <c r="J147" s="23">
        <v>12</v>
      </c>
      <c r="K147" s="24" t="s">
        <v>162</v>
      </c>
      <c r="L147" s="23">
        <v>0</v>
      </c>
      <c r="M147" s="23">
        <v>6</v>
      </c>
      <c r="N147" s="26" t="s">
        <v>163</v>
      </c>
      <c r="O147" s="23">
        <v>6</v>
      </c>
      <c r="P147" s="23">
        <v>238</v>
      </c>
      <c r="Q147" s="23">
        <v>16</v>
      </c>
      <c r="R147" s="23">
        <v>7.65</v>
      </c>
      <c r="S147" s="23">
        <v>0.78</v>
      </c>
      <c r="T147" s="23">
        <v>4352</v>
      </c>
      <c r="U147" s="12">
        <v>4.5</v>
      </c>
      <c r="V147" s="11">
        <v>146</v>
      </c>
    </row>
    <row r="148" spans="4:22" ht="18" customHeight="1" x14ac:dyDescent="0.25">
      <c r="D148" s="21" t="s">
        <v>106</v>
      </c>
      <c r="E148" s="23"/>
      <c r="F148" s="23">
        <v>16</v>
      </c>
      <c r="G148" s="23">
        <v>6.1</v>
      </c>
      <c r="H148" s="23">
        <v>12</v>
      </c>
      <c r="I148" s="23">
        <v>3</v>
      </c>
      <c r="J148" s="23">
        <v>12</v>
      </c>
      <c r="K148" s="24" t="s">
        <v>160</v>
      </c>
      <c r="L148" s="23">
        <v>0</v>
      </c>
      <c r="M148" s="23">
        <v>6</v>
      </c>
      <c r="N148" s="26" t="s">
        <v>163</v>
      </c>
      <c r="O148" s="23">
        <v>6</v>
      </c>
      <c r="P148" s="23">
        <v>172</v>
      </c>
      <c r="Q148" s="23">
        <v>14.67</v>
      </c>
      <c r="R148" s="23">
        <v>7.15</v>
      </c>
      <c r="S148" s="23">
        <v>0.78</v>
      </c>
      <c r="T148" s="23">
        <v>3279</v>
      </c>
      <c r="U148" s="12">
        <v>5</v>
      </c>
      <c r="V148" s="11">
        <v>147</v>
      </c>
    </row>
    <row r="149" spans="4:22" ht="18" customHeight="1" x14ac:dyDescent="0.25">
      <c r="D149" s="21" t="s">
        <v>107</v>
      </c>
      <c r="E149" s="23"/>
      <c r="F149" s="23">
        <v>16</v>
      </c>
      <c r="G149" s="23">
        <v>6.1</v>
      </c>
      <c r="H149" s="23">
        <v>12</v>
      </c>
      <c r="I149" s="23">
        <v>3</v>
      </c>
      <c r="J149" s="23">
        <v>12</v>
      </c>
      <c r="K149" s="24" t="s">
        <v>157</v>
      </c>
      <c r="L149" s="23">
        <v>0</v>
      </c>
      <c r="M149" s="23">
        <v>6</v>
      </c>
      <c r="N149" s="26" t="s">
        <v>163</v>
      </c>
      <c r="O149" s="23">
        <v>6</v>
      </c>
      <c r="P149" s="23">
        <v>172</v>
      </c>
      <c r="Q149" s="23">
        <v>14.67</v>
      </c>
      <c r="R149" s="23">
        <v>7.15</v>
      </c>
      <c r="S149" s="23">
        <v>0.78</v>
      </c>
      <c r="T149" s="23">
        <v>3279</v>
      </c>
      <c r="U149" s="12">
        <v>5</v>
      </c>
      <c r="V149" s="11">
        <v>148</v>
      </c>
    </row>
    <row r="150" spans="4:22" ht="19.5" customHeight="1" x14ac:dyDescent="0.25">
      <c r="D150" s="21" t="s">
        <v>108</v>
      </c>
      <c r="E150" s="23"/>
      <c r="F150" s="23">
        <v>16</v>
      </c>
      <c r="G150" s="23">
        <v>6.1</v>
      </c>
      <c r="H150" s="23">
        <v>12</v>
      </c>
      <c r="I150" s="23">
        <v>3</v>
      </c>
      <c r="J150" s="23">
        <v>12</v>
      </c>
      <c r="K150" s="24" t="s">
        <v>162</v>
      </c>
      <c r="L150" s="23">
        <v>0</v>
      </c>
      <c r="M150" s="23">
        <v>6</v>
      </c>
      <c r="N150" s="26" t="s">
        <v>163</v>
      </c>
      <c r="O150" s="23">
        <v>6</v>
      </c>
      <c r="P150" s="23">
        <v>172</v>
      </c>
      <c r="Q150" s="23">
        <v>14.67</v>
      </c>
      <c r="R150" s="23">
        <v>7.15</v>
      </c>
      <c r="S150" s="23">
        <v>0.78</v>
      </c>
      <c r="T150" s="23">
        <v>3279</v>
      </c>
      <c r="U150" s="12">
        <v>5</v>
      </c>
      <c r="V150" s="11">
        <v>149</v>
      </c>
    </row>
    <row r="151" spans="4:22" ht="19.5" customHeight="1" x14ac:dyDescent="0.25">
      <c r="D151" s="21" t="s">
        <v>109</v>
      </c>
      <c r="E151" s="23"/>
      <c r="F151" s="23">
        <v>16</v>
      </c>
      <c r="G151" s="23">
        <v>6.7</v>
      </c>
      <c r="H151" s="23">
        <v>12</v>
      </c>
      <c r="I151" s="23">
        <v>3</v>
      </c>
      <c r="J151" s="23">
        <v>12</v>
      </c>
      <c r="K151" s="24" t="s">
        <v>160</v>
      </c>
      <c r="L151" s="23">
        <v>0</v>
      </c>
      <c r="M151" s="23">
        <v>6</v>
      </c>
      <c r="N151" s="26" t="s">
        <v>163</v>
      </c>
      <c r="O151" s="23">
        <v>6</v>
      </c>
      <c r="P151" s="23">
        <v>203</v>
      </c>
      <c r="Q151" s="23">
        <v>16</v>
      </c>
      <c r="R151" s="23">
        <v>7.81</v>
      </c>
      <c r="S151" s="23">
        <v>0.78</v>
      </c>
      <c r="T151" s="23">
        <v>4325</v>
      </c>
      <c r="U151" s="12">
        <v>5</v>
      </c>
      <c r="V151" s="11">
        <v>150</v>
      </c>
    </row>
    <row r="152" spans="4:22" ht="16.5" customHeight="1" x14ac:dyDescent="0.25">
      <c r="D152" s="21" t="s">
        <v>110</v>
      </c>
      <c r="E152" s="23"/>
      <c r="F152" s="23">
        <v>16</v>
      </c>
      <c r="G152" s="23">
        <v>6.7</v>
      </c>
      <c r="H152" s="23">
        <v>12</v>
      </c>
      <c r="I152" s="23">
        <v>3</v>
      </c>
      <c r="J152" s="23">
        <v>12</v>
      </c>
      <c r="K152" s="24" t="s">
        <v>157</v>
      </c>
      <c r="L152" s="23">
        <v>0</v>
      </c>
      <c r="M152" s="23">
        <v>6</v>
      </c>
      <c r="N152" s="26" t="s">
        <v>163</v>
      </c>
      <c r="O152" s="23">
        <v>6</v>
      </c>
      <c r="P152" s="23">
        <v>203</v>
      </c>
      <c r="Q152" s="23">
        <v>16</v>
      </c>
      <c r="R152" s="23">
        <v>7.81</v>
      </c>
      <c r="S152" s="23">
        <v>0.78</v>
      </c>
      <c r="T152" s="23">
        <v>4325</v>
      </c>
      <c r="U152" s="12">
        <v>5</v>
      </c>
      <c r="V152" s="11">
        <v>151</v>
      </c>
    </row>
    <row r="153" spans="4:22" ht="14.25" customHeight="1" x14ac:dyDescent="0.25">
      <c r="D153" s="21" t="s">
        <v>111</v>
      </c>
      <c r="E153" s="23"/>
      <c r="F153" s="23">
        <v>16</v>
      </c>
      <c r="G153" s="23">
        <v>6.7</v>
      </c>
      <c r="H153" s="23">
        <v>12</v>
      </c>
      <c r="I153" s="23">
        <v>3</v>
      </c>
      <c r="J153" s="23">
        <v>12</v>
      </c>
      <c r="K153" s="24" t="s">
        <v>162</v>
      </c>
      <c r="L153" s="23">
        <v>0</v>
      </c>
      <c r="M153" s="23">
        <v>6</v>
      </c>
      <c r="N153" s="26" t="s">
        <v>163</v>
      </c>
      <c r="O153" s="23">
        <v>6</v>
      </c>
      <c r="P153" s="23">
        <v>203</v>
      </c>
      <c r="Q153" s="23">
        <v>16</v>
      </c>
      <c r="R153" s="23">
        <v>7.81</v>
      </c>
      <c r="S153" s="23">
        <v>0.78</v>
      </c>
      <c r="T153" s="23">
        <v>4325</v>
      </c>
      <c r="U153" s="12">
        <v>5</v>
      </c>
      <c r="V153" s="11">
        <v>152</v>
      </c>
    </row>
    <row r="154" spans="4:22" ht="15.75" customHeight="1" x14ac:dyDescent="0.25">
      <c r="D154" s="21" t="s">
        <v>112</v>
      </c>
      <c r="E154" s="23"/>
      <c r="F154" s="23">
        <v>16</v>
      </c>
      <c r="G154" s="23">
        <v>6.1</v>
      </c>
      <c r="H154" s="23">
        <v>48</v>
      </c>
      <c r="I154" s="23">
        <v>4</v>
      </c>
      <c r="J154" s="23">
        <v>12</v>
      </c>
      <c r="K154" s="24" t="s">
        <v>160</v>
      </c>
      <c r="L154" s="23">
        <v>0</v>
      </c>
      <c r="M154" s="23">
        <v>6</v>
      </c>
      <c r="N154" s="26" t="s">
        <v>163</v>
      </c>
      <c r="O154" s="23">
        <v>6</v>
      </c>
      <c r="P154" s="23">
        <v>206</v>
      </c>
      <c r="Q154" s="23">
        <v>14.75</v>
      </c>
      <c r="R154" s="23">
        <v>7.15</v>
      </c>
      <c r="S154" s="23">
        <v>0.78500000000000003</v>
      </c>
      <c r="T154" s="23">
        <v>3200</v>
      </c>
      <c r="U154" s="12">
        <v>5</v>
      </c>
      <c r="V154" s="11">
        <v>153</v>
      </c>
    </row>
    <row r="155" spans="4:22" ht="20.25" customHeight="1" x14ac:dyDescent="0.25">
      <c r="D155" s="21" t="s">
        <v>113</v>
      </c>
      <c r="E155" s="23"/>
      <c r="F155" s="23">
        <v>16</v>
      </c>
      <c r="G155" s="23">
        <v>6.1</v>
      </c>
      <c r="H155" s="23">
        <v>48</v>
      </c>
      <c r="I155" s="23">
        <v>4</v>
      </c>
      <c r="J155" s="23">
        <v>12</v>
      </c>
      <c r="K155" s="24" t="s">
        <v>164</v>
      </c>
      <c r="L155" s="23">
        <v>0</v>
      </c>
      <c r="M155" s="23">
        <v>6</v>
      </c>
      <c r="N155" s="26" t="s">
        <v>163</v>
      </c>
      <c r="O155" s="23">
        <v>6</v>
      </c>
      <c r="P155" s="23">
        <v>206</v>
      </c>
      <c r="Q155" s="23">
        <v>14.75</v>
      </c>
      <c r="R155" s="23">
        <v>7.15</v>
      </c>
      <c r="S155" s="23">
        <v>0.78500000000000003</v>
      </c>
      <c r="T155" s="23">
        <v>3200</v>
      </c>
      <c r="U155" s="12">
        <v>5</v>
      </c>
      <c r="V155" s="11">
        <v>154</v>
      </c>
    </row>
    <row r="156" spans="4:22" ht="26.25" customHeight="1" x14ac:dyDescent="0.25">
      <c r="D156" s="21" t="s">
        <v>114</v>
      </c>
      <c r="E156" s="23"/>
      <c r="F156" s="23">
        <v>16</v>
      </c>
      <c r="G156" s="23">
        <v>6.1</v>
      </c>
      <c r="H156" s="23">
        <v>48</v>
      </c>
      <c r="I156" s="23">
        <v>4</v>
      </c>
      <c r="J156" s="23">
        <v>12</v>
      </c>
      <c r="K156" s="24" t="s">
        <v>157</v>
      </c>
      <c r="L156" s="23">
        <v>0</v>
      </c>
      <c r="M156" s="23">
        <v>6</v>
      </c>
      <c r="N156" s="26" t="s">
        <v>163</v>
      </c>
      <c r="O156" s="23">
        <v>6</v>
      </c>
      <c r="P156" s="23">
        <v>206</v>
      </c>
      <c r="Q156" s="23">
        <v>14.75</v>
      </c>
      <c r="R156" s="23">
        <v>7.15</v>
      </c>
      <c r="S156" s="23">
        <v>0.78500000000000003</v>
      </c>
      <c r="T156" s="23">
        <v>3200</v>
      </c>
      <c r="U156" s="12">
        <v>5</v>
      </c>
      <c r="V156" s="11">
        <v>155</v>
      </c>
    </row>
    <row r="157" spans="4:22" ht="20.25" customHeight="1" x14ac:dyDescent="0.25">
      <c r="D157" s="21" t="s">
        <v>115</v>
      </c>
      <c r="E157" s="23"/>
      <c r="F157" s="23">
        <v>16</v>
      </c>
      <c r="G157" s="23">
        <v>6.1</v>
      </c>
      <c r="H157" s="23">
        <v>48</v>
      </c>
      <c r="I157" s="23">
        <v>4</v>
      </c>
      <c r="J157" s="23">
        <v>12</v>
      </c>
      <c r="K157" s="24" t="s">
        <v>162</v>
      </c>
      <c r="L157" s="23">
        <v>0</v>
      </c>
      <c r="M157" s="23">
        <v>6</v>
      </c>
      <c r="N157" s="26" t="s">
        <v>163</v>
      </c>
      <c r="O157" s="23">
        <v>6</v>
      </c>
      <c r="P157" s="23">
        <v>206</v>
      </c>
      <c r="Q157" s="23">
        <v>14.75</v>
      </c>
      <c r="R157" s="23">
        <v>7.15</v>
      </c>
      <c r="S157" s="23">
        <v>0.78500000000000003</v>
      </c>
      <c r="T157" s="23">
        <v>3200</v>
      </c>
      <c r="U157" s="12">
        <v>5</v>
      </c>
      <c r="V157" s="11">
        <v>156</v>
      </c>
    </row>
    <row r="158" spans="4:22" ht="20.25" customHeight="1" x14ac:dyDescent="0.25">
      <c r="D158" s="21" t="s">
        <v>116</v>
      </c>
      <c r="E158" s="23"/>
      <c r="F158" s="23">
        <v>16</v>
      </c>
      <c r="G158" s="23">
        <v>6.7</v>
      </c>
      <c r="H158" s="23">
        <v>48</v>
      </c>
      <c r="I158" s="23">
        <v>4</v>
      </c>
      <c r="J158" s="23">
        <v>12</v>
      </c>
      <c r="K158" s="24" t="s">
        <v>160</v>
      </c>
      <c r="L158" s="23">
        <v>0</v>
      </c>
      <c r="M158" s="23">
        <v>6</v>
      </c>
      <c r="N158" s="26" t="s">
        <v>163</v>
      </c>
      <c r="O158" s="23">
        <v>6</v>
      </c>
      <c r="P158" s="23">
        <v>240</v>
      </c>
      <c r="Q158" s="23">
        <v>16</v>
      </c>
      <c r="R158" s="23">
        <v>7.76</v>
      </c>
      <c r="S158" s="23">
        <v>0.78500000000000003</v>
      </c>
      <c r="T158" s="23">
        <v>4323</v>
      </c>
      <c r="U158" s="12">
        <v>5</v>
      </c>
      <c r="V158" s="11">
        <v>157</v>
      </c>
    </row>
    <row r="159" spans="4:22" ht="18" customHeight="1" x14ac:dyDescent="0.25">
      <c r="D159" s="21" t="s">
        <v>117</v>
      </c>
      <c r="E159" s="23"/>
      <c r="F159" s="23">
        <v>16</v>
      </c>
      <c r="G159" s="23">
        <v>6.7</v>
      </c>
      <c r="H159" s="23">
        <v>48</v>
      </c>
      <c r="I159" s="23">
        <v>4</v>
      </c>
      <c r="J159" s="23">
        <v>12</v>
      </c>
      <c r="K159" s="24" t="s">
        <v>164</v>
      </c>
      <c r="L159" s="23">
        <v>0</v>
      </c>
      <c r="M159" s="23">
        <v>6</v>
      </c>
      <c r="N159" s="26" t="s">
        <v>163</v>
      </c>
      <c r="O159" s="23">
        <v>6</v>
      </c>
      <c r="P159" s="23">
        <v>240</v>
      </c>
      <c r="Q159" s="23">
        <v>16</v>
      </c>
      <c r="R159" s="23">
        <v>7.76</v>
      </c>
      <c r="S159" s="23">
        <v>0.78500000000000003</v>
      </c>
      <c r="T159" s="23">
        <v>4323</v>
      </c>
      <c r="U159" s="12">
        <v>5</v>
      </c>
      <c r="V159" s="11">
        <v>158</v>
      </c>
    </row>
    <row r="160" spans="4:22" x14ac:dyDescent="0.25">
      <c r="D160" s="21" t="s">
        <v>118</v>
      </c>
      <c r="E160" s="23"/>
      <c r="F160" s="23">
        <v>16</v>
      </c>
      <c r="G160" s="23">
        <v>6.7</v>
      </c>
      <c r="H160" s="23">
        <v>48</v>
      </c>
      <c r="I160" s="23">
        <v>4</v>
      </c>
      <c r="J160" s="23">
        <v>12</v>
      </c>
      <c r="K160" s="24" t="s">
        <v>157</v>
      </c>
      <c r="L160" s="23">
        <v>0</v>
      </c>
      <c r="M160" s="23">
        <v>6</v>
      </c>
      <c r="N160" s="26" t="s">
        <v>163</v>
      </c>
      <c r="O160" s="23">
        <v>6</v>
      </c>
      <c r="P160" s="23">
        <v>240</v>
      </c>
      <c r="Q160" s="23">
        <v>16</v>
      </c>
      <c r="R160" s="23">
        <v>7.76</v>
      </c>
      <c r="S160" s="23">
        <v>0.78500000000000003</v>
      </c>
      <c r="T160" s="23">
        <v>4323</v>
      </c>
      <c r="U160" s="12">
        <v>5</v>
      </c>
      <c r="V160" s="11">
        <v>159</v>
      </c>
    </row>
    <row r="161" spans="4:22" x14ac:dyDescent="0.25">
      <c r="D161" s="21" t="s">
        <v>119</v>
      </c>
      <c r="E161" s="23"/>
      <c r="F161" s="23">
        <v>16</v>
      </c>
      <c r="G161" s="23">
        <v>6.7</v>
      </c>
      <c r="H161" s="23">
        <v>48</v>
      </c>
      <c r="I161" s="23">
        <v>4</v>
      </c>
      <c r="J161" s="23">
        <v>12</v>
      </c>
      <c r="K161" s="24" t="s">
        <v>162</v>
      </c>
      <c r="L161" s="23">
        <v>0</v>
      </c>
      <c r="M161" s="23">
        <v>6</v>
      </c>
      <c r="N161" s="26" t="s">
        <v>163</v>
      </c>
      <c r="O161" s="23">
        <v>6</v>
      </c>
      <c r="P161" s="23">
        <v>240</v>
      </c>
      <c r="Q161" s="23">
        <v>16</v>
      </c>
      <c r="R161" s="23">
        <v>7.76</v>
      </c>
      <c r="S161" s="23">
        <v>0.78500000000000003</v>
      </c>
      <c r="T161" s="23">
        <v>4323</v>
      </c>
      <c r="U161" s="12">
        <v>5</v>
      </c>
      <c r="V161" s="11">
        <v>160</v>
      </c>
    </row>
    <row r="162" spans="4:22" x14ac:dyDescent="0.25">
      <c r="D162" s="21" t="s">
        <v>96</v>
      </c>
      <c r="E162" s="23"/>
      <c r="F162" s="23">
        <v>15</v>
      </c>
      <c r="G162" s="23">
        <v>4.7</v>
      </c>
      <c r="H162" s="23">
        <v>12</v>
      </c>
      <c r="I162" s="23">
        <v>1</v>
      </c>
      <c r="J162" s="23">
        <v>7</v>
      </c>
      <c r="K162" s="24" t="s">
        <v>160</v>
      </c>
      <c r="L162" s="23">
        <v>0</v>
      </c>
      <c r="M162" s="23">
        <v>6</v>
      </c>
      <c r="N162" s="26" t="s">
        <v>161</v>
      </c>
      <c r="O162" s="23">
        <v>4</v>
      </c>
      <c r="P162" s="23">
        <v>144</v>
      </c>
      <c r="Q162" s="23">
        <v>13.84</v>
      </c>
      <c r="R162" s="23">
        <v>6.73</v>
      </c>
      <c r="S162" s="23">
        <v>0.73</v>
      </c>
      <c r="T162" s="23">
        <v>2438</v>
      </c>
      <c r="U162" s="12">
        <v>5</v>
      </c>
      <c r="V162" s="11">
        <v>161</v>
      </c>
    </row>
    <row r="163" spans="4:22" x14ac:dyDescent="0.25">
      <c r="D163" s="21" t="s">
        <v>93</v>
      </c>
      <c r="E163" s="23"/>
      <c r="F163" s="23">
        <v>15</v>
      </c>
      <c r="G163" s="23">
        <v>4.7</v>
      </c>
      <c r="H163" s="23">
        <v>12</v>
      </c>
      <c r="I163" s="23">
        <v>1</v>
      </c>
      <c r="J163" s="23">
        <v>7</v>
      </c>
      <c r="K163" s="24" t="s">
        <v>157</v>
      </c>
      <c r="L163" s="23">
        <v>0</v>
      </c>
      <c r="M163" s="23">
        <v>6</v>
      </c>
      <c r="N163" s="26" t="s">
        <v>161</v>
      </c>
      <c r="O163" s="23">
        <v>4</v>
      </c>
      <c r="P163" s="23">
        <v>144</v>
      </c>
      <c r="Q163" s="23">
        <v>13.84</v>
      </c>
      <c r="R163" s="23">
        <v>6.73</v>
      </c>
      <c r="S163" s="23">
        <v>0.73</v>
      </c>
      <c r="T163" s="28">
        <v>2438</v>
      </c>
      <c r="U163" s="12">
        <v>5</v>
      </c>
      <c r="V163" s="11">
        <v>162</v>
      </c>
    </row>
    <row r="164" spans="4:22" x14ac:dyDescent="0.25">
      <c r="D164" s="21" t="s">
        <v>91</v>
      </c>
      <c r="E164" s="23"/>
      <c r="F164" s="23">
        <v>15</v>
      </c>
      <c r="G164" s="23">
        <v>4.7</v>
      </c>
      <c r="H164" s="23">
        <v>12</v>
      </c>
      <c r="I164" s="23">
        <v>1</v>
      </c>
      <c r="J164" s="23">
        <v>7</v>
      </c>
      <c r="K164" s="24" t="s">
        <v>159</v>
      </c>
      <c r="L164" s="23">
        <v>0</v>
      </c>
      <c r="M164" s="23">
        <v>6</v>
      </c>
      <c r="N164" s="26" t="s">
        <v>161</v>
      </c>
      <c r="O164" s="23">
        <v>4</v>
      </c>
      <c r="P164" s="23">
        <v>144</v>
      </c>
      <c r="Q164" s="23">
        <v>13.84</v>
      </c>
      <c r="R164" s="23">
        <v>6.73</v>
      </c>
      <c r="S164" s="23">
        <v>0.73</v>
      </c>
      <c r="T164" s="23">
        <v>2438</v>
      </c>
      <c r="U164" s="12">
        <v>5</v>
      </c>
      <c r="V164" s="11">
        <v>163</v>
      </c>
    </row>
    <row r="165" spans="4:22" x14ac:dyDescent="0.25">
      <c r="D165" s="21" t="s">
        <v>55</v>
      </c>
      <c r="E165" s="23"/>
      <c r="F165" s="23">
        <v>12</v>
      </c>
      <c r="G165" s="23">
        <v>6.1</v>
      </c>
      <c r="H165" s="23">
        <v>12</v>
      </c>
      <c r="I165" s="23">
        <v>1</v>
      </c>
      <c r="J165" s="23">
        <v>12</v>
      </c>
      <c r="K165" s="25" t="s">
        <v>159</v>
      </c>
      <c r="L165" s="23">
        <v>0</v>
      </c>
      <c r="M165" s="23">
        <v>6</v>
      </c>
      <c r="N165" s="26" t="s">
        <v>163</v>
      </c>
      <c r="O165" s="23">
        <v>3</v>
      </c>
      <c r="P165" s="23">
        <v>164</v>
      </c>
      <c r="Q165" s="23">
        <v>15.09</v>
      </c>
      <c r="R165" s="23">
        <v>7.57</v>
      </c>
      <c r="S165" s="23">
        <v>0.83</v>
      </c>
      <c r="T165" s="23">
        <v>2942</v>
      </c>
      <c r="U165" s="12">
        <v>4.5</v>
      </c>
      <c r="V165" s="11">
        <v>164</v>
      </c>
    </row>
    <row r="166" spans="4:22" ht="18.75" customHeight="1" x14ac:dyDescent="0.25">
      <c r="D166" s="21" t="s">
        <v>66</v>
      </c>
      <c r="E166" s="23"/>
      <c r="F166" s="23">
        <v>12</v>
      </c>
      <c r="G166" s="23">
        <v>6.1</v>
      </c>
      <c r="H166" s="23">
        <v>12</v>
      </c>
      <c r="I166" s="23">
        <v>1</v>
      </c>
      <c r="J166" s="23">
        <v>12</v>
      </c>
      <c r="K166" s="25" t="s">
        <v>159</v>
      </c>
      <c r="L166" s="23">
        <v>0</v>
      </c>
      <c r="M166" s="23">
        <v>6</v>
      </c>
      <c r="N166" s="26" t="s">
        <v>163</v>
      </c>
      <c r="O166" s="23">
        <v>3</v>
      </c>
      <c r="P166" s="23">
        <v>164</v>
      </c>
      <c r="Q166" s="23">
        <v>15.09</v>
      </c>
      <c r="R166" s="23">
        <v>7.57</v>
      </c>
      <c r="S166" s="23">
        <v>0.83</v>
      </c>
      <c r="T166" s="23">
        <v>2942</v>
      </c>
      <c r="U166" s="27">
        <v>5</v>
      </c>
      <c r="V166" s="11">
        <v>165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5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944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Mdtk Helio G35</v>
      </c>
      <c r="M11" s="1" t="str">
        <f>IFERROR(VLOOKUP($C11,EQUIPOS[],UNIFICADO!M$9,0),"")</f>
        <v>-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20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948</v>
      </c>
      <c r="D15">
        <f>SUMIFS(DICCIONARIO[Cantidad],DICCIONARIO[Modelo],UNIFICADA[[#This Row],[Equipo]])</f>
        <v>15</v>
      </c>
      <c r="E15" s="1" t="str">
        <f>IFERROR(VLOOKUP($C15,EQUIPOS[],UNIFICADO!E$9,0),"")</f>
        <v>12 (Color Os 12.1)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 t="str">
        <f>IFERROR(VLOOKUP($C15,EQUIPOS[],UNIFICADO!M$9,0),"")</f>
        <v>-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604</v>
      </c>
      <c r="D18">
        <f>SUMIFS(DICCIONARIO[Cantidad],DICCIONARIO[Modelo],UNIFICADA[[#This Row],[Equipo]])</f>
        <v>25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17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947</v>
      </c>
      <c r="D23">
        <f>SUMIFS(DICCIONARIO[Cantidad],DICCIONARIO[Modelo],UNIFICADA[[#This Row],[Equipo]])</f>
        <v>81</v>
      </c>
      <c r="E23" s="1" t="str">
        <f>IFERROR(VLOOKUP($C23,EQUIPOS[],UNIFICADO!E$9,0),"")</f>
        <v>12 (MagicUI 6.1)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76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20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Mdtk 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99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Mdtk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603</v>
      </c>
      <c r="D30">
        <f>SUMIFS(DICCIONARIO[Cantidad],DICCIONARIO[Modelo],UNIFICADA[[#This Row],[Equipo]])</f>
        <v>82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Mdtk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1015</v>
      </c>
      <c r="D41">
        <f>SUMIFS(DICCIONARIO[Cantidad],DICCIONARIO[Modelo],UNIFICADA[[#This Row],[Equipo]])</f>
        <v>38</v>
      </c>
      <c r="E41" s="1" t="str">
        <f>IFERROR(VLOOKUP($C41,EQUIPOS[],UNIFICADO!E$9,0),"")</f>
        <v>13 Go Edition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7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595</v>
      </c>
      <c r="D43">
        <f>SUMIFS(DICCIONARIO[Cantidad],DICCIONARIO[Modelo],UNIFICADA[[#This Row],[Equipo]])</f>
        <v>28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Mdtk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0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991</v>
      </c>
      <c r="D49">
        <f>SUMIFS(DICCIONARIO[Cantidad],DICCIONARIO[Modelo],UNIFICADA[[#This Row],[Equipo]])</f>
        <v>96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Mdtk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1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1151</v>
      </c>
      <c r="D53">
        <f>SUMIFS(DICCIONARIO[Cantidad],DICCIONARIO[Modelo],UNIFICADA[[#This Row],[Equipo]])</f>
        <v>0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13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949</v>
      </c>
      <c r="D64">
        <f>SUMIFS(DICCIONARIO[Cantidad],DICCIONARIO[Modelo],UNIFICADA[[#This Row],[Equipo]])</f>
        <v>17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1016</v>
      </c>
      <c r="D66">
        <f>SUMIFS(DICCIONARIO[Cantidad],DICCIONARIO[Modelo],UNIFICADA[[#This Row],[Equipo]])</f>
        <v>108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 t="str">
        <f>IFERROR(VLOOKUP($C66,EQUIPOS[],UNIFICADO!L$9,0),"")</f>
        <v>Exynos 850</v>
      </c>
      <c r="M66" s="1" t="str">
        <f>IFERROR(VLOOKUP($C66,EQUIPOS[],UNIFICADO!M$9,0),"")</f>
        <v>2.0/2.0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1056</v>
      </c>
      <c r="D70">
        <f>SUMIFS(DICCIONARIO[Cantidad],DICCIONARIO[Modelo],UNIFICADA[[#This Row],[Equipo]])</f>
        <v>3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1017</v>
      </c>
      <c r="D73">
        <f>SUMIFS(DICCIONARIO[Cantidad],DICCIONARIO[Modelo],UNIFICADA[[#This Row],[Equipo]])</f>
        <v>16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 t="str">
        <f>IFERROR(VLOOKUP($C73,EQUIPOS[],UNIFICADO!L$9,0),"")</f>
        <v>Mdtk Dimensity 1080</v>
      </c>
      <c r="M73" s="1">
        <f>IFERROR(VLOOKUP($C73,EQUIPOS[],UNIFICADO!M$9,0),"")</f>
        <v>2.6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1018</v>
      </c>
      <c r="D77">
        <f>SUMIFS(DICCIONARIO[Cantidad],DICCIONARIO[Modelo],UNIFICADA[[#This Row],[Equipo]])</f>
        <v>12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 t="str">
        <f>IFERROR(VLOOKUP($C77,EQUIPOS[],UNIFICADO!L$9,0),"")</f>
        <v>Exynos 1380</v>
      </c>
      <c r="M77" s="1" t="str">
        <f>IFERROR(VLOOKUP($C77,EQUIPOS[],UNIFICADO!M$9,0),"")</f>
        <v>2.4/2.0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12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6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596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>
        <f>IFERROR(VLOOKUP($C85,EQUIPOS[],UNIFICADO!M$9,0),"")</f>
        <v>0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597</v>
      </c>
      <c r="D86">
        <f>SUMIFS(DICCIONARIO[Cantidad],DICCIONARIO[Modelo],UNIFICADA[[#This Row],[Equipo]])</f>
        <v>4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Snapdragon 8 Gen 2</v>
      </c>
      <c r="M86" s="1">
        <f>IFERROR(VLOOKUP($C86,EQUIPOS[],UNIFICADO!M$9,0),"")</f>
        <v>0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 t="str">
        <f>IFERROR(VLOOKUP($C87,EQUIPOS[],UNIFICADO!L$9,0),"")</f>
        <v>Snapdragon 8 Gen 2</v>
      </c>
      <c r="M87" s="1">
        <f>IFERROR(VLOOKUP($C87,EQUIPOS[],UNIFICADO!M$9,0),"")</f>
        <v>0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599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 t="str">
        <f>IFERROR(VLOOKUP($C88,EQUIPOS[],UNIFICADO!L$9,0),"")</f>
        <v>Snapdragon 8 Gen 2</v>
      </c>
      <c r="M88" s="1">
        <f>IFERROR(VLOOKUP($C88,EQUIPOS[],UNIFICADO!M$9,0),"")</f>
        <v>0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600</v>
      </c>
      <c r="D89">
        <f>SUMIFS(DICCIONARIO[Cantidad],DICCIONARIO[Modelo],UNIFICADA[[#This Row],[Equipo]])</f>
        <v>5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 t="str">
        <f>IFERROR(VLOOKUP($C89,EQUIPOS[],UNIFICADO!L$9,0),"")</f>
        <v>Snapdragon 8 Gen 2</v>
      </c>
      <c r="M89" s="1">
        <f>IFERROR(VLOOKUP($C89,EQUIPOS[],UNIFICADO!M$9,0),"")</f>
        <v>0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601</v>
      </c>
      <c r="D90">
        <f>SUMIFS(DICCIONARIO[Cantidad],DICCIONARIO[Modelo],UNIFICADA[[#This Row],[Equipo]])</f>
        <v>9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 t="str">
        <f>IFERROR(VLOOKUP($C90,EQUIPOS[],UNIFICADO!L$9,0),"")</f>
        <v>Snapdragon 8 Gen 2</v>
      </c>
      <c r="M90" s="1">
        <f>IFERROR(VLOOKUP($C90,EQUIPOS[],UNIFICADO!M$9,0),"")</f>
        <v>0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1045</v>
      </c>
      <c r="D98">
        <f>SUMIFS(DICCIONARIO[Cantidad],DICCIONARIO[Modelo],UNIFICADA[[#This Row],[Equipo]])</f>
        <v>13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1043</v>
      </c>
      <c r="D99">
        <f>SUMIFS(DICCIONARIO[Cantidad],DICCIONARIO[Modelo],UNIFICADA[[#This Row],[Equipo]])</f>
        <v>8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1044</v>
      </c>
      <c r="D101">
        <f>SUMIFS(DICCIONARIO[Cantidad],DICCIONARIO[Modelo],UNIFICADA[[#This Row],[Equipo]])</f>
        <v>5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 t="str">
        <f>IFERROR(VLOOKUP($C108,EQUIPOS[],UNIFICADO!L$9,0),"")</f>
        <v>Snapdragon 778G</v>
      </c>
      <c r="M108" s="1">
        <f>IFERROR(VLOOKUP($C108,EQUIPOS[],UNIFICADO!M$9,0),"")</f>
        <v>0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4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1057</v>
      </c>
      <c r="D116">
        <f>SUMIFS(DICCIONARIO[Cantidad],DICCIONARIO[Modelo],UNIFICADA[[#This Row],[Equipo]])</f>
        <v>0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8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1058</v>
      </c>
      <c r="D120">
        <f>SUMIFS(DICCIONARIO[Cantidad],DICCIONARIO[Modelo],UNIFICADA[[#This Row],[Equipo]])</f>
        <v>2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1132</v>
      </c>
      <c r="D130">
        <f>SUMIFS(DICCIONARIO[Cantidad],DICCIONARIO[Modelo],UNIFICADA[[#This Row],[Equipo]])</f>
        <v>3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70</v>
      </c>
      <c r="D131">
        <f>SUMIFS(DICCIONARIO[Cantidad],DICCIONARIO[Modelo],UNIFICADA[[#This Row],[Equipo]])</f>
        <v>17</v>
      </c>
      <c r="E131" s="1">
        <f>IFERROR(VLOOKUP($C131,EQUIPOS[],UNIFICADO!E$9,0),"")</f>
        <v>11</v>
      </c>
      <c r="F131" s="1">
        <f>IFERROR(VLOOKUP($C131,EQUIPOS[],UNIFICADO!F$9,0),"")</f>
        <v>6</v>
      </c>
      <c r="G131" s="1">
        <f>IFERROR(VLOOKUP($C131,EQUIPOS[],UNIFICADO!G$9,0),"")</f>
        <v>5</v>
      </c>
      <c r="H131" s="1">
        <f>IFERROR(VLOOKUP($C131,EQUIPOS[],UNIFICADO!H$9,0),"")</f>
        <v>1</v>
      </c>
      <c r="I131" s="1">
        <f>IFERROR(VLOOKUP($C131,EQUIPOS[],UNIFICADO!I$9,0),"")</f>
        <v>2</v>
      </c>
      <c r="J131" s="1" t="str">
        <f>IFERROR(VLOOKUP($C131,EQUIPOS[],UNIFICADO!J$9,0),"")</f>
        <v>32GB</v>
      </c>
      <c r="K131" s="1">
        <f>IFERROR(VLOOKUP($C131,EQUIPOS[],UNIFICADO!K$9,0),"")</f>
        <v>256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1</v>
      </c>
      <c r="O131" s="1">
        <f>IFERROR(VLOOKUP($C131,EQUIPOS[],UNIFICADO!O$9,0),"")</f>
        <v>173</v>
      </c>
      <c r="P131" s="1">
        <f>IFERROR(VLOOKUP($C131,EQUIPOS[],UNIFICADO!P$9,0),"")</f>
        <v>15.9</v>
      </c>
      <c r="Q131" s="1">
        <f>IFERROR(VLOOKUP($C131,EQUIPOS[],UNIFICADO!Q$9,0),"")</f>
        <v>7.75</v>
      </c>
      <c r="R131" s="1">
        <f>IFERROR(VLOOKUP($C131,EQUIPOS[],UNIFICADO!R$9,0),"")</f>
        <v>0.96</v>
      </c>
      <c r="S131" s="1">
        <f>IFERROR(VLOOKUP($C131,EQUIPOS[],UNIFICADO!S$9,0),"")</f>
        <v>3000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40</v>
      </c>
      <c r="D132">
        <f>SUMIFS(DICCIONARIO[Cantidad],DICCIONARIO[Modelo],UNIFICADA[[#This Row],[Equipo]])</f>
        <v>0</v>
      </c>
      <c r="E132" s="1">
        <f>IFERROR(VLOOKUP($C132,EQUIPOS[],UNIFICADO!E$9,0),"")</f>
        <v>9</v>
      </c>
      <c r="F132" s="1">
        <f>IFERROR(VLOOKUP($C132,EQUIPOS[],UNIFICADO!F$9,0),"")</f>
        <v>6.09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8</v>
      </c>
      <c r="J132" s="1" t="str">
        <f>IFERROR(VLOOKUP($C132,EQUIPOS[],UNIFICADO!J$9,0),"")</f>
        <v>32GB</v>
      </c>
      <c r="K132" s="1">
        <f>IFERROR(VLOOKUP($C132,EQUIPOS[],UNIFICADO!K$9,0),"")</f>
        <v>128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2</v>
      </c>
      <c r="O132" s="1">
        <f>IFERROR(VLOOKUP($C132,EQUIPOS[],UNIFICADO!O$9,0),"")</f>
        <v>155</v>
      </c>
      <c r="P132" s="1">
        <f>IFERROR(VLOOKUP($C132,EQUIPOS[],UNIFICADO!P$9,0),"")</f>
        <v>15.6</v>
      </c>
      <c r="Q132" s="1">
        <f>IFERROR(VLOOKUP($C132,EQUIPOS[],UNIFICADO!Q$9,0),"")</f>
        <v>7.26</v>
      </c>
      <c r="R132" s="1">
        <f>IFERROR(VLOOKUP($C132,EQUIPOS[],UNIFICADO!R$9,0),"")</f>
        <v>0.8</v>
      </c>
      <c r="S132" s="1">
        <f>IFERROR(VLOOKUP($C132,EQUIPOS[],UNIFICADO!S$9,0),"")</f>
        <v>3200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41</v>
      </c>
      <c r="D133">
        <f>SUMIFS(DICCIONARIO[Cantidad],DICCIONARIO[Modelo],UNIFICADA[[#This Row],[Equipo]])</f>
        <v>12</v>
      </c>
      <c r="E133" s="1">
        <f>IFERROR(VLOOKUP($C133,EQUIPOS[],UNIFICADO!E$9,0),"")</f>
        <v>10</v>
      </c>
      <c r="F133" s="1">
        <f>IFERROR(VLOOKUP($C133,EQUIPOS[],UNIFICADO!F$9,0),"")</f>
        <v>6.53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5</v>
      </c>
      <c r="J133" s="1" t="str">
        <f>IFERROR(VLOOKUP($C133,EQUIPOS[],UNIFICADO!J$9,0),"")</f>
        <v>32GB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174</v>
      </c>
      <c r="P133" s="1">
        <f>IFERROR(VLOOKUP($C133,EQUIPOS[],UNIFICADO!P$9,0),"")</f>
        <v>16.600000000000001</v>
      </c>
      <c r="Q133" s="1">
        <f>IFERROR(VLOOKUP($C133,EQUIPOS[],UNIFICADO!Q$9,0),"")</f>
        <v>7.5</v>
      </c>
      <c r="R133" s="1">
        <f>IFERROR(VLOOKUP($C133,EQUIPOS[],UNIFICADO!R$9,0),"")</f>
        <v>0.85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42</v>
      </c>
      <c r="D134">
        <f>SUMIFS(DICCIONARIO[Cantidad],DICCIONARIO[Modelo],UNIFICADA[[#This Row],[Equipo]])</f>
        <v>10</v>
      </c>
      <c r="E134" s="1">
        <f>IFERROR(VLOOKUP($C134,EQUIPOS[],UNIFICADO!E$9,0),"")</f>
        <v>11</v>
      </c>
      <c r="F134" s="1">
        <f>IFERROR(VLOOKUP($C134,EQUIPOS[],UNIFICADO!F$9,0),"")</f>
        <v>6.52</v>
      </c>
      <c r="G134" s="1">
        <f>IFERROR(VLOOKUP($C134,EQUIPOS[],UNIFICADO!G$9,0),"")</f>
        <v>16</v>
      </c>
      <c r="H134" s="1">
        <f>IFERROR(VLOOKUP($C134,EQUIPOS[],UNIFICADO!H$9,0),"")</f>
        <v>3</v>
      </c>
      <c r="I134" s="1">
        <f>IFERROR(VLOOKUP($C134,EQUIPOS[],UNIFICADO!I$9,0),"")</f>
        <v>8</v>
      </c>
      <c r="J134" s="1" t="str">
        <f>IFERROR(VLOOKUP($C134,EQUIPOS[],UNIFICADO!J$9,0),"")</f>
        <v>64GB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3</v>
      </c>
      <c r="O134" s="1">
        <f>IFERROR(VLOOKUP($C134,EQUIPOS[],UNIFICADO!O$9,0),"")</f>
        <v>180</v>
      </c>
      <c r="P134" s="1">
        <f>IFERROR(VLOOKUP($C134,EQUIPOS[],UNIFICADO!P$9,0),"")</f>
        <v>16.5</v>
      </c>
      <c r="Q134" s="1">
        <f>IFERROR(VLOOKUP($C134,EQUIPOS[],UNIFICADO!Q$9,0),"")</f>
        <v>7.52</v>
      </c>
      <c r="R134" s="1">
        <f>IFERROR(VLOOKUP($C134,EQUIPOS[],UNIFICADO!R$9,0),"")</f>
        <v>0.82</v>
      </c>
      <c r="S134" s="1">
        <f>IFERROR(VLOOKUP($C134,EQUIPOS[],UNIFICADO!S$9,0),"")</f>
        <v>4000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47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>
        <f>IFERROR(VLOOKUP($C135,EQUIPOS[],UNIFICADO!F$9,0),"")</f>
        <v>6.82</v>
      </c>
      <c r="G135" s="1">
        <f>IFERROR(VLOOKUP($C135,EQUIPOS[],UNIFICADO!G$9,0),"")</f>
        <v>48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>
        <f>IFERROR(VLOOKUP($C135,EQUIPOS[],UNIFICADO!M$9,0),"")</f>
        <v>1.6</v>
      </c>
      <c r="N135" s="1">
        <f>IFERROR(VLOOKUP($C135,EQUIPOS[],UNIFICADO!N$9,0),"")</f>
        <v>3</v>
      </c>
      <c r="O135" s="1">
        <f>IFERROR(VLOOKUP($C135,EQUIPOS[],UNIFICADO!O$9,0),"")</f>
        <v>210</v>
      </c>
      <c r="P135" s="1">
        <f>IFERROR(VLOOKUP($C135,EQUIPOS[],UNIFICADO!P$9,0),"")</f>
        <v>17.3</v>
      </c>
      <c r="Q135" s="1">
        <f>IFERROR(VLOOKUP($C135,EQUIPOS[],UNIFICADO!Q$9,0),"")</f>
        <v>7.81</v>
      </c>
      <c r="R135" s="1">
        <f>IFERROR(VLOOKUP($C135,EQUIPOS[],UNIFICADO!R$9,0),"")</f>
        <v>0.89</v>
      </c>
      <c r="S135" s="1">
        <f>IFERROR(VLOOKUP($C135,EQUIPOS[],UNIFICADO!S$9,0),"")</f>
        <v>5000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136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 t="str">
        <f>IFERROR(VLOOKUP($C136,EQUIPOS[],UNIFICADO!F$9,0),"")</f>
        <v>6.75 HD+ 90Hz</v>
      </c>
      <c r="G136" s="1" t="str">
        <f>IFERROR(VLOOKUP($C136,EQUIPOS[],UNIFICADO!G$9,0),"")</f>
        <v>13+2+2</v>
      </c>
      <c r="H136" s="1">
        <f>IFERROR(VLOOKUP($C136,EQUIPOS[],UNIFICADO!H$9,0),"")</f>
        <v>3</v>
      </c>
      <c r="I136" s="1">
        <f>IFERROR(VLOOKUP($C136,EQUIPOS[],UNIFICADO!I$9,0),"")</f>
        <v>5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 t="str">
        <f>IFERROR(VLOOKUP($C136,EQUIPOS[],UNIFICADO!L$9,0),"")</f>
        <v xml:space="preserve"> Unisoc T606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215</v>
      </c>
      <c r="P136" s="1">
        <f>IFERROR(VLOOKUP($C136,EQUIPOS[],UNIFICADO!P$9,0),"")</f>
        <v>16.8</v>
      </c>
      <c r="Q136" s="1">
        <f>IFERROR(VLOOKUP($C136,EQUIPOS[],UNIFICADO!Q$9,0),"")</f>
        <v>7.75</v>
      </c>
      <c r="R136" s="1">
        <f>IFERROR(VLOOKUP($C136,EQUIPOS[],UNIFICADO!R$9,0),"")</f>
        <v>0.94</v>
      </c>
      <c r="S136" s="1">
        <f>IFERROR(VLOOKUP($C136,EQUIPOS[],UNIFICADO!S$9,0),"")</f>
        <v>6000</v>
      </c>
      <c r="T136" s="1">
        <f>IFERROR(VLOOKUP($C136,EQUIPOS[],UNIFICADO!T$9,0),"")</f>
        <v>5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137</v>
      </c>
      <c r="D137">
        <f>SUMIFS(DICCIONARIO[Cantidad],DICCIONARIO[Modelo],UNIFICADA[[#This Row],[Equipo]])</f>
        <v>25</v>
      </c>
      <c r="E137" s="1">
        <f>IFERROR(VLOOKUP($C137,EQUIPOS[],UNIFICADO!E$9,0),"")</f>
        <v>11</v>
      </c>
      <c r="F137" s="1">
        <f>IFERROR(VLOOKUP($C137,EQUIPOS[],UNIFICADO!F$9,0),"")</f>
        <v>6.74</v>
      </c>
      <c r="G137" s="1">
        <f>IFERROR(VLOOKUP($C137,EQUIPOS[],UNIFICADO!G$9,0),"")</f>
        <v>48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128GB</v>
      </c>
      <c r="K137" s="1">
        <f>IFERROR(VLOOKUP($C137,EQUIPOS[],UNIFICADO!K$9,0),"")</f>
        <v>1024</v>
      </c>
      <c r="L137" s="1">
        <f>IFERROR(VLOOKUP($C137,EQUIPOS[],UNIFICADO!L$9,0),"")</f>
        <v>8</v>
      </c>
      <c r="M137" s="1">
        <f>IFERROR(VLOOKUP($C137,EQUIPOS[],UNIFICADO!M$9,0),"")</f>
        <v>2.2000000000000002</v>
      </c>
      <c r="N137" s="1">
        <f>IFERROR(VLOOKUP($C137,EQUIPOS[],UNIFICADO!N$9,0),"")</f>
        <v>4</v>
      </c>
      <c r="O137" s="1">
        <f>IFERROR(VLOOKUP($C137,EQUIPOS[],UNIFICADO!O$9,0),"")</f>
        <v>214</v>
      </c>
      <c r="P137" s="1">
        <f>IFERROR(VLOOKUP($C137,EQUIPOS[],UNIFICADO!P$9,0),"")</f>
        <v>16.600000000000001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</v>
      </c>
      <c r="D139">
        <f>SUMIFS(DICCIONARIO[Cantidad],DICCIONARIO[Modelo],UNIFICADA[[#This Row],[Equipo]])</f>
        <v>29</v>
      </c>
      <c r="E139" s="1">
        <f>IFERROR(VLOOKUP($C139,EQUIPOS[],UNIFICADO!E$9,0),"")</f>
        <v>13</v>
      </c>
      <c r="F139" s="1">
        <f>IFERROR(VLOOKUP($C139,EQUIPOS[],UNIFICADO!F$9,0),"")</f>
        <v>6.1</v>
      </c>
      <c r="G139" s="1">
        <f>IFERROR(VLOOKUP($C139,EQUIPOS[],UNIFICADO!G$9,0),"")</f>
        <v>13</v>
      </c>
      <c r="H139" s="1">
        <f>IFERROR(VLOOKUP($C139,EQUIPOS[],UNIFICADO!H$9,0),"")</f>
        <v>2</v>
      </c>
      <c r="I139" s="1">
        <f>IFERROR(VLOOKUP($C139,EQUIPOS[],UNIFICADO!I$9,0),"")</f>
        <v>12</v>
      </c>
      <c r="J139" s="1" t="str">
        <f>IFERROR(VLOOKUP($C139,EQUIPOS[],UNIFICADO!J$9,0),"")</f>
        <v>64GB</v>
      </c>
      <c r="K139" s="1">
        <f>IFERROR(VLOOKUP($C139,EQUIPOS[],UNIFICADO!K$9,0),"")</f>
        <v>0</v>
      </c>
      <c r="L139" s="1">
        <f>IFERROR(VLOOKUP($C139,EQUIPOS[],UNIFICADO!L$9,0),"")</f>
        <v>6</v>
      </c>
      <c r="M139" s="1" t="str">
        <f>IFERROR(VLOOKUP($C139,EQUIPOS[],UNIFICADO!M$9,0),"")</f>
        <v>2.65/1.8</v>
      </c>
      <c r="N139" s="1">
        <f>IFERROR(VLOOKUP($C139,EQUIPOS[],UNIFICADO!N$9,0),"")</f>
        <v>4</v>
      </c>
      <c r="O139" s="1">
        <f>IFERROR(VLOOKUP($C139,EQUIPOS[],UNIFICADO!O$9,0),"")</f>
        <v>194</v>
      </c>
      <c r="P139" s="1">
        <f>IFERROR(VLOOKUP($C139,EQUIPOS[],UNIFICADO!P$9,0),"")</f>
        <v>15</v>
      </c>
      <c r="Q139" s="1">
        <f>IFERROR(VLOOKUP($C139,EQUIPOS[],UNIFICADO!Q$9,0),"")</f>
        <v>7.57</v>
      </c>
      <c r="R139" s="1">
        <f>IFERROR(VLOOKUP($C139,EQUIPOS[],UNIFICADO!R$9,0),"")</f>
        <v>0.83</v>
      </c>
      <c r="S139" s="1">
        <f>IFERROR(VLOOKUP($C139,EQUIPOS[],UNIFICADO!S$9,0),"")</f>
        <v>3110</v>
      </c>
      <c r="T139" s="1">
        <f>IFERROR(VLOOKUP($C139,EQUIPOS[],UNIFICADO!T$9,0),"")</f>
        <v>4.5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2</v>
      </c>
      <c r="D140">
        <f>SUMIFS(DICCIONARIO[Cantidad],DICCIONARIO[Modelo],UNIFICADA[[#This Row],[Equipo]])</f>
        <v>0</v>
      </c>
      <c r="E140" s="1">
        <f>IFERROR(VLOOKUP($C140,EQUIPOS[],UNIFICADO!E$9,0),"")</f>
        <v>14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128GB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3.1/1.8</v>
      </c>
      <c r="N140" s="1">
        <f>IFERROR(VLOOKUP($C140,EQUIPOS[],UNIFICADO!N$9,0),"")</f>
        <v>4</v>
      </c>
      <c r="O140" s="1">
        <f>IFERROR(VLOOKUP($C140,EQUIPOS[],UNIFICADO!O$9,0),"")</f>
        <v>164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0.74</v>
      </c>
      <c r="S140" s="1">
        <f>IFERROR(VLOOKUP($C140,EQUIPOS[],UNIFICADO!S$9,0),"")</f>
        <v>2815</v>
      </c>
      <c r="T140" s="1">
        <f>IFERROR(VLOOKUP($C140,EQUIPOS[],UNIFICADO!T$9,0),"")</f>
        <v>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3</v>
      </c>
      <c r="D141">
        <f>SUMIFS(DICCIONARIO[Cantidad],DICCIONARIO[Modelo],UNIFICADA[[#This Row],[Equipo]])</f>
        <v>2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64GB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53</v>
      </c>
      <c r="D142">
        <f>SUMIFS(DICCIONARIO[Cantidad],DICCIONARIO[Modelo],UNIFICADA[[#This Row],[Equipo]])</f>
        <v>0</v>
      </c>
      <c r="E142" s="1">
        <f>IFERROR(VLOOKUP($C142,EQUIPOS[],UNIFICADO!E$9,0),"")</f>
        <v>14</v>
      </c>
      <c r="F142" s="1">
        <f>IFERROR(VLOOKUP($C142,EQUIPOS[],UNIFICADO!F$9,0),"")</f>
        <v>5.4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256GB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135</v>
      </c>
      <c r="P142" s="1">
        <f>IFERROR(VLOOKUP($C142,EQUIPOS[],UNIFICADO!P$9,0),"")</f>
        <v>13.1</v>
      </c>
      <c r="Q142" s="1">
        <f>IFERROR(VLOOKUP($C142,EQUIPOS[],UNIFICADO!Q$9,0),"")</f>
        <v>6.42</v>
      </c>
      <c r="R142" s="1">
        <f>IFERROR(VLOOKUP($C142,EQUIPOS[],UNIFICADO!R$9,0),"")</f>
        <v>0.74</v>
      </c>
      <c r="S142" s="1">
        <f>IFERROR(VLOOKUP($C142,EQUIPOS[],UNIFICADO!S$9,0),"")</f>
        <v>2227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4</v>
      </c>
      <c r="D143">
        <f>SUMIFS(DICCIONARIO[Cantidad],DICCIONARIO[Modelo],UNIFICADA[[#This Row],[Equipo]])</f>
        <v>20</v>
      </c>
      <c r="E143" s="1">
        <f>IFERROR(VLOOKUP($C143,EQUIPOS[],UNIFICADO!E$9,0),"")</f>
        <v>15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3.22/2.0</v>
      </c>
      <c r="N143" s="1">
        <f>IFERROR(VLOOKUP($C143,EQUIPOS[],UNIFICADO!N$9,0),"")</f>
        <v>4</v>
      </c>
      <c r="O143" s="1">
        <f>IFERROR(VLOOKUP($C143,EQUIPOS[],UNIFICADO!O$9,0),"")</f>
        <v>174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0.77</v>
      </c>
      <c r="S143" s="1">
        <f>IFERROR(VLOOKUP($C143,EQUIPOS[],UNIFICADO!S$9,0),"")</f>
        <v>3227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5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256GB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6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512GB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7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8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9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10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3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3</v>
      </c>
      <c r="O149" s="1">
        <f>IFERROR(VLOOKUP($C149,EQUIPOS[],UNIFICADO!O$9,0),"")</f>
        <v>204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3095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11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1TB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12</v>
      </c>
      <c r="D151">
        <f>SUMIFS(DICCIONARIO[Cantidad],DICCIONARIO[Modelo],UNIFICADA[[#This Row],[Equipo]])</f>
        <v>1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256GB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13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512GB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43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6.7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128GB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6</v>
      </c>
      <c r="O153" s="1">
        <f>IFERROR(VLOOKUP($C153,EQUIPOS[],UNIFICADO!O$9,0),"")</f>
        <v>238</v>
      </c>
      <c r="P153" s="1">
        <f>IFERROR(VLOOKUP($C153,EQUIPOS[],UNIFICADO!P$9,0),"")</f>
        <v>16</v>
      </c>
      <c r="Q153" s="1">
        <f>IFERROR(VLOOKUP($C153,EQUIPOS[],UNIFICADO!Q$9,0),"")</f>
        <v>7.65</v>
      </c>
      <c r="R153" s="1">
        <f>IFERROR(VLOOKUP($C153,EQUIPOS[],UNIFICADO!R$9,0),"")</f>
        <v>0.78</v>
      </c>
      <c r="S153" s="1">
        <f>IFERROR(VLOOKUP($C153,EQUIPOS[],UNIFICADO!S$9,0),"")</f>
        <v>4352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44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1TB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59</v>
      </c>
      <c r="D155">
        <f>SUMIFS(DICCIONARIO[Cantidad],DICCIONARIO[Modelo],UNIFICADA[[#This Row],[Equipo]])</f>
        <v>2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256GB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45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512GB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4.5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106</v>
      </c>
      <c r="D157">
        <f>SUMIFS(DICCIONARIO[Cantidad],DICCIONARIO[Modelo],UNIFICADA[[#This Row],[Equipo]])</f>
        <v>6</v>
      </c>
      <c r="E157" s="1">
        <f>IFERROR(VLOOKUP($C157,EQUIPOS[],UNIFICADO!E$9,0),"")</f>
        <v>16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128GB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172</v>
      </c>
      <c r="P157" s="1">
        <f>IFERROR(VLOOKUP($C157,EQUIPOS[],UNIFICADO!P$9,0),"")</f>
        <v>14.67</v>
      </c>
      <c r="Q157" s="1">
        <f>IFERROR(VLOOKUP($C157,EQUIPOS[],UNIFICADO!Q$9,0),"")</f>
        <v>7.15</v>
      </c>
      <c r="R157" s="1">
        <f>IFERROR(VLOOKUP($C157,EQUIPOS[],UNIFICADO!R$9,0),"")</f>
        <v>0.78</v>
      </c>
      <c r="S157" s="1">
        <f>IFERROR(VLOOKUP($C157,EQUIPOS[],UNIFICADO!S$9,0),"")</f>
        <v>3279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107</v>
      </c>
      <c r="D158">
        <f>SUMIFS(DICCIONARIO[Cantidad],DICCIONARIO[Modelo],UNIFICADA[[#This Row],[Equipo]])</f>
        <v>1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108</v>
      </c>
      <c r="D159">
        <f>SUMIFS(DICCIONARIO[Cantidad],DICCIONARIO[Modelo],UNIFICADA[[#This Row],[Equipo]])</f>
        <v>2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109</v>
      </c>
      <c r="D160">
        <f>SUMIFS(DICCIONARIO[Cantidad],DICCIONARIO[Modelo],UNIFICADA[[#This Row],[Equipo]])</f>
        <v>0</v>
      </c>
      <c r="E160" s="1">
        <f>IFERROR(VLOOKUP($C160,EQUIPOS[],UNIFICADO!E$9,0),"")</f>
        <v>16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203</v>
      </c>
      <c r="P160" s="1">
        <f>IFERROR(VLOOKUP($C160,EQUIPOS[],UNIFICADO!P$9,0),"")</f>
        <v>16</v>
      </c>
      <c r="Q160" s="1">
        <f>IFERROR(VLOOKUP($C160,EQUIPOS[],UNIFICADO!Q$9,0),"")</f>
        <v>7.81</v>
      </c>
      <c r="R160" s="1">
        <f>IFERROR(VLOOKUP($C160,EQUIPOS[],UNIFICADO!R$9,0),"")</f>
        <v>0.78</v>
      </c>
      <c r="S160" s="1">
        <f>IFERROR(VLOOKUP($C160,EQUIPOS[],UNIFICADO!S$9,0),"")</f>
        <v>4325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110</v>
      </c>
      <c r="D161">
        <f>SUMIFS(DICCIONARIO[Cantidad],DICCIONARIO[Modelo],UNIFICADA[[#This Row],[Equipo]])</f>
        <v>4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111</v>
      </c>
      <c r="D162">
        <f>SUMIFS(DICCIONARIO[Cantidad],DICCIONARIO[Modelo],UNIFICADA[[#This Row],[Equipo]])</f>
        <v>1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112</v>
      </c>
      <c r="D163">
        <f>SUMIFS(DICCIONARIO[Cantidad],DICCIONARIO[Modelo],UNIFICADA[[#This Row],[Equipo]])</f>
        <v>12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206</v>
      </c>
      <c r="P163" s="1">
        <f>IFERROR(VLOOKUP($C163,EQUIPOS[],UNIFICADO!P$9,0),"")</f>
        <v>14.75</v>
      </c>
      <c r="Q163" s="1">
        <f>IFERROR(VLOOKUP($C163,EQUIPOS[],UNIFICADO!Q$9,0),"")</f>
        <v>7.15</v>
      </c>
      <c r="R163" s="1">
        <f>IFERROR(VLOOKUP($C163,EQUIPOS[],UNIFICADO!R$9,0),"")</f>
        <v>0.78500000000000003</v>
      </c>
      <c r="S163" s="1">
        <f>IFERROR(VLOOKUP($C163,EQUIPOS[],UNIFICADO!S$9,0),"")</f>
        <v>3200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113</v>
      </c>
      <c r="D164">
        <f>SUMIFS(DICCIONARIO[Cantidad],DICCIONARIO[Modelo],UNIFICADA[[#This Row],[Equipo]])</f>
        <v>0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1TB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114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256GB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115</v>
      </c>
      <c r="D166">
        <f>SUMIFS(DICCIONARIO[Cantidad],DICCIONARIO[Modelo],UNIFICADA[[#This Row],[Equipo]])</f>
        <v>0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512GB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116</v>
      </c>
      <c r="D167">
        <f>SUMIFS(DICCIONARIO[Cantidad],DICCIONARIO[Modelo],UNIFICADA[[#This Row],[Equipo]])</f>
        <v>13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128GB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240</v>
      </c>
      <c r="P167" s="1">
        <f>IFERROR(VLOOKUP($C167,EQUIPOS[],UNIFICADO!P$9,0),"")</f>
        <v>16</v>
      </c>
      <c r="Q167" s="1">
        <f>IFERROR(VLOOKUP($C167,EQUIPOS[],UNIFICADO!Q$9,0),"")</f>
        <v>7.76</v>
      </c>
      <c r="R167" s="1">
        <f>IFERROR(VLOOKUP($C167,EQUIPOS[],UNIFICADO!R$9,0),"")</f>
        <v>0.78500000000000003</v>
      </c>
      <c r="S167" s="1">
        <f>IFERROR(VLOOKUP($C167,EQUIPOS[],UNIFICADO!S$9,0),"")</f>
        <v>4323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117</v>
      </c>
      <c r="D168">
        <f>SUMIFS(DICCIONARIO[Cantidad],DICCIONARIO[Modelo],UNIFICADA[[#This Row],[Equipo]])</f>
        <v>0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1TB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118</v>
      </c>
      <c r="D169">
        <f>SUMIFS(DICCIONARIO[Cantidad],DICCIONARIO[Modelo],UNIFICADA[[#This Row],[Equipo]])</f>
        <v>8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256GB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119</v>
      </c>
      <c r="D170">
        <f>SUMIFS(DICCIONARIO[Cantidad],DICCIONARIO[Modelo],UNIFICADA[[#This Row],[Equipo]])</f>
        <v>0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512GB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96</v>
      </c>
      <c r="D171">
        <f>SUMIFS(DICCIONARIO[Cantidad],DICCIONARIO[Modelo],UNIFICADA[[#This Row],[Equipo]])</f>
        <v>0</v>
      </c>
      <c r="E171" s="1">
        <f>IFERROR(VLOOKUP($C171,EQUIPOS[],UNIFICADO!E$9,0),"")</f>
        <v>15</v>
      </c>
      <c r="F171" s="1">
        <f>IFERROR(VLOOKUP($C171,EQUIPOS[],UNIFICADO!F$9,0),"")</f>
        <v>4.7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7</v>
      </c>
      <c r="J171" s="1" t="str">
        <f>IFERROR(VLOOKUP($C171,EQUIPOS[],UNIFICADO!J$9,0),"")</f>
        <v>128GB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3.1/1.8</v>
      </c>
      <c r="N171" s="1">
        <f>IFERROR(VLOOKUP($C171,EQUIPOS[],UNIFICADO!N$9,0),"")</f>
        <v>4</v>
      </c>
      <c r="O171" s="1">
        <f>IFERROR(VLOOKUP($C171,EQUIPOS[],UNIFICADO!O$9,0),"")</f>
        <v>144</v>
      </c>
      <c r="P171" s="1">
        <f>IFERROR(VLOOKUP($C171,EQUIPOS[],UNIFICADO!P$9,0),"")</f>
        <v>13.84</v>
      </c>
      <c r="Q171" s="1">
        <f>IFERROR(VLOOKUP($C171,EQUIPOS[],UNIFICADO!Q$9,0),"")</f>
        <v>6.73</v>
      </c>
      <c r="R171" s="1">
        <f>IFERROR(VLOOKUP($C171,EQUIPOS[],UNIFICADO!R$9,0),"")</f>
        <v>0.73</v>
      </c>
      <c r="S171" s="1">
        <f>IFERROR(VLOOKUP($C171,EQUIPOS[],UNIFICADO!S$9,0),"")</f>
        <v>2438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93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91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64GB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55</v>
      </c>
      <c r="D174">
        <f>SUMIFS(DICCIONARIO[Cantidad],DICCIONARIO[Modelo],UNIFICADA[[#This Row],[Equipo]])</f>
        <v>0</v>
      </c>
      <c r="E174" s="1">
        <f>IFERROR(VLOOKUP($C174,EQUIPOS[],UNIFICADO!E$9,0),"")</f>
        <v>12</v>
      </c>
      <c r="F174" s="1">
        <f>IFERROR(VLOOKUP($C174,EQUIPOS[],UNIFICADO!F$9,0),"")</f>
        <v>6.1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12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3</v>
      </c>
      <c r="O174" s="1">
        <f>IFERROR(VLOOKUP($C174,EQUIPOS[],UNIFICADO!O$9,0),"")</f>
        <v>164</v>
      </c>
      <c r="P174" s="1">
        <f>IFERROR(VLOOKUP($C174,EQUIPOS[],UNIFICADO!P$9,0),"")</f>
        <v>15.09</v>
      </c>
      <c r="Q174" s="1">
        <f>IFERROR(VLOOKUP($C174,EQUIPOS[],UNIFICADO!Q$9,0),"")</f>
        <v>7.57</v>
      </c>
      <c r="R174" s="1">
        <f>IFERROR(VLOOKUP($C174,EQUIPOS[],UNIFICADO!R$9,0),"")</f>
        <v>0.83</v>
      </c>
      <c r="S174" s="1">
        <f>IFERROR(VLOOKUP($C174,EQUIPOS[],UNIFICADO!S$9,0),"")</f>
        <v>2942</v>
      </c>
      <c r="T174" s="1">
        <f>IFERROR(VLOOKUP($C174,EQUIPOS[],UNIFICADO!T$9,0),"")</f>
        <v>4.5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66</v>
      </c>
      <c r="D175" s="29">
        <f>SUMIFS(DICCIONARIO[Cantidad],DICCIONARIO[Modelo],UNIFICADA[[#This Row],[Equipo]])</f>
        <v>0</v>
      </c>
      <c r="E175" s="30">
        <f>IFERROR(VLOOKUP($C175,EQUIPOS[],UNIFICADO!E$9,0),"")</f>
        <v>12</v>
      </c>
      <c r="F175" s="30">
        <f>IFERROR(VLOOKUP($C175,EQUIPOS[],UNIFICADO!F$9,0),"")</f>
        <v>6.1</v>
      </c>
      <c r="G175" s="30">
        <f>IFERROR(VLOOKUP($C175,EQUIPOS[],UNIFICADO!G$9,0),"")</f>
        <v>12</v>
      </c>
      <c r="H175" s="30">
        <f>IFERROR(VLOOKUP($C175,EQUIPOS[],UNIFICADO!H$9,0),"")</f>
        <v>1</v>
      </c>
      <c r="I175" s="30">
        <f>IFERROR(VLOOKUP($C175,EQUIPOS[],UNIFICADO!I$9,0),"")</f>
        <v>12</v>
      </c>
      <c r="J175" s="30" t="str">
        <f>IFERROR(VLOOKUP($C175,EQUIPOS[],UNIFICADO!J$9,0),"")</f>
        <v>64GB</v>
      </c>
      <c r="K175" s="30">
        <f>IFERROR(VLOOKUP($C175,EQUIPOS[],UNIFICADO!K$9,0),"")</f>
        <v>0</v>
      </c>
      <c r="L175" s="30">
        <f>IFERROR(VLOOKUP($C175,EQUIPOS[],UNIFICADO!L$9,0),"")</f>
        <v>6</v>
      </c>
      <c r="M175" s="30" t="str">
        <f>IFERROR(VLOOKUP($C175,EQUIPOS[],UNIFICADO!M$9,0),"")</f>
        <v>3.22/2.0</v>
      </c>
      <c r="N175" s="30">
        <f>IFERROR(VLOOKUP($C175,EQUIPOS[],UNIFICADO!N$9,0),"")</f>
        <v>3</v>
      </c>
      <c r="O175" s="30">
        <f>IFERROR(VLOOKUP($C175,EQUIPOS[],UNIFICADO!O$9,0),"")</f>
        <v>164</v>
      </c>
      <c r="P175" s="30">
        <f>IFERROR(VLOOKUP($C175,EQUIPOS[],UNIFICADO!P$9,0),"")</f>
        <v>15.09</v>
      </c>
      <c r="Q175" s="30">
        <f>IFERROR(VLOOKUP($C175,EQUIPOS[],UNIFICADO!Q$9,0),"")</f>
        <v>7.57</v>
      </c>
      <c r="R175" s="30">
        <f>IFERROR(VLOOKUP($C175,EQUIPOS[],UNIFICADO!R$9,0),"")</f>
        <v>0.83</v>
      </c>
      <c r="S175" s="30">
        <f>IFERROR(VLOOKUP($C175,EQUIPOS[],UNIFICADO!S$9,0),"")</f>
        <v>2942</v>
      </c>
      <c r="T175" s="30">
        <f>IFERROR(VLOOKUP($C175,EQUIPOS[],UNIFICADO!T$9,0),"")</f>
        <v>5</v>
      </c>
      <c r="U175" s="30">
        <f>VLOOKUP(UNIFICADA[[#This Row],[Equipo]],EQUIPOS[],19,0)</f>
        <v>165</v>
      </c>
      <c r="V175" s="30" t="str">
        <f>IFERROR(IF(V$9="ND","ND",VLOOKUP($C175,PAR,V$9,0)),"ND")</f>
        <v>ND</v>
      </c>
      <c r="W175" s="30" t="str">
        <f>IFERROR(IF(W$9="ND","ND",VLOOKUP($C175,PRP,W$9,0)),"ND")</f>
        <v>ND</v>
      </c>
      <c r="X175" s="30" t="str">
        <f>IF(X$9="ND","ND",VLOOKUP($C175,AC,X$9,0))</f>
        <v>ND</v>
      </c>
      <c r="Y175" s="30" t="str">
        <f>IF(Y$9="ND","ND",VLOOKUP($C175,AC,Y$9,0))</f>
        <v>ND</v>
      </c>
      <c r="Z175" s="30" t="str">
        <f>IFERROR(IF(Z$9="ND","ND",VLOOKUP($C175,AC,Z$9,0)),"ND")</f>
        <v>ND</v>
      </c>
      <c r="AA175" s="30" t="str">
        <f>IFERROR(IF(AA$9="ND","ND",VLOOKUP($C175,AC,AA$9,0)),"ND")</f>
        <v>ND</v>
      </c>
      <c r="AB175" s="30" t="str">
        <f>IFERROR(IF(AB$9="ND","ND",VLOOKUP($C175,AC,AB$9,0)),"ND")</f>
        <v>ND</v>
      </c>
      <c r="AC175" s="30" t="str">
        <f>IFERROR(IF(AC$9="ND","ND",VLOOKUP($C175,AC,AC$9,0)),"ND")</f>
        <v>ND</v>
      </c>
      <c r="AD175" s="30" t="str">
        <f>IFERROR(IF(AD$9="ND","ND",VLOOKUP($C175,AC,AD$9,0)),"ND")</f>
        <v>ND</v>
      </c>
      <c r="AE175" s="30" t="str">
        <f>IFERROR(IF(AE$9="ND","ND",VLOOKUP($C175,AC,AE$9,0)),"ND")</f>
        <v>ND</v>
      </c>
      <c r="AF175" s="30" t="str">
        <f>IFERROR(IF(AF$9="ND","ND",VLOOKUP($C175,AC,AF$9,0)),"ND")</f>
        <v>ND</v>
      </c>
      <c r="AG175" s="30" t="str">
        <f>IFERROR(IF(AG$9="ND","ND",VLOOKUP($C175,AC,AG$9,0)),"ND")</f>
        <v>ND</v>
      </c>
      <c r="AH175" s="30" t="str">
        <f>IFERROR(IF(AH$9="ND","ND",VLOOKUP($C175,AC,AH$9,0)),"ND")</f>
        <v>ND</v>
      </c>
      <c r="AI175" s="30" t="str">
        <f>IFERROR(ROUNDUP(AJ175/6,2)+29.9,"ND")</f>
        <v>ND</v>
      </c>
      <c r="AJ175" s="30" t="str">
        <f>IFERROR(IF(AJ$9="ND","ND",ROUNDUP(VALUE(VLOOKUP($C175,A6M,AJ$9,0))/6,2)),"ND")</f>
        <v>ND</v>
      </c>
      <c r="AK175" s="30" t="str">
        <f>IFERROR(ROUNDUP(AL175/6,2)+39.9,"ND")</f>
        <v>ND</v>
      </c>
      <c r="AL175" s="30" t="str">
        <f>IFERROR(IF(AL$9="ND","ND",ROUNDUP(VALUE(VLOOKUP($C175,A6M,AL$9,0))/6,2)),"ND")</f>
        <v>ND</v>
      </c>
      <c r="AM175" s="30" t="str">
        <f>IFERROR(ROUNDUP(AN175/6,2)+49.9,"ND")</f>
        <v>ND</v>
      </c>
      <c r="AN175" s="30" t="str">
        <f>IFERROR(IF(AN$9="ND","ND",VLOOKUP($C175,A6M,AN$9,0)),"ND")</f>
        <v>ND</v>
      </c>
      <c r="AO175" s="30" t="str">
        <f>IFERROR(ROUNDUP(AP175/6,2)+55.9,"ND")</f>
        <v>ND</v>
      </c>
      <c r="AP175" s="30" t="str">
        <f>IFERROR(IF(AP$9="ND","ND",VLOOKUP($C175,A6M,AP$9,0)),"ND")</f>
        <v>ND</v>
      </c>
      <c r="AQ175" s="30" t="str">
        <f>IFERROR(ROUNDUP(AR175/6,2)+69.9,"ND")</f>
        <v>ND</v>
      </c>
      <c r="AR175" s="30" t="str">
        <f>IFERROR(IF(AR$9="ND","ND",VLOOKUP($C175,A6M,AR$9,0)),"ND")</f>
        <v>ND</v>
      </c>
      <c r="AS175" s="30" t="str">
        <f>IFERROR(ROUNDUP(AT175/6,2)+79.9,"ND")</f>
        <v>ND</v>
      </c>
      <c r="AT175" s="30" t="str">
        <f>IFERROR(IF(AT$9="ND","ND",VLOOKUP($C175,A6M,AT$9,0)),"ND")</f>
        <v>ND</v>
      </c>
      <c r="AU175" s="30" t="str">
        <f>IFERROR(ROUNDUP(AV175/6,2)+95.9,"ND")</f>
        <v>ND</v>
      </c>
      <c r="AV175" s="30" t="str">
        <f>IFERROR(IF(AV$9="ND","ND",VLOOKUP($C175,A6M,AV$9,0)),"ND")</f>
        <v>ND</v>
      </c>
      <c r="AW175" s="30" t="str">
        <f>IFERROR(ROUNDUP(AX175/6,2)+109.9,"ND")</f>
        <v>ND</v>
      </c>
      <c r="AX175" s="30" t="str">
        <f>IFERROR(IF(AX$9="ND","ND",VLOOKUP($C175,A6M,AX$9,0)),"ND")</f>
        <v>ND</v>
      </c>
      <c r="AY175" s="30" t="str">
        <f>IFERROR(ROUNDUP(AZ175/6,2)+159.9,"ND")</f>
        <v>ND</v>
      </c>
      <c r="AZ175" s="30" t="str">
        <f>IFERROR(IF(AZ$9="ND","ND",VLOOKUP($C175,A6M,AZ$9,0)),"ND")</f>
        <v>ND</v>
      </c>
      <c r="BA175" s="30" t="str">
        <f>IFERROR(ROUNDUP(BB175/6,2)+189.9,"ND")</f>
        <v>ND</v>
      </c>
      <c r="BB175" s="30" t="str">
        <f>IFERROR(IF(BB$9="ND","ND",VLOOKUP($C175,A6M,BB$9,0)),"ND")</f>
        <v>ND</v>
      </c>
      <c r="BC175" s="30" t="str">
        <f>IFERROR(ROUNDUP(BD175/6,2)+289.9,"ND")</f>
        <v>ND</v>
      </c>
      <c r="BD175" s="30" t="str">
        <f>IFERROR(IF(BD$9="ND","ND",VLOOKUP($C175,A6M,BD$9,0)),"ND")</f>
        <v>ND</v>
      </c>
      <c r="BE175" s="30" t="str">
        <f>IFERROR(ROUNDUP(BF175/12,2)+29.9,"ND")</f>
        <v>ND</v>
      </c>
      <c r="BF175" s="30" t="str">
        <f>IFERROR(IF(BF$9="ND","ND",VLOOKUP($C175,A12M,BF$9,0)),"ND")</f>
        <v>ND</v>
      </c>
      <c r="BG175" s="30" t="str">
        <f>IFERROR(ROUNDUP(BH175/12,2)+39.9,"ND")</f>
        <v>ND</v>
      </c>
      <c r="BH175" s="30" t="str">
        <f>IFERROR(IF(BH$9="ND","ND",VLOOKUP($C175,A12M,BH$9,0)),"ND")</f>
        <v>ND</v>
      </c>
      <c r="BI175" s="30" t="str">
        <f>IFERROR(ROUNDUP(BJ175/12,2)+49.9,"ND")</f>
        <v>ND</v>
      </c>
      <c r="BJ175" s="30" t="str">
        <f>IFERROR(IF(BJ$9="ND","ND",VLOOKUP($C175,A12M,BJ$9,0)),"ND")</f>
        <v>ND</v>
      </c>
      <c r="BK175" s="30" t="str">
        <f>IFERROR(ROUNDUP(BL175/12,2)+55.9,"ND")</f>
        <v>ND</v>
      </c>
      <c r="BL175" s="30" t="str">
        <f>IFERROR(IF(BL$9="ND","ND",VLOOKUP($C175,A12M,BL$9,0)),"ND")</f>
        <v>ND</v>
      </c>
      <c r="BM175" s="30" t="str">
        <f>IFERROR(ROUNDUP(BN175/12,2)+69.9,"ND")</f>
        <v>ND</v>
      </c>
      <c r="BN175" s="30" t="str">
        <f>IFERROR(IF(BN$9="ND","ND",VLOOKUP($C175,A12M,BN$9,0)),"ND")</f>
        <v>ND</v>
      </c>
      <c r="BO175" s="30" t="str">
        <f>IFERROR(ROUNDUP(BP175/12,2)+79.9,"ND")</f>
        <v>ND</v>
      </c>
      <c r="BP175" s="30" t="str">
        <f>IFERROR(IF(BP$9="ND","ND",VLOOKUP($C175,A12M,BP$9,0)),"ND")</f>
        <v>ND</v>
      </c>
      <c r="BQ175" s="30" t="str">
        <f>IFERROR(ROUNDUP(BR175/12,2)+95.9,"ND")</f>
        <v>ND</v>
      </c>
      <c r="BR175" s="30" t="str">
        <f>IFERROR(IF(BR$9="ND","ND",VLOOKUP($C175,A12M,BR$9,0)),"ND")</f>
        <v>ND</v>
      </c>
      <c r="BS175" s="30" t="str">
        <f>IFERROR(ROUNDUP(BT175/12,2)+109.9,"ND")</f>
        <v>ND</v>
      </c>
      <c r="BT175" s="30" t="str">
        <f>IFERROR(IF(BT$9="ND","ND",VLOOKUP($C175,A12M,BT$9,0)),"ND")</f>
        <v>ND</v>
      </c>
      <c r="BU175" s="30" t="str">
        <f>IFERROR(ROUNDUP(BV175/12,2)+159.9,"ND")</f>
        <v>ND</v>
      </c>
      <c r="BV175" s="30" t="str">
        <f>IFERROR(IF(BV$9="ND","ND",VLOOKUP($C175,A12M,BV$9,0)),"ND")</f>
        <v>ND</v>
      </c>
      <c r="BW175" s="30" t="str">
        <f>IFERROR(ROUNDUP(BX175/12,2)+189.9,"ND")</f>
        <v>ND</v>
      </c>
      <c r="BX175" s="30" t="str">
        <f>IFERROR(IF(BX$9="ND","ND",VLOOKUP($C175,A12M,BX$9,0)),"ND")</f>
        <v>ND</v>
      </c>
      <c r="BY175" s="30" t="str">
        <f>IFERROR(ROUNDUP(BZ175/12,2)+289.9,"ND")</f>
        <v>ND</v>
      </c>
      <c r="BZ175" s="30" t="str">
        <f>IFERROR(IF(BZ$9="ND","ND",VLOOKUP($C175,A12M,BZ$9,0)),"ND")</f>
        <v>ND</v>
      </c>
      <c r="CA175" s="30" t="str">
        <f>IFERROR(IF(CA$9="ND","ND",VLOOKUP($C175,FULLC,CA$9,0)),"ND")</f>
        <v>ND</v>
      </c>
      <c r="CB175" s="30" t="str">
        <f>IFERROR(IF(CB$9="ND","ND",VLOOKUP($C175,FULLC,CB$9,0)),"ND")</f>
        <v>ND</v>
      </c>
      <c r="CC175" s="30" t="str">
        <f>IFERROR(IF(CC$9="ND","ND",VLOOKUP($C175,FULLC,CC$9,0)),"ND")</f>
        <v>ND</v>
      </c>
      <c r="CD175" s="30" t="str">
        <f>IFERROR(IF(CD$9="ND","ND",VLOOKUP($C175,FULLC,CD$9,0)),"ND")</f>
        <v>ND</v>
      </c>
      <c r="CE175" s="30" t="str">
        <f>IFERROR(IF(CE$9="ND","ND",VLOOKUP($C175,FULLC,CE$9,0)),"ND")</f>
        <v>ND</v>
      </c>
      <c r="CF175" s="30" t="str">
        <f>IFERROR(IF(CF$9="ND","ND",VLOOKUP($C175,FULLC,CF$9,0)),"ND")</f>
        <v>ND</v>
      </c>
      <c r="CG175" s="30" t="str">
        <f>IFERROR(IF(CG$9="ND","ND",VLOOKUP($C175,FULLC,CG$9,0)),"ND")</f>
        <v>ND</v>
      </c>
      <c r="CH175" s="30" t="str">
        <f>IFERROR(IF(CH$9="ND","ND",VLOOKUP($C175,FULLC,CH$9,0)),"ND")</f>
        <v>ND</v>
      </c>
      <c r="CI175" s="30" t="str">
        <f>IFERROR(IF(CI$9="ND","ND",VLOOKUP($C175,FULLC,CI$9,0)),"ND")</f>
        <v>ND</v>
      </c>
      <c r="CJ175" s="30" t="str">
        <f>IFERROR(IF(CJ$9="ND","ND",VLOOKUP($C175,FULLC,CJ$9,0)),"ND")</f>
        <v>ND</v>
      </c>
      <c r="CK175" s="30" t="str">
        <f>IFERROR(IF(CK$9="ND","ND",VLOOKUP($C175,FULLC,CK$9,0)),"ND")</f>
        <v>ND</v>
      </c>
      <c r="CL175" s="30" t="str">
        <f>IFERROR(IF(CL$9="ND","ND",VLOOKUP($C175,LINA,CL$9,0)),"ND")</f>
        <v>ND</v>
      </c>
      <c r="CM175" s="30" t="str">
        <f>IFERROR(IF(CM$9="ND","ND",VLOOKUP($C175,LINA,CM$9,0)),"ND")</f>
        <v>ND</v>
      </c>
      <c r="CN175" s="30" t="str">
        <f>IFERROR(IF(CN$9="ND","ND",VLOOKUP($C175,LINA,CN$9,0)),"ND")</f>
        <v>ND</v>
      </c>
      <c r="CO175" s="30" t="str">
        <f>IFERROR(IF(CO$9="ND","ND",VLOOKUP($C175,LINA,CO$9,0)),"ND")</f>
        <v>ND</v>
      </c>
      <c r="CP175" s="30" t="str">
        <f>IFERROR(IF(CP$9="ND","ND",VLOOKUP($C175,LINA,CP$9,0)),"ND")</f>
        <v>ND</v>
      </c>
      <c r="CQ175" s="30" t="str">
        <f>IFERROR(IF(CQ$9="ND","ND",VLOOKUP($C175,LINA,CQ$9,0)),"ND")</f>
        <v>ND</v>
      </c>
      <c r="CR175" s="30" t="str">
        <f>IFERROR(IF(CR$9="ND","ND",VLOOKUP($C175,LINA,CR$9,0)),"ND")</f>
        <v>ND</v>
      </c>
      <c r="CS175" s="30" t="str">
        <f>IFERROR(IF(CS$9="ND","ND",VLOOKUP($C175,LINA,CS$9,0)),"ND")</f>
        <v>ND</v>
      </c>
      <c r="CT175" s="30" t="str">
        <f>IFERROR(IF(CT$9="ND","ND",VLOOKUP($C175,LINA,CT$9,0)),"ND")</f>
        <v>ND</v>
      </c>
      <c r="CU175" s="30" t="str">
        <f>IFERROR(IF(CU$9="ND","ND",VLOOKUP($C175,LINA,CU$9,0)),"ND")</f>
        <v>ND</v>
      </c>
      <c r="CV175" s="30" t="str">
        <f>IFERROR(IF(CV$9="ND","ND",VLOOKUP($C175,LINA,CV$9,0)),"ND")</f>
        <v>ND</v>
      </c>
      <c r="CW175" s="30" t="str">
        <f>IFERROR(ROUNDUP(CX175/6,2)+29.9,"ND")</f>
        <v>ND</v>
      </c>
      <c r="CX175" s="30" t="str">
        <f>IFERROR(IF(CX$9="ND","ND",VLOOKUP($C175,AC6M,CX$9,0)),"ND")</f>
        <v>ND</v>
      </c>
      <c r="CY175" s="30" t="str">
        <f>IFERROR(ROUNDUP(CZ175/6,2)+39.9,"ND")</f>
        <v>ND</v>
      </c>
      <c r="CZ175" s="30" t="str">
        <f>IFERROR(IF(CZ$9="ND","ND",VLOOKUP($C175,AC6M,CZ$9,0)),"ND")</f>
        <v>ND</v>
      </c>
      <c r="DA175" s="30" t="str">
        <f>IFERROR(ROUNDUP(DB175/6,2)+49.9,"ND")</f>
        <v>ND</v>
      </c>
      <c r="DB175" s="30" t="str">
        <f>IFERROR(IF(DB$9="ND","ND",VLOOKUP($C175,AC6M,DB$9,0)),"ND")</f>
        <v>ND</v>
      </c>
      <c r="DC175" s="30" t="str">
        <f>IFERROR(ROUNDUP(DD175/6,2)+55.9,"ND")</f>
        <v>ND</v>
      </c>
      <c r="DD175" s="30" t="str">
        <f>IFERROR(IF(DD$9="ND","ND",VLOOKUP($C175,AC6M,DD$9,0)),"ND")</f>
        <v>ND</v>
      </c>
      <c r="DE175" s="30" t="str">
        <f>IFERROR(ROUNDUP(DF175/6,2)+69.9,"ND")</f>
        <v>ND</v>
      </c>
      <c r="DF175" s="30" t="str">
        <f>IFERROR(IF(DF$9="ND","ND",VLOOKUP($C175,AC6M,DF$9,0)),"ND")</f>
        <v>ND</v>
      </c>
      <c r="DG175" s="30" t="str">
        <f>IFERROR(ROUNDUP(DH175/6,2)+79.9,"ND")</f>
        <v>ND</v>
      </c>
      <c r="DH175" s="30" t="str">
        <f>IFERROR(IF(DH$9="ND","ND",VLOOKUP($C175,AC6M,DH$9,0)),"ND")</f>
        <v>ND</v>
      </c>
      <c r="DI175" s="30" t="str">
        <f>IFERROR(ROUNDUP(DJ175/6,2)+95.9,"ND")</f>
        <v>ND</v>
      </c>
      <c r="DJ175" s="30" t="str">
        <f>IFERROR(IF(DJ$9="ND","ND",VLOOKUP($C175,AC6M,DJ$9,0)),"ND")</f>
        <v>ND</v>
      </c>
      <c r="DK175" s="30" t="str">
        <f>IFERROR(ROUNDUP(DL175/6,2)+109.9,"ND")</f>
        <v>ND</v>
      </c>
      <c r="DL175" s="30" t="str">
        <f>IFERROR(IF(DL$9="ND","ND",VLOOKUP($C175,AC6M,DL$9,0)),"ND")</f>
        <v>ND</v>
      </c>
      <c r="DM175" s="30" t="str">
        <f>IFERROR(ROUNDUP(DN175/6,2)+159.9,"ND")</f>
        <v>ND</v>
      </c>
      <c r="DN175" s="30" t="str">
        <f>IFERROR(IF(DN$9="ND","ND",VLOOKUP($C175,AC6M,DN$9,0)),"ND")</f>
        <v>ND</v>
      </c>
      <c r="DO175" s="30" t="str">
        <f>IFERROR(ROUNDUP(DP175/6,2)+189.9,"ND")</f>
        <v>ND</v>
      </c>
      <c r="DP175" s="30" t="str">
        <f>IFERROR(IF(DP$9="ND","ND",VLOOKUP($C175,AC6M,DP$9,0)),"ND")</f>
        <v>ND</v>
      </c>
      <c r="DQ175" s="30" t="str">
        <f>IFERROR(ROUNDUP(DR175/6,2)+289.9,"ND")</f>
        <v>ND</v>
      </c>
      <c r="DR175" s="30" t="str">
        <f>IFERROR(IF(DR$9="ND","ND",VLOOKUP($C175,AC6M,DR$9,0)),"ND")</f>
        <v>ND</v>
      </c>
      <c r="DS175" s="30" t="str">
        <f>IFERROR(ROUNDUP(DT175/12,2)+29.9,"ND")</f>
        <v>ND</v>
      </c>
      <c r="DT175" s="30" t="str">
        <f>IFERROR(IF(DT$9="ND","ND",VLOOKUP($C175,AC12M,DT$9,0)),"ND")</f>
        <v>ND</v>
      </c>
      <c r="DU175" s="30" t="str">
        <f>IFERROR(ROUNDUP(DV175/12,2)+39.9,"ND")</f>
        <v>ND</v>
      </c>
      <c r="DV175" s="30" t="str">
        <f>IFERROR(IF(DV$9="ND","ND",VLOOKUP($C175,AC12M,DV$9,0)),"ND")</f>
        <v>ND</v>
      </c>
      <c r="DW175" s="30" t="str">
        <f>IFERROR(ROUNDUP(DX175/12,2)+49.9,"ND")</f>
        <v>ND</v>
      </c>
      <c r="DX175" s="30" t="str">
        <f>IFERROR(IF(DX$9="ND","ND",VLOOKUP($C175,AC12M,DX$9,0)),"ND")</f>
        <v>ND</v>
      </c>
      <c r="DY175" s="30" t="str">
        <f>IFERROR(ROUNDUP(DZ175/12,2)+55.9,"ND")</f>
        <v>ND</v>
      </c>
      <c r="DZ175" s="30" t="str">
        <f>IFERROR(IF(DZ$9="ND","ND",VLOOKUP($C175,AC12M,DZ$9,0)),"ND")</f>
        <v>ND</v>
      </c>
      <c r="EA175" s="30" t="str">
        <f>IFERROR(ROUNDUP(EB175/12,2)+69.9,"ND")</f>
        <v>ND</v>
      </c>
      <c r="EB175" s="30" t="str">
        <f>IFERROR(IF(EB$9="ND","ND",VLOOKUP($C175,AC12M,EB$9,0)),"ND")</f>
        <v>ND</v>
      </c>
      <c r="EC175" s="30" t="str">
        <f>IFERROR(ROUNDUP(ED175/12,2)+79.9,"ND")</f>
        <v>ND</v>
      </c>
      <c r="ED175" s="30" t="str">
        <f>IFERROR(IF(ED$9="ND","ND",VLOOKUP($C175,AC12M,ED$9,0)),"ND")</f>
        <v>ND</v>
      </c>
      <c r="EE175" s="30" t="str">
        <f>IFERROR(ROUNDUP(EF175/12,2)+95.9,"ND")</f>
        <v>ND</v>
      </c>
      <c r="EF175" s="30" t="str">
        <f>IFERROR(IF(EF$9="ND","ND",VLOOKUP($C175,AC12M,EF$9,0)),"ND")</f>
        <v>ND</v>
      </c>
      <c r="EG175" s="30" t="str">
        <f>IFERROR(ROUNDUP(EH175/12,2)+109.9,"ND")</f>
        <v>ND</v>
      </c>
      <c r="EH175" s="30" t="str">
        <f>IFERROR(IF(EH$9="ND","ND",VLOOKUP($C175,AC12M,EH$9,0)),"ND")</f>
        <v>ND</v>
      </c>
      <c r="EI175" s="30" t="str">
        <f>IFERROR(ROUNDUP(EJ175/12,2)+159.9,"ND")</f>
        <v>ND</v>
      </c>
      <c r="EJ175" s="30" t="str">
        <f>IFERROR(IF(EJ$9="ND","ND",VLOOKUP($C175,AC12M,EJ$9,0)),"ND")</f>
        <v>ND</v>
      </c>
      <c r="EK175" s="30" t="str">
        <f>IFERROR(ROUNDUP(EL175/12,2)+189.9,"ND")</f>
        <v>ND</v>
      </c>
      <c r="EL175" s="30" t="str">
        <f>IFERROR(IF(EL$9="ND","ND",VLOOKUP($C175,AC12M,EL$9,0)),"ND")</f>
        <v>ND</v>
      </c>
      <c r="EM175" s="30" t="str">
        <f>IFERROR(ROUNDUP(EN175/12,2)+289.9,"ND")</f>
        <v>ND</v>
      </c>
      <c r="EN175" s="30" t="str">
        <f>IFERROR(IF(EN$9="ND","ND",VLOOKUP($C175,AC12M,EN$9,0)),"ND")</f>
        <v>ND</v>
      </c>
      <c r="EO175" s="30" t="str">
        <f>IFERROR(IF(EO$9="ND","ND",VLOOKUP($C175,PAR,EO$9,0)),"ND")</f>
        <v>ND</v>
      </c>
      <c r="EP175" s="30" t="str">
        <f>IFERROR(IF(EP$9="ND","ND",VLOOKUP($C175,PAR,EP$9,0)),"ND")</f>
        <v>ND</v>
      </c>
      <c r="EQ175" s="30" t="str">
        <f>IFERROR(IF(EQ$9="ND","ND",VLOOKUP($C175,PAR,EQ$9,0)),"ND")</f>
        <v>ND</v>
      </c>
      <c r="ER175" s="30" t="str">
        <f>IFERROR(IF(ER$9="ND","ND",VLOOKUP($C175,PAR,ER$9,0)),"ND")</f>
        <v>ND</v>
      </c>
      <c r="ES175" s="30" t="str">
        <f>IFERROR(IF(ES$9="ND","ND",VLOOKUP($C175,PAR,ES$9,0)),"ND")</f>
        <v>ND</v>
      </c>
      <c r="ET175" s="30" t="str">
        <f>IFERROR(IF(ET$9="ND","ND",VLOOKUP($C175,PAR,ET$9,0)),"ND")</f>
        <v>ND</v>
      </c>
      <c r="EU175" s="30" t="str">
        <f>IFERROR(IF(EU$9="ND","ND",VLOOKUP($C175,PAR,EU$9,0)),"ND")</f>
        <v>ND</v>
      </c>
      <c r="EV175" s="30" t="str">
        <f>IFERROR(IF(EV$9="ND","ND",VLOOKUP($C175,PAR,EV$9,0)),"ND")</f>
        <v>ND</v>
      </c>
      <c r="EW175" s="30" t="str">
        <f>IFERROR(IF(EW$9="ND","ND",VLOOKUP($C175,PAR,EW$9,0)),"ND")</f>
        <v>ND</v>
      </c>
      <c r="EX175" s="30" t="str">
        <f>IFERROR(IF(EX$9="ND","ND",VLOOKUP($C175,PAR,EX$9,0)),"ND")</f>
        <v>ND</v>
      </c>
      <c r="EY175" s="30" t="str">
        <f>IFERROR(IF(EY$9="ND","ND",VLOOKUP($C175,PAR,EY$9,0)),"ND")</f>
        <v>ND</v>
      </c>
      <c r="EZ175" s="30" t="str">
        <f>IFERROR(IF(EZ$9="ND","ND",VLOOKUP($C175,PE,EZ$9,0)),"ND")</f>
        <v>ND</v>
      </c>
      <c r="FA175" s="30" t="str">
        <f>IFERROR(IF(FA$9="ND","ND",VLOOKUP($C175,PE,FA$9,0)),"ND")</f>
        <v>ND</v>
      </c>
      <c r="FB175" s="30" t="str">
        <f>IFERROR(IF(FB$9="ND","ND",VLOOKUP($C175,PE,FB$9,0)),"ND")</f>
        <v>ND</v>
      </c>
      <c r="FC175" s="30" t="str">
        <f>IFERROR(IF(FC$9="ND","ND",VLOOKUP($C175,PE,FC$9,0)),"ND")</f>
        <v>ND</v>
      </c>
      <c r="FD175" s="30" t="str">
        <f>IFERROR(IF(FD$9="ND","ND",VLOOKUP($C175,PE,FD$9,0)),"ND")</f>
        <v>ND</v>
      </c>
      <c r="FE175" s="30" t="str">
        <f>IFERROR(IF(FE$9="ND","ND",VLOOKUP($C175,PE,FE$9,0)),"ND")</f>
        <v>ND</v>
      </c>
      <c r="FF175" s="30" t="str">
        <f>IFERROR(IF(FF$9="ND","ND",VLOOKUP($C175,PE,FF$9,0)),"ND")</f>
        <v>ND</v>
      </c>
      <c r="FG175" s="30" t="str">
        <f>IFERROR(IF(FG$9="ND","ND",VLOOKUP($C175,PE,FG$9,0)),"ND")</f>
        <v>ND</v>
      </c>
      <c r="FH175" s="30" t="str">
        <f>IFERROR(IF(FH$9="ND","ND",VLOOKUP($C175,PE,FH$9,0)),"ND")</f>
        <v>ND</v>
      </c>
      <c r="FI175" s="30" t="str">
        <f>IFERROR(IF(FI$9="ND","ND",VLOOKUP($C175,PE,FI$9,0)),"ND")</f>
        <v>ND</v>
      </c>
      <c r="FJ175" s="30" t="str">
        <f>IFERROR(IF(FJ$9="ND","ND",VLOOKUP($C175,PE,FJ$9,0)),"ND")</f>
        <v>ND</v>
      </c>
      <c r="FK175" s="30" t="str">
        <f>IFERROR(IF(FK$9="ND","ND",VLOOKUP($C175,RE,FK$9,0)),"ND")</f>
        <v>ND</v>
      </c>
      <c r="FL175" s="30" t="str">
        <f>IFERROR(IF(FL$9="ND","ND",VLOOKUP($C175,RE,FL$9,0)),"ND")</f>
        <v>ND</v>
      </c>
      <c r="FM175" s="30" t="str">
        <f>IFERROR(IF(FM$9="ND","ND",VLOOKUP($C175,RE,FM$9,0)),"ND")</f>
        <v>ND</v>
      </c>
      <c r="FN175" s="30" t="str">
        <f>IFERROR(IF(FN$9="ND","ND",VLOOKUP($C175,RE,FN$9,0)),"ND")</f>
        <v>ND</v>
      </c>
      <c r="FO175" s="30" t="str">
        <f>IFERROR(IF(FO$9="ND","ND",VLOOKUP($C175,RE,FO$9,0)),"ND")</f>
        <v>ND</v>
      </c>
      <c r="FP175" s="30" t="str">
        <f>IFERROR(IF(FP$9="ND","ND",VLOOKUP($C175,RE,FP$9,0)),"ND")</f>
        <v>ND</v>
      </c>
      <c r="FQ175" s="30" t="str">
        <f>IFERROR(IF(FQ$9="ND","ND",VLOOKUP($C175,RE,FQ$9,0)),"ND")</f>
        <v>ND</v>
      </c>
      <c r="FR175" s="30" t="str">
        <f>IFERROR(IF(FR$9="ND","ND",VLOOKUP($C175,RE,FR$9,0)),"ND")</f>
        <v>ND</v>
      </c>
      <c r="FS175" s="30" t="str">
        <f>IFERROR(IF(FS$9="ND","ND",VLOOKUP($C175,RE,FS$9,0)),"ND")</f>
        <v>ND</v>
      </c>
      <c r="FT175" s="30" t="str">
        <f>IFERROR(IF(FT$9="ND","ND",VLOOKUP($C175,RE,FT$9,0)),"ND")</f>
        <v>ND</v>
      </c>
      <c r="FU175" s="30" t="str">
        <f>IFERROR(IF(FU$9="ND","ND",VLOOKUP($C175,RE,FU$9,0)),"ND")</f>
        <v>ND</v>
      </c>
      <c r="FV175" s="30" t="str">
        <f>IFERROR(ROUNDUP(FW175/6,2)+29.9,"ND")</f>
        <v>ND</v>
      </c>
      <c r="FW175" s="30" t="str">
        <f>IFERROR(IF(FW$9="ND","ND",VLOOKUP($C175,LC6M,FW$9,0)),"ND")</f>
        <v>ND</v>
      </c>
      <c r="FX175" s="30" t="str">
        <f>IFERROR(ROUNDUP(FY175/6,2)+39.9,"ND")</f>
        <v>ND</v>
      </c>
      <c r="FY175" s="30" t="str">
        <f>IFERROR(IF(FY$9="ND","ND",VLOOKUP($C175,LC6M,FY$9,0)),"ND")</f>
        <v>ND</v>
      </c>
      <c r="FZ175" s="30" t="str">
        <f>IFERROR(ROUNDUP(GA175/6,2)+49.9,"ND")</f>
        <v>ND</v>
      </c>
      <c r="GA175" s="30" t="str">
        <f>IFERROR(IF(GA$9="ND","ND",VLOOKUP($C175,LC6M,GA$9,0)),"ND")</f>
        <v>ND</v>
      </c>
      <c r="GB175" s="30" t="str">
        <f>IFERROR(ROUNDUP(GC175/6,2)+55.9,"ND")</f>
        <v>ND</v>
      </c>
      <c r="GC175" s="30" t="str">
        <f>IFERROR(IF(GC$9="ND","ND",VLOOKUP($C175,LC6M,GC$9,0)),"ND")</f>
        <v>ND</v>
      </c>
      <c r="GD175" s="30" t="str">
        <f>IFERROR(ROUNDUP(GE175/6,2)+69.9,"ND")</f>
        <v>ND</v>
      </c>
      <c r="GE175" s="30" t="str">
        <f>IFERROR(IF(GE$9="ND","ND",VLOOKUP($C175,LC6M,GE$9,0)),"ND")</f>
        <v>ND</v>
      </c>
      <c r="GF175" s="30" t="str">
        <f>IFERROR(ROUNDUP(GG175/6,2)+79.9,"ND")</f>
        <v>ND</v>
      </c>
      <c r="GG175" s="30" t="str">
        <f>IFERROR(IF(GG$9="ND","ND",VLOOKUP($C175,LC6M,GG$9,0)),"ND")</f>
        <v>ND</v>
      </c>
      <c r="GH175" s="30" t="str">
        <f>IFERROR(ROUNDUP(GI175/6,2)+95.9,"ND")</f>
        <v>ND</v>
      </c>
      <c r="GI175" s="30" t="str">
        <f>IFERROR(IF(GI$9="ND","ND",VLOOKUP($C175,LC6M,GI$9,0)),"ND")</f>
        <v>ND</v>
      </c>
      <c r="GJ175" s="30" t="str">
        <f>IFERROR(ROUNDUP(GK175/6,2)+109.9,"ND")</f>
        <v>ND</v>
      </c>
      <c r="GK175" s="30" t="str">
        <f>IFERROR(IF(GK$9="ND","ND",VLOOKUP($C175,LC6M,GK$9,0)),"ND")</f>
        <v>ND</v>
      </c>
      <c r="GL175" s="30" t="str">
        <f>IFERROR(ROUNDUP(GM175/6,2)+159.9,"ND")</f>
        <v>ND</v>
      </c>
      <c r="GM175" s="30" t="str">
        <f>IFERROR(IF(GM$9="ND","ND",VLOOKUP($C175,LC6M,GM$9,0)),"ND")</f>
        <v>ND</v>
      </c>
      <c r="GN175" s="30" t="str">
        <f>IFERROR(ROUNDUP(GO175/6,2)+189.9,"ND")</f>
        <v>ND</v>
      </c>
      <c r="GO175" s="30" t="str">
        <f>IFERROR(IF(GO$9="ND","ND",VLOOKUP($C175,LC6M,GO$9,0)),"ND")</f>
        <v>ND</v>
      </c>
      <c r="GP175" s="30" t="str">
        <f>IFERROR(ROUNDUP(GQ175/6,2)+289.9,"ND")</f>
        <v>ND</v>
      </c>
      <c r="GQ175" s="30" t="str">
        <f>IFERROR(IF(GQ$9="ND","ND",VLOOKUP($C175,LC6M,GQ$9,0)),"ND")</f>
        <v>ND</v>
      </c>
      <c r="GR175" s="30" t="str">
        <f>IFERROR(ROUNDUP(GS175/12,2)+29.9,"ND")</f>
        <v>ND</v>
      </c>
      <c r="GS175" s="30" t="str">
        <f>IFERROR(IF(GS$9="ND","ND",VLOOKUP($C175,LP12M,GS$9,0)),"ND")</f>
        <v>ND</v>
      </c>
      <c r="GT175" s="30" t="str">
        <f>IFERROR(ROUNDUP(GU175/12,2)+39.9,"ND")</f>
        <v>ND</v>
      </c>
      <c r="GU175" s="30" t="str">
        <f>IFERROR(IF(GU$9="ND","ND",VLOOKUP($C175,LP12M,GU$9,0)),"ND")</f>
        <v>ND</v>
      </c>
      <c r="GV175" s="30" t="str">
        <f>IFERROR(ROUNDUP(GW175/12,2)+49.9,"ND")</f>
        <v>ND</v>
      </c>
      <c r="GW175" s="30" t="str">
        <f>IFERROR(IF(GW$9="ND","ND",VLOOKUP($C175,LP12M,GW$9,0)),"ND")</f>
        <v>ND</v>
      </c>
      <c r="GX175" s="30" t="str">
        <f>IFERROR(ROUNDUP(GY175/12,2)+55.9,"ND")</f>
        <v>ND</v>
      </c>
      <c r="GY175" s="30" t="str">
        <f>IFERROR(IF(GY$9="ND","ND",VLOOKUP($C175,LP12M,GY$9,0)),"ND")</f>
        <v>ND</v>
      </c>
      <c r="GZ175" s="30" t="str">
        <f>IFERROR(ROUNDUP(HA175/12,2)+69.9,"ND")</f>
        <v>ND</v>
      </c>
      <c r="HA175" s="30" t="str">
        <f>IFERROR(IF(HA$9="ND","ND",VLOOKUP($C175,LP12M,HA$9,0)),"ND")</f>
        <v>ND</v>
      </c>
      <c r="HB175" s="30" t="str">
        <f>IFERROR(ROUNDUP(HC175/12,2)+79.9,"ND")</f>
        <v>ND</v>
      </c>
      <c r="HC175" s="30" t="str">
        <f>IFERROR(IF(HC$9="ND","ND",VLOOKUP($C175,LP12M,HC$9,0)),"ND")</f>
        <v>ND</v>
      </c>
      <c r="HD175" s="30" t="str">
        <f>IFERROR(ROUNDUP(HE175/12,2)+95.9,"ND")</f>
        <v>ND</v>
      </c>
      <c r="HE175" s="30" t="str">
        <f>IFERROR(IF(HE$9="ND","ND",VLOOKUP($C175,LP12M,HE$9,0)),"ND")</f>
        <v>ND</v>
      </c>
      <c r="HF175" s="30" t="str">
        <f>IFERROR(ROUNDUP(HG175/12,2)+109.9,"ND")</f>
        <v>ND</v>
      </c>
      <c r="HG175" s="30" t="str">
        <f>IFERROR(IF(HG$9="ND","ND",VLOOKUP($C175,LP12M,HG$9,0)),"ND")</f>
        <v>ND</v>
      </c>
      <c r="HH175" s="30" t="str">
        <f>IFERROR(ROUNDUP(HI175/12,2)+159.9,"ND")</f>
        <v>ND</v>
      </c>
      <c r="HI175" s="30" t="str">
        <f>IFERROR(IF(HI$9="ND","ND",VLOOKUP($C175,LP12M,HI$9,0)),"ND")</f>
        <v>ND</v>
      </c>
      <c r="HJ175" s="30" t="str">
        <f>IFERROR(ROUNDUP(HK175/12,2)+189.9,"ND")</f>
        <v>ND</v>
      </c>
      <c r="HK175" s="30" t="str">
        <f>IFERROR(IF(HK$9="ND","ND",VLOOKUP($C175,LP12M,HK$9,0)),"ND")</f>
        <v>ND</v>
      </c>
      <c r="HL175" s="30" t="str">
        <f>IFERROR(ROUNDUP(HM175/12,2)+289.9,"ND")</f>
        <v>ND</v>
      </c>
      <c r="HM175" s="30" t="str">
        <f>IFERROR(IF(HM$9="ND","ND",VLOOKUP($C175,LP12M,HM$9,0)),"ND")</f>
        <v>ND</v>
      </c>
      <c r="HN175" s="30" t="str">
        <f>IFERROR(ROUNDUP(HO175/12,2)+29.9,"ND")</f>
        <v>ND</v>
      </c>
      <c r="HO175" s="30" t="str">
        <f>IFERROR(IF(HO$9="ND","ND",VLOOKUP($C175,LR12M,HO$9,0)),"ND")</f>
        <v>ND</v>
      </c>
      <c r="HP175" s="30" t="str">
        <f>IFERROR(ROUNDUP(HQ175/12,2)+39.9,"ND")</f>
        <v>ND</v>
      </c>
      <c r="HQ175" s="30" t="str">
        <f>IFERROR(IF(HQ$9="ND","ND",VLOOKUP($C175,LR12M,HQ$9,0)),"ND")</f>
        <v>ND</v>
      </c>
      <c r="HR175" s="30" t="str">
        <f>IFERROR(ROUNDUP(HS175/12,2)+49.9,"ND")</f>
        <v>ND</v>
      </c>
      <c r="HS175" s="30" t="str">
        <f>IFERROR(IF(HS$9="ND","ND",VLOOKUP($C175,LR12M,HS$9,0)),"ND")</f>
        <v>ND</v>
      </c>
      <c r="HT175" s="30" t="str">
        <f>IFERROR(ROUNDUP(HU175/12,2)+55.9,"ND")</f>
        <v>ND</v>
      </c>
      <c r="HU175" s="30" t="str">
        <f>IFERROR(IF(HU$9="ND","ND",VLOOKUP($C175,LR12M,HU$9,0)),"ND")</f>
        <v>ND</v>
      </c>
      <c r="HV175" s="30" t="str">
        <f>IFERROR(ROUNDUP(HW175/12,2)+69.9,"ND")</f>
        <v>ND</v>
      </c>
      <c r="HW175" s="30" t="str">
        <f>IFERROR(IF(HW$9="ND","ND",VLOOKUP($C175,LR12M,HW$9,0)),"ND")</f>
        <v>ND</v>
      </c>
      <c r="HX175" s="30" t="str">
        <f>IFERROR(ROUNDUP(HY175/12,2)+79.9,"ND")</f>
        <v>ND</v>
      </c>
      <c r="HY175" s="30" t="str">
        <f>IFERROR(IF(HY$9="ND","ND",VLOOKUP($C175,LR12M,HY$9,0)),"ND")</f>
        <v>ND</v>
      </c>
      <c r="HZ175" s="30" t="str">
        <f>IFERROR(ROUNDUP(IA175/12,2)+95.9,"ND")</f>
        <v>ND</v>
      </c>
      <c r="IA175" s="30" t="str">
        <f>IFERROR(IF(IA$9="ND","ND",VLOOKUP($C175,LR12M,IA$9,0)),"ND")</f>
        <v>ND</v>
      </c>
      <c r="IB175" s="30" t="str">
        <f>IFERROR(ROUNDUP(IC175/12,2)+109.9,"ND")</f>
        <v>ND</v>
      </c>
      <c r="IC175" s="30" t="str">
        <f>IFERROR(IF(IC$9="ND","ND",VLOOKUP($C175,LR12M,IC$9,0)),"ND")</f>
        <v>ND</v>
      </c>
      <c r="ID175" s="30" t="str">
        <f>IFERROR(ROUNDUP(IE175/12,2)+159.9,"ND")</f>
        <v>ND</v>
      </c>
      <c r="IE175" s="30" t="str">
        <f>IFERROR(IF(IE$9="ND","ND",VLOOKUP($C175,LR12M,IE$9,0)),"ND")</f>
        <v>ND</v>
      </c>
      <c r="IF175" s="30" t="str">
        <f>IFERROR(ROUNDUP(IG175/12,2)+189.9,"ND")</f>
        <v>ND</v>
      </c>
      <c r="IG175" s="30" t="str">
        <f>IFERROR(IF(IG$9="ND","ND",VLOOKUP($C175,LR12M,IG$9,0)),"ND")</f>
        <v>ND</v>
      </c>
      <c r="IH175" s="30" t="str">
        <f>IFERROR(ROUNDUP(II175/12,2)+289.9,"ND")</f>
        <v>ND</v>
      </c>
      <c r="II175" s="30" t="str">
        <f>IFERROR(IF(II$9="ND","ND",VLOOKUP($C175,LR12M,II$9,0)),"ND")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2023-05-29T17:13:27Z</dcterms:modified>
</cp:coreProperties>
</file>