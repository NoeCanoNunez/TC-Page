
<file path=[Content_Types].xml><?xml version="1.0" encoding="utf-8"?>
<Types xmlns="http://schemas.openxmlformats.org/package/2006/content-types">
  <Default Extension="bin" ContentType="application/vnd.openxmlformats-officedocument.spreadsheetml.printerSettings"/>
  <Default Extension="jfif" ContentType="image/jpeg"/>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showSheetTabs="0" xWindow="0" yWindow="0" windowWidth="20490" windowHeight="7755"/>
  </bookViews>
  <sheets>
    <sheet name="PORTADA" sheetId="5" r:id="rId1"/>
    <sheet name="PRINCIPAL" sheetId="4" r:id="rId2"/>
    <sheet name="BBDD" sheetId="1" r:id="rId3"/>
    <sheet name="Lista" sheetId="2" r:id="rId4"/>
  </sheets>
  <externalReferences>
    <externalReference r:id="rId5"/>
  </externalReferences>
  <definedNames>
    <definedName name="_xlnm._FilterDatabase" localSheetId="2" hidden="1">BBDD!$C$1:$Q$86</definedName>
    <definedName name="_xlnm._FilterDatabase" localSheetId="3" hidden="1">Lista!$A$1:$B$101</definedName>
    <definedName name="listado">[1]Hoja2!$B$2:$B$96</definedName>
    <definedName name="NOMBRES">Lista!$A$1:$A$102</definedName>
    <definedName name="TABLA">BBDD!$C$1:$P$91</definedName>
    <definedName name="TABLA1">[1]BBDD!$A$2:$N$96</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4" l="1"/>
  <c r="D4" i="4"/>
  <c r="D14" i="4" l="1"/>
  <c r="D16" i="4"/>
  <c r="D11" i="4"/>
  <c r="D19" i="4"/>
  <c r="D9" i="4"/>
  <c r="D6" i="4" l="1"/>
  <c r="D7" i="4"/>
  <c r="D5" i="4"/>
  <c r="D17" i="4"/>
</calcChain>
</file>

<file path=xl/sharedStrings.xml><?xml version="1.0" encoding="utf-8"?>
<sst xmlns="http://schemas.openxmlformats.org/spreadsheetml/2006/main" count="1243" uniqueCount="393">
  <si>
    <t>Nombre de campaña en SISACT</t>
  </si>
  <si>
    <t>Nombre Lista de precios relacionada</t>
  </si>
  <si>
    <t>Nombre de campaña en SIAC ÚNICO</t>
  </si>
  <si>
    <t>Canales para los que aplica</t>
  </si>
  <si>
    <t>Estado</t>
  </si>
  <si>
    <t>Hojas de Venta relacionadas</t>
  </si>
  <si>
    <t>Resúmenes NPs relacionados</t>
  </si>
  <si>
    <t>Tipo de Beneficio</t>
  </si>
  <si>
    <t>-</t>
  </si>
  <si>
    <t>PORTABILIDAD</t>
  </si>
  <si>
    <t>No Vigente</t>
  </si>
  <si>
    <t>Descuento en cargo fijo</t>
  </si>
  <si>
    <t>Descuento en equipo y cargo fijo</t>
  </si>
  <si>
    <t>ALTA REGULAR</t>
  </si>
  <si>
    <t>LISTA DE PRECIOS</t>
  </si>
  <si>
    <t>ALTA</t>
  </si>
  <si>
    <t>ATAQUE COMPETENCIA</t>
  </si>
  <si>
    <t>Vigente</t>
  </si>
  <si>
    <t>ATAQUE COMPETENCIA CUOTAS</t>
  </si>
  <si>
    <t>AUTOLIQUIDABLE</t>
  </si>
  <si>
    <t>Válido a través del app de Ventas</t>
  </si>
  <si>
    <t>Bono de gigas</t>
  </si>
  <si>
    <t>AVENTURA DE OFERTAS</t>
  </si>
  <si>
    <t>AVENTURA DE OFERTAS CUOTAS</t>
  </si>
  <si>
    <t>CADENAS POST REG 11</t>
  </si>
  <si>
    <t>Beneficio líneas adicionales:
Válido para todos los canales.</t>
  </si>
  <si>
    <t>CADENAS POST REG 12</t>
  </si>
  <si>
    <t>CADENAS POST REG 14</t>
  </si>
  <si>
    <t>CADENAS POSTPAGO 1</t>
  </si>
  <si>
    <t>CADENAS POSTPAGO 10</t>
  </si>
  <si>
    <t>CADENAS POSTPAGO 2</t>
  </si>
  <si>
    <t>CADENAS POSTPAGO 3</t>
  </si>
  <si>
    <t>CADENAS POSTPAGO 4</t>
  </si>
  <si>
    <t>CADENAS POSTPAGO 5</t>
  </si>
  <si>
    <t>CADENAS POSTPAGO 6</t>
  </si>
  <si>
    <t>CADENAS POSTPAGO 7</t>
  </si>
  <si>
    <t>CADENAS POSTPAGO 8</t>
  </si>
  <si>
    <t>CADENAS POSTPAGO 9</t>
  </si>
  <si>
    <t>COMBO CLARO MIX</t>
  </si>
  <si>
    <t>COMBO CLARO PLUS</t>
  </si>
  <si>
    <t>LISTA COMBOS CLARO POSTPAGO</t>
  </si>
  <si>
    <t>COMBO FULL CLARO MIX</t>
  </si>
  <si>
    <t>CONTRAATAQUE PICK UP</t>
  </si>
  <si>
    <t>CONVENIOS</t>
  </si>
  <si>
    <t>LISTA DE PRECIOS CONVENIOS</t>
  </si>
  <si>
    <t>CYBER DAY POST</t>
  </si>
  <si>
    <t>CYBER MONDAY</t>
  </si>
  <si>
    <t>Descuento en equipo, cargo fijo y bono</t>
  </si>
  <si>
    <t>DAYS PROMO TIENDA</t>
  </si>
  <si>
    <t>PRECIOS TIENDA ONLINE POST</t>
  </si>
  <si>
    <t>DESCUENTO ALTA/PORTA</t>
  </si>
  <si>
    <t>DESCUENTO ECOMMERCE</t>
  </si>
  <si>
    <t>DSCTO 20% ECOMMERCE</t>
  </si>
  <si>
    <t>DESCUENTO ECOMMERCE CUOTAS</t>
  </si>
  <si>
    <t>DSCTO 20% ECOMMERCE CUOTAS</t>
  </si>
  <si>
    <t>DESCUENTO TELEVENTAS</t>
  </si>
  <si>
    <t>DSCTO 20% TELEVENTAS</t>
  </si>
  <si>
    <t>DESCUENTO TELEVENTAS CUOTAS</t>
  </si>
  <si>
    <t>DSCTO 20% TELEVENTAS CUOTAS</t>
  </si>
  <si>
    <t>DIAS CLARO FANS POST</t>
  </si>
  <si>
    <t>DIAS CLARO POST</t>
  </si>
  <si>
    <t>DSCTO ECOMMERCE</t>
  </si>
  <si>
    <t>DSCTO+BASE</t>
  </si>
  <si>
    <t>ENTIDAD BANCARIA</t>
  </si>
  <si>
    <t>LISTA DE PRECIOS VIP</t>
  </si>
  <si>
    <t>EXCEPCIONES</t>
  </si>
  <si>
    <t>EXCEPCIONES CUOTA PORTA</t>
  </si>
  <si>
    <t>HORAS NAVIDEÑAS CUOTAS PORTA</t>
  </si>
  <si>
    <t>FULL CLARO</t>
  </si>
  <si>
    <t>LISTA DE PRECIOS FULL CLARO</t>
  </si>
  <si>
    <t>FULL CLARO RENOVACIÓN</t>
  </si>
  <si>
    <t>RENOVACIÓN</t>
  </si>
  <si>
    <t>Descuento en equipo</t>
  </si>
  <si>
    <t>LANZAMIENTOS</t>
  </si>
  <si>
    <t>LINEA ADICIONAL ALTA</t>
  </si>
  <si>
    <t>LINEA ADICIONAL ALTA CUOTA</t>
  </si>
  <si>
    <t>LINEA ADICIONAL ALTA CUOTA 6M</t>
  </si>
  <si>
    <t>LISTA CUOTAS LITE 6M</t>
  </si>
  <si>
    <t>LISTA VENTA EN CUOTAS</t>
  </si>
  <si>
    <t xml:space="preserve">LISTA EXCLUSIVA CUOTAS PORTA </t>
  </si>
  <si>
    <t>LISTA EXCLUSIVA CUOTAS RENO</t>
  </si>
  <si>
    <t>MIÉRCOLES CON MILLAS</t>
  </si>
  <si>
    <t xml:space="preserve"> MILLAS CYBER CUOTAS - TIENDA VIRTUAL</t>
  </si>
  <si>
    <t>MIGRA/PORTA A POST</t>
  </si>
  <si>
    <t>OFERTA EXPRESS</t>
  </si>
  <si>
    <t>PROMO TIENDA Y TELEVENTAS P/A</t>
  </si>
  <si>
    <t>PICK UP ALTA</t>
  </si>
  <si>
    <t>PICK UP PORTA</t>
  </si>
  <si>
    <t>PICK UP PORTA CUOTAS</t>
  </si>
  <si>
    <t>PORTABILIDAD EXCLUSIVA</t>
  </si>
  <si>
    <t>PORTABILIDAD PLUS</t>
  </si>
  <si>
    <t>PORTABILIDAD PLUS CUOTAS</t>
  </si>
  <si>
    <t>PORTABILIDAD POST A POST</t>
  </si>
  <si>
    <t>Beneficio Líneas adicionales: Válido para todos los canales.
Portabilidad Post a Post
Válido para Televentas.</t>
  </si>
  <si>
    <t>PROM BBVA POST</t>
  </si>
  <si>
    <t>PROM CENCOSUD POST</t>
  </si>
  <si>
    <t>PROM DINERS POST</t>
  </si>
  <si>
    <t>PROM INTERBANK POST</t>
  </si>
  <si>
    <t>PROMOCION INTERBANK POST</t>
  </si>
  <si>
    <t>PROM SCOTIABANK POST</t>
  </si>
  <si>
    <t>PROMOCION SCOTIABANK POSTPAGO</t>
  </si>
  <si>
    <t>PROM TARJETA OH POST</t>
  </si>
  <si>
    <t>PROMO CANJE SMART 2022</t>
  </si>
  <si>
    <t>PROMO DAC Y CADENAS</t>
  </si>
  <si>
    <t>PROMO FOCALIZADA</t>
  </si>
  <si>
    <t>PROMOCION FOCALIZADA</t>
  </si>
  <si>
    <t>PROMO OFERTA SECRETA</t>
  </si>
  <si>
    <t>PROMO POST</t>
  </si>
  <si>
    <t>PROMOCION POSTPAGO</t>
  </si>
  <si>
    <t>PROMO RELAMPAGO POST</t>
  </si>
  <si>
    <t>PROMOCION RELAMPAGO</t>
  </si>
  <si>
    <t>PROMOCION HUAWEI</t>
  </si>
  <si>
    <t>PROMOCION XIAOMI-HUAWEI</t>
  </si>
  <si>
    <t>REFERIDOS PREMIUM</t>
  </si>
  <si>
    <t>REFERIDOS PREMIUM CUOTAS</t>
  </si>
  <si>
    <t>RENOVACIÓN EXCLUSIVA</t>
  </si>
  <si>
    <t xml:space="preserve">Lista de Precios: Renovación Exclusiva
*Válido para renovaciones.
*Al contado plazo de acuerdo a 18 meses.
</t>
  </si>
  <si>
    <t>RETENCIÓN ESPECIAL</t>
  </si>
  <si>
    <t>RETENCIÓN ESPECIAL CUOTAS</t>
  </si>
  <si>
    <t>RETENCION ESPECIAL MIGRA</t>
  </si>
  <si>
    <t>RETENCIÓN ESPECIAL MIGRACIÓN</t>
  </si>
  <si>
    <t>MIGRACION</t>
  </si>
  <si>
    <t>SAN VALENTIN POST</t>
  </si>
  <si>
    <t>BLACK DAY POST</t>
  </si>
  <si>
    <t>TELEVENTAS FULL CLARO</t>
  </si>
  <si>
    <t>TIENDA VIRTUAL CUOTAS</t>
  </si>
  <si>
    <t>TIENDA VIRTUAL POST</t>
  </si>
  <si>
    <t>TIENDA VIRTUAL CONTADO</t>
  </si>
  <si>
    <t>VIP CONTADO</t>
  </si>
  <si>
    <t>VIP CUOTAS</t>
  </si>
  <si>
    <t>LISTA DE PRECIOS VIP CUOTAS</t>
  </si>
  <si>
    <t>Modalidad</t>
  </si>
  <si>
    <t>Beneficios</t>
  </si>
  <si>
    <t>Condiciones</t>
  </si>
  <si>
    <t>Beneficio Descuento Líneas Adicionales Resumen Nota de Producto
Ruta: Productos y Promociones/Resumen NP/ Postpago/Beneficios Descuentos Lineas Adicionales (Aplican todas las Campañas)</t>
  </si>
  <si>
    <t xml:space="preserve">
</t>
  </si>
  <si>
    <t>Válido para todos los canales (aplica tambien para beneficios de líneas adicionales)</t>
  </si>
  <si>
    <t xml:space="preserve">Lista de Precios Full Claro:
*Lista de precios para clientes que cuentan con un servicio fijo hfc o ftth y se les ofrece el servicio móvil.Se deja de comercializar el plan Max Ilimitado 125.
* Se agrega el plan Max 25.90.
</t>
  </si>
  <si>
    <t xml:space="preserve">
Black Friday Mall Aventura y Beneficios Líneas Adicionales
Válido para todos los canales.
Campaña Mall Aventura:
Válido para CAC y Cadenas.
Promoción de Ofertas Mall Aventura Plaza:
PDV de Mall Plaz Lima, Arequipa y Chiclayo.
</t>
  </si>
  <si>
    <t>Válido para todos los canales.</t>
  </si>
  <si>
    <t xml:space="preserve">Beneficios Líneas Adicionales:
Válido para todos los canales.
Válido para Cadenas.
</t>
  </si>
  <si>
    <t xml:space="preserve">
*Válido para clientes de HFC/FTTH que les falte el producto móvil para ser FULL CLARO y para clientes que ya son FULL CLARO.
Tanto la línea 1 y 2 deben adquirirse bajo el plan max 49.90.
Válido hasta el 31/12/2021.</t>
  </si>
  <si>
    <t xml:space="preserve">
Beneficio líneas adicionales:
Válido para todos los canales.
Cyber Days:
Válido para Tienda Virtual.
Descuento Cargo Fijo Televentas y Tienda Virtual:
Válido para televentas y tienda virtual.
</t>
  </si>
  <si>
    <t xml:space="preserve">
Beneficio líneas adicionales:
Válido para todos los canales.
Descuento Cargo Fijo Televentas y Tienda Virtual:
Válido para televentas y tienda virtual.
</t>
  </si>
  <si>
    <t xml:space="preserve">
Beneficio Líneas adicionales:
Válido para todos los canales.
Promoción Canal Virtual:
Válido para el canal virtual.
</t>
  </si>
  <si>
    <t xml:space="preserve">
Beneficio Líneas adicionales:
Válido para todos los canales.
Portabilidad Proactiva:
Válido para Televentas.</t>
  </si>
  <si>
    <t>Entidad Bancaria y Beneficios Líneas Adicionales:
Válido para todos los canales.
Descuento Cargo Fijo Televentas y Tienda Virtual:
Válido para televentas y tienda virtual.</t>
  </si>
  <si>
    <t xml:space="preserve">
Válido para todos los canales (aplica también para beneficio líneas adicionales).</t>
  </si>
  <si>
    <t xml:space="preserve">
Válido para todos los canales.</t>
  </si>
  <si>
    <t xml:space="preserve">Lista Cuotas Lite 6M:
*Para cadenas cuota inicial por el equipo de 1 sol (mínimo).
*Lista de precios disponible para planes de la oferta actual y planes antiguos para la base de clientes.
*Lista de precios aplica para portabilidad en algunos planes.
</t>
  </si>
  <si>
    <t xml:space="preserve">Lista Exclusiva Cuotas Porta:
*Para cadenas cuota inicial por el equipo de 1 sol (mínimo).
*12 Meses: No válido para planes 39.90 y de acuerdo al modelo del equipo para 49.90 y 55.90.
*18 Meses: No válido para planes 39.90, 49.90 y 55.90.
</t>
  </si>
  <si>
    <t>Beneficio Líneas Adicionales:
Válido para todos los canales.
Cyber Days Post:
Válido para tienda virtual.</t>
  </si>
  <si>
    <t xml:space="preserve">
Beneficio Líneas adicionales: 
Aplica para todos los canales.
Pick up alta: 
Válido sólo para televentas.
</t>
  </si>
  <si>
    <t xml:space="preserve">
Beneficio líneas adicionales:
Válido para todos los canales.
Portabilidad Plus:
Válido para Televentas.
</t>
  </si>
  <si>
    <t xml:space="preserve">
Beneficio Líneas adicionales: 
Válido para todos los canales.
Prom Cencosud Post: 
Válido para 55 CACs seleccionados.
</t>
  </si>
  <si>
    <t xml:space="preserve">
Convenio Diners
*Porta o renueva tu equipo en Claro hasta en 12 cuotas sin intereses pagando con tu tarjeta DINERS desde el plan Max 49.90.
</t>
  </si>
  <si>
    <t xml:space="preserve">
Beneficio Líneas adicionales: 
Válido para todos los canales.
Portabilidad Proactiva: 
Válido para el canal de Televentas.
Convenio Diners: 
Solo válido para 53 CACs seleccionados.
</t>
  </si>
  <si>
    <t xml:space="preserve">
Vigente
</t>
  </si>
  <si>
    <t xml:space="preserve">
Beneficio Líneas adicionales
Válido para todos los canales.
Portabilidad Proactiva:
Válido para Televentas.
Lista de precios Promoción Scotiabank Postpago:
Aplica para clientes del Scotiabank atendidos por el call center TLVTAS_RETEN_A365
Prom Scotiabank Post:
Válido para los 53 CACs seleccionados. (revisa HV).
</t>
  </si>
  <si>
    <t xml:space="preserve">Convenio Financiera OH
*Si tu cliente adquiere un equipo pagando con tarjetas Financiera OH Visa tendrá desde 2 hasta 6 cuotas sin intereses además de precios especiales en equipos seleccionados.
*Válido desde el plan Max 49.90. No participa el plan Max ilimitado 125.
*No aplica para delivery.
*No válido para compras en Tienda Virtual Claro, Cadenas ni Distribuidores. 
</t>
  </si>
  <si>
    <t xml:space="preserve">
Beneficio Líneas adicionales: 
Válido para todos los canales.
Promo Canje Smart 2022: 
Aplica CACs a nivel nacional , Tienda Virtual y Televentas solo para solicitudes con recojo en CACs.
</t>
  </si>
  <si>
    <t xml:space="preserve">
Beneficio Líneas adicionales: 
Válido para todos los canales.
Promo DAC y Cadenas:
Aplica sólo para los Dac y Cadenas a Nivel Nacional.
</t>
  </si>
  <si>
    <t xml:space="preserve">
Beneficio Líneas adicionales: 
Válido para todos los canales.
Promo Focalizada:
*Aplica sólo para los CACs, DACs y Cadenas seleccionados.</t>
  </si>
  <si>
    <t xml:space="preserve">
Beneficio líneas adicionales:
Válido para todos los canales.
Promo Post:
Aplica en CAC, Cadenas, Tienda Virtual, Televentas In, Televentas Out y Retención
</t>
  </si>
  <si>
    <t>Válido para todos los canales (aplica tambien para Beneficio líneas adicionales).</t>
  </si>
  <si>
    <t xml:space="preserve">
Beneficio Líneas adicionales: 
Válido para todos los canales.
Promoción Huawei:
Solo en las tiendas Huawei.
</t>
  </si>
  <si>
    <t xml:space="preserve">
Beneficio Líneas adicionales:
Válido para todos los canales.
Portabilidad Proactiva:
Válido para Televentas.
</t>
  </si>
  <si>
    <t xml:space="preserve">Retención Especial
*Válido para renovaciones.
*Al contado plazo de acuerdo a 18 meses.
</t>
  </si>
  <si>
    <t>Válido para PDVs Retención, CAC y Televentas.</t>
  </si>
  <si>
    <t xml:space="preserve">Retención Especial Cuotas
*Válido para renovaciones.
*Al contado plazo de acuerdo a 12 y 18 meses (restricciones para ciertos planes Max de acuerdo al modelo del equipo).
</t>
  </si>
  <si>
    <t xml:space="preserve">Retención Especial Migra
*Al contado plazo de acuerdo a 18 meses.
</t>
  </si>
  <si>
    <t>Aplica sólo a los Puntos de ventas: AD6B y LKL9.</t>
  </si>
  <si>
    <t xml:space="preserve">Beneficio Líneas adicionales:
Válido para todos los canales.
Portabilidad Proactiva:
Válido para Televentas.
</t>
  </si>
  <si>
    <t xml:space="preserve">Beneficio Líneas adicionales: Válido para todos los canales.
Combo Full Claro Mix: 
Válido sólo en CAC,DAC y Cadenas.
</t>
  </si>
  <si>
    <t xml:space="preserve">Cyber Days
*Se ofrecerá un descuento de 49% en compra de equipos para Renovación y Portabilidad.
*Aplican planes Max 55.90 y 59.90.
Además recibirán un bono de millas de acuerdo al plan y equipo seleccionado.
</t>
  </si>
  <si>
    <t>Desde el 17/08/2022 aplica para todas las campañas de alta y portabilidad.</t>
  </si>
  <si>
    <t xml:space="preserve">
Oferta Express:
Aplica para planes a partir de Max 39.90.
No válido para planes Max Ilimitado 125.
</t>
  </si>
  <si>
    <t>Beneficio Líneas adicionales: Válido para todos los canales.
Portabilidad Proactiva: Válido para Televentas.</t>
  </si>
  <si>
    <t>Dias Claro Fans y Beneficios Líneas Adicionales:
Válido para todos los canales.
Descuento Cargo Fijo Televentas y Tienda Virtual:
Válido para televentas y tienda virtual.</t>
  </si>
  <si>
    <t>Dias Claro Fans:
Tu cliente podrá adquirir bonos al comprar paquetes, descuentos en equipos y si realiza una Portabilidad o Renovación se llevará bonos de millas LATAM.</t>
  </si>
  <si>
    <t>*Venta en CAC, DAC y Cadena: Para los planes Max 49.90: Obtendrán un descuento de 30% el 1er mes y 20% del 2do al 6to mes.
*Venta en CAC, DAC y Cadena: Para los planes Max 55.90 al 289.90: Obtendrán un descuento de 50% por 6 meses.
*Entrega por delivery: Para los planes Max 49.90: Obtendrán 20% por 6 meses en el cargo fijo.  Para los planes Max 55.90 al 289.90: Obtendrán un descuento de 50% por 6 meses. Además de bono de GB por 6 meses en el plan Max 49.90. Válido hasta el 16/01/2022.</t>
  </si>
  <si>
    <t>Nombre de Campaña en SISACT</t>
  </si>
  <si>
    <t>HV Beneficio Líneas Adicionales.
Ruta: Productos y Promociones/Personas/Historial Hojas de Venta/Postpago/Descuento en Cargo Fijo /Alta o Portabilidad/Líneas Adicionales con Descuento (Aplican todas las Campañas)</t>
  </si>
  <si>
    <t xml:space="preserve">Beneficio Líneas Adicionales:
*Hasta el 31/07/2022 aplicaba desde el plan max 49.90. Desde el 01/08/2022 aplica desde el plan max 55.90.
*Desde el 28/04/2022 ya no es necesario colocar el caso especial en SISACT: Beneficio de CF para los clientes de la base.
</t>
  </si>
  <si>
    <t>PORTABILIDAD / RENOVACION</t>
  </si>
  <si>
    <t xml:space="preserve">Campaña Mall Aventura CAC y Cadenas
Venta en CACs: Descuento en equipo de hasta 46% o cero cuota inicial y 12 cuotas mensuales en plan max ilimitado 65.
Venta en Cadenas: Descuento en equipo de hasta 46% o cuota inicial de 1 sol y 12 cuotas mensuales en plan max ilimitado 65.
Black Friday Mall Aventura
Descuento en equipos de hasta 60% desde el plan 55.90.
Bono de hasta 9500 Millas Latam (por portar o renovar) de acuerdo al modelo de equipo.
</t>
  </si>
  <si>
    <t xml:space="preserve">Campaña Mall Aventura CAC y Cadenas
*Promoción valida del 15 al 19 de julio 2021
Black Friday Mall Aventura
*Promoción valida del 25/11 al 30/11 del 2021
</t>
  </si>
  <si>
    <t xml:space="preserve">*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Promociones/Resumen NP/ Postpago/Beneficio Descuento Cargo Fijo Televentas y Tienda Virtual Resumen Nota de Producto
</t>
  </si>
  <si>
    <t>*HV Beneficio Líneas Adicionales
Ruta: Productos y Promociones/Personas/Historial Hojas de Venta/Postpago/Descuento en Cargo Fijo /Portabilidad/Entidad Bancaria</t>
  </si>
  <si>
    <t xml:space="preserve">
*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Promociones/Personas/Hojas de Venta/Postpago/Descuento en Cargo Fijo/Entidad Bancaria
*Oferta Comercial Campaña Bancos Renovación y Portabilidad Resumen Nota de Producto
Ruta: Productos y Promociones/Resumen NP/Postpago/Oferta Comercial Campañas Bancos
</t>
  </si>
  <si>
    <t>*HV Beneficio Líneas Adicionales 
Ruta: Productos y Promociones/Personas/Historial Hojas de Venta/Postpago/Descuento en Cargo Fijo/ Portabilidad/Líneas Adicionales con Descuento (Aplican todas las Campañas)</t>
  </si>
  <si>
    <t xml:space="preserve">
* Beneficio Descuento Líneas Adicionales Resumen Nota de Producto
Ruta: Productos y Promociones/Resumen NP/ Postpago/Beneficios Descuentos Lineas Adicionales (Aplican todas las Campañas)</t>
  </si>
  <si>
    <t xml:space="preserve">*HV Beneficio Líneas Adicionales 
Ruta: Productos y Promociones/Personas/Historial Hojas de Venta/Postpago/Descuento en Cargo Fijo/ Portabilidad/Líneas Adicionales con Descuento (Aplican todas las Campañas)
</t>
  </si>
  <si>
    <t xml:space="preserve">
* Beneficio Descuento Líneas Adicionales Resumen Nota de Producto
Ruta: Productos y Promociones/Resumen NP/ Postpago/Beneficios Descuentos Lineas Adicionales (Aplican todas las Campañas)
</t>
  </si>
  <si>
    <t xml:space="preserve">
Beneficio Descuento Líneas Adicionales Resumen Nota de Producto
Ruta: Productos y Promociones/Resumen NP/ Postpago/Beneficios Descuentos Lineas Adicionales (Aplican todas las Campañas)
Oferta Comercial Campaña Bancos Renovación y Portabilidad Resumen Nota de Producto
Ruta: Productos y Promociones/Resumen NP/ Postpago/Oferta Comercial Campaña Bancos
</t>
  </si>
  <si>
    <t xml:space="preserve">Beneficio Descuento Líneas Adicionales Resumen Nota de Producto
Ruta: Productos y Promociones/Resumen NP/ Postpago/Beneficios Descuentos Lineas Adicionales (Aplican todas las Campañas)
Oferta Comercial Campaña Bancos Renovación y Portabilidad Resumen Nota de Producto
Ruta: Productos y Promociones/Resumen NP/ Postpago/Oferta Comercial Campaña Bancos
</t>
  </si>
  <si>
    <t>Beneficio Líneas adicionales: Válido para todos los canales.
Prom Interbank Post: Sólo válido para 54 CACs seleccionados (revisa hv)
Portabilidad Proactiva: Válido para Televentas.</t>
  </si>
  <si>
    <t>* Beneficio Descuento Líneas Adicionales Resumen Nota de Producto 
Ruta: Productos y Promociones/Resumen NP/ Postpago/Beneficios Descuentos Lineas Adicionales (Aplican todas las Campañas)
* Beneficio Descuento Cargo Fijo Televentas y Tienda Virtual Resumen Nota de Producto
Ruta: Productos y Promociones/Resumen NP/ Postpago/Beneficio Descuento Cargo Fijo Televentas y Tienda Virtual Resumen Nota de Producto
*Oferta Comercial Campaña Bancos Renovación y Portabilidad Resumen Nota de Producto
Ruta: Productos y Promociones/Resumen NP/ Postpago/Oferta Comercial Campaña Bancos Renovación y Portabilidad Resumen Nota de Producto</t>
  </si>
  <si>
    <t>* Beneficio Descuento Líneas Adicionales Resumen Nota de Producto 
Ruta: Productos y Promociones/Resumen NP/ Postpago/Beneficios Descuentos Lineas Adicionales (Aplican todas las Campañas)</t>
  </si>
  <si>
    <t xml:space="preserve">
Beneficio Líneas adicionales: 
Válido para todos los canales.
Financiera OH:
Válido solo en los 55 CACs seleccionados.
</t>
  </si>
  <si>
    <t xml:space="preserve">Lista de Precios Alta Regular:
*Aplica para planes desde 49.90.
*No válido para el plan Max Ilimitado 125.
</t>
  </si>
  <si>
    <t>HV Beneficio Líneas Adicionales
Ruta: Productos y Promociones/Personas/Historial Hojas de Venta/Postpago/Descuento en Cargo Fijo /Alta o Portabilidad/Líneas Adicionales con Descuento (Aplican todas las Campañas)</t>
  </si>
  <si>
    <t>ALTA / PORTABILIDAD</t>
  </si>
  <si>
    <t>HV Plan Autoliquidable Postpago
Ruta: Productos y Promociones/Personas/Historial Hojas de Venta/Postpago/Bono/Alta o Portabilidad/Autoliquidable</t>
  </si>
  <si>
    <t>Oferta Comercial Postpago y Colaborador Resumen Nota de Producto
Ruta: Productos y Promociones/Resumen NP/ Postpago/Oferta Comercial Postpago y Colaborador/Oferta Comercial Postpago y Colaborador Resumen Nota de Producto</t>
  </si>
  <si>
    <t>*HV Beneficio Líneas Adicionales
Ruta: Productos y Promociones/Personas/Historial Hojas de Venta/Postpago/Descuento Cargo Fijo /Alta o Portabilidad/Líneas Adicionales con Descuento (Aplican todas las Campañas)</t>
  </si>
  <si>
    <t>ALTA /  PORTABILIDAD / RENOVACION</t>
  </si>
  <si>
    <t xml:space="preserve">Combo Claro Plus:
La línea 1 y línea 2 aplica el cargo fijo 69.90.
</t>
  </si>
  <si>
    <t xml:space="preserve">Combo Claro Mix: 
Tanto la línea 1 y 2 deben adquirirse bajo el plan max 49.90.
</t>
  </si>
  <si>
    <t>Beneficio Líneas adicionales: Válido para todos los canales.
Promoción Televentas:
Válido para Televentas.</t>
  </si>
  <si>
    <t>*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Promociones/Resumen NP/ Postpago/Beneficio Descuento Cargo Fijo Televentas y Tienda Virtual Resumen Nota de Producto</t>
  </si>
  <si>
    <t xml:space="preserve">Beneficio Líneas adicionales: Válido para todos los canales.
Portabilidad Proactiva:
Válido para Televentas.
</t>
  </si>
  <si>
    <t>*HV Beneficio Líneas Adicionales
Ruta: Productos y Promociones/Personas/Historial Hojas de Venta/Postpago/Descuento en Cargo Fijo /Portabilidad/Líneas Adicionales con Descuento (Aplican todas las Campañas)</t>
  </si>
  <si>
    <t>*HV Beneficio Líneas Adicionales
Ruta: Productos y Promociones/Personas/Historial Hojas de Venta/Postpago/Descuento en Cargo Fijo /Alta o Portabilidad/Dscto.+Base/Descuento Alta/Porta</t>
  </si>
  <si>
    <t>*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Promociones/Personas/Historial Hojas de Venta/Postpago/Descuento en Cargo Fijo/ Portabilidad/Excepciones/Cuotas</t>
  </si>
  <si>
    <t>*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Promociones/Personas/Historial Hojas de Venta/Postpago/Descuento en Cargo Fijo/ Portabilidad/Lanzamientos</t>
  </si>
  <si>
    <t>*HV Beneficio Líneas Adicionales
Ruta: Productos y Promociones/Personas/Historial Hojas de Venta/Postpago/Descuento en Cargo Fijo/ Alta/Líneas Adicionales con Descuento (Aplican todas las Campañas)</t>
  </si>
  <si>
    <t>Bono 5 soles y tik tok:
*Por portar o migrar al plan Max 29.90 recibirán un descuento de 5 soles por 6 meses en el cargo fijo mas un bono 3.5GB de Tik Tok por 12 meses.
*Solo Migración: Si cuentan con un plan prepago y migran al plan Max 39.90 recibirán un descuento de 5 soles por 6 meses mas un bono 3.5GB de Tik Tok por 12 meses.
*Solo Portabilidad: Si portan al plan Max 39.90 recibirán un descuento de 5 soles por 6 meses.
*Vigencia hasta el 31/05/2022.</t>
  </si>
  <si>
    <t xml:space="preserve">
* Beneficio Descuento Líneas Adicionales Resumen Nota de Producto
Ruta: Productos y Promociones/Resumen NP/ Postpago/Beneficios Descuentos Lineas Adicionales (Aplican todas las Campañas)
*Oferta Comercial Postpago y Colaborador Resumen Nota de Producto/Bonos
Ruta: Productos y Promociones/Resumen NP/ Postpago/Oferta Comercial Postpago y Colaborador Resumen Nota de Producto/Bonos
</t>
  </si>
  <si>
    <t>PORTABILIDAD / MIGRACION</t>
  </si>
  <si>
    <t xml:space="preserve">
*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Promociones/Resumen NP/ Postpago/Beneficio Descuento Cargo Fijo Televentas y Tienda Virtual Resumen Nota de Producto</t>
  </si>
  <si>
    <t xml:space="preserve">Portabilidad Exclusiva
*Válido para migraciones de prepago a postpago o Portabilidad.
*Aplica para planes desde 49.90.
*No válido para el plan Max Ilimitado 125.
</t>
  </si>
  <si>
    <t xml:space="preserve">
* Beneficio Descuento Líneas Adicionales Resumen Nota de Producto 
Ruta: Productos y Promociones/Resumen NP/ Postpago/Beneficios Descuentos Lineas Adicionales (Aplican todas las Campañas)
</t>
  </si>
  <si>
    <t xml:space="preserve">
Beneficio Descuento Líneas Adicionales Resumen Nota de Producto
Ruta: Productos y Promociones/Resumen NP/ Postpago/Beneficios Descuentos Lineas Adicionales (Aplican todas las Campañas)
*Promoción Portabilidad Post a Post Resumen Nota de Producto
Ruta: Productos y Promociones/Personas/Historial Comercial Postpago/Descuento en Cargo Fijo/ Portabilidad/Portabilidad Post a Post</t>
  </si>
  <si>
    <t xml:space="preserve">
Beneficio Descuento Líneas Adicionales Resumen Nota de Producto
Ruta: Productos y Promociones/Resumen NP/ Postpago/Beneficios Descuentos Lineas Adicionales (Aplican todas las Campañas)
Oferta Comercial Campaña Bancos Renovación y Portabilidad Resumen Nota de Producto
Ruta: Productos y Promociones/Resumen NP/ Postpago/Oferta Comercial Campaña Bancos</t>
  </si>
  <si>
    <t xml:space="preserve">* Beneficio Descuento Líneas Adicionales Resumen Nota de Producto 
Ruta: Productos y Promociones/Resumen NP/ Postpago/Beneficios Descuentos Lineas Adicionales (Aplican todas las Campañas)
* Beneficio Descuento Cargo Fijo Televentas y Tienda Virtual Resumen Nota de Producto
Ruta: Productos y Promociones/Resumen NP/ Postpago/Beneficio Descuento Cargo Fijo Televentas y Tienda Virtual Resumen Nota de Producto
* Oferta Comercial Campaña Bancos Renovación y Portabilidad Resumen Nota de Producto
*Oferta Comercial Campaña Bancos Renovación y Portabilidad Resumen Nota de Producto
</t>
  </si>
  <si>
    <t xml:space="preserve">Promo Canje Smart 2022:
*El cliente podrá comprar un equipo nuevo Iphone con su equipo antiguo. Válido para planes postpago Max e Ilimitados.
</t>
  </si>
  <si>
    <t xml:space="preserve">Promo DAC y Cadenas:
*Válido para Portabilidad y Renovación.
Al contado plazo de acuerdo a 18 meses.
</t>
  </si>
  <si>
    <t>Promo Post:
*Válido para Portabilidad y Renovación.
*Al contado plazo de acuerdo a 18 meses.
*Aplica para planes a partir de Max 55.90.
*Aplica para planes Netflix 95, 115 y 145.
*Aplica en CAC, Cadenas, Tienda Virtual, Televentas In, Televentas Out y Retención</t>
  </si>
  <si>
    <t>* Beneficio Descuento Líneas Adicionales Resumen Nota de Producto 
Ruta: Productos y Promociones/Resumen NP/ Postpago/Beneficios Descuentos Lineas Adicionales (Aplican todas las Campañas)
Promoción Huawei Resumen Nota de Producto
Ruta: Productos y Promociones/Personas/Hojas de Venta/Postpago/Alta o Portabilidad/Promoción Huawei</t>
  </si>
  <si>
    <t>*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Promociones/Resumen NP/ Postpago/Beneficio Descuento Cargo Fijo Televentas y Tienda Virtual Resumen Nota de Producto</t>
  </si>
  <si>
    <t xml:space="preserve">* Beneficio Descuento Líneas Adicionales Resumen Nota de Producto 
Ruta: Productos y Promociones/Resumen NP/ Postpago/Beneficios Descuentos Lineas Adicionales (Aplican todas las Campañas)
</t>
  </si>
  <si>
    <t xml:space="preserve">
Válido para todos los canales.</t>
  </si>
  <si>
    <t xml:space="preserve">
*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Promociones/Personas/Historial Hojas de Venta/Postpago Masivo/Descuento en cargo fijo/Portabilidad/San Valentin Post
</t>
  </si>
  <si>
    <t xml:space="preserve">
* Beneficio Descuento Líneas Adicionales Resumen Nota de Producto 
Ruta: Productos y Promociones/Resumen NP/ Postpago/Beneficios Descuentos Lineas Adicionales (Aplican todas las Campañas)</t>
  </si>
  <si>
    <t xml:space="preserve">
*HV Beneficio Líneas Adicionales
Ruta: Productos y Promociones/Personas/Historial Hojas de Venta/Postpago/Descuento en Cargo Fijo/ Portabilidad/Líneas Adicionales con Descuento (Aplican todas las Campañas)
</t>
  </si>
  <si>
    <t xml:space="preserve">
* Beneficio Descuento Líneas Adicionales Resumen Nota de Producto 
Ruta: Productos y Promociones/Resumen NP/ Postpago/Beneficios Descuentos Lineas Adicionales (Aplican todas las Campañas)
*Beneficio Descuento Cargo Fijo Televentas y Tienda Virtual Resumen Nota de Producto
Ruta: Productos y Promociones/Resumen NP/ Postpago/Beneficio Descuento Cargo Fijo Televentas y Tienda Virtual Resumen Nota de Producto
</t>
  </si>
  <si>
    <t>Historial de beneficios</t>
  </si>
  <si>
    <t>Motivo de pérdida definitiva o parcial del beneficio</t>
  </si>
  <si>
    <t>Miércoles con Millas LATAM Pass
*Los clientes podrán comprar equipos con descuentos además de un bono de millas latam desde el plan max postpago 55.90.
*Fecha máxima de entrega de millas: 45 días hábiles, siempre y cuando el cliente haya hecho el pago puntual de su primer recibo. 
* Debe mantener su condición de socio LATAM Pass hasta la fecha de entrega de las millas.
*La vigencia de las Millas LATAM Pass es de 3 años una vez adquiridas por el cliente</t>
  </si>
  <si>
    <t xml:space="preserve">* La línea no debe presentar bloqueos en el mes de entrega del Beneficio.
* Si el cliente realiza un cambio de plan (upgrade o downgrade), un cambio de titularidad, cambio de ciclo de facturación, no efectua el pago puntual de su recibo  o una migración a prepago se pierde el beneficio de forma definitiva.
</t>
  </si>
  <si>
    <t xml:space="preserve">* Beneficio Líneas adicionales: Hasta el 31/07/2022 aplicaba desde el plan max 49.90. Desde el 01/08/2022 aplica desde el plan max 55.90.
*  Promoción canal virtual: Desde el 08/06/2022 los clientes recibirán el descuento en cargo fijo por 3 meses (antes 6 meses).
* Beneficio Líneas adicionales: Desde el 28/04/2022 ya no es necesario colocar el caso especial en SISACT: Beneficio de CF para los clientes de la base.
* Promoción canal virtual: Desde el 23/02/2022 apllica para planes Max desde 55.90 (antes desde 49.90) y recibirán 20% de descuento en cargo fijo (antes 50%).
* Promoción canal virtual: Hasta el 16/01/2022 estuvo vigente el bono de GB de internet en plan Max 49.90.
* Promoción canal virtual: Hasta el 02/11/2021 solo aplica bono de GB por 6 meses para plan Max 49.90 (antes tambien aplicaba para el plan Max 59.90).
</t>
  </si>
  <si>
    <t>Beneficio Líneas Adicionales:
*Hasta el 31/07/2022 aplicaba desde el plan max 49.90. Desde el 01/08/2022 aplica desde el plan max 55.90.
*Desde el 28/04/2022 ya no es necesario colocar el caso especial en SISACT: Beneficio de CF para los clientes de la base.</t>
  </si>
  <si>
    <t xml:space="preserve">*Para cadenas cuota inicial por el equipo de 1 sol (mínimo).
*Aplica tambien para clientes con planes de la base)
*12 Meses: No válido para planes 39.90 y de acuerdo al modelo del equipo para 49.90 y 55.90.
*18 Meses: No válido para planes 39.90, 49.90 y 55.90.
</t>
  </si>
  <si>
    <t xml:space="preserve">Promo Focalizada:
*Válido para Portabilidad y Renovación.
*Los planes 35.9, 59.9, 65, 75, 85 y 105 sólo aplican para "RENOVACIÓN".
*Aplica sólo para los CACs, DACs y Cadenas de los departamentos de: Ancash, Arequipa, Cusco, Huanuco, Ica, Junin, La Libertad, Piura, Puno, Tacna, Ucayali, Lambayeque y Lima.
</t>
  </si>
  <si>
    <t>Promoción Huawei:
*Se activa la promoción desde el 23/09/2022.</t>
  </si>
  <si>
    <t xml:space="preserve">Promo Relámpago Post:
*Válido para Portabilidad y Renovación.
*Aplica desde el plan Max 69.90.
*Al contado plazo de acuerdo a 18 meses.
*Aplica para planes Netflix 95, 115 y 145.
Promoción vigente en las siguientes fechas:
*Del 29 al 31 de Marzo del 2022.
*Del 19 al 21 de Marzo del 2022.
*Del 12 al 14 de Marzo del 2022.
</t>
  </si>
  <si>
    <t xml:space="preserve">
Beneficio Líneas Adicionales:
* Hasta el 31/07/2022 aplicaba desde el plan max 49.90. Desde el 01/08/2022 aplica desde el plan max 55.90.
</t>
  </si>
  <si>
    <t xml:space="preserve">
Beneficio Líneas Adicionales:
*Hasta el 31/07/2022 aplicaba desde el plan max 49.90. Desde el 01/08/2022 aplica desde el plan max 55.90.
</t>
  </si>
  <si>
    <t xml:space="preserve">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t>
  </si>
  <si>
    <t xml:space="preserve">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t>
  </si>
  <si>
    <t xml:space="preserve">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t>
  </si>
  <si>
    <t xml:space="preserve">Beneficio Líneas Adicionales:
Desde el 28/04/2022 ya no es necesario colocar el caso especial en SISACT: Beneficio de CF para los clientes de la base. Además aplica para los clientes nuevos solo las modalidades de Alta y Portabilidad (antes aplicaba tambien para una Renovación + línea nueva).
</t>
  </si>
  <si>
    <t>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Descuento Televentas: Desde el 03/11/2021:
*Se adicionan los nuevos planes Max a: 55.90. 69.90, 79.90, 89.90, 109.90.
*Se actualiza el descuento para recojo en CAC, DAC y Cadena: Aplica para planes desde Max 55.90.
*Entrega por delivery: Se actualiza el descuento a 20% por 6 meses en el cargo fijo. 
Ahora el bono de GB solo aplica para el plan Max 49.90.
Descuento Televentas: Desde el 16/06/2021 se actualiza:
Con recojo en CAC, DAC y Cadena:
Planes Max 49.90: Descuento 30% el 1er mes y 20% del 2do al 6to mes.
Planes Max 59.90 al 289.90: Descuento 50% por 6 meses.
*Entrega por delivery:
Descuento 20% por 6 meses en el cargo fijo. Además de bono de GB por 6 meses en los planes Max 49.90 y 59.90.</t>
  </si>
  <si>
    <t xml:space="preserve">*Portabilidad Proactiva: Desde el 01/08/2022 se reactiva la campaña y se adiciona el nuevo plan Max 55.90 y Max Ilimitado 95.90 (se retira el de 89.90).
*Beneficio Líneas Adicionales:Hasta el 31/07/2022 aplicaba desde el plan max 49.90. Desde el 01/08/2022 aplica desde el plan max 55.90.
*Portabilidad Proactiva: Campaña vigente hasta el 15/07/2022.
*Portabilidad Proactiva: A partir del 01/06/2022 se actualiza la cantidad de meses que aplica el descuento en el cargo fijo: Ahora 3 meses (antes 6 meses).
*Beneficio Líneas Adicionales:Desde el 28/04/2022 ya no es necesario colocar el caso especial en SISACT: Beneficio de CF para los clientes de la base. Además aplica para los clientes nuevos solo las modalidades de Alta y Portabilidad (antes aplicaba tambien para una Renovación + línea nueva).
*Portabilidad Proactiva: A partir del 23/02/2022 se actualiza el descuento en el cargo fijo: Ahora 30% de descuento en el cargo fijo (antes 50%). Se retira el bono de gbs por 6 meses del plan max 49.90.
</t>
  </si>
  <si>
    <t xml:space="preserve">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t>
  </si>
  <si>
    <t xml:space="preserve">* Beneficio Líneas adicionales: Hasta el 31/07/2022 aplicaba desde el plan max 49.90. Desde el 01/08/2022 aplica desde el plan max 55.90.
*  Promoción canal virtual: Desde el 08/06/2022 los clientes recibirán el descuento en cargo fijo por 3 meses (antes 6 meses).
* Beneficio Líneas adicionales: Desde el 28/04/2022 ya no es necesario colocar el caso especial en SISACT: Beneficio de CF para los clientes de la base. Además aplica para los clientes nuevos solo las modalidades de Alta y Portabilidad (antes aplicaba tambien para una Renovación + línea nueva).
* Promoción canal virtual: Desde el 23/02/2022 apllica para planes Max desde 55.90 (antes desde 49.90) y recibirán 20% de descuento en cargo fijo (antes 50%).
* Promoción canal virtual: Hasta el 16/01/2022 estuvo vigente el bono de GB de internet en plan Max 49.90.
* Promoción canal virtual: Hasta el 02/11/2021 solo aplica bono de GB por 6 meses para plan Max 49.90 (antes tambien aplicaba para el plan Max 59.90).
</t>
  </si>
  <si>
    <t>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t>
  </si>
  <si>
    <t>Beneficio Líneas Adicionales: 
*Desde el 28/04/2022 ya no es necesario colocar el caso especial en SISACT: Beneficio de CF para los clientes de la base. Además aplica para los clientes nuevos solo las modalidades de Alta y Portabilidad (antes aplicaba tambien para una Renovación + línea nueva).</t>
  </si>
  <si>
    <t xml:space="preserve">
Beneficio Líneas Adicionales:
*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t>
  </si>
  <si>
    <t xml:space="preserve">
* Beneficio Líneas Adicionales:Hasta el 31/07/2022 aplicaba desde el plan max 49.90. Desde el 01/08/2022 aplica desde el plan max 55.90.
* Promoción canal virtual: Desde el 08/06/2022 se modifica el descuento en cargo fijo de 6 meses a 3 meses.
* Beneficio Líneas Adicionales:Desde el 28/04/2022 ya no es necesario colocar el caso especial en SISACT: Beneficio de CF para los clientes de la base. Además aplica para los clientes nuevos solo las modalidades de Alta y Portabilidad (antes aplicaba tambien para una Renovación + línea nueva).
*Promoción canal virtual: Desde el  23/02/2022 aplica para planes Max desde 55.90 (antes desde 49.90) y además se modifica el descuento de 50% a 20% de descuento en cargo fijo.
*Promoción canal virtual: Desde el 16/01/2022 culmina la vigencia del bono de GB de internet en el plan Max 49.90.
*Promoción canal virtual: Desde el 02/11/2021 solo aplica bono de GB por 6 meses para plan Max 49.90 (antes tambien aplicaba para el plan Max 59.90).</t>
  </si>
  <si>
    <t>PROM BANCO RIPLEY POST</t>
  </si>
  <si>
    <t xml:space="preserve">Beneficio Líneas adicionales:
Válido para todos los canales.
Convenio Banco Ripley:
Válido solo a través de formulario (revisar HV).
</t>
  </si>
  <si>
    <t xml:space="preserve">
* Beneficio Descuento Líneas Adicionales Resumen Nota de Producto 
Ruta: Productos y Promociones/Resumen NP/ Postpago/Beneficios Descuentos Lineas Adicionales (Aplican todas las Campañas)
*Oferta Comercial Campaña Bancos Renovación y Portabilidad Resumen Nota de Producto
Ruta: Productos y Promociones/Resumen NP/ Postpago/Oferta Comercial Campaña Bancos</t>
  </si>
  <si>
    <t>* Beneficio Descuento Líneas Adicionales Resumen Nota de Producto 
Ruta: Productos y Promociones/Resumen NP/ Postpago/Beneficios Descuentos Lineas Adicionales (Aplican todas las Campañas)
*Oferta Comercial Campaña Bancos Renovación y Portabilidad Resumen Nota de Producto
Ruta: Productos y Promociones/Resumen NP/ Postpago/Oferta Comercial Campaña Bancos</t>
  </si>
  <si>
    <t>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</si>
  <si>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Descuento Televentas: 
Si el cliente adquiere una línea:
*Con recojo en CAC, DAC y Cadena o Entrega por delivery obtiene 20%, 30% o 50% de descuento en el cargo fijo hasta por 6 meses.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t>
  </si>
  <si>
    <t>Promoción Huawei
Se perderá el beneficio por:
*Cambio de Plan (incluyendo los cambios a otro plan postpago, plan prepago o plan corporativo). 
*Cambio de titularidad
*Suspensión de línea.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</si>
  <si>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Bono 5 soles y tik tok
Se pierde el dscto por:
- Cambio de plan (incluyendo los cambios a otro plan Postpago, plan Prepago o plan Corporativo).
*Cambio de titularidad.
*Suspensión o cese de la línea.
Se pierde el bono tik tok:
- Si el cliente realiza una cancelación de la línea móvil, cambio de plan, cambio
de titularidad, bloqueo por suspensión o pérdida o migración de un plan Postpago a Prepago.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</si>
  <si>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Descuento cargo fijo televentas y tienda virtual:
Se perderá el beneficio por: 
*Migración de Plan (incluyendo los cambios a otro plan postpago o plan prepago).
*Cambio de titularidad.
*Cambio de ciclo de facturación.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</si>
  <si>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Aventura de Ofertas:
Se perderá en los siguientes eventos:
*Cambio de plan (incluyendo los cambios a otro plan Postpago, plan Prepago o plan Corporativo).
*Cambio de titularidad.
*Cambio de ciclo de facturación.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</si>
  <si>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03/11/2021: Descuento Televentas: 
*Se actualizan los planes Max a: 55.90. 69.90, 79.90, 89.90, 109.90.
*Se actualiza el descuento para recojo en CAC, DAC y Cadena:
Planes Max 49.90: Descuento 30% el 1er mes y 20% del 2do al 6to mes.
Planes Max 55.90 al 289.90: Descuento 50% por 6 meses.
*Entrega por delivery:
*Se actualiza el descuento a:
Planes Max 49.90: 20% por 6 meses en el cargo fijo. 
Planes Max 55.90 al 289.90: Descuento 50% por 6 meses.
Además de bono de GB por 6 meses en el plan Max 49.90.</t>
  </si>
  <si>
    <t>Portabilidad post a post:
Se perderá el beneficio por:
* Si el cliente realiza el pago de su recibo en una fecha posterior a lo indicado, podrá recibir el descuento correspondiente luego de la reactivación de la línea por el periodo restante.
*Cambio de Plan (incluyendo los cambios a otro plan postpago, plan prepago o plan corporativo). 
*Cambio de titularidad.
*Cambio de ciclo de facturación.
*Cambio de Número.
*Baja del servicio.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</si>
  <si>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 xml:space="preserve">
Promoción Portabilidad Postpago Outbound Resumen Nota de Producto
Ruta: Productos y Promociones/Resumen NP/ Postpago/Promoción Portabilidad Postpago Outbound Resumen Nota de Producto
Beneficio Descuento Líneas Adicionales Resumen Nota de Producto
Ruta: Productos y Promociones/Resumen NP/ Postpago/Beneficios Descuentos Lineas Adicionales (Aplican todas las Campañas)
</t>
  </si>
  <si>
    <t xml:space="preserve">
Promoción Portabilidad Postpago Outbound Resumen Nota de Producto
Ruta: Productos y Promociones/Resumen NP/ Postpago/Promoción Portabilidad Postpago Outbound Resumen Nota de Producto
Beneficio Descuento Líneas Adicionales Resumen Nota de Producto
Ruta: Productos y Promociones/Resumen NP/ Postpago/Beneficios Descuentos Lineas Adicionales (Aplican todas las Campañas)</t>
  </si>
  <si>
    <t>Convenios:
Se perderá el beneficio por:
*Si el cliente realiza el pago de su recibo en una fecha posterior a lo indicado, podrá recibir el descuento correspondiente luego de la reactivación de la línea por el periodo restante.
*Cambio de plan (incluyendo los cambios a otro plan postpago o plan prepago)
*Cambio de titularidad.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</si>
  <si>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 xml:space="preserve">
*Beneficio Descuento Cargo Fijo Televentas y Tienda Virtual Resumen Nota de Producto
Ruta: Productos y Promociones/Resumen NP/ Postpago/Beneficio Descuento Cargo Fijo Televentas y Tienda Virtual Resumen Nota de Producto
* Beneficio Descuento Líneas Adicionales Resumen Nota de Producto
Ruta: Productos y Promociones/Resumen NP/ Postpago/Beneficios Descuentos Lineas Adicionales (Aplican todas las Campañas)
</t>
  </si>
  <si>
    <t xml:space="preserve">
*Beneficio Descuento Cargo Fijo Televentas y Tienda Virtual Resumen Nota de Producto
Ruta: Productos y Promociones/Resumen NP/ Postpago/Beneficio Descuento Cargo Fijo Televentas y Tienda Virtual Resumen Nota de Producto
* Beneficio Descuento Líneas Adicionales Resumen Nota de Producto
Ruta: Productos y Promociones/Resumen NP/ Postpago/Beneficios Descuentos Lineas Adicionales (Aplican todas las Campañas)</t>
  </si>
  <si>
    <t>Promoción Canal Virtual
Se perderá el beneficio por:
*Si el cliente realiza el pago de su recibo en una fecha posterior a lo indicado, podrá recibir el descuento correspondiente luego de la reactivación de la línea por el periodo restante.
*Cambio de plan (incluyendo los cambios a otro plan postpago, plan prepago o plan corporativo).
*Cambio de titularidad.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</si>
  <si>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Descuento Cargo Fijo Televentas y Tienda Virtual 
*Si el cliente realiza el pago de su recibo en una fecha posterior a lo indicado, podrá recibir el descuento correspondiente luego de la reactivación de la línea por el periodo restante.
Se perderá el beneficio si realiza:
*Migración de Plan (incluyendo los cambios a otro plan postpago, plan prepago o plan corporativo),
*Cambio de titularidad o Cambio de ciclo de facturación.
*Cambio de número
*Baja del servicio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</si>
  <si>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Portabilidad Proactiva:
*Si el cliente realiza el pago de su recibo en una fecha posterior a lo indicado, podrá recibir el descuento correspondiente luego de la reactivación de la línea por el periodo restante.
Se perderá el beneficio por:
*Cambio de plan (incluyendo los cambios a otro plan postpago, plan prepago o plan corporativo).
*Cambio de titularidad.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</si>
  <si>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Descuento Televentas:
Se perderá el beneficio por:
*Si el cliente realiza el pago de su recibo en una fecha posterior a lo indicado, podrá recibir el descuento correspondiente luego de la reactivación de la línea por el periodo restante.
*Cambio de titularidad.
*Cambio de plan (incluyendo los cambios a otro plan Postpago o plan Prepago.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</si>
  <si>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Descuento Televentas:
Si el cliente realiza el pago de su recibo en una fecha posterior a lo indicado, podrá recibir el descuento correspondiente luego de la reactivación de la línea por el periodo restante.
Se perderá el beneficio por:
*Cambio de titularidad.
*Cambio de plan (incluyendo los cambios a otro plan Postpago o plan Prepago.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</si>
  <si>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Descuento Televentas:
*Si el cliente realiza el pago de su recibo en una fecha posterior a lo indicado, podrá recibir el descuento correspondiente luego de la reactivación de la línea por el periodo restante.
Se perderá el beneficio por:
*Cambio de titularidad.
*Cambio de plan (incluyendo los cambios a otro plan Postpago o plan Prepago.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</si>
  <si>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Dscto Ecommerce:
*Si el cliente realiza el pago de su recibo en una fecha posterior a lo indicado, podrá recibir el descuento correspondiente luego de la reactivación de la línea por el periodo restante.
Se perderá el beneficio por:
*Cambio de Plan (incluyendo los cambios a otro plan postpago, plan prepago o plan corporativo).
*Cambio de titularidad.
*Suspensión de línea.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</si>
  <si>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Promoción Canal Virtual
*Si el cliente realiza el pago de su recibo en una fecha posterior a lo indicado, podrá recibir el descuento correspondiente luego de la reactivación de la línea por el periodo restante.
Se perderá el beneficio por:
*Cambio de plan (incluyendo los cambios a otro plan postpago, plan prepago o plan corporativo).
*Cambio de titularidad.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</si>
  <si>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 xml:space="preserve">
HV Campaña Mall Aventura Cadenas
HV Campaña Mall Aventura CACs
Promoción de Ofertas Mall Aventura Plaza
HV Black Friday Mall Aventura
Ruta: Productos y Promociones/Personas/Historial Hojas de Venta/Postpago/Descuento Cargo Fijo y Equipo/Portabilidad o Renovación/Aventura de ofertas/cuotas
*HV Beneficio Líneas Adicionales
Ruta: Productos y Promociones/Personas/Historial Hojas de Venta/Postpago/Descuento en Cargo Fijo /Portabilidad/Líneas Adicionales con Descuento (Aplican todas las Campañas)
</t>
  </si>
  <si>
    <t xml:space="preserve">
* HV Combo Claro Postpago
Ruta: Productos y Promociones/Personas/Historial Comercial Postpago/Descuento en Equipo/Alta-Portabilidad-Renovación/Combo Claro Mix
*HV Beneficio Líneas Adicionales
Ruta: Productos y Promociones/Personas/Historial Hojas de Venta/Postpago/Descuento Cargo Fijo /Portabilidad/Líneas Adicionales con Descuento (Aplican todas las Campañas)
</t>
  </si>
  <si>
    <t xml:space="preserve">
* HV Combos Full Claro
Ruta: Productos y Promociones/Personas/Historial Hojas de Vental Postpago/Descuento en Equipo/Alta-Portabilidad-Renovación/Combo Full Claro Mix.
*HV Beneficio Líneas Adicionales
Ruta: Productos y Promociones/Personas/Historial Hojas de Venta/Postpago/Descuento Cargo Fijo /Alta o Portabilidad/Líneas Adicionales con Descuento (Aplican todas las Campañas)
</t>
  </si>
  <si>
    <t xml:space="preserve">
*HV Promoción Televentas
Ruta: Productos y Promociones/Personas/Historial Hojas de Venta/Postpago/Descuento en Cargo Fijo/ Portabilidad / Pick Up Porta/Cuotas-Contraataque Pick Up
*HV Beneficio Líneas Adicionales
Ruta: Productos y Promociones/Personas/Historial Hojas de Venta/Postpago/Descuento Cargo Fijo /Portabilidad/Líneas Adicionales con Descuento (Aplican todas las Campañas)
</t>
  </si>
  <si>
    <t xml:space="preserve">
*HV Portabilidad Proactiva  
Ruta: Productos y Promociones/Personas/Historial Comercial Postpago/Descuento Cargo Fijo /Portabilidad/Convenios
*HV Beneficio Líneas Adicionales
Ruta: Productos y Promociones/Personas/Historial Hojas de Venta/Postpago/Descuento Cargo Fijo /Portabilidad/Líneas Adicionales con Descuento (Aplican todas las Campañas)
</t>
  </si>
  <si>
    <t xml:space="preserve">*HV CyberWow equipos con Millas
*HV Cyber Days Postpago
Ruta: Productos y Promociones/Personas/Historial Hojas de Venta/Postpago/Descuento en equipo/ Portabilidad o Renovación /Cyber Days Post
*HV Beneficio Líneas Adicionales
Ruta: Productos y Promociones/Personas/Historial Hojas de Venta/Postpago/Descuento Cargo Fijo /Portabilidad/Líneas Adicionales con Descuento (Aplican todas las Campañas)
</t>
  </si>
  <si>
    <t xml:space="preserve">
*HV Promoción Canal Virtual
Ruta: Productos y Promociones/Personas/Historial Hjojas de Venta/Postpago/Descuento en Cargo Fijo /Portabilidad/Descuento Ecommerce/Cuotas
*HV Beneficio Líneas Adicionales 
Ruta: Productos y Promociones/Personas/Historial Hojas de Venta/Postpago/Descuento en Cargo Fijo/ Portabilidad/Líneas Adicionales con Descuento (Aplican todas las Campañas)
</t>
  </si>
  <si>
    <t xml:space="preserve">*HV Promoción Canal Virtual
Ruta: Productos y Promociones/Personas/Historial Hjojas de Venta/Postpago/Descuento en Cargo Fijo /Portabilidad/Descuento Ecommerce/Cuotas
*HV Beneficio Líneas Adicionales 
Ruta: Productos y Promociones/Personas/Historial Hojas de Venta/Postpago/Descuento en Cargo Fijo/ Portabilidad/Líneas Adicionales con Descuento (Aplican todas las Campañas)
</t>
  </si>
  <si>
    <t xml:space="preserve">*HV Portabilidad Proactiva  
Ruta: Productos y Promociones/Personas/Historial Hojas de Venta/Postpago/Descuento en Cargo Fijo /Portabilidad/Descuento Televentas/Cuotas
*HV Beneficio Líneas Adicionales 
Ruta: Productos y Promociones/Personas/Historial Hojas de Venta/Postpago/Descuento en Cargo Fijo/ Portabilidad/Líneas Adicionales con Descuento (Aplican todas las Campañas)
</t>
  </si>
  <si>
    <t xml:space="preserve">
*HV Dias Claro Fans Postpago 
*HV Dias Claro Fans Setiembre
Ruta: Productos y Promociones/Personas/Historial Hojas de Venta/Postpago/Descuento en Equipo/ Portabilidad o Renovación/Dias Claro Fans Post
*HV Beneficio Líneas Adicionales 
Ruta: Productos y Promociones/Personas/Historial Hojas de Venta/Postpago/Descuento en Cargo Fijo/ Portabilidad/Líneas Adicionales con Descuento (Aplican todas las Campañas)
</t>
  </si>
  <si>
    <t xml:space="preserve">
*HV Miércoles con Millas LATAM Pass
Ruta: Productos y Promociones/Personas/Historial Hojas de Venta/ Postpago/Portabilidad o Renovación/Miércoles con Millas
*HV Beneficio Líneas Adicionales 
Ruta: Productos y Promociones/Personas/Historial Hojas de Venta/Postpago/Descuento en Cargo Fijo/ Portabilidad/Líneas Adicionales con Descuento (Aplican todas las Campañas)
</t>
  </si>
  <si>
    <t xml:space="preserve">
* Hv Bono de 5 soles y Tik Tok
Ruta: Productos y Promociones/Personas/Historial Hojas de Venta/Postpago/Descuento en Cargo Fijo /Portabilidad/Migra/Porta a Post
*HV Beneficio Líneas Adicionales 
Ruta: Productos y Promociones/Personas/Historial Hojas de Venta/Postpago/Descuento en Cargo Fijo/ Portabilidad/Líneas Adicionales con Descuento (Aplican todas las Campañas)
</t>
  </si>
  <si>
    <t xml:space="preserve">
*HV Promoción Televentas
Ruta: Productos y Promociones/Personas/Historial Hojas de Venta/Postpago/Descuento en Cargo Fijo / Alta / Pick Up Alta
*HV Beneficio Líneas Adicionales 
Ruta: Productos y Promociones/Personas/Historial Hojas de Venta/Postpago/Descuento en Cargo Fijo/ Alta/Líneas Adicionales con Descuento (Aplican todas las Campañas)
</t>
  </si>
  <si>
    <t xml:space="preserve">
*HV Promoción Televentas
Ruta: Productos y Promociones/Personas/Historial Hojas de Venta/Postpago/Descuento en Cargo Fijo / Portabilidad / Pick Up Porta/Cuotas - Contraataque Pick Up
*HV Beneficio Líneas Adicionales 
Ruta: Productos y Promociones/Personas/Historial Hojas de Venta/Postpago/Descuento en Cargo Fijo/ Portabilidad/Líneas Adicionales con Descuento (Aplican todas las Campañas)
</t>
  </si>
  <si>
    <t xml:space="preserve">
*HV Promoción Portabilidad Plus
Ruta: Productos y Promociones/Personas/Historial Hojas de Venta/Postpago/Descuento en Cargo fijo/ Portabilidad/Portabilidad Plus/Cuotas
*HV Beneficio Líneas Adicionales 
Ruta: Productos y Promociones/Personas/Historial Hojas de Venta/Postpago/Descuento en Cargo Fijo/ Portabilidad/Líneas Adicionales con Descuento (Aplican todas las Campañas)
</t>
  </si>
  <si>
    <t xml:space="preserve">
*HV Promoción Portabilidad Plus
Ruta: Productos y Promociones/Personas/Historial Hojas de Venta/Postpago/Descuento en Cargo fijo/ Portabilidad/Portabilidad Plus/Cuotas
*HV Beneficio Líneas Adicionales 
Ruta: Productos y Promociones/Personas/Historial Hojas de Venta/Postpago/Descuento en Cargo Fijo/ Portabilidad/Líneas Adicionales con Descuento (Aplican todas las Campañas)
</t>
  </si>
  <si>
    <t xml:space="preserve">
*HV Portabilidad Proactiva
Ruta: Productos y Promociones/Personas/Historial Hojas de Venta/Postpago/Descuento en Cargo fijo / Portabilidad / Prom Interbank/Diners/BBVA/Scotiabank Post
*HV Convenio BBVA
Ruta: Productos y Promociones/Personas/Historial Hojas de Venta/Postpago/Descuento en equipo/ Portabilidad/Prom BBVA Post
*HV Beneficio Líneas Adicionales 
Ruta: Productos y Promociones/Personas/Historial Hojas de Venta/Postpago/Descuento en Cargo Fijo/ Portabilidad/Líneas Adicionales con Descuento (Aplican todas las Campañas)
</t>
  </si>
  <si>
    <t xml:space="preserve">*HV Convenio Cencosud
Ruta: Productos y Promociones/Personas/Historial Hojas de Venta/Postpago/Descuento en equipo/ Portabilidad o Renovación/Prom Cencosud Post
*HV Beneficio Líneas Adicionales 
Ruta: Productos y Promociones/Personas/Historial Hojas de Venta/Postpago/Descuento en Cargo Fijo/ Portabilidad/Líneas Adicionales con Descuento (Aplican todas las Campañas)
</t>
  </si>
  <si>
    <t xml:space="preserve">*HV Portabilidad Proactiva
Ruta: Productos y Promociones/Personas/Historial Hojas de Venta/Postpago/Descuento en cargo fijo / Portabilidad / Prom Interbank/Diners/BBVA/Scotiabank Post
*HV Convenio Diners
Ruta: Productos y Promociones/Personas/Historial Hojas de Venta/Postpago/Descuento en equipo/ Portabilidad/Prom Diners Post
*HV Beneficio Líneas Adicionales 
Ruta: Productos y Promociones/Personas/Historial Hojas de Venta/Postpago/Descuento en Cargo Fijo/ Portabilidad/Líneas Adicionales con Descuento (Aplican todas las Campañas)
</t>
  </si>
  <si>
    <t xml:space="preserve">*HV Portabilidad Proactiva  
Ruta: Productos y Promociones/Personas/Historial Comercial Postpago/Descuento Cargo Fijo/ Portabilidad/Prom Interbank/Diners/BBVA/Scotiabank Post
*HV Convenio Interbank
Ruta: Productos y Promociones/Personas/Historial Comercial Postpago/Descuento en Equipo/Portabilidad/Prom Interbank Post
*HV Beneficio Líneas Adicionales 
Ruta: Productos y Promociones/Personas/Historial Hojas de Venta/Postpago/Descuento en Cargo Fijo/ Portabilidad/Líneas Adicionales con Descuento (Aplican todas las Campañas)
</t>
  </si>
  <si>
    <t xml:space="preserve">*HV Portabilidad Proactiva  
Ruta: Productos y Promociones/Personas/Historial Comercial Postpago/Descuento Cargo Fijo/ Portabilidad/Prom Interbank/Diners/BBVA/Scotiabank Post
*HV Convenio Scotiabank
Ruta: Productos y Promociones/Personas/Historial Comercial Postpago/Descuento en equipo/Portabilidad/Prom Scotiabank Post
*HV Beneficio Líneas Adicionales 
Ruta: Productos y Promociones/Personas/Historial Hojas de Venta/Postpago/Descuento en Cargo Fijo/ Portabilidad/Líneas Adicionales con Descuento (Aplican todas las Campañas)
</t>
  </si>
  <si>
    <t xml:space="preserve">*HV Convenio Financiera OH
Ruta: Productos y Promociones/Personas/Historial Hojas de Venta/Postpago/Descuento en equipo/ Portabilidad o Renovación / Prom Tarjeta OH Post
*HV Beneficio Líneas Adicionales 
Ruta: Productos y Promociones/Personas/Historial Hojas de Venta/Postpago/Descuento en Cargo Fijo/ Portabilidad/Líneas Adicionales con Descuento (Aplican todas las Campañas)
</t>
  </si>
  <si>
    <t xml:space="preserve">
*HV Canje Smart 
Ruta: Productos y Promociones/Personas/Historial Hojas de Venta/Postpago/Descuento en Equipo/Portabilidad o Renovación/Promo Canje Smart 2022
*HV Beneficio Líneas Adicionales 
Ruta: Productos y Promociones/Personas/Historial Hojas de Venta/Postpago/Descuento en Cargo Fijo/ Portabilidad/Líneas Adicionales con Descuento (Aplican todas las Campañas)
</t>
  </si>
  <si>
    <t xml:space="preserve">
*HV Portabilidad Proactiva  
Ruta: Productos y Promociones/Personas/Historial Hojas de Venta/Postpago/Portabilidad/Descuento en Cargo Fijo /Portabilidad/Referidos Premium
*HV Beneficio Líneas Adicionales 
Ruta: Productos y Promociones/Personas/Historial Hojas de Venta/Postpago/Descuento en Cargo Fijo/ Portabilidad/Líneas Adicionales con Descuento (Aplican todas las Campañas)
</t>
  </si>
  <si>
    <t xml:space="preserve">
*HV Portabilidad Proactiva  
Ruta: Productos y Promociones/Personas/Historial Hojas de Venta/Postpago/Descuento Cargo Fijo /Portabilidad/Televentas Full Claro
*HV Beneficio Líneas Adicionales 
Ruta: Productos y Promociones/Personas/Historial Hojas de Venta/Postpago/Descuento en Cargo Fijo/ Portabilidad/Líneas Adicionales con Descuento (Aplican todas las Campañas)
</t>
  </si>
  <si>
    <t xml:space="preserve">
*HV Portabilidad Proactiva  
Ruta: Productos y Promociones/Personas/Historial Hojas de Venta/Postpago/Descuento en Cargo Fijo /Portabilidad/Tienda Virtual Post
*HV Beneficio Líneas Adicionales 
Ruta: Productos y Promociones/Personas/Historial Hojas de Venta/Postpago/Descuento en Cargo Fijo/ Portabilidad/Líneas Adicionales con Descuento (Aplican todas las Campañas)
</t>
  </si>
  <si>
    <t xml:space="preserve">
*HV Convenio Banco Ripley
Ruta: Productos y Promociones/Personas/Historial Hojas de Venta/Postpago/Descuento Cargo Fijo /Portabilidad/Prom Banco Ripley Post
*HV Beneficio Líneas Adicionales 
Ruta: Productos y Promociones/Personas/Historial Hojas de Venta/Postpago/Descuento Cargo Fijo/ Portabilidad/Líneas Adicionales con Descuento (Aplican todas las Campañas)
</t>
  </si>
  <si>
    <t>CIERRA PUERTAS CAC y DAC 2022</t>
  </si>
  <si>
    <t xml:space="preserve">Beneficio Líneas adicionales:
Válido para todos los canales.
Cierra Puertas CAC y DAC 2022:
Válido solo para CACs
</t>
  </si>
  <si>
    <t>Cierra Puertas CAC y DAC 2022:
*Campaña vigente del 17/12/2022 al 23/12/2022.</t>
  </si>
  <si>
    <t xml:space="preserve">*HV Beneficio Líneas Adicionales 
Ruta: Productos y Promociones/Personas/Historial Hojas de Venta/Postpago/Descuento Cargo Fijo/ Portabilidad/Líneas Adicionales con Descuento (Aplican todas las Campañas)
</t>
  </si>
  <si>
    <t>* Beneficio Descuento Líneas Adicionales Resumen Nota de Producto 
Ruta: Productos y Promociones/Resumen NP/ Postpago/Beneficios Descuentos Lineas Adicionales (Aplican todas las Campañas)
*Lista de Precios Cierra Puertas CAC y DAC
Ruta: Productos y Promociones/Personas/Historial lista de precios/Cierra Puertas CAC y DAC</t>
  </si>
  <si>
    <t>*Los planes 30.9, 40.9, 51.9, 57.9, 72.9, 82.9, 93.9 sólo aplican para "RENOVACIÓN"</t>
  </si>
  <si>
    <t>PROMO NAVIDAD 2022</t>
  </si>
  <si>
    <t>Promo Navidad 2022:
*Campaña vigente del 20/12/2022 al 24/12/2022.</t>
  </si>
  <si>
    <t>Beneficio Líneas adicionales:
Válido para todos los canales.
Promo Navidad 2022:
Válido solo para CADENAS y DAC</t>
  </si>
  <si>
    <t>* Beneficio Descuento Líneas Adicionales Resumen Nota de Producto 
Ruta: Productos y Promociones/Resumen NP/ Postpago/Beneficios Descuentos Lineas Adicionales (Aplican todas las Campañas)
*Lista de Precios Promo Navidad
Ruta: Productos y Promociones/Personas/Historial lista de precios/Promo Navidad</t>
  </si>
  <si>
    <t>Convenio Banco Ripley:
*Campaña vigente del 01/01/2023 al 31/01/2023.</t>
  </si>
  <si>
    <t>Beneficio Líneas Adicionales:
*Hasta el 31/07/2022 aplicaba desde el plan max 49.90. Desde el 01/08/2022 aplica desde el plan max 55.90.
*Desde el 28/04/2022 ya no es necesario colocar el caso especial en SISACT: Beneficio de CF para los clientes de la base. Además aplica para los clientes nuevos solo las modalidades de Alta y Portabilidad (antes aplicaba tambien para una Renovación + línea nueva).
Convenio Diners:
*Vigencia: Del 01/01/2023 al 31/01/2023</t>
  </si>
  <si>
    <t>Prom Interbank Post:
*El cliente podrá comprar su nuevo iPhone hasta en 24 cuotas sin intereses con su tarjeta de crédito Interbank en CAC seleccionados y en tienda Claro. 
*Aplica para equipos y accesorios iPhone.
*Aplica desde el plan Max 29.90 hasta 109.90 y del 159.90 hasta el 289.90.
*Desde el 01/12/2022 aplica para planes netflix.</t>
  </si>
  <si>
    <t>01/11/2022: Convenio Financiera OH:
Se activa el convenio hasta el 10/12/2022.
01/12/2022: Convenio Financiera OH:
Se amplia el convenio hasta el 31/12/2022.
01/01/2023: Convenio Financiera OH:
Se amplia el convenio hasta el 31/01/2023.</t>
  </si>
  <si>
    <t>Prom Scotiabank Post
*Los clientes Scotiabank pueden adquirir equipos de la promoción en 12 cuotas sin intereses con su Tarjeta de Crédito Visa Única.
*Válido para portabilidad o renovación con un plan postpago desde Max 49.90.
*Para el descuento en accesorios de la promoción, válido solo si reside en Lima Metropolitana.
* Última fecha de vigencia del convenio 30/04/2022.</t>
  </si>
  <si>
    <t>*Hasta el 15/01/2022 aplico el beneficio de Portabilidad proactiva para esta campaña.</t>
  </si>
  <si>
    <t>VERANO PORT OUT 2023</t>
  </si>
  <si>
    <t>* Beneficio Descuento Líneas Adicionales Resumen Nota de Producto 
Ruta: Productos y Promociones/Resumen NP/ Postpago/Beneficios Descuentos Lineas Adicionales (Aplican todas las Campañas)
*Verano Port Out 2023
Ruta: Productos y Promociones/Personas/Historial lista de precios/Verano Por Out 2023</t>
  </si>
  <si>
    <t>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</si>
  <si>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Black Friday Mall Aventura
Descuento en cargo fijo 20% en el plan max 49.90 o 50% en el plan max 55.90 por 6 meses portabilidad.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</si>
  <si>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</si>
  <si>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Promoción Canal Virtual
Si el cliente porta por medio del canal virtual obtendrá un 20% de descuento en su cargo fijo por 3 meses. Aplica a partir del plan max 55.90 en adelante.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</si>
  <si>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Portabilidad Proactiva
*Si tu cliente realiza una Portabilidad por Televentas obtendrá:
20% de descuento en el cargo fijo por 3 meses si cuenta con un plan max 55.90 en adelante.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</si>
  <si>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Descuento Cargo Fijo Televentas y Tienda Virtual 
*Por portabilidad de una línea nueva a través de Televentas o Canal Virtual recibirá un descuento en el cargo fijo de 20% los 3 primeros meses.
*Aplica desde el plan Max 55.90.
*Asimismo, para el plan Max 29.90 recibirá un bono “Triplica tus GBs” por un total de 3 meses.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</si>
  <si>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Descuento Cargo Fijo Televentas y Tienda Virtual 
*Por portabilidad de una línea nueva a través de Televentas o Canal Virtual recibirá un descuento en el cargo fijo de 20% los 3 primeros meses.
*Aplica desde el plan Max 55.90.
*Asimismo, para el plan Max 29.90 recibirá un bono “Triplica tus GBs” por un total de 3 meses.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</si>
  <si>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 xml:space="preserve">Descuento Cargo Fijo Televentas y Tienda Virtual 
*Por portabilidad de una línea nueva a través de Televentas o Canal Virtual recibirá un descuento en el cargo fijo de 20% los 3 primeros meses.
*Aplica desde el plan Max 55.90.
*Asimismo, para el plan Max 29.90 recibirá un bono “Triplica tus GBs” por un total de 3 meses.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
</t>
  </si>
  <si>
    <t>Portabilidad Proactiva
*Si tu cliente realiza una Portabilidad por Televentas obtendrá:
20% de descuento en el cargo fijo por 3 meses si cuenta con un plan max 55.90 en adelante.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</si>
  <si>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Bono 5 soles y Tik Tok
Los clientes que porten o migren recibirán descuento en cargo fijo de 5 soles hasta por 6 meses, además de un bono de GB de Tik Tok por 12 meses.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</si>
  <si>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Descuento Televentas: 
*Si el cliente contrata a través de televentas con recojo en el CAC o DAC (Pick up) recibirá un descuento del 10 % en el primer mes. 
*Válido para los planes Max 29.90 al Max Ilimitado 289.90.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</si>
  <si>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Descuento Televentas: 
*Si el cliente contrata a través de televentas con recojo en el CAC o DAC (Pick up) recibirá un descuento del 10 % en el primer mes. 
*Válido para los planes Max 29.90 al Max Ilimitado 289.90.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</si>
  <si>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Portabilidad Post a Post
*Los clientes que realicen una Portabilidad de Postpago a Postpago (chip y pack) tendrán 50% en el cargo fijo por 6 meses.
*Válido desde el plan max 69.90.
*El descuento aplica desde el 01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</si>
  <si>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Portabilidad Proactiva
*Si tu cliente realiza una Portabilidad por Televentas obtendrá:
50% de descuento en el cargo fijo por 6 meses si cuenta con un plan max 55.90 en adelante.
20% de descuento si cuenta con un plan Max 49.90, además de un bono de GB por 6 meses.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</si>
  <si>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Portabilidad Proactiva
Si tu cliente realiza una Portabilidad por Televentas obtendrá:
*50% de descuento en el cargo fijo por 6 meses si cuenta con un plan max 55.90 en adelante.
*20% de descuento si cuenta con un plan Max 49.90, además de un bono de GB por 6 meses.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Debe tener mínimo dos líneas en estado ACTIVO para acceder al beneficio (Ejem: cliente actual cuenta con 1 línea activa y adquiere 1 o más líneas ; Ejem 2: Cliente adquiere dos líneas).</t>
  </si>
  <si>
    <t>Portabilidad Proactiva
Si tu cliente realiza una Portabilidad por Televentas obtendrá:
*50% de descuento en el cargo fijo por 6 meses si cuenta con un plan max 55.90 en adelante.
*20% de descuento si cuenta con un plan Max 49.90, además de un bono de GB por 6 meses.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</si>
  <si>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Promoción Huawei
*Clientes que hayan adquirido en alta y portabilidad tendrán el 20% de descuento en los 3 primeros cargos fijos mensuales del plan.
*Se podrán adquirir solo en las tiendas Huawei.
*Válido desde el plan Max 55.90.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Debe tener mínimo dos líneas en estado ACTIVO para acceder al beneficio (Ejem: cliente actual cuenta con 1 línea activa y adquiere 1 o más líneas ; Ejem 2: Cliente adquiere dos líneas).</t>
  </si>
  <si>
    <t>Promoción Canal virtual
*Si tu cliente realiza una Portabilidad por tienda virtual obtendrá:
*20% de descuento en el cargo fijo por 3 meses si cuenta con un plan max 55.90 en adelante. 
*Además de un bono de GBs en el plan de 49.90 por 6 meses.
*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</si>
  <si>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r>
      <t xml:space="preserve">Cierra Puertas CAC y DAC 2022
*Si tu cliente realiza una Portabilidad o Renovación desde el plan Max 29.90 obtendrá descuento en equipos seleccionados.
</t>
    </r>
    <r>
      <rPr>
        <b/>
        <sz val="11"/>
        <color theme="1"/>
        <rFont val="Calibri"/>
        <family val="2"/>
        <scheme val="minor"/>
      </rPr>
      <t>Nota:</t>
    </r>
    <r>
      <rPr>
        <sz val="11"/>
        <color theme="1"/>
        <rFont val="Calibri"/>
        <family val="2"/>
        <scheme val="minor"/>
      </rPr>
      <t xml:space="preserve">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r>
  </si>
  <si>
    <r>
      <t xml:space="preserve">Promo Navidad 2022
*Si tu cliente realiza una Portabilidad o Renovación desde el plan Max 69.90 obtendrá descuento en equipos seleccionados.
</t>
    </r>
    <r>
      <rPr>
        <b/>
        <sz val="11"/>
        <color theme="1"/>
        <rFont val="Calibri"/>
        <family val="2"/>
        <scheme val="minor"/>
      </rPr>
      <t>Nota:</t>
    </r>
    <r>
      <rPr>
        <sz val="11"/>
        <color theme="1"/>
        <rFont val="Calibri"/>
        <family val="2"/>
        <scheme val="minor"/>
      </rPr>
      <t xml:space="preserve">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r>
  </si>
  <si>
    <t>Beneficio Líneas adicionales:
Válido para todos los canales.
Verano Port Out 2023:
Válido solo para PDV de Portabilidad Out (Televentas)</t>
  </si>
  <si>
    <t>Portabilidad Plus:
Se perderá el beneficio si realiza:
*Si el cliente realiza el pago de su recibo en una fecha posterior a lo indicado, podrá recibir el descuento correspondiente luego de la reactivación de la línea por el periodo restante.
*Cambio de Plan (incluyendo los cambios a otro plan postpago, plan prepago o plan corporativo). 
*Cambio de titularidad.
*Cambio de ciclo de facturación.
*Cambio de Número.
*Baja del servicio.
Beneficio Líneas adicionales:
*Si el cliente paga después de la fecha de vencimiento, no contará con el descuento en el próximo recibo, hasta que esté al día en sus pagos siempre que no haya cumplido con el período de vigencia del beneficio.
Pérdida definitiva:
*Ceder la titularidad.
*Cambio de plan a uno de menor cargo fijo al Max 55.90 o cambio a Prepago. 
*Cancelación de una de las líneas asociadas.
*Bloqueo por robo o pérdida y no realice la reposición de la línea hasta un día antes del nuevo ciclo de facturación. 
*Cambio en el ciclo de facturación.</t>
  </si>
  <si>
    <t>Dscto Ecommerce:
Si tu cliente adquiere un plan Max 39.90 por la tienda virtual tendrá un descuento del 50% en el 1er cargo fijo.
* El descuento aplica desde el 1er recibo emitido.</t>
  </si>
  <si>
    <t xml:space="preserve">
Dscto Ecommerce:
Aplica para el canal virtual.
</t>
  </si>
  <si>
    <t xml:space="preserve">
*HV Promoción Ecommerce
Ruta: Productos y Promociones/Personas/Historial Hojas de Venta/Postpago/Descuento en Cargo Fijo /Portabilidad/Dscto Ecommerce</t>
  </si>
  <si>
    <t>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</si>
  <si>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Beneficio Líneas adicionales: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</si>
  <si>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Beneficio Líneas adicionales (sólo para Alta y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</si>
  <si>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Beneficio Líneas adicionales (sólo aplica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</si>
  <si>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*Aplica para planes Max desde 55,59.90, 65, 69.90, 75, 85, 105. 159.90, 189.90, 289.90, Max Play 95, 115 y 145.
*Campaña vigente del 05/01/2023 al 31/01/2023.</t>
  </si>
  <si>
    <t>NAVIDAD PORT OUT 2022</t>
  </si>
  <si>
    <t>*Aplica para planes Max desde 55,59.90, 65, 69.90, 75, 85, 105. 159.90, 189.90, 289.90, Max Play 95, 115 y 145.
*Campaña vigente del 21/12/2022 al 31/12/2022.</t>
  </si>
  <si>
    <t>Beneficio Líneas adicionales:
Válido para todos los canales.
Navidad  Port Out 2022:
Válido solo para PDV de Portabilidad Out (Televentas)</t>
  </si>
  <si>
    <t>Portabilidad Plus:
Los clientes que hagan una Portabilidad de Postpago a Postpago gozarán de un descuento en el cargo fijo del 50% por 6 meses desde el plan Max Ilimitado 69.90 hasta 289.90.
*El descuento aplica desde el 1er recibo emitido.
Nota: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</si>
  <si>
    <t xml:space="preserve">Lista de Precios Ataque Competencia:
*Válido para Portabilidad de Post a Post y Renovación Post.
*Aplica para los planes Max desde 49.90.
*No válido para el plan Max Ilimitado 125.
* Los planes 51.9, 57.9, 72.9, 82.9, 93.9 sólo aplican para "RENOVACIÓN".
</t>
  </si>
  <si>
    <t>Lista de Precios Ataque Competencia Cuotas:
*Aplica para Portabilidad y Renovación.
* Aplica para planes 49.90, 55.90, 69.90, 79.90, 95.90, 109.90, 159.90, 189.90 y 289.90
*Sujeto a evaluación crediticia.
* Se solicita cuota inicial para Cadenas mínimo de 1 sol.</t>
  </si>
  <si>
    <t xml:space="preserve">Lista de Precios Línea Adicional Alta
*Aplica para clientes que compren una línea adicional y tengan una línea en la base desde el cargo fijo de 49.90. 
*No válido para el plan Max 125.
*Valido para DNI, Pasaporte, RUC 10 y CE.
* No aplica para planes Netflix.
</t>
  </si>
  <si>
    <t>*Aplica para planes desde Max  29.90 39.90, 49.90. 55.90 y 69.90.
*Aplica en modalidad chip.</t>
  </si>
  <si>
    <t>Plan autoliquidable:
* Solo adquiridos a través del app de ventas y bajo esta campaña.
*Aplica para línea nueva y Portabilidad. 
* Los líneas que sean adquiridas en los Planes 29.90, 39.90, 49.90 y 55.90 en la modalidad de  Portabilidad, recibirán el Doble de Gigas (bonos + componentes) por 3 meses.
*Recibirá tambien paquete de gbs y redes sociales.</t>
  </si>
  <si>
    <t xml:space="preserve">Prom Cencosud Post
*Si el cliente adquiere equipos de la lista tendrá descuento con tarjetas CENCOSUD (cuotas 14 meses) sin intereses, desde el plan Max 49.90 (no aplica para plan max 125).
*Aplica para renovación anticipada desde el mes 15 (clientes con acuerdo de equipos 
vigente a 18 meses); y desde el mes 10 (clientes con acuerdo de equipos vigente a 12 
meses)
</t>
  </si>
  <si>
    <t>*HV Full Claro
Ruta: Productos y Promociones/Personas/Postpago/HV Full Claro</t>
  </si>
  <si>
    <t>Descuento en cargo fijo y Bono de gigas</t>
  </si>
  <si>
    <t xml:space="preserve">
* Full Claro Masivo
Ruta: Productos y Promociones/Resumen NP/ Postpago/Full Claro Masivo</t>
  </si>
  <si>
    <t xml:space="preserve">
* Full Claro Masivo
Ruta: Productos y Promociones/Resumen NP/ Postpago/Full Claro Masivo
* Beneficio Descuento Líneas Adicionales Resumen Nota de Producto
Ruta: Productos y Promociones/Resumen NP/ Postpago/Beneficios Descuentos Lineas Adicionales (Aplican todas las Campañas)</t>
  </si>
  <si>
    <t>Lista de Precios Full Claro:
*No aplica para el plan Max Ilimitado 125.
*Válido para clientes de HFC/FTTH que les falte el producto móvil para ser FULL CLARO</t>
  </si>
  <si>
    <t xml:space="preserve">*NO Vigente: Los clientes del Banco Alfin (con tarjetas débito VISA) podrán comprar equipos al contado con acuerdo de 18 meses.
*Válido para planes postpago Max Limitado 49.90, Max Ilimitado 69.90 y 109.90 en Portabilidad y Renovación. 
*Los planes ilimitados incluyen un bono de GB en alta velocidad por 12 meses.
</t>
  </si>
  <si>
    <t xml:space="preserve">Beneficio Líneas adicionales:
Válido para todos los canales.
</t>
  </si>
  <si>
    <t xml:space="preserve">
*HV Beneficio Líneas Adicionales 
Ruta: Productos y Promociones/Personas/Historial Hojas de Venta/Postpago/Descuento Cargo Fijo/ Portabilidad/Líneas Adicionales con Descuento (Aplican todas las Campañas)
</t>
  </si>
  <si>
    <t>*No Vigente Portabilidad Proactiva: Hasta el 15/01/2022 aplico el beneficio de Portabilidad proactiva para esta campaña.</t>
  </si>
  <si>
    <t xml:space="preserve">Promo BBVA Post
*Si el cliente adquiere equipos de la lista tendrá descuento con tarjetas BBVA (18 meses sin intereses) desde el plan Max 49.90.
* No aplica al descuento el plan Max 125.
* No válido para compras en Tienda Virtual Claro, Cadenas ni Distribuidores.
* No aplica para Delivery.
* Válido para venta de accesorios y equipos móviles.
*  Aplica para renovación anticipada desde el mes 15 (clientes con acuerdo de equipos vigente a 18 meses); y desde el mes 10 (clientes con acuerdo de equipos vigente a 12 meses).
*  Monto mínimo de compra es de S/. 500.
</t>
  </si>
  <si>
    <t xml:space="preserve">
Beneficio Líneas adicionales: 
Válido para todos los canales.
Portabilidad Proactiva: 
Válido paraTeleventas
Promo BBVA Post: 
Válido para 55 CACs seleccionados 
(revisar hv).
</t>
  </si>
  <si>
    <t>CIERRA PUERTAS CAC y DAC 2023</t>
  </si>
  <si>
    <t>NAVIDAD PORT OUT 2023</t>
  </si>
  <si>
    <t>PROMO CANJE SMART 2023</t>
  </si>
  <si>
    <t>PROMO NAVIDAD 2023</t>
  </si>
  <si>
    <t>PROM BCP POST</t>
  </si>
  <si>
    <r>
      <t xml:space="preserve">
</t>
    </r>
    <r>
      <rPr>
        <b/>
        <sz val="11"/>
        <color theme="1"/>
        <rFont val="Calibri"/>
        <family val="2"/>
        <scheme val="minor"/>
      </rPr>
      <t>Nota:</t>
    </r>
    <r>
      <rPr>
        <sz val="11"/>
        <color theme="1"/>
        <rFont val="Calibri"/>
        <family val="2"/>
        <scheme val="minor"/>
      </rPr>
      <t xml:space="preserve">
Tener en cuenta que la campaña tambien aplica para Beneficio Líneas adicionales (sólo para Portabilidad):
*Si el el cliente adquiere líneas adicionales obtendrá 50% en el cargo fijo por 12 meses.
*Aplica descuento líneas adicionales desde el plan max 55.90.
* No aplica para los Planes Max Play con Netflix.
* El descuento aplica hasta en el 2.º recibo (ciclo de facturación).
* Debe tener mínimo dos líneas en estado ACTIVO para acceder al beneficio (Ejem: cliente actual cuenta con 1 línea activa y adquiere 1 o más líneas ; Ejem 2: Cliente adquiere dos líneas).</t>
    </r>
  </si>
  <si>
    <t xml:space="preserve">Convenio Banco Ripley
*Si tu cliente realiza una Portabilidad o Renovación desde el plan Max 49.90 pagando con sus tarjeta de crédito Banco Ripley Mastercard obtendrá descuento en equipos seleccionados.
</t>
  </si>
  <si>
    <t xml:space="preserve">
Promo BCP Post: 
Válido para 55 CACs seleccionados 
(revisar hv).
Beneficio Líneas adicionales: 
Válido para todos los canales.
</t>
  </si>
  <si>
    <t xml:space="preserve">*HV Convenio BCP
Ruta: Productos y Promociones/Personas/Historial Hojas de Venta/Postpago/Descuento en equipo/ Portabilidad/Prom BCP Post
*HV Beneficio Líneas Adicionales 
Ruta: Productos y Promociones/Personas/Historial Hojas de Venta/Postpago/Descuento en Cargo Fijo/ Portabilidad/Líneas Adicionales con Descuento (Aplican todas las Campañas)
</t>
  </si>
  <si>
    <t xml:space="preserve">Oferta Comercial Campaña Bancos Renovación y Portabilidad Resumen Nota de Producto
Ruta: Productos y Promociones/Resumen NP/ Postpago/Oferta Comercial Campaña Bancos
Beneficio Descuento Líneas Adicionales Resumen Nota de Producto
Ruta: Productos y Promociones/Resumen NP/ Postpago/Beneficios Descuentos Lineas Adicionales (Aplican todas las Campañas)
</t>
  </si>
  <si>
    <t>Promo BCP Post
*Si el cliente adquiere equipos de la lista tendrá descuento con tarjetas BCP Visa (3, 6, 9, 12 y 18 meses sin intereses) desde el plan Max 49.90.
* Válido desde el 01/04/2023.
* No válido para compras en Tienda Virtual Claro, Cadenas ni Distribuidores.
* No aplica para Delivery.
* No aplica canje de Claro Puntos.
*  Aplica para renovación anticipada desde el mes 15 (clientes con acuerdo de equipos vigente a 18 meses); y desde el mes 10 (clientes con acuerdo de equipos vigente a 12 meses).</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</si>
</sst>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1"/>
      <color theme="1"/>
      <name val="Calibri"/>
      <family val="2"/>
      <scheme val="minor"/>
    </font>
    <font>
      <b/>
      <sz val="11"/>
      <color theme="0"/>
      <name val="Arial"/>
      <family val="2"/>
    </font>
    <font>
      <b/>
      <sz val="10"/>
      <color theme="0"/>
      <name val="Arial"/>
      <family val="2"/>
    </font>
    <font>
      <sz val="10"/>
      <color theme="1"/>
      <name val="Calibri"/>
      <family val="2"/>
      <scheme val="minor"/>
    </font>
    <font>
      <sz val="10"/>
      <color theme="1"/>
      <name val="Arial"/>
      <family val="2"/>
    </font>
    <font>
      <b/>
      <sz val="10"/>
      <name val="Arial"/>
      <family val="2"/>
    </font>
    <font>
      <sz val="8"/>
      <name val="Calibri"/>
      <family val="2"/>
      <scheme val="minor"/>
    </font>
    <font>
      <sz val="10"/>
      <name val="Arial"/>
      <family val="2"/>
    </font>
    <font>
      <b/>
      <sz val="11"/>
      <color theme="1"/>
      <name val="Arial"/>
      <family val="2"/>
    </font>
  </fonts>
  <fills count="7">
    <fill>
      <patternFill patternType="none"/>
    </fill>
    <fill>
      <patternFill patternType="gray125"/>
    </fill>
    <fill>
      <patternFill patternType="solid">
        <fgColor theme="5"/>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1F97AE"/>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0" fontId="5" fillId="4" borderId="0" xfId="0" applyFont="1" applyFill="1" applyAlignment="1">
      <alignment vertical="center"/>
    </xf>
    <xf numFmtId="0" fontId="5" fillId="0" borderId="0" xfId="0" applyFont="1" applyAlignment="1">
      <alignment vertical="center"/>
    </xf>
    <xf numFmtId="0" fontId="4" fillId="4" borderId="0" xfId="0" applyFont="1" applyFill="1" applyAlignment="1">
      <alignment vertical="center"/>
    </xf>
    <xf numFmtId="0" fontId="4" fillId="0" borderId="0" xfId="0" applyFont="1" applyAlignment="1">
      <alignment vertical="center"/>
    </xf>
    <xf numFmtId="0" fontId="4" fillId="0" borderId="0" xfId="0" applyFont="1" applyAlignment="1" applyProtection="1">
      <alignment vertical="center"/>
      <protection locked="0"/>
    </xf>
    <xf numFmtId="0" fontId="4" fillId="0" borderId="0" xfId="0" applyFont="1" applyAlignment="1">
      <alignment vertical="center" wrapText="1"/>
    </xf>
    <xf numFmtId="0" fontId="4" fillId="4" borderId="0" xfId="0" applyFont="1" applyFill="1" applyAlignment="1">
      <alignment vertical="center" wrapText="1"/>
    </xf>
    <xf numFmtId="0" fontId="8" fillId="4" borderId="0" xfId="0" applyFont="1" applyFill="1" applyAlignment="1" applyProtection="1">
      <alignment horizontal="center" vertical="center" wrapText="1"/>
      <protection hidden="1"/>
    </xf>
    <xf numFmtId="0" fontId="2" fillId="4" borderId="0" xfId="0" applyFont="1" applyFill="1" applyAlignment="1" applyProtection="1">
      <alignment horizontal="center" vertical="center" wrapText="1"/>
      <protection hidden="1"/>
    </xf>
    <xf numFmtId="0" fontId="8" fillId="4" borderId="0" xfId="0" applyFont="1" applyFill="1" applyAlignment="1" applyProtection="1">
      <alignment horizontal="left" vertical="top" wrapText="1"/>
      <protection hidden="1"/>
    </xf>
    <xf numFmtId="0" fontId="8" fillId="4" borderId="0" xfId="0" applyFont="1" applyFill="1" applyAlignment="1" applyProtection="1">
      <alignment horizontal="left" vertical="center" wrapText="1"/>
      <protection hidden="1"/>
    </xf>
    <xf numFmtId="0" fontId="6" fillId="4" borderId="0" xfId="0" applyFont="1" applyFill="1" applyAlignment="1" applyProtection="1">
      <alignment horizontal="left" vertical="top" wrapText="1"/>
      <protection hidden="1"/>
    </xf>
    <xf numFmtId="0" fontId="3" fillId="2" borderId="1" xfId="0" applyFont="1" applyFill="1" applyBorder="1" applyAlignment="1" applyProtection="1">
      <alignment horizontal="center" vertical="top" wrapText="1"/>
      <protection hidden="1"/>
    </xf>
    <xf numFmtId="0" fontId="3" fillId="3" borderId="1" xfId="0" applyFont="1" applyFill="1" applyBorder="1" applyAlignment="1" applyProtection="1">
      <alignment horizontal="center" vertical="top" wrapText="1"/>
      <protection hidden="1"/>
    </xf>
    <xf numFmtId="0" fontId="3" fillId="5" borderId="1" xfId="0" applyFont="1" applyFill="1" applyBorder="1" applyAlignment="1" applyProtection="1">
      <alignment horizontal="center" vertical="top" wrapText="1"/>
      <protection hidden="1"/>
    </xf>
    <xf numFmtId="0" fontId="4" fillId="0" borderId="0" xfId="0" applyFont="1" applyAlignment="1">
      <alignment vertical="top" wrapText="1"/>
    </xf>
    <xf numFmtId="0" fontId="0" fillId="0" borderId="1" xfId="0" applyBorder="1" applyAlignment="1">
      <alignment horizontal="center" vertical="top" wrapText="1"/>
    </xf>
    <xf numFmtId="0" fontId="0" fillId="0" borderId="1" xfId="0" applyBorder="1" applyAlignment="1">
      <alignment vertical="top" wrapText="1"/>
    </xf>
    <xf numFmtId="0" fontId="0" fillId="0" borderId="0" xfId="0" applyAlignment="1">
      <alignment vertical="top" wrapText="1"/>
    </xf>
    <xf numFmtId="0" fontId="0" fillId="4" borderId="1" xfId="0" applyFill="1" applyBorder="1" applyAlignment="1">
      <alignment horizontal="center" vertical="top" wrapText="1"/>
    </xf>
    <xf numFmtId="0" fontId="0" fillId="3" borderId="1" xfId="0" applyFill="1" applyBorder="1" applyAlignment="1">
      <alignment vertical="top" wrapText="1"/>
    </xf>
    <xf numFmtId="0" fontId="0" fillId="3" borderId="1" xfId="0" applyFill="1" applyBorder="1" applyAlignment="1">
      <alignment horizontal="center" vertical="top" wrapText="1"/>
    </xf>
    <xf numFmtId="0" fontId="0" fillId="0" borderId="1" xfId="0" applyBorder="1" applyAlignment="1">
      <alignment horizontal="left" vertical="top" wrapText="1"/>
    </xf>
    <xf numFmtId="0" fontId="2" fillId="4" borderId="0" xfId="0" applyFont="1" applyFill="1" applyAlignment="1" applyProtection="1">
      <alignment horizontal="center" vertical="top" wrapText="1"/>
      <protection hidden="1"/>
    </xf>
    <xf numFmtId="0" fontId="2" fillId="4" borderId="0" xfId="0" applyFont="1" applyFill="1" applyAlignment="1" applyProtection="1">
      <alignment horizontal="center" vertical="center" wrapText="1"/>
      <protection hidden="1"/>
    </xf>
    <xf numFmtId="0" fontId="8" fillId="4" borderId="0" xfId="0" applyFont="1" applyFill="1" applyAlignment="1" applyProtection="1">
      <alignment horizontal="left" vertical="top" wrapText="1"/>
      <protection hidden="1"/>
    </xf>
    <xf numFmtId="0" fontId="8" fillId="4" borderId="0" xfId="0" applyFont="1" applyFill="1" applyAlignment="1" applyProtection="1">
      <alignment horizontal="left" vertical="center" wrapText="1"/>
      <protection hidden="1"/>
    </xf>
    <xf numFmtId="0" fontId="9" fillId="4" borderId="2" xfId="0" applyFont="1" applyFill="1" applyBorder="1" applyAlignment="1" applyProtection="1">
      <alignment horizontal="center" vertical="center"/>
      <protection locked="0"/>
    </xf>
    <xf numFmtId="0" fontId="9" fillId="4" borderId="3" xfId="0" applyFont="1" applyFill="1" applyBorder="1" applyAlignment="1" applyProtection="1">
      <alignment horizontal="center" vertical="center"/>
      <protection locked="0"/>
    </xf>
    <xf numFmtId="0" fontId="9" fillId="4" borderId="4" xfId="0" applyFont="1" applyFill="1" applyBorder="1" applyAlignment="1" applyProtection="1">
      <alignment horizontal="center" vertical="center"/>
      <protection locked="0"/>
    </xf>
    <xf numFmtId="0" fontId="2" fillId="6" borderId="1" xfId="0" applyFont="1" applyFill="1" applyBorder="1" applyAlignment="1" applyProtection="1">
      <alignment horizontal="center" vertical="center" wrapText="1"/>
      <protection hidden="1"/>
    </xf>
    <xf numFmtId="0" fontId="6" fillId="4" borderId="2" xfId="0" applyFont="1" applyFill="1" applyBorder="1" applyAlignment="1" applyProtection="1">
      <alignment horizontal="center" vertical="top" wrapText="1"/>
      <protection hidden="1"/>
    </xf>
    <xf numFmtId="0" fontId="6" fillId="4" borderId="3" xfId="0" applyFont="1" applyFill="1" applyBorder="1" applyAlignment="1" applyProtection="1">
      <alignment horizontal="center" vertical="top" wrapText="1"/>
      <protection hidden="1"/>
    </xf>
    <xf numFmtId="0" fontId="6" fillId="4" borderId="4" xfId="0" applyFont="1" applyFill="1" applyBorder="1" applyAlignment="1" applyProtection="1">
      <alignment horizontal="center" vertical="top" wrapText="1"/>
      <protection hidden="1"/>
    </xf>
    <xf numFmtId="0" fontId="6" fillId="4" borderId="2" xfId="0" applyFont="1" applyFill="1" applyBorder="1" applyAlignment="1" applyProtection="1">
      <alignment horizontal="center" vertical="center" wrapText="1"/>
      <protection hidden="1"/>
    </xf>
    <xf numFmtId="0" fontId="6" fillId="4" borderId="3" xfId="0" applyFont="1" applyFill="1" applyBorder="1" applyAlignment="1" applyProtection="1">
      <alignment horizontal="center" vertical="center" wrapText="1"/>
      <protection hidden="1"/>
    </xf>
    <xf numFmtId="0" fontId="6" fillId="4" borderId="4" xfId="0" applyFont="1" applyFill="1" applyBorder="1" applyAlignment="1" applyProtection="1">
      <alignment horizontal="center" vertical="center" wrapText="1"/>
      <protection hidden="1"/>
    </xf>
    <xf numFmtId="0" fontId="8" fillId="4" borderId="1" xfId="0" applyFont="1" applyFill="1" applyBorder="1" applyAlignment="1" applyProtection="1">
      <alignment horizontal="center" vertical="center" wrapText="1"/>
      <protection hidden="1"/>
    </xf>
    <xf numFmtId="0" fontId="6" fillId="4" borderId="0" xfId="0" applyFont="1" applyFill="1" applyAlignment="1" applyProtection="1">
      <alignment horizontal="left" vertical="top" wrapText="1"/>
      <protection hidden="1"/>
    </xf>
  </cellXfs>
  <cellStyles count="1">
    <cellStyle name="Normal" xfId="0" builtinId="0"/>
  </cellStyles>
  <dxfs count="5">
    <dxf>
      <font>
        <b/>
        <i val="0"/>
        <color rgb="FFC30006"/>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C30006"/>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C30006"/>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C30006"/>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C30006"/>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s>
  <tableStyles count="0" defaultTableStyle="TableStyleMedium2" defaultPivotStyle="PivotStyleLight16"/>
  <colors>
    <mruColors>
      <color rgb="FF1F97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PRINCIPAL!A1"/><Relationship Id="rId2" Type="http://schemas.openxmlformats.org/officeDocument/2006/relationships/image" Target="../media/image2.jp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PORTADA!A1"/><Relationship Id="rId1" Type="http://schemas.openxmlformats.org/officeDocument/2006/relationships/image" Target="../media/image3.jfif"/><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10</xdr:col>
      <xdr:colOff>104775</xdr:colOff>
      <xdr:row>0</xdr:row>
      <xdr:rowOff>0</xdr:rowOff>
    </xdr:from>
    <xdr:to>
      <xdr:col>17</xdr:col>
      <xdr:colOff>9525</xdr:colOff>
      <xdr:row>27</xdr:row>
      <xdr:rowOff>95250</xdr:rowOff>
    </xdr:to>
    <xdr:pic>
      <xdr:nvPicPr>
        <xdr:cNvPr id="12" name="Imagen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24775" y="0"/>
          <a:ext cx="5238750" cy="5238750"/>
        </a:xfrm>
        <a:prstGeom prst="rect">
          <a:avLst/>
        </a:prstGeom>
      </xdr:spPr>
    </xdr:pic>
    <xdr:clientData/>
  </xdr:twoCellAnchor>
  <xdr:twoCellAnchor editAs="oneCell">
    <xdr:from>
      <xdr:col>0</xdr:col>
      <xdr:colOff>0</xdr:colOff>
      <xdr:row>0</xdr:row>
      <xdr:rowOff>0</xdr:rowOff>
    </xdr:from>
    <xdr:to>
      <xdr:col>8</xdr:col>
      <xdr:colOff>704850</xdr:colOff>
      <xdr:row>29</xdr:row>
      <xdr:rowOff>114300</xdr:rowOff>
    </xdr:to>
    <xdr:pic>
      <xdr:nvPicPr>
        <xdr:cNvPr id="10" name="Imagen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10800000">
          <a:off x="0" y="0"/>
          <a:ext cx="6800850" cy="5638800"/>
        </a:xfrm>
        <a:prstGeom prst="rect">
          <a:avLst/>
        </a:prstGeom>
      </xdr:spPr>
    </xdr:pic>
    <xdr:clientData/>
  </xdr:twoCellAnchor>
  <xdr:twoCellAnchor editAs="absolute">
    <xdr:from>
      <xdr:col>1</xdr:col>
      <xdr:colOff>9525</xdr:colOff>
      <xdr:row>18</xdr:row>
      <xdr:rowOff>85725</xdr:rowOff>
    </xdr:from>
    <xdr:to>
      <xdr:col>10</xdr:col>
      <xdr:colOff>733424</xdr:colOff>
      <xdr:row>23</xdr:row>
      <xdr:rowOff>95249</xdr:rowOff>
    </xdr:to>
    <xdr:sp macro="" textlink="">
      <xdr:nvSpPr>
        <xdr:cNvPr id="4" name="Rectángulo 3">
          <a:extLst>
            <a:ext uri="{FF2B5EF4-FFF2-40B4-BE49-F238E27FC236}">
              <a16:creationId xmlns="" xmlns:a16="http://schemas.microsoft.com/office/drawing/2014/main" id="{00000000-0008-0000-0000-000004000000}"/>
            </a:ext>
          </a:extLst>
        </xdr:cNvPr>
        <xdr:cNvSpPr/>
      </xdr:nvSpPr>
      <xdr:spPr>
        <a:xfrm>
          <a:off x="771525" y="3514725"/>
          <a:ext cx="7581899" cy="962024"/>
        </a:xfrm>
        <a:prstGeom prst="rect">
          <a:avLst/>
        </a:prstGeom>
        <a:solidFill>
          <a:schemeClr val="bg1"/>
        </a:solidFill>
        <a:ln w="19050">
          <a:solidFill>
            <a:schemeClr val="accent2"/>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marL="0" indent="0" algn="l">
            <a:buFont typeface="Arial" panose="020B0604020202020204" pitchFamily="34" charset="0"/>
            <a:buNone/>
          </a:pPr>
          <a:r>
            <a:rPr lang="es-PE" sz="1000" b="1" i="0" u="none" strike="noStrike" baseline="0">
              <a:solidFill>
                <a:schemeClr val="accent2"/>
              </a:solidFill>
              <a:effectLst/>
              <a:latin typeface="Arial" panose="020B0604020202020204" pitchFamily="34" charset="0"/>
              <a:ea typeface="+mn-ea"/>
              <a:cs typeface="Arial" panose="020B0604020202020204" pitchFamily="34" charset="0"/>
            </a:rPr>
            <a:t>Importante: Beneficio Descuento 50% en Líneas Adicionales </a:t>
          </a:r>
        </a:p>
        <a:p>
          <a:pPr marL="0" indent="0" algn="l">
            <a:buFont typeface="Arial" panose="020B0604020202020204" pitchFamily="34" charset="0"/>
            <a:buChar char="•"/>
          </a:pPr>
          <a:r>
            <a:rPr lang="es-PE" sz="1000" b="0" i="0" u="none" strike="noStrike" baseline="0">
              <a:solidFill>
                <a:sysClr val="windowText" lastClr="000000"/>
              </a:solidFill>
              <a:effectLst/>
              <a:latin typeface="Arial" panose="020B0604020202020204" pitchFamily="34" charset="0"/>
              <a:ea typeface="+mn-ea"/>
              <a:cs typeface="Arial" panose="020B0604020202020204" pitchFamily="34" charset="0"/>
            </a:rPr>
            <a:t> Tiene </a:t>
          </a:r>
          <a:r>
            <a:rPr lang="es-PE" sz="1000" b="1" i="0" u="none" strike="noStrike" baseline="0">
              <a:solidFill>
                <a:sysClr val="windowText" lastClr="000000"/>
              </a:solidFill>
              <a:effectLst/>
              <a:latin typeface="Arial" panose="020B0604020202020204" pitchFamily="34" charset="0"/>
              <a:ea typeface="+mn-ea"/>
              <a:cs typeface="Arial" panose="020B0604020202020204" pitchFamily="34" charset="0"/>
            </a:rPr>
            <a:t>PRIORIDAD</a:t>
          </a:r>
          <a:r>
            <a:rPr lang="es-PE" sz="1000" b="0" i="0" u="none" strike="noStrike" baseline="0">
              <a:solidFill>
                <a:sysClr val="windowText" lastClr="000000"/>
              </a:solidFill>
              <a:effectLst/>
              <a:latin typeface="Arial" panose="020B0604020202020204" pitchFamily="34" charset="0"/>
              <a:ea typeface="+mn-ea"/>
              <a:cs typeface="Arial" panose="020B0604020202020204" pitchFamily="34" charset="0"/>
            </a:rPr>
            <a:t> sobre otros bonos de descuentos.</a:t>
          </a:r>
        </a:p>
        <a:p>
          <a:pPr marL="0" indent="0" algn="l">
            <a:buFont typeface="Arial" panose="020B0604020202020204" pitchFamily="34" charset="0"/>
            <a:buChar char="•"/>
          </a:pPr>
          <a:r>
            <a:rPr lang="es-PE" sz="1000" b="0" i="0" u="none" strike="noStrike" baseline="0">
              <a:solidFill>
                <a:sysClr val="windowText" lastClr="000000"/>
              </a:solidFill>
              <a:effectLst/>
              <a:latin typeface="Arial" panose="020B0604020202020204" pitchFamily="34" charset="0"/>
              <a:ea typeface="+mn-ea"/>
              <a:cs typeface="Arial" panose="020B0604020202020204" pitchFamily="34" charset="0"/>
            </a:rPr>
            <a:t> Desde el 17/08/2021 el beneficio aplica para todas las campañas de Alta y Portabilidad.</a:t>
          </a:r>
        </a:p>
        <a:p>
          <a:pPr marL="0" indent="0" algn="l">
            <a:buFont typeface="Arial" panose="020B0604020202020204" pitchFamily="34" charset="0"/>
            <a:buChar char="•"/>
          </a:pPr>
          <a:r>
            <a:rPr lang="es-PE" sz="1000" b="0" i="0" u="none" strike="noStrike" baseline="0">
              <a:solidFill>
                <a:sysClr val="windowText" lastClr="000000"/>
              </a:solidFill>
              <a:effectLst/>
              <a:latin typeface="Arial" panose="020B0604020202020204" pitchFamily="34" charset="0"/>
              <a:ea typeface="+mn-ea"/>
              <a:cs typeface="Arial" panose="020B0604020202020204" pitchFamily="34" charset="0"/>
            </a:rPr>
            <a:t> Aplica a el/lo(s) plan(es) con menor cargo fijo. En caso dos o más líneas tengan el mismo cargo fijo, recibirá el beneficio, la que sea más antigua. </a:t>
          </a:r>
        </a:p>
      </xdr:txBody>
    </xdr:sp>
    <xdr:clientData/>
  </xdr:twoCellAnchor>
  <xdr:twoCellAnchor>
    <xdr:from>
      <xdr:col>0</xdr:col>
      <xdr:colOff>200025</xdr:colOff>
      <xdr:row>23</xdr:row>
      <xdr:rowOff>171450</xdr:rowOff>
    </xdr:from>
    <xdr:to>
      <xdr:col>1</xdr:col>
      <xdr:colOff>340255</xdr:colOff>
      <xdr:row>26</xdr:row>
      <xdr:rowOff>60856</xdr:rowOff>
    </xdr:to>
    <xdr:sp macro="" textlink="">
      <xdr:nvSpPr>
        <xdr:cNvPr id="6" name="CuadroTexto 5">
          <a:extLst>
            <a:ext uri="{FF2B5EF4-FFF2-40B4-BE49-F238E27FC236}">
              <a16:creationId xmlns="" xmlns:a16="http://schemas.microsoft.com/office/drawing/2014/main" id="{00000000-0008-0000-0000-000006000000}"/>
            </a:ext>
          </a:extLst>
        </xdr:cNvPr>
        <xdr:cNvSpPr txBox="1"/>
      </xdr:nvSpPr>
      <xdr:spPr>
        <a:xfrm>
          <a:off x="200025" y="4552950"/>
          <a:ext cx="902230" cy="460906"/>
        </a:xfrm>
        <a:prstGeom prst="rect">
          <a:avLst/>
        </a:prstGeom>
        <a:solidFill>
          <a:srgbClr val="FFFF00"/>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s-PE" sz="1100" b="1">
              <a:latin typeface="Arial" pitchFamily="34" charset="0"/>
              <a:cs typeface="Arial" pitchFamily="34" charset="0"/>
            </a:rPr>
            <a:t>11/04/2023</a:t>
          </a:r>
        </a:p>
        <a:p>
          <a:pPr algn="ctr"/>
          <a:r>
            <a:rPr lang="es-PE" sz="1100" b="1">
              <a:latin typeface="Arial" pitchFamily="34" charset="0"/>
              <a:cs typeface="Arial" pitchFamily="34" charset="0"/>
            </a:rPr>
            <a:t>(10:50 am)</a:t>
          </a:r>
        </a:p>
      </xdr:txBody>
    </xdr:sp>
    <xdr:clientData/>
  </xdr:twoCellAnchor>
  <xdr:twoCellAnchor>
    <xdr:from>
      <xdr:col>1</xdr:col>
      <xdr:colOff>752475</xdr:colOff>
      <xdr:row>4</xdr:row>
      <xdr:rowOff>104775</xdr:rowOff>
    </xdr:from>
    <xdr:to>
      <xdr:col>10</xdr:col>
      <xdr:colOff>180975</xdr:colOff>
      <xdr:row>15</xdr:row>
      <xdr:rowOff>57150</xdr:rowOff>
    </xdr:to>
    <xdr:sp macro="" textlink="">
      <xdr:nvSpPr>
        <xdr:cNvPr id="7" name="1 Rectángulo redondeado">
          <a:extLst>
            <a:ext uri="{FF2B5EF4-FFF2-40B4-BE49-F238E27FC236}">
              <a16:creationId xmlns="" xmlns:a16="http://schemas.microsoft.com/office/drawing/2014/main" id="{00000000-0008-0000-0000-000007000000}"/>
            </a:ext>
          </a:extLst>
        </xdr:cNvPr>
        <xdr:cNvSpPr/>
      </xdr:nvSpPr>
      <xdr:spPr>
        <a:xfrm>
          <a:off x="1514475" y="866775"/>
          <a:ext cx="6286500" cy="2047875"/>
        </a:xfrm>
        <a:prstGeom prst="snip1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3600" b="1">
              <a:solidFill>
                <a:schemeClr val="tx1"/>
              </a:solidFill>
              <a:latin typeface="Arial" panose="020B0604020202020204" pitchFamily="34" charset="0"/>
              <a:ea typeface="+mn-ea"/>
              <a:cs typeface="Arial" panose="020B0604020202020204" pitchFamily="34" charset="0"/>
            </a:rPr>
            <a:t>Consolidado</a:t>
          </a:r>
          <a:r>
            <a:rPr lang="es-ES" sz="3600" b="1" baseline="0">
              <a:solidFill>
                <a:schemeClr val="tx1"/>
              </a:solidFill>
              <a:latin typeface="Arial" panose="020B0604020202020204" pitchFamily="34" charset="0"/>
              <a:ea typeface="+mn-ea"/>
              <a:cs typeface="Arial" panose="020B0604020202020204" pitchFamily="34" charset="0"/>
            </a:rPr>
            <a:t> de Campañas Postpago Masivo</a:t>
          </a:r>
          <a:endParaRPr lang="es-ES" sz="3600" b="1">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5</xdr:col>
      <xdr:colOff>0</xdr:colOff>
      <xdr:row>14</xdr:row>
      <xdr:rowOff>19050</xdr:rowOff>
    </xdr:from>
    <xdr:to>
      <xdr:col>6</xdr:col>
      <xdr:colOff>638175</xdr:colOff>
      <xdr:row>16</xdr:row>
      <xdr:rowOff>0</xdr:rowOff>
    </xdr:to>
    <xdr:sp macro="" textlink="">
      <xdr:nvSpPr>
        <xdr:cNvPr id="9" name="10 Rectángulo redondeado">
          <a:hlinkClick xmlns:r="http://schemas.openxmlformats.org/officeDocument/2006/relationships" r:id="rId3"/>
          <a:extLst>
            <a:ext uri="{FF2B5EF4-FFF2-40B4-BE49-F238E27FC236}">
              <a16:creationId xmlns="" xmlns:a16="http://schemas.microsoft.com/office/drawing/2014/main" id="{00000000-0008-0000-0000-000009000000}"/>
            </a:ext>
          </a:extLst>
        </xdr:cNvPr>
        <xdr:cNvSpPr/>
      </xdr:nvSpPr>
      <xdr:spPr>
        <a:xfrm>
          <a:off x="3810000" y="2686050"/>
          <a:ext cx="1400175" cy="361950"/>
        </a:xfrm>
        <a:prstGeom prst="roundRect">
          <a:avLst/>
        </a:prstGeom>
        <a:solidFill>
          <a:srgbClr val="1F97AE"/>
        </a:solidFill>
        <a:ln>
          <a:solidFill>
            <a:srgbClr val="1F97A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s-PE" sz="1600" b="1">
              <a:solidFill>
                <a:schemeClr val="bg1"/>
              </a:solidFill>
            </a:rPr>
            <a:t>Ver más</a:t>
          </a:r>
        </a:p>
      </xdr:txBody>
    </xdr:sp>
    <xdr:clientData/>
  </xdr:twoCellAnchor>
  <xdr:twoCellAnchor>
    <xdr:from>
      <xdr:col>0</xdr:col>
      <xdr:colOff>200025</xdr:colOff>
      <xdr:row>26</xdr:row>
      <xdr:rowOff>104775</xdr:rowOff>
    </xdr:from>
    <xdr:to>
      <xdr:col>1</xdr:col>
      <xdr:colOff>340255</xdr:colOff>
      <xdr:row>28</xdr:row>
      <xdr:rowOff>184681</xdr:rowOff>
    </xdr:to>
    <xdr:sp macro="" textlink="">
      <xdr:nvSpPr>
        <xdr:cNvPr id="2" name="CuadroTexto 1">
          <a:extLst>
            <a:ext uri="{FF2B5EF4-FFF2-40B4-BE49-F238E27FC236}">
              <a16:creationId xmlns="" xmlns:a16="http://schemas.microsoft.com/office/drawing/2014/main" id="{BB240A38-B93B-4FAA-B2E3-D8CE900B58B5}"/>
            </a:ext>
          </a:extLst>
        </xdr:cNvPr>
        <xdr:cNvSpPr txBox="1"/>
      </xdr:nvSpPr>
      <xdr:spPr>
        <a:xfrm>
          <a:off x="200025" y="5057775"/>
          <a:ext cx="902230" cy="460906"/>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s-PE" sz="1100" b="1">
              <a:latin typeface="Arial" pitchFamily="34" charset="0"/>
              <a:cs typeface="Arial" pitchFamily="34" charset="0"/>
            </a:rPr>
            <a:t>10/04/2023</a:t>
          </a:r>
        </a:p>
        <a:p>
          <a:pPr algn="ctr"/>
          <a:r>
            <a:rPr lang="es-PE" sz="1100" b="1">
              <a:latin typeface="Arial" pitchFamily="34" charset="0"/>
              <a:cs typeface="Arial" pitchFamily="34" charset="0"/>
            </a:rPr>
            <a:t>(12:30 pm)</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695322</xdr:colOff>
      <xdr:row>8</xdr:row>
      <xdr:rowOff>134410</xdr:rowOff>
    </xdr:from>
    <xdr:to>
      <xdr:col>2</xdr:col>
      <xdr:colOff>973394</xdr:colOff>
      <xdr:row>8</xdr:row>
      <xdr:rowOff>325044</xdr:rowOff>
    </xdr:to>
    <xdr:sp macro="" textlink="">
      <xdr:nvSpPr>
        <xdr:cNvPr id="21" name="Flecha: a la derecha 9">
          <a:extLst>
            <a:ext uri="{FF2B5EF4-FFF2-40B4-BE49-F238E27FC236}">
              <a16:creationId xmlns="" xmlns:a16="http://schemas.microsoft.com/office/drawing/2014/main" id="{00000000-0008-0000-0100-000015000000}"/>
            </a:ext>
          </a:extLst>
        </xdr:cNvPr>
        <xdr:cNvSpPr/>
      </xdr:nvSpPr>
      <xdr:spPr>
        <a:xfrm>
          <a:off x="2251072" y="2526243"/>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781049</xdr:colOff>
      <xdr:row>0</xdr:row>
      <xdr:rowOff>9719</xdr:rowOff>
    </xdr:from>
    <xdr:to>
      <xdr:col>2</xdr:col>
      <xdr:colOff>619124</xdr:colOff>
      <xdr:row>1</xdr:row>
      <xdr:rowOff>180975</xdr:rowOff>
    </xdr:to>
    <xdr:pic>
      <xdr:nvPicPr>
        <xdr:cNvPr id="7" name="Imagen 6">
          <a:extLst>
            <a:ext uri="{FF2B5EF4-FFF2-40B4-BE49-F238E27FC236}">
              <a16:creationId xmlns=""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flipH="1">
          <a:off x="952499" y="9719"/>
          <a:ext cx="1228725" cy="1161856"/>
        </a:xfrm>
        <a:prstGeom prst="rect">
          <a:avLst/>
        </a:prstGeom>
      </xdr:spPr>
    </xdr:pic>
    <xdr:clientData/>
  </xdr:twoCellAnchor>
  <xdr:twoCellAnchor editAs="absolute">
    <xdr:from>
      <xdr:col>9</xdr:col>
      <xdr:colOff>374134</xdr:colOff>
      <xdr:row>0</xdr:row>
      <xdr:rowOff>988749</xdr:rowOff>
    </xdr:from>
    <xdr:to>
      <xdr:col>12</xdr:col>
      <xdr:colOff>71444</xdr:colOff>
      <xdr:row>2</xdr:row>
      <xdr:rowOff>0</xdr:rowOff>
    </xdr:to>
    <xdr:sp macro="[0]!Limpia" textlink="">
      <xdr:nvSpPr>
        <xdr:cNvPr id="4" name="Rectángulo: esquinas redondeadas 3">
          <a:extLst>
            <a:ext uri="{FF2B5EF4-FFF2-40B4-BE49-F238E27FC236}">
              <a16:creationId xmlns="" xmlns:a16="http://schemas.microsoft.com/office/drawing/2014/main" id="{00000000-0008-0000-0100-000004000000}"/>
            </a:ext>
          </a:extLst>
        </xdr:cNvPr>
        <xdr:cNvSpPr/>
      </xdr:nvSpPr>
      <xdr:spPr>
        <a:xfrm>
          <a:off x="9220743" y="988749"/>
          <a:ext cx="926034" cy="251882"/>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s-PE" sz="1100" b="1" i="0" u="none" strike="noStrike">
              <a:solidFill>
                <a:schemeClr val="lt1"/>
              </a:solidFill>
              <a:effectLst/>
              <a:latin typeface="Arial" panose="020B0604020202020204" pitchFamily="34" charset="0"/>
              <a:ea typeface="+mn-ea"/>
              <a:cs typeface="Arial" panose="020B0604020202020204" pitchFamily="34" charset="0"/>
            </a:rPr>
            <a:t>Limpiar</a:t>
          </a: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266700</xdr:colOff>
      <xdr:row>0</xdr:row>
      <xdr:rowOff>890854</xdr:rowOff>
    </xdr:from>
    <xdr:to>
      <xdr:col>2</xdr:col>
      <xdr:colOff>657225</xdr:colOff>
      <xdr:row>2</xdr:row>
      <xdr:rowOff>0</xdr:rowOff>
    </xdr:to>
    <xdr:sp macro="" textlink="">
      <xdr:nvSpPr>
        <xdr:cNvPr id="11" name="Rectángulo 10">
          <a:extLst>
            <a:ext uri="{FF2B5EF4-FFF2-40B4-BE49-F238E27FC236}">
              <a16:creationId xmlns="" xmlns:a16="http://schemas.microsoft.com/office/drawing/2014/main" id="{00000000-0008-0000-0100-00000B000000}"/>
            </a:ext>
          </a:extLst>
        </xdr:cNvPr>
        <xdr:cNvSpPr/>
      </xdr:nvSpPr>
      <xdr:spPr>
        <a:xfrm>
          <a:off x="438150" y="890854"/>
          <a:ext cx="1781175" cy="347395"/>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s-PE" sz="1100" b="1" i="0" u="none" strike="noStrike">
              <a:solidFill>
                <a:schemeClr val="lt1"/>
              </a:solidFill>
              <a:effectLst/>
              <a:latin typeface="Arial" panose="020B0604020202020204" pitchFamily="34" charset="0"/>
              <a:ea typeface="+mn-ea"/>
              <a:cs typeface="Arial" panose="020B0604020202020204" pitchFamily="34" charset="0"/>
            </a:rPr>
            <a:t>Escribe la campaña</a:t>
          </a:r>
          <a:endParaRPr lang="es-PE" sz="1100">
            <a:latin typeface="Arial" panose="020B0604020202020204" pitchFamily="34" charset="0"/>
            <a:cs typeface="Arial" panose="020B0604020202020204" pitchFamily="34" charset="0"/>
          </a:endParaRPr>
        </a:p>
      </xdr:txBody>
    </xdr:sp>
    <xdr:clientData/>
  </xdr:twoCellAnchor>
  <xdr:twoCellAnchor editAs="absolute">
    <xdr:from>
      <xdr:col>12</xdr:col>
      <xdr:colOff>2999578</xdr:colOff>
      <xdr:row>0</xdr:row>
      <xdr:rowOff>107159</xdr:rowOff>
    </xdr:from>
    <xdr:to>
      <xdr:col>13</xdr:col>
      <xdr:colOff>446348</xdr:colOff>
      <xdr:row>0</xdr:row>
      <xdr:rowOff>471489</xdr:rowOff>
    </xdr:to>
    <xdr:sp macro="" textlink="">
      <xdr:nvSpPr>
        <xdr:cNvPr id="3" name="Flecha: hacia la izquierda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3074911" y="107159"/>
          <a:ext cx="738187" cy="364330"/>
        </a:xfrm>
        <a:prstGeom prst="leftArrow">
          <a:avLst>
            <a:gd name="adj1" fmla="val 60155"/>
            <a:gd name="adj2" fmla="val 55406"/>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s-PE" sz="1200" b="1" i="0" u="none" strike="noStrike">
              <a:solidFill>
                <a:schemeClr val="lt1"/>
              </a:solidFill>
              <a:effectLst/>
              <a:latin typeface="+mn-lt"/>
              <a:ea typeface="+mn-ea"/>
              <a:cs typeface="+mn-cs"/>
            </a:rPr>
            <a:t>Atrás</a:t>
          </a:r>
        </a:p>
      </xdr:txBody>
    </xdr:sp>
    <xdr:clientData/>
  </xdr:twoCellAnchor>
  <xdr:twoCellAnchor editAs="absolute">
    <xdr:from>
      <xdr:col>1</xdr:col>
      <xdr:colOff>212721</xdr:colOff>
      <xdr:row>18</xdr:row>
      <xdr:rowOff>530345</xdr:rowOff>
    </xdr:from>
    <xdr:to>
      <xdr:col>2</xdr:col>
      <xdr:colOff>727075</xdr:colOff>
      <xdr:row>18</xdr:row>
      <xdr:rowOff>1249877</xdr:rowOff>
    </xdr:to>
    <xdr:sp macro="" textlink="">
      <xdr:nvSpPr>
        <xdr:cNvPr id="12" name="CuadroTexto 11">
          <a:extLst>
            <a:ext uri="{FF2B5EF4-FFF2-40B4-BE49-F238E27FC236}">
              <a16:creationId xmlns="" xmlns:a16="http://schemas.microsoft.com/office/drawing/2014/main" id="{00000000-0008-0000-0100-00000C000000}"/>
            </a:ext>
          </a:extLst>
        </xdr:cNvPr>
        <xdr:cNvSpPr txBox="1"/>
      </xdr:nvSpPr>
      <xdr:spPr>
        <a:xfrm flipH="1">
          <a:off x="382054" y="12669428"/>
          <a:ext cx="1900771" cy="719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PE" sz="1050" u="sng">
              <a:solidFill>
                <a:sysClr val="windowText" lastClr="000000"/>
              </a:solidFill>
              <a:latin typeface="Arial" panose="020B0604020202020204" pitchFamily="34" charset="0"/>
              <a:cs typeface="Arial" panose="020B0604020202020204" pitchFamily="34" charset="0"/>
            </a:rPr>
            <a:t>Recuerda que debes</a:t>
          </a:r>
          <a:r>
            <a:rPr lang="es-PE" sz="1050" u="sng" baseline="0">
              <a:solidFill>
                <a:sysClr val="windowText" lastClr="000000"/>
              </a:solidFill>
              <a:latin typeface="Arial" panose="020B0604020202020204" pitchFamily="34" charset="0"/>
              <a:cs typeface="Arial" panose="020B0604020202020204" pitchFamily="34" charset="0"/>
            </a:rPr>
            <a:t> </a:t>
          </a:r>
          <a:r>
            <a:rPr lang="es-PE" sz="1050" u="sng">
              <a:solidFill>
                <a:sysClr val="windowText" lastClr="000000"/>
              </a:solidFill>
              <a:latin typeface="Arial" panose="020B0604020202020204" pitchFamily="34" charset="0"/>
              <a:cs typeface="Arial" panose="020B0604020202020204" pitchFamily="34" charset="0"/>
            </a:rPr>
            <a:t>revisar la hoja de venta de acuerdo la fecha en la que el cliente adquirió el servicio.</a:t>
          </a:r>
        </a:p>
      </xdr:txBody>
    </xdr:sp>
    <xdr:clientData/>
  </xdr:twoCellAnchor>
  <xdr:twoCellAnchor editAs="absolute">
    <xdr:from>
      <xdr:col>0</xdr:col>
      <xdr:colOff>69851</xdr:colOff>
      <xdr:row>18</xdr:row>
      <xdr:rowOff>668852</xdr:rowOff>
    </xdr:from>
    <xdr:to>
      <xdr:col>1</xdr:col>
      <xdr:colOff>283432</xdr:colOff>
      <xdr:row>18</xdr:row>
      <xdr:rowOff>973652</xdr:rowOff>
    </xdr:to>
    <xdr:pic>
      <xdr:nvPicPr>
        <xdr:cNvPr id="13" name="Imagen 12">
          <a:extLst>
            <a:ext uri="{FF2B5EF4-FFF2-40B4-BE49-F238E27FC236}">
              <a16:creationId xmlns="" xmlns:a16="http://schemas.microsoft.com/office/drawing/2014/main" id="{00000000-0008-0000-01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851" y="12807935"/>
          <a:ext cx="382914" cy="304800"/>
        </a:xfrm>
        <a:prstGeom prst="rect">
          <a:avLst/>
        </a:prstGeom>
      </xdr:spPr>
    </xdr:pic>
    <xdr:clientData/>
  </xdr:twoCellAnchor>
  <xdr:twoCellAnchor>
    <xdr:from>
      <xdr:col>6</xdr:col>
      <xdr:colOff>371475</xdr:colOff>
      <xdr:row>0</xdr:row>
      <xdr:rowOff>180975</xdr:rowOff>
    </xdr:from>
    <xdr:to>
      <xdr:col>8</xdr:col>
      <xdr:colOff>66675</xdr:colOff>
      <xdr:row>0</xdr:row>
      <xdr:rowOff>752475</xdr:rowOff>
    </xdr:to>
    <xdr:grpSp>
      <xdr:nvGrpSpPr>
        <xdr:cNvPr id="18" name="Grupo 17">
          <a:extLst>
            <a:ext uri="{FF2B5EF4-FFF2-40B4-BE49-F238E27FC236}">
              <a16:creationId xmlns="" xmlns:a16="http://schemas.microsoft.com/office/drawing/2014/main" id="{00000000-0008-0000-0100-000012000000}"/>
            </a:ext>
          </a:extLst>
        </xdr:cNvPr>
        <xdr:cNvGrpSpPr/>
      </xdr:nvGrpSpPr>
      <xdr:grpSpPr>
        <a:xfrm>
          <a:off x="7060142" y="180975"/>
          <a:ext cx="1420283" cy="571500"/>
          <a:chOff x="7724775" y="190500"/>
          <a:chExt cx="1419225" cy="571500"/>
        </a:xfrm>
      </xdr:grpSpPr>
      <xdr:sp macro="" textlink="">
        <xdr:nvSpPr>
          <xdr:cNvPr id="15" name="Llamada rectangular 14">
            <a:extLst>
              <a:ext uri="{FF2B5EF4-FFF2-40B4-BE49-F238E27FC236}">
                <a16:creationId xmlns="" xmlns:a16="http://schemas.microsoft.com/office/drawing/2014/main" id="{00000000-0008-0000-0100-00000F000000}"/>
              </a:ext>
            </a:extLst>
          </xdr:cNvPr>
          <xdr:cNvSpPr/>
        </xdr:nvSpPr>
        <xdr:spPr>
          <a:xfrm>
            <a:off x="7724775" y="190500"/>
            <a:ext cx="1419225" cy="571500"/>
          </a:xfrm>
          <a:prstGeom prst="wedgeRectCallout">
            <a:avLst>
              <a:gd name="adj1" fmla="val -23518"/>
              <a:gd name="adj2" fmla="val 77425"/>
            </a:avLst>
          </a:prstGeom>
          <a:solidFill>
            <a:schemeClr val="bg1"/>
          </a:solidFill>
          <a:ln w="1905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4" name="CuadroTexto 13">
            <a:extLst>
              <a:ext uri="{FF2B5EF4-FFF2-40B4-BE49-F238E27FC236}">
                <a16:creationId xmlns="" xmlns:a16="http://schemas.microsoft.com/office/drawing/2014/main" id="{00000000-0008-0000-0100-00000E000000}"/>
              </a:ext>
            </a:extLst>
          </xdr:cNvPr>
          <xdr:cNvSpPr txBox="1"/>
        </xdr:nvSpPr>
        <xdr:spPr>
          <a:xfrm>
            <a:off x="7743825" y="209549"/>
            <a:ext cx="1362075"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PE" sz="1000" b="0">
                <a:latin typeface="Arial" panose="020B0604020202020204" pitchFamily="34" charset="0"/>
                <a:cs typeface="Arial" panose="020B0604020202020204" pitchFamily="34" charset="0"/>
              </a:rPr>
              <a:t>Da clic en la lupa</a:t>
            </a:r>
            <a:r>
              <a:rPr lang="es-PE" sz="1000" b="0" baseline="0">
                <a:latin typeface="Arial" panose="020B0604020202020204" pitchFamily="34" charset="0"/>
                <a:cs typeface="Arial" panose="020B0604020202020204" pitchFamily="34" charset="0"/>
              </a:rPr>
              <a:t> para ver la lista de campañas.</a:t>
            </a:r>
            <a:endParaRPr lang="es-PE" sz="1000" b="0">
              <a:latin typeface="Arial" panose="020B0604020202020204" pitchFamily="34" charset="0"/>
              <a:cs typeface="Arial" panose="020B0604020202020204" pitchFamily="34" charset="0"/>
            </a:endParaRPr>
          </a:p>
        </xdr:txBody>
      </xdr:sp>
    </xdr:grpSp>
    <xdr:clientData/>
  </xdr:twoCellAnchor>
  <xdr:twoCellAnchor>
    <xdr:from>
      <xdr:col>7</xdr:col>
      <xdr:colOff>243417</xdr:colOff>
      <xdr:row>0</xdr:row>
      <xdr:rowOff>939799</xdr:rowOff>
    </xdr:from>
    <xdr:to>
      <xdr:col>7</xdr:col>
      <xdr:colOff>594784</xdr:colOff>
      <xdr:row>2</xdr:row>
      <xdr:rowOff>52916</xdr:rowOff>
    </xdr:to>
    <xdr:pic macro="[0]!Listas2">
      <xdr:nvPicPr>
        <xdr:cNvPr id="16" name="Imagen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39000" y="939799"/>
          <a:ext cx="351367" cy="351367"/>
        </a:xfrm>
        <a:prstGeom prst="rect">
          <a:avLst/>
        </a:prstGeom>
      </xdr:spPr>
    </xdr:pic>
    <xdr:clientData/>
  </xdr:twoCellAnchor>
  <xdr:twoCellAnchor editAs="absolute">
    <xdr:from>
      <xdr:col>2</xdr:col>
      <xdr:colOff>1010709</xdr:colOff>
      <xdr:row>7</xdr:row>
      <xdr:rowOff>158750</xdr:rowOff>
    </xdr:from>
    <xdr:to>
      <xdr:col>13</xdr:col>
      <xdr:colOff>10583</xdr:colOff>
      <xdr:row>8</xdr:row>
      <xdr:rowOff>2286000</xdr:rowOff>
    </xdr:to>
    <xdr:sp macro="" textlink="">
      <xdr:nvSpPr>
        <xdr:cNvPr id="20" name="Rectángulo redondeado 19">
          <a:extLst>
            <a:ext uri="{FF2B5EF4-FFF2-40B4-BE49-F238E27FC236}">
              <a16:creationId xmlns="" xmlns:a16="http://schemas.microsoft.com/office/drawing/2014/main" id="{00000000-0008-0000-0100-000014000000}"/>
            </a:ext>
          </a:extLst>
        </xdr:cNvPr>
        <xdr:cNvSpPr/>
      </xdr:nvSpPr>
      <xdr:spPr>
        <a:xfrm>
          <a:off x="2566459" y="2370667"/>
          <a:ext cx="10810874" cy="2307166"/>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absolute">
    <xdr:from>
      <xdr:col>1</xdr:col>
      <xdr:colOff>87839</xdr:colOff>
      <xdr:row>8</xdr:row>
      <xdr:rowOff>1060</xdr:rowOff>
    </xdr:from>
    <xdr:to>
      <xdr:col>2</xdr:col>
      <xdr:colOff>761997</xdr:colOff>
      <xdr:row>8</xdr:row>
      <xdr:rowOff>439210</xdr:rowOff>
    </xdr:to>
    <xdr:sp macro="" textlink="">
      <xdr:nvSpPr>
        <xdr:cNvPr id="19" name="Rectángulo redondeado 18">
          <a:extLst>
            <a:ext uri="{FF2B5EF4-FFF2-40B4-BE49-F238E27FC236}">
              <a16:creationId xmlns="" xmlns:a16="http://schemas.microsoft.com/office/drawing/2014/main" id="{00000000-0008-0000-0100-000013000000}"/>
            </a:ext>
          </a:extLst>
        </xdr:cNvPr>
        <xdr:cNvSpPr/>
      </xdr:nvSpPr>
      <xdr:spPr>
        <a:xfrm>
          <a:off x="257172" y="2392893"/>
          <a:ext cx="2060575" cy="438150"/>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solidFill>
                <a:schemeClr val="bg1"/>
              </a:solidFill>
              <a:latin typeface="Arial" panose="020B0604020202020204" pitchFamily="34" charset="0"/>
              <a:cs typeface="Arial" panose="020B0604020202020204" pitchFamily="34" charset="0"/>
            </a:rPr>
            <a:t>Beneficios</a:t>
          </a:r>
        </a:p>
      </xdr:txBody>
    </xdr:sp>
    <xdr:clientData/>
  </xdr:twoCellAnchor>
  <xdr:twoCellAnchor editAs="absolute">
    <xdr:from>
      <xdr:col>2</xdr:col>
      <xdr:colOff>695322</xdr:colOff>
      <xdr:row>10</xdr:row>
      <xdr:rowOff>49743</xdr:rowOff>
    </xdr:from>
    <xdr:to>
      <xdr:col>2</xdr:col>
      <xdr:colOff>973394</xdr:colOff>
      <xdr:row>10</xdr:row>
      <xdr:rowOff>240377</xdr:rowOff>
    </xdr:to>
    <xdr:sp macro="" textlink="">
      <xdr:nvSpPr>
        <xdr:cNvPr id="22" name="Flecha: a la derecha 9">
          <a:extLst>
            <a:ext uri="{FF2B5EF4-FFF2-40B4-BE49-F238E27FC236}">
              <a16:creationId xmlns="" xmlns:a16="http://schemas.microsoft.com/office/drawing/2014/main" id="{00000000-0008-0000-0100-000016000000}"/>
            </a:ext>
          </a:extLst>
        </xdr:cNvPr>
        <xdr:cNvSpPr/>
      </xdr:nvSpPr>
      <xdr:spPr>
        <a:xfrm>
          <a:off x="2251072" y="4865160"/>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104772</xdr:colOff>
      <xdr:row>9</xdr:row>
      <xdr:rowOff>1060</xdr:rowOff>
    </xdr:from>
    <xdr:to>
      <xdr:col>2</xdr:col>
      <xdr:colOff>761997</xdr:colOff>
      <xdr:row>10</xdr:row>
      <xdr:rowOff>354543</xdr:rowOff>
    </xdr:to>
    <xdr:sp macro="" textlink="">
      <xdr:nvSpPr>
        <xdr:cNvPr id="23" name="Rectángulo redondeado 22">
          <a:extLst>
            <a:ext uri="{FF2B5EF4-FFF2-40B4-BE49-F238E27FC236}">
              <a16:creationId xmlns="" xmlns:a16="http://schemas.microsoft.com/office/drawing/2014/main" id="{00000000-0008-0000-0100-000017000000}"/>
            </a:ext>
          </a:extLst>
        </xdr:cNvPr>
        <xdr:cNvSpPr/>
      </xdr:nvSpPr>
      <xdr:spPr>
        <a:xfrm>
          <a:off x="274105" y="4731810"/>
          <a:ext cx="2043642" cy="438150"/>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1100" b="1">
              <a:solidFill>
                <a:schemeClr val="bg1"/>
              </a:solidFill>
              <a:latin typeface="Arial" panose="020B0604020202020204" pitchFamily="34" charset="0"/>
              <a:ea typeface="+mn-ea"/>
              <a:cs typeface="Arial" panose="020B0604020202020204" pitchFamily="34" charset="0"/>
            </a:rPr>
            <a:t>Historial de Beneficios</a:t>
          </a:r>
        </a:p>
      </xdr:txBody>
    </xdr:sp>
    <xdr:clientData/>
  </xdr:twoCellAnchor>
  <xdr:twoCellAnchor editAs="absolute">
    <xdr:from>
      <xdr:col>2</xdr:col>
      <xdr:colOff>1031875</xdr:colOff>
      <xdr:row>9</xdr:row>
      <xdr:rowOff>21166</xdr:rowOff>
    </xdr:from>
    <xdr:to>
      <xdr:col>12</xdr:col>
      <xdr:colOff>3255621</xdr:colOff>
      <xdr:row>10</xdr:row>
      <xdr:rowOff>1492250</xdr:rowOff>
    </xdr:to>
    <xdr:sp macro="" textlink="">
      <xdr:nvSpPr>
        <xdr:cNvPr id="24" name="Rectángulo redondeado 23">
          <a:extLst>
            <a:ext uri="{FF2B5EF4-FFF2-40B4-BE49-F238E27FC236}">
              <a16:creationId xmlns="" xmlns:a16="http://schemas.microsoft.com/office/drawing/2014/main" id="{00000000-0008-0000-0100-000018000000}"/>
            </a:ext>
          </a:extLst>
        </xdr:cNvPr>
        <xdr:cNvSpPr/>
      </xdr:nvSpPr>
      <xdr:spPr>
        <a:xfrm>
          <a:off x="2587625" y="4751916"/>
          <a:ext cx="10743329" cy="1555751"/>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absolute">
    <xdr:from>
      <xdr:col>2</xdr:col>
      <xdr:colOff>705907</xdr:colOff>
      <xdr:row>12</xdr:row>
      <xdr:rowOff>93129</xdr:rowOff>
    </xdr:from>
    <xdr:to>
      <xdr:col>2</xdr:col>
      <xdr:colOff>983979</xdr:colOff>
      <xdr:row>13</xdr:row>
      <xdr:rowOff>167347</xdr:rowOff>
    </xdr:to>
    <xdr:sp macro="" textlink="">
      <xdr:nvSpPr>
        <xdr:cNvPr id="25" name="Flecha: a la derecha 9">
          <a:extLst>
            <a:ext uri="{FF2B5EF4-FFF2-40B4-BE49-F238E27FC236}">
              <a16:creationId xmlns="" xmlns:a16="http://schemas.microsoft.com/office/drawing/2014/main" id="{00000000-0008-0000-0100-000019000000}"/>
            </a:ext>
          </a:extLst>
        </xdr:cNvPr>
        <xdr:cNvSpPr/>
      </xdr:nvSpPr>
      <xdr:spPr>
        <a:xfrm>
          <a:off x="2261657" y="6464296"/>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60324</xdr:colOff>
      <xdr:row>10</xdr:row>
      <xdr:rowOff>1471082</xdr:rowOff>
    </xdr:from>
    <xdr:to>
      <xdr:col>2</xdr:col>
      <xdr:colOff>793749</xdr:colOff>
      <xdr:row>13</xdr:row>
      <xdr:rowOff>363003</xdr:rowOff>
    </xdr:to>
    <xdr:sp macro="" textlink="">
      <xdr:nvSpPr>
        <xdr:cNvPr id="26" name="Rectángulo redondeado 25">
          <a:extLst>
            <a:ext uri="{FF2B5EF4-FFF2-40B4-BE49-F238E27FC236}">
              <a16:creationId xmlns="" xmlns:a16="http://schemas.microsoft.com/office/drawing/2014/main" id="{00000000-0008-0000-0100-00001A000000}"/>
            </a:ext>
          </a:extLst>
        </xdr:cNvPr>
        <xdr:cNvSpPr/>
      </xdr:nvSpPr>
      <xdr:spPr>
        <a:xfrm>
          <a:off x="229657" y="6286499"/>
          <a:ext cx="2119842" cy="564087"/>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1100" b="1">
              <a:solidFill>
                <a:schemeClr val="bg1"/>
              </a:solidFill>
              <a:latin typeface="Arial" panose="020B0604020202020204" pitchFamily="34" charset="0"/>
              <a:ea typeface="+mn-ea"/>
              <a:cs typeface="Arial" panose="020B0604020202020204" pitchFamily="34" charset="0"/>
            </a:rPr>
            <a:t>Condiciones de la Venta</a:t>
          </a:r>
        </a:p>
      </xdr:txBody>
    </xdr:sp>
    <xdr:clientData/>
  </xdr:twoCellAnchor>
  <xdr:twoCellAnchor editAs="absolute">
    <xdr:from>
      <xdr:col>2</xdr:col>
      <xdr:colOff>1031876</xdr:colOff>
      <xdr:row>12</xdr:row>
      <xdr:rowOff>0</xdr:rowOff>
    </xdr:from>
    <xdr:to>
      <xdr:col>12</xdr:col>
      <xdr:colOff>3270251</xdr:colOff>
      <xdr:row>13</xdr:row>
      <xdr:rowOff>995882</xdr:rowOff>
    </xdr:to>
    <xdr:sp macro="" textlink="">
      <xdr:nvSpPr>
        <xdr:cNvPr id="27" name="Rectángulo redondeado 26">
          <a:extLst>
            <a:ext uri="{FF2B5EF4-FFF2-40B4-BE49-F238E27FC236}">
              <a16:creationId xmlns="" xmlns:a16="http://schemas.microsoft.com/office/drawing/2014/main" id="{00000000-0008-0000-0100-00001B000000}"/>
            </a:ext>
          </a:extLst>
        </xdr:cNvPr>
        <xdr:cNvSpPr/>
      </xdr:nvSpPr>
      <xdr:spPr>
        <a:xfrm>
          <a:off x="2587626" y="6371167"/>
          <a:ext cx="10757958" cy="1112298"/>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PE" sz="1100">
            <a:solidFill>
              <a:schemeClr val="lt1"/>
            </a:solidFill>
            <a:latin typeface="+mn-lt"/>
            <a:ea typeface="+mn-ea"/>
            <a:cs typeface="+mn-cs"/>
          </a:endParaRPr>
        </a:p>
      </xdr:txBody>
    </xdr:sp>
    <xdr:clientData/>
  </xdr:twoCellAnchor>
  <xdr:twoCellAnchor editAs="absolute">
    <xdr:from>
      <xdr:col>2</xdr:col>
      <xdr:colOff>742950</xdr:colOff>
      <xdr:row>15</xdr:row>
      <xdr:rowOff>276216</xdr:rowOff>
    </xdr:from>
    <xdr:to>
      <xdr:col>2</xdr:col>
      <xdr:colOff>1021022</xdr:colOff>
      <xdr:row>15</xdr:row>
      <xdr:rowOff>466850</xdr:rowOff>
    </xdr:to>
    <xdr:sp macro="" textlink="">
      <xdr:nvSpPr>
        <xdr:cNvPr id="29" name="Flecha: a la derecha 9">
          <a:extLst>
            <a:ext uri="{FF2B5EF4-FFF2-40B4-BE49-F238E27FC236}">
              <a16:creationId xmlns="" xmlns:a16="http://schemas.microsoft.com/office/drawing/2014/main" id="{00000000-0008-0000-0100-00001D000000}"/>
            </a:ext>
          </a:extLst>
        </xdr:cNvPr>
        <xdr:cNvSpPr/>
      </xdr:nvSpPr>
      <xdr:spPr>
        <a:xfrm>
          <a:off x="2298700" y="7938549"/>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105834</xdr:colOff>
      <xdr:row>15</xdr:row>
      <xdr:rowOff>84658</xdr:rowOff>
    </xdr:from>
    <xdr:to>
      <xdr:col>2</xdr:col>
      <xdr:colOff>809625</xdr:colOff>
      <xdr:row>15</xdr:row>
      <xdr:rowOff>581016</xdr:rowOff>
    </xdr:to>
    <xdr:sp macro="" textlink="">
      <xdr:nvSpPr>
        <xdr:cNvPr id="30" name="Rectángulo redondeado 29">
          <a:extLst>
            <a:ext uri="{FF2B5EF4-FFF2-40B4-BE49-F238E27FC236}">
              <a16:creationId xmlns="" xmlns:a16="http://schemas.microsoft.com/office/drawing/2014/main" id="{00000000-0008-0000-0100-00001E000000}"/>
            </a:ext>
          </a:extLst>
        </xdr:cNvPr>
        <xdr:cNvSpPr/>
      </xdr:nvSpPr>
      <xdr:spPr>
        <a:xfrm>
          <a:off x="275167" y="7746991"/>
          <a:ext cx="2090208" cy="496358"/>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1100" b="1">
              <a:solidFill>
                <a:schemeClr val="bg1"/>
              </a:solidFill>
              <a:latin typeface="Arial" panose="020B0604020202020204" pitchFamily="34" charset="0"/>
              <a:ea typeface="+mn-ea"/>
              <a:cs typeface="Arial" panose="020B0604020202020204" pitchFamily="34" charset="0"/>
            </a:rPr>
            <a:t>Motivo de pérdida definitiva o parcial del beneficio</a:t>
          </a:r>
        </a:p>
      </xdr:txBody>
    </xdr:sp>
    <xdr:clientData/>
  </xdr:twoCellAnchor>
  <xdr:twoCellAnchor editAs="absolute">
    <xdr:from>
      <xdr:col>2</xdr:col>
      <xdr:colOff>1019176</xdr:colOff>
      <xdr:row>14</xdr:row>
      <xdr:rowOff>32800</xdr:rowOff>
    </xdr:from>
    <xdr:to>
      <xdr:col>12</xdr:col>
      <xdr:colOff>3259667</xdr:colOff>
      <xdr:row>16</xdr:row>
      <xdr:rowOff>10584</xdr:rowOff>
    </xdr:to>
    <xdr:sp macro="" textlink="">
      <xdr:nvSpPr>
        <xdr:cNvPr id="31" name="Rectángulo redondeado 30">
          <a:extLst>
            <a:ext uri="{FF2B5EF4-FFF2-40B4-BE49-F238E27FC236}">
              <a16:creationId xmlns="" xmlns:a16="http://schemas.microsoft.com/office/drawing/2014/main" id="{00000000-0008-0000-0100-00001F000000}"/>
            </a:ext>
          </a:extLst>
        </xdr:cNvPr>
        <xdr:cNvSpPr/>
      </xdr:nvSpPr>
      <xdr:spPr>
        <a:xfrm>
          <a:off x="2574926" y="7546967"/>
          <a:ext cx="10760074" cy="3015200"/>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PE" sz="1100">
            <a:solidFill>
              <a:schemeClr val="lt1"/>
            </a:solidFill>
            <a:latin typeface="+mn-lt"/>
            <a:ea typeface="+mn-ea"/>
            <a:cs typeface="+mn-cs"/>
          </a:endParaRPr>
        </a:p>
      </xdr:txBody>
    </xdr:sp>
    <xdr:clientData/>
  </xdr:twoCellAnchor>
  <xdr:twoCellAnchor editAs="absolute">
    <xdr:from>
      <xdr:col>2</xdr:col>
      <xdr:colOff>717546</xdr:colOff>
      <xdr:row>16</xdr:row>
      <xdr:rowOff>270910</xdr:rowOff>
    </xdr:from>
    <xdr:to>
      <xdr:col>2</xdr:col>
      <xdr:colOff>995618</xdr:colOff>
      <xdr:row>16</xdr:row>
      <xdr:rowOff>461544</xdr:rowOff>
    </xdr:to>
    <xdr:sp macro="" textlink="">
      <xdr:nvSpPr>
        <xdr:cNvPr id="32" name="Flecha: a la derecha 9">
          <a:extLst>
            <a:ext uri="{FF2B5EF4-FFF2-40B4-BE49-F238E27FC236}">
              <a16:creationId xmlns="" xmlns:a16="http://schemas.microsoft.com/office/drawing/2014/main" id="{00000000-0008-0000-0100-000020000000}"/>
            </a:ext>
          </a:extLst>
        </xdr:cNvPr>
        <xdr:cNvSpPr/>
      </xdr:nvSpPr>
      <xdr:spPr>
        <a:xfrm>
          <a:off x="2273296" y="10822493"/>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126996</xdr:colOff>
      <xdr:row>16</xdr:row>
      <xdr:rowOff>137560</xdr:rowOff>
    </xdr:from>
    <xdr:to>
      <xdr:col>2</xdr:col>
      <xdr:colOff>784221</xdr:colOff>
      <xdr:row>16</xdr:row>
      <xdr:rowOff>651910</xdr:rowOff>
    </xdr:to>
    <xdr:sp macro="" textlink="">
      <xdr:nvSpPr>
        <xdr:cNvPr id="33" name="Rectángulo redondeado 32">
          <a:extLst>
            <a:ext uri="{FF2B5EF4-FFF2-40B4-BE49-F238E27FC236}">
              <a16:creationId xmlns="" xmlns:a16="http://schemas.microsoft.com/office/drawing/2014/main" id="{00000000-0008-0000-0100-000021000000}"/>
            </a:ext>
          </a:extLst>
        </xdr:cNvPr>
        <xdr:cNvSpPr/>
      </xdr:nvSpPr>
      <xdr:spPr>
        <a:xfrm>
          <a:off x="296329" y="10689143"/>
          <a:ext cx="2043642" cy="514350"/>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1100" b="1">
              <a:solidFill>
                <a:schemeClr val="bg1"/>
              </a:solidFill>
              <a:latin typeface="Arial" panose="020B0604020202020204" pitchFamily="34" charset="0"/>
              <a:ea typeface="+mn-ea"/>
              <a:cs typeface="Arial" panose="020B0604020202020204" pitchFamily="34" charset="0"/>
            </a:rPr>
            <a:t>Canales para los que aplica</a:t>
          </a:r>
        </a:p>
      </xdr:txBody>
    </xdr:sp>
    <xdr:clientData/>
  </xdr:twoCellAnchor>
  <xdr:twoCellAnchor editAs="absolute">
    <xdr:from>
      <xdr:col>2</xdr:col>
      <xdr:colOff>1032932</xdr:colOff>
      <xdr:row>16</xdr:row>
      <xdr:rowOff>74084</xdr:rowOff>
    </xdr:from>
    <xdr:to>
      <xdr:col>12</xdr:col>
      <xdr:colOff>3259218</xdr:colOff>
      <xdr:row>17</xdr:row>
      <xdr:rowOff>137584</xdr:rowOff>
    </xdr:to>
    <xdr:sp macro="" textlink="">
      <xdr:nvSpPr>
        <xdr:cNvPr id="34" name="Rectángulo redondeado 33">
          <a:extLst>
            <a:ext uri="{FF2B5EF4-FFF2-40B4-BE49-F238E27FC236}">
              <a16:creationId xmlns="" xmlns:a16="http://schemas.microsoft.com/office/drawing/2014/main" id="{00000000-0008-0000-0100-000022000000}"/>
            </a:ext>
          </a:extLst>
        </xdr:cNvPr>
        <xdr:cNvSpPr/>
      </xdr:nvSpPr>
      <xdr:spPr>
        <a:xfrm>
          <a:off x="2588682" y="10625667"/>
          <a:ext cx="10745869" cy="1439334"/>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PE" sz="1100">
            <a:solidFill>
              <a:schemeClr val="lt1"/>
            </a:solidFill>
            <a:latin typeface="+mn-lt"/>
            <a:ea typeface="+mn-ea"/>
            <a:cs typeface="+mn-cs"/>
          </a:endParaRPr>
        </a:p>
      </xdr:txBody>
    </xdr:sp>
    <xdr:clientData/>
  </xdr:twoCellAnchor>
  <xdr:twoCellAnchor editAs="absolute">
    <xdr:from>
      <xdr:col>2</xdr:col>
      <xdr:colOff>701675</xdr:colOff>
      <xdr:row>18</xdr:row>
      <xdr:rowOff>80418</xdr:rowOff>
    </xdr:from>
    <xdr:to>
      <xdr:col>2</xdr:col>
      <xdr:colOff>979747</xdr:colOff>
      <xdr:row>18</xdr:row>
      <xdr:rowOff>271052</xdr:rowOff>
    </xdr:to>
    <xdr:sp macro="" textlink="">
      <xdr:nvSpPr>
        <xdr:cNvPr id="35" name="Flecha: a la derecha 9">
          <a:extLst>
            <a:ext uri="{FF2B5EF4-FFF2-40B4-BE49-F238E27FC236}">
              <a16:creationId xmlns="" xmlns:a16="http://schemas.microsoft.com/office/drawing/2014/main" id="{00000000-0008-0000-0100-000023000000}"/>
            </a:ext>
          </a:extLst>
        </xdr:cNvPr>
        <xdr:cNvSpPr/>
      </xdr:nvSpPr>
      <xdr:spPr>
        <a:xfrm>
          <a:off x="2257425" y="12219501"/>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174625</xdr:colOff>
      <xdr:row>17</xdr:row>
      <xdr:rowOff>128043</xdr:rowOff>
    </xdr:from>
    <xdr:to>
      <xdr:col>2</xdr:col>
      <xdr:colOff>831850</xdr:colOff>
      <xdr:row>18</xdr:row>
      <xdr:rowOff>440252</xdr:rowOff>
    </xdr:to>
    <xdr:sp macro="" textlink="">
      <xdr:nvSpPr>
        <xdr:cNvPr id="36" name="Rectángulo redondeado 35">
          <a:extLst>
            <a:ext uri="{FF2B5EF4-FFF2-40B4-BE49-F238E27FC236}">
              <a16:creationId xmlns="" xmlns:a16="http://schemas.microsoft.com/office/drawing/2014/main" id="{00000000-0008-0000-0100-000024000000}"/>
            </a:ext>
          </a:extLst>
        </xdr:cNvPr>
        <xdr:cNvSpPr/>
      </xdr:nvSpPr>
      <xdr:spPr>
        <a:xfrm>
          <a:off x="343958" y="12055460"/>
          <a:ext cx="2043642" cy="523875"/>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1100" b="1">
              <a:solidFill>
                <a:schemeClr val="bg1"/>
              </a:solidFill>
              <a:latin typeface="Arial" panose="020B0604020202020204" pitchFamily="34" charset="0"/>
              <a:ea typeface="+mn-ea"/>
              <a:cs typeface="Arial" panose="020B0604020202020204" pitchFamily="34" charset="0"/>
            </a:rPr>
            <a:t>Hojas de Venta</a:t>
          </a:r>
        </a:p>
      </xdr:txBody>
    </xdr:sp>
    <xdr:clientData/>
  </xdr:twoCellAnchor>
  <xdr:twoCellAnchor editAs="absolute">
    <xdr:from>
      <xdr:col>2</xdr:col>
      <xdr:colOff>1032933</xdr:colOff>
      <xdr:row>17</xdr:row>
      <xdr:rowOff>202141</xdr:rowOff>
    </xdr:from>
    <xdr:to>
      <xdr:col>13</xdr:col>
      <xdr:colOff>0</xdr:colOff>
      <xdr:row>19</xdr:row>
      <xdr:rowOff>106886</xdr:rowOff>
    </xdr:to>
    <xdr:sp macro="" textlink="">
      <xdr:nvSpPr>
        <xdr:cNvPr id="37" name="Rectángulo redondeado 36">
          <a:extLst>
            <a:ext uri="{FF2B5EF4-FFF2-40B4-BE49-F238E27FC236}">
              <a16:creationId xmlns="" xmlns:a16="http://schemas.microsoft.com/office/drawing/2014/main" id="{00000000-0008-0000-0100-000025000000}"/>
            </a:ext>
          </a:extLst>
        </xdr:cNvPr>
        <xdr:cNvSpPr/>
      </xdr:nvSpPr>
      <xdr:spPr>
        <a:xfrm>
          <a:off x="2588683" y="12129558"/>
          <a:ext cx="10778067" cy="1957911"/>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PE" sz="1100">
            <a:solidFill>
              <a:schemeClr val="lt1"/>
            </a:solidFill>
            <a:latin typeface="+mn-lt"/>
            <a:ea typeface="+mn-ea"/>
            <a:cs typeface="+mn-cs"/>
          </a:endParaRPr>
        </a:p>
      </xdr:txBody>
    </xdr:sp>
    <xdr:clientData/>
  </xdr:twoCellAnchor>
  <xdr:twoCellAnchor editAs="absolute">
    <xdr:from>
      <xdr:col>2</xdr:col>
      <xdr:colOff>703794</xdr:colOff>
      <xdr:row>20</xdr:row>
      <xdr:rowOff>303727</xdr:rowOff>
    </xdr:from>
    <xdr:to>
      <xdr:col>2</xdr:col>
      <xdr:colOff>981866</xdr:colOff>
      <xdr:row>20</xdr:row>
      <xdr:rowOff>494361</xdr:rowOff>
    </xdr:to>
    <xdr:sp macro="" textlink="">
      <xdr:nvSpPr>
        <xdr:cNvPr id="38" name="Flecha: a la derecha 9">
          <a:extLst>
            <a:ext uri="{FF2B5EF4-FFF2-40B4-BE49-F238E27FC236}">
              <a16:creationId xmlns="" xmlns:a16="http://schemas.microsoft.com/office/drawing/2014/main" id="{00000000-0008-0000-0100-000026000000}"/>
            </a:ext>
          </a:extLst>
        </xdr:cNvPr>
        <xdr:cNvSpPr/>
      </xdr:nvSpPr>
      <xdr:spPr>
        <a:xfrm>
          <a:off x="2259544" y="14538310"/>
          <a:ext cx="278072" cy="190634"/>
        </a:xfrm>
        <a:prstGeom prst="rightArrow">
          <a:avLst/>
        </a:prstGeom>
        <a:solidFill>
          <a:srgbClr val="1F97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xdr:col>
      <xdr:colOff>144994</xdr:colOff>
      <xdr:row>20</xdr:row>
      <xdr:rowOff>138626</xdr:rowOff>
    </xdr:from>
    <xdr:to>
      <xdr:col>2</xdr:col>
      <xdr:colOff>802219</xdr:colOff>
      <xdr:row>20</xdr:row>
      <xdr:rowOff>652976</xdr:rowOff>
    </xdr:to>
    <xdr:sp macro="" textlink="">
      <xdr:nvSpPr>
        <xdr:cNvPr id="39" name="Rectángulo redondeado 38">
          <a:extLst>
            <a:ext uri="{FF2B5EF4-FFF2-40B4-BE49-F238E27FC236}">
              <a16:creationId xmlns="" xmlns:a16="http://schemas.microsoft.com/office/drawing/2014/main" id="{00000000-0008-0000-0100-000027000000}"/>
            </a:ext>
          </a:extLst>
        </xdr:cNvPr>
        <xdr:cNvSpPr/>
      </xdr:nvSpPr>
      <xdr:spPr>
        <a:xfrm>
          <a:off x="314327" y="14373209"/>
          <a:ext cx="2043642" cy="514350"/>
        </a:xfrm>
        <a:prstGeom prst="roundRect">
          <a:avLst/>
        </a:prstGeom>
        <a:solidFill>
          <a:srgbClr val="1F97AE"/>
        </a:solidFill>
        <a:ln w="2857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1100" b="1">
              <a:solidFill>
                <a:schemeClr val="bg1"/>
              </a:solidFill>
              <a:latin typeface="Arial" panose="020B0604020202020204" pitchFamily="34" charset="0"/>
              <a:ea typeface="+mn-ea"/>
              <a:cs typeface="Arial" panose="020B0604020202020204" pitchFamily="34" charset="0"/>
            </a:rPr>
            <a:t>Resúmenes</a:t>
          </a:r>
          <a:r>
            <a:rPr lang="es-PE" sz="1100" b="1" baseline="0">
              <a:solidFill>
                <a:schemeClr val="bg1"/>
              </a:solidFill>
              <a:latin typeface="Arial" panose="020B0604020202020204" pitchFamily="34" charset="0"/>
              <a:ea typeface="+mn-ea"/>
              <a:cs typeface="Arial" panose="020B0604020202020204" pitchFamily="34" charset="0"/>
            </a:rPr>
            <a:t> NPs</a:t>
          </a:r>
          <a:endParaRPr lang="es-PE" sz="1100" b="1">
            <a:solidFill>
              <a:schemeClr val="bg1"/>
            </a:solidFill>
            <a:latin typeface="Arial" panose="020B0604020202020204" pitchFamily="34" charset="0"/>
            <a:ea typeface="+mn-ea"/>
            <a:cs typeface="Arial" panose="020B0604020202020204" pitchFamily="34" charset="0"/>
          </a:endParaRPr>
        </a:p>
      </xdr:txBody>
    </xdr:sp>
    <xdr:clientData/>
  </xdr:twoCellAnchor>
  <xdr:twoCellAnchor editAs="absolute">
    <xdr:from>
      <xdr:col>2</xdr:col>
      <xdr:colOff>1047752</xdr:colOff>
      <xdr:row>19</xdr:row>
      <xdr:rowOff>170378</xdr:rowOff>
    </xdr:from>
    <xdr:to>
      <xdr:col>13</xdr:col>
      <xdr:colOff>21167</xdr:colOff>
      <xdr:row>21</xdr:row>
      <xdr:rowOff>52916</xdr:rowOff>
    </xdr:to>
    <xdr:sp macro="" textlink="">
      <xdr:nvSpPr>
        <xdr:cNvPr id="2" name="Rectángulo redondeado 36">
          <a:extLst>
            <a:ext uri="{FF2B5EF4-FFF2-40B4-BE49-F238E27FC236}">
              <a16:creationId xmlns="" xmlns:a16="http://schemas.microsoft.com/office/drawing/2014/main" id="{00000000-0008-0000-0100-000002000000}"/>
            </a:ext>
          </a:extLst>
        </xdr:cNvPr>
        <xdr:cNvSpPr/>
      </xdr:nvSpPr>
      <xdr:spPr>
        <a:xfrm>
          <a:off x="2603502" y="14150961"/>
          <a:ext cx="10784415" cy="2062705"/>
        </a:xfrm>
        <a:prstGeom prst="roundRect">
          <a:avLst>
            <a:gd name="adj" fmla="val 7170"/>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PE" sz="1100">
            <a:solidFill>
              <a:schemeClr val="lt1"/>
            </a:solidFill>
            <a:latin typeface="+mn-lt"/>
            <a:ea typeface="+mn-ea"/>
            <a:cs typeface="+mn-cs"/>
          </a:endParaRPr>
        </a:p>
      </xdr:txBody>
    </xdr:sp>
    <xdr:clientData/>
  </xdr:twoCellAnchor>
  <xdr:twoCellAnchor editAs="absolute">
    <xdr:from>
      <xdr:col>1</xdr:col>
      <xdr:colOff>202138</xdr:colOff>
      <xdr:row>20</xdr:row>
      <xdr:rowOff>732486</xdr:rowOff>
    </xdr:from>
    <xdr:to>
      <xdr:col>2</xdr:col>
      <xdr:colOff>716492</xdr:colOff>
      <xdr:row>20</xdr:row>
      <xdr:rowOff>1452018</xdr:rowOff>
    </xdr:to>
    <xdr:sp macro="" textlink="">
      <xdr:nvSpPr>
        <xdr:cNvPr id="40" name="CuadroTexto 39">
          <a:extLst>
            <a:ext uri="{FF2B5EF4-FFF2-40B4-BE49-F238E27FC236}">
              <a16:creationId xmlns="" xmlns:a16="http://schemas.microsoft.com/office/drawing/2014/main" id="{00000000-0008-0000-0100-000028000000}"/>
            </a:ext>
          </a:extLst>
        </xdr:cNvPr>
        <xdr:cNvSpPr txBox="1"/>
      </xdr:nvSpPr>
      <xdr:spPr>
        <a:xfrm flipH="1">
          <a:off x="371471" y="14967069"/>
          <a:ext cx="1900771" cy="719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PE" sz="1050" u="sng">
              <a:solidFill>
                <a:sysClr val="windowText" lastClr="000000"/>
              </a:solidFill>
              <a:latin typeface="Arial" panose="020B0604020202020204" pitchFamily="34" charset="0"/>
              <a:cs typeface="Arial" panose="020B0604020202020204" pitchFamily="34" charset="0"/>
            </a:rPr>
            <a:t>Recuerda que debes</a:t>
          </a:r>
          <a:r>
            <a:rPr lang="es-PE" sz="1050" u="sng" baseline="0">
              <a:solidFill>
                <a:sysClr val="windowText" lastClr="000000"/>
              </a:solidFill>
              <a:latin typeface="Arial" panose="020B0604020202020204" pitchFamily="34" charset="0"/>
              <a:cs typeface="Arial" panose="020B0604020202020204" pitchFamily="34" charset="0"/>
            </a:rPr>
            <a:t> </a:t>
          </a:r>
          <a:r>
            <a:rPr lang="es-PE" sz="1050" u="sng">
              <a:solidFill>
                <a:sysClr val="windowText" lastClr="000000"/>
              </a:solidFill>
              <a:latin typeface="Arial" panose="020B0604020202020204" pitchFamily="34" charset="0"/>
              <a:cs typeface="Arial" panose="020B0604020202020204" pitchFamily="34" charset="0"/>
            </a:rPr>
            <a:t>revisar el</a:t>
          </a:r>
          <a:r>
            <a:rPr lang="es-PE" sz="1050" u="sng" baseline="0">
              <a:solidFill>
                <a:sysClr val="windowText" lastClr="000000"/>
              </a:solidFill>
              <a:latin typeface="Arial" panose="020B0604020202020204" pitchFamily="34" charset="0"/>
              <a:cs typeface="Arial" panose="020B0604020202020204" pitchFamily="34" charset="0"/>
            </a:rPr>
            <a:t> resumen np</a:t>
          </a:r>
          <a:r>
            <a:rPr lang="es-PE" sz="1050" u="sng">
              <a:solidFill>
                <a:sysClr val="windowText" lastClr="000000"/>
              </a:solidFill>
              <a:latin typeface="Arial" panose="020B0604020202020204" pitchFamily="34" charset="0"/>
              <a:cs typeface="Arial" panose="020B0604020202020204" pitchFamily="34" charset="0"/>
            </a:rPr>
            <a:t> de acuerdo la fecha en la que el cliente adquirió el servicio.</a:t>
          </a:r>
        </a:p>
      </xdr:txBody>
    </xdr:sp>
    <xdr:clientData/>
  </xdr:twoCellAnchor>
  <xdr:twoCellAnchor editAs="absolute">
    <xdr:from>
      <xdr:col>0</xdr:col>
      <xdr:colOff>59268</xdr:colOff>
      <xdr:row>20</xdr:row>
      <xdr:rowOff>870993</xdr:rowOff>
    </xdr:from>
    <xdr:to>
      <xdr:col>1</xdr:col>
      <xdr:colOff>272849</xdr:colOff>
      <xdr:row>20</xdr:row>
      <xdr:rowOff>1175793</xdr:rowOff>
    </xdr:to>
    <xdr:pic>
      <xdr:nvPicPr>
        <xdr:cNvPr id="41" name="Imagen 40">
          <a:extLst>
            <a:ext uri="{FF2B5EF4-FFF2-40B4-BE49-F238E27FC236}">
              <a16:creationId xmlns="" xmlns:a16="http://schemas.microsoft.com/office/drawing/2014/main" id="{00000000-0008-0000-0100-00002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268" y="15105576"/>
          <a:ext cx="382914" cy="304800"/>
        </a:xfrm>
        <a:prstGeom prst="rect">
          <a:avLst/>
        </a:prstGeom>
      </xdr:spPr>
    </xdr:pic>
    <xdr:clientData/>
  </xdr:twoCellAnchor>
  <xdr:twoCellAnchor editAs="oneCell">
    <xdr:from>
      <xdr:col>2</xdr:col>
      <xdr:colOff>306910</xdr:colOff>
      <xdr:row>0</xdr:row>
      <xdr:rowOff>31749</xdr:rowOff>
    </xdr:from>
    <xdr:to>
      <xdr:col>3</xdr:col>
      <xdr:colOff>963081</xdr:colOff>
      <xdr:row>1</xdr:row>
      <xdr:rowOff>71497</xdr:rowOff>
    </xdr:to>
    <xdr:pic>
      <xdr:nvPicPr>
        <xdr:cNvPr id="42" name="Imagen 41">
          <a:extLst>
            <a:ext uri="{FF2B5EF4-FFF2-40B4-BE49-F238E27FC236}">
              <a16:creationId xmlns="" xmlns:a16="http://schemas.microsoft.com/office/drawing/2014/main" id="{00000000-0008-0000-0100-00002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862660" y="31749"/>
          <a:ext cx="1756838" cy="1034581"/>
        </a:xfrm>
        <a:prstGeom prst="rect">
          <a:avLst/>
        </a:prstGeom>
      </xdr:spPr>
    </xdr:pic>
    <xdr:clientData/>
  </xdr:twoCellAnchor>
  <xdr:twoCellAnchor editAs="absolute">
    <xdr:from>
      <xdr:col>2</xdr:col>
      <xdr:colOff>657222</xdr:colOff>
      <xdr:row>1</xdr:row>
      <xdr:rowOff>43393</xdr:rowOff>
    </xdr:from>
    <xdr:to>
      <xdr:col>2</xdr:col>
      <xdr:colOff>935294</xdr:colOff>
      <xdr:row>1</xdr:row>
      <xdr:rowOff>234027</xdr:rowOff>
    </xdr:to>
    <xdr:sp macro="" textlink="">
      <xdr:nvSpPr>
        <xdr:cNvPr id="43" name="Flecha: a la derecha 9">
          <a:extLst>
            <a:ext uri="{FF2B5EF4-FFF2-40B4-BE49-F238E27FC236}">
              <a16:creationId xmlns="" xmlns:a16="http://schemas.microsoft.com/office/drawing/2014/main" id="{00000000-0008-0000-0100-00002B000000}"/>
            </a:ext>
          </a:extLst>
        </xdr:cNvPr>
        <xdr:cNvSpPr/>
      </xdr:nvSpPr>
      <xdr:spPr>
        <a:xfrm>
          <a:off x="2212972" y="1038226"/>
          <a:ext cx="278072" cy="190634"/>
        </a:xfrm>
        <a:prstGeom prst="rightArrow">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endParaRPr lang="es-PE" sz="1050" b="1" i="0" u="none" strike="noStrike">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xdr:from>
      <xdr:col>2</xdr:col>
      <xdr:colOff>624416</xdr:colOff>
      <xdr:row>0</xdr:row>
      <xdr:rowOff>137583</xdr:rowOff>
    </xdr:from>
    <xdr:to>
      <xdr:col>3</xdr:col>
      <xdr:colOff>698499</xdr:colOff>
      <xdr:row>0</xdr:row>
      <xdr:rowOff>867833</xdr:rowOff>
    </xdr:to>
    <xdr:sp macro="" textlink="">
      <xdr:nvSpPr>
        <xdr:cNvPr id="44" name="CuadroTexto 43">
          <a:extLst>
            <a:ext uri="{FF2B5EF4-FFF2-40B4-BE49-F238E27FC236}">
              <a16:creationId xmlns="" xmlns:a16="http://schemas.microsoft.com/office/drawing/2014/main" id="{00000000-0008-0000-0100-00002C000000}"/>
            </a:ext>
          </a:extLst>
        </xdr:cNvPr>
        <xdr:cNvSpPr txBox="1"/>
      </xdr:nvSpPr>
      <xdr:spPr>
        <a:xfrm>
          <a:off x="2180166" y="137583"/>
          <a:ext cx="1174750" cy="730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PE" sz="1000" b="1">
              <a:latin typeface="Arial" panose="020B0604020202020204" pitchFamily="34" charset="0"/>
              <a:cs typeface="Arial" panose="020B0604020202020204" pitchFamily="34" charset="0"/>
            </a:rPr>
            <a:t>Ingresa la campaña registrada en SISACT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sato/OneDrive/Escritorio/Consolidado%20Campa&#241;as%20Comerciales%2015%20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2)"/>
      <sheetName val="PRINCIPAL"/>
      <sheetName val="BBDD"/>
      <sheetName val="Hoja2"/>
      <sheetName val="Consolidado Campañas Comerciale"/>
    </sheetNames>
    <sheetDataSet>
      <sheetData sheetId="0" refreshError="1"/>
      <sheetData sheetId="1" refreshError="1"/>
      <sheetData sheetId="2">
        <row r="2">
          <cell r="A2" t="str">
            <v>20% DESCUENTO REGULAR ZONAS</v>
          </cell>
          <cell r="B2" t="str">
            <v>-</v>
          </cell>
          <cell r="C2" t="str">
            <v>-</v>
          </cell>
          <cell r="D2" t="str">
            <v>20% DESCUENTO REGULAR ZONAS</v>
          </cell>
          <cell r="E2" t="str">
            <v>PORTABILIDAD</v>
          </cell>
          <cell r="F2" t="str">
            <v>Descuento Regular Zonas: 
20% de descuento en cargo fijo por 6 meses (clientes nuevos) y por 3 meses para clientes de la base.
Aplica para planes desde Max 39.90 hasta 289.90.
Beneficio Líneas adicionales
Si el el cliente adquiere por Portabilidad líneas adicionales obtendrá 50% en el cargo fijo por 12 meses.
Aplica descuento líneas adicionales desde el plan max 49.90.</v>
          </cell>
          <cell r="G2" t="str">
            <v>04/10/2021: Descuento Regular Zonas:
Distritos de Lima: Santiago de Surco, San Borja, La Molina, Miraflores o San Isidro. 
Departamentos: Ica, Junín, Ucayali, Huánuco, Piura, La Libertad, Áncash, Lambayeque, Tacna, Puno, Cusco y Arequipa.
11/10/2021: Descuento Regular Zonas: Se retira Miraflores del beneficio.
04/01/2022: Descuento Regular Zonas: La campaña se deberá seleccionar para venta de chip o equipo al contado.</v>
          </cell>
          <cell r="H2" t="str">
            <v>Descuento Zonas: 
Válido para DAC, CAC y Cadenas de Departamentos: Ica, Junín, Ucayali, Huánuco, Piura, La Libertad, Áncash, Lambayaque, Tacna, Puno, Cusco y Arequipa.
Lima: Santiago de Surco, San Borja, La Molina o San Isidro.
Beneficio Líneas adicionales: Válido para todos los canales.</v>
          </cell>
          <cell r="I2" t="str">
            <v>No Vigente</v>
          </cell>
          <cell r="J2" t="str">
            <v>*HV Descuento Zonas DAC y Cadenas
*HV Descuento Zonas CACs Lima
*HV Descuento Zonas Regiones
*HV 50% de Descuento en el cargo fijo para Líneas Adicionales</v>
          </cell>
          <cell r="K2" t="str">
            <v>Ruta: Productos y Promociones/Personas/Historial Comercial Postpago/Descuento Cargo Fijo /Portabilidad/20% Descuento Regular Zonas
Ruta: Productos y Promociones/Personas/Historial Comercial Postpago/Descuento Cargo Fijo /Portabilidad/Líneas Adicionales con Descuento (Aplican todas las Campañas)</v>
          </cell>
          <cell r="L2" t="str">
            <v>Beneficio Descuento Líneas Adicionales Resumen Nota de Producto</v>
          </cell>
          <cell r="N2" t="str">
            <v>Descuento en cargo fijo</v>
          </cell>
        </row>
        <row r="3">
          <cell r="A3" t="str">
            <v>20% DESCUENTO REGULAR ZONAS CUOTAS</v>
          </cell>
          <cell r="D3" t="str">
            <v>20% DESCUENTO REGULAR ZONAS CUOTAS</v>
          </cell>
          <cell r="E3" t="str">
            <v>PORTABILIDAD</v>
          </cell>
          <cell r="F3" t="str">
            <v>Descuento Regular Zonas: 
20% de descuento en cargo fijo por 6 meses (clientes nuevos) y por 3 meses para clientes de la base.
Aplica para planes desde Max 39.90 hasta 289.90.
Beneficio Líneas adicionales
Si el el cliente adquiere por Portabilidad líneas adicionales obtendrá 50% en el cargo fijo por 12 meses.
Aplica descuento líneas adicionales desde el plan max 49.90.</v>
          </cell>
          <cell r="G3" t="str">
            <v>04/10/2021: Descuento Regular Zonas:
Distritos de Lima: Santiago de Surco, San Borja, La Molina, Miraflores o San Isidro. 
Departamentos: Ica, Junín, Ucayali, Huánuco, Piura, La Libertad, Áncash, Lambayeque, Tacna, Puno, Cusco y Arequipa.
11/10/2021: Descuento Regular Zonas: Se retira Miraflores del beneficio.
04/01/2022: Descuento Regular Zonas: La campaña se deberá seleccionar para venta de chip o equipo al contado.</v>
          </cell>
          <cell r="H3" t="str">
            <v>Descuento Zonas: 
Válido para DAC, CAC y Cadenas de Departamentos: Ica, Junín, Ucayali, Huánuco, Piura, La Libertad, Áncash, Lambayaque, Tacna, Puno, Cusco y Arequipa.
Lima: Santiago de Surco, San Borja, La Molina o San Isidro.
Beneficio Líneas adicionales: Válido para todos los canales.</v>
          </cell>
          <cell r="I3" t="str">
            <v>No Vigente</v>
          </cell>
          <cell r="J3" t="str">
            <v>*HV Descuento Zonas DAC y Cadenas
*HV Descuento Zonas CACs Lima
*HV Descuento Zonas Regiones
*HV 50% de Descuento en el cargo fijo para Líneas Adicionales</v>
          </cell>
          <cell r="K3" t="str">
            <v>Ruta: Productos y Promociones/Personas/Historial Comercial Postpago/Descuento Cargo Fijo /Portabilidad/20% Descuento Regular Zonas
Ruta: Productos y Promociones/Personas/Historial Comercial Postpago/Descuento Cargo Fijo /Portabilidad/Líneas Adicionales con Descuento (Aplican todas las Campañas)</v>
          </cell>
          <cell r="L3" t="str">
            <v>Beneficio Descuento Líneas Adicionales Resumen Nota de Producto</v>
          </cell>
          <cell r="N3" t="str">
            <v>Descuento en cargo fijo</v>
          </cell>
        </row>
        <row r="4">
          <cell r="A4" t="str">
            <v>20% DESCUENTO ZONAS</v>
          </cell>
          <cell r="D4" t="str">
            <v>20% DESCUENTO ZONAS</v>
          </cell>
          <cell r="E4" t="str">
            <v>PORTABILIDAD</v>
          </cell>
          <cell r="F4" t="str">
            <v>Descuento Zonas: 
Aplica para planes desde Max 39.90 hasta 289.90.
Las líneas deberán ser contratadas y activadas dentro de la vigencia de la promoción.
Beneficio Líneas adicionales
Si el el cliente adquiere por Portabilidad líneas adicionales obtendrá 50% en el cargo fijo por 12 meses.
Aplica descuento líneas adicionales desde el plan max 49.90.</v>
          </cell>
          <cell r="G4" t="str">
            <v>11/08/2021: Descuento Zonas: 20% de descuento en el cargo fijo por 6 meses solo para Portabilidad en Ica, Ancash y Piura.
Válido desde el plan Max 39.90.
13/08/2021: Descuento Zonas: 20% de descuento en el cargo fijo por 6 meses solo CACs y Cadenas en Santiago de Surco (Lima).
Válido desde el plan Max 39.90.
19/08/2021: Descuento Zonas: Se actualizan las ciudades donde aplica el descuento: Ica, Áncash, Piura, Tacna, Puno, Arequipa, Ucayali, Cusco y La Libertad.
10/09/2021: Descuento Zonas: Se específica que la campaña se debe utilizar para venta de chip y equipos al contado.
22/09/2021: Descuento Zonas: Se adicionan al beneficio los nuevos planes 55.90, 69.90, 79.90, 89.90 y 109.09.
01/10/2021: Descuento Zonas: Se actualizan las ciudades/distritos donde aplica el descuento: Se adiciona Junín, Huánuco, Lambayeque.</v>
          </cell>
          <cell r="H4" t="str">
            <v>Descuento Zonas: 
Válido para DAC, CAC y Cadenas de los departamentos de * Lima (Santiago de Surco, San Borja, La Molina o San Isidro) Ica, Junín, Ucayali, Huánuco, Piura, La Libertad, Áncash, Lambayeque, Tacna, Puno, Cusco y Arequipa.
Beneficio Líneas adicionales: Válido para todos los canales.</v>
          </cell>
          <cell r="I4" t="str">
            <v>No Vigente</v>
          </cell>
          <cell r="J4" t="str">
            <v>*HV Ataque Móvil Descuento 20% Ica, Ancash y Piura
HV 20% de Descuento en Cargo Fijo Surco
HV Ataque Móvil 20% Descuento Zonas Especiales
HV Descuento por Portabilidad Zonas Especiales
HV Descuento por Portabilidad Surco
*HV 50% de Descuento en el cargo fijo para Líneas Adicionales</v>
          </cell>
          <cell r="K4" t="str">
            <v xml:space="preserve">Ruta: Productos y Promociones/Personas/Historial Comercial Postpago/Descuento Cargo Fijo /Portabilidad/20% Descuento Regular Zonas
Ruta: Productos y Promociones/Personas/Historial Comercial Postpago/Descuento Cargo Fijo /Portabilidad/Líneas Adicionales con Descuento (Aplican todas las Campañas)
</v>
          </cell>
          <cell r="L4" t="str">
            <v>Beneficio Descuento Líneas Adicionales Resumen Nota de Producto</v>
          </cell>
          <cell r="M4" t="str">
            <v>Ruta: Productos y Promociones/Resumen NP/ Postpago/Beneficios Descuentos Lineas Adicionales (Aplican todas las Campañas)</v>
          </cell>
          <cell r="N4" t="str">
            <v>Descuento en cargo fijo</v>
          </cell>
        </row>
        <row r="5">
          <cell r="A5" t="str">
            <v>20% DESCUENTO ZONAS CUOTAS</v>
          </cell>
          <cell r="D5" t="str">
            <v>20% DESCUENTO ZONAS CUOTAS</v>
          </cell>
          <cell r="E5" t="str">
            <v>PORTABILIDAD</v>
          </cell>
          <cell r="F5" t="str">
            <v>Descuento Zonas: 
Aplica para planes desde Max 39.90 hasta 289.90.
Deberán haber sido contratadas y activadas dentro de la vigencia de la promoción.
Beneficio Líneas adicionales
Si el el cliente adquiere por Portabilidad líneas adicionales obtendrá 50% en el cargo fijo por 12 meses.
Aplica descuento líneas adicionales desde el plan max 49.90.</v>
          </cell>
          <cell r="G5" t="str">
            <v>11/08/2021: Descuento Zonas: 20% de descuento en el cargo fijo por 6 meses solo para Portabilidad en Ica, Ancash y Piura.
Válido desde el plan Max 39.90.
13/08/2021: Descuento Zonas: 20% de descuento en el cargo fijo por 6 meses solo CACs y Cadenas en Santiago de Surco (Lima).
Válido desde el plan Max 39.90.
19/08/2021: Descuento Zonas: Se actualizan las ciudades donde aplica el descuento: Ica, Áncash, Piura, Tacna, Puno, Arequipa, Ucayali, Cusco y La Libertad.
10/09/2021: Descuento Zonas: Se específica que la campaña se debe utilizar  para venta en cuotas.
22/09/2021: Descuento Zonas: Se adicionan al beneficio los nuevos planes 55.90, 69.90, 79.90, 89.90 y 109.09.
01/10/2021: Descuento Zonas: Se actualizan las ciudades/distritos donde aplica el descuento: 
* Distritos de Lima: Santiago de Surco, San Borja, La Molina o San Isidro.
* Departamentos: Ica, Junín, Ucayali, Huánuco, Piura, La Libertad, Áncash, Lambayaque, Tacna, Puno, Cusco y Arequipa.</v>
          </cell>
          <cell r="H5" t="str">
            <v>Descuento Zonas: 
Válido para DAC, CAC y Cadenas.
Beneficio Líneas adicionales: Válido para todos los canales.</v>
          </cell>
          <cell r="I5" t="str">
            <v>No Vigente</v>
          </cell>
          <cell r="J5" t="str">
            <v>*HV Promoción 20% por 6 Meses
*HV 50% de Descuento en el cargo fijo para Líneas Adicionales</v>
          </cell>
          <cell r="K5" t="str">
            <v xml:space="preserve">Ruta: Productos y Promociones/Personas/Historial Comercial Postpago/Descuento Cargo Fijo /Portabilidad/20% Descuento Regular Zonas
Ruta: Productos y Promociones/Personas/Historial Comercial Postpago/Descuento Cargo Fijo /Portabilidad/Líneas Adicionales con Descuento (Aplican todas las Campañas)
</v>
          </cell>
          <cell r="L5" t="str">
            <v>Beneficio Descuento Líneas Adicionales Resumen Nota de Producto</v>
          </cell>
          <cell r="M5" t="str">
            <v>Ruta: Productos y Promociones/Resumen NP/ Postpago/Beneficios Descuentos Lineas Adicionales (Aplican todas las Campañas)</v>
          </cell>
          <cell r="N5" t="str">
            <v>Descuento en cargo fijo</v>
          </cell>
        </row>
        <row r="6">
          <cell r="A6" t="str">
            <v>20% DESCUENTO ZONAS CUOTAS SALUD PERUANA</v>
          </cell>
          <cell r="D6" t="str">
            <v>20% DESCUENTO ZONAS CUOTAS SALUD PERUANA</v>
          </cell>
          <cell r="E6" t="str">
            <v>ALTA
PORTABILIDAD
RENOVACION
MIGRACION</v>
          </cell>
          <cell r="F6" t="str">
            <v>20% Descuento Zonas Cuotas Salud Peruana: Los clientes que hayan recibido su segunda dosis de vacuna contra el COVID-19 podrán acceder a un descuento de hasta S/200.00 en la compra de un equipo. 
Válido para planes Postpago desde el cargo fijo de 39.90 y Prepago.
Beneficio Líneas adicionales (válido en Alta y Portabilidad)
Si el el cliente adquiere líneas adicionales obtendrá 50% en el cargo fijo por 12 meses desde el plan Max 49.90.</v>
          </cell>
          <cell r="G6" t="str">
            <v>Bono por la Salud:
Válido hasta el 31/12/2021.</v>
          </cell>
          <cell r="H6" t="str">
            <v>Bono por la salud peruana:
Solo válido para CACs 
Beneficio Líneas adicionales: Válido para todos los canales.</v>
          </cell>
          <cell r="I6" t="str">
            <v>No Vigente</v>
          </cell>
          <cell r="J6" t="str">
            <v>*NP Promoción por la Salud peruana
*HV Promoción por la Salud Claro Postpago
*HV 50% de Descuento en el cargo fijo para Líneas Adicionales (Portabilidad y Alta)</v>
          </cell>
          <cell r="K6" t="str">
            <v>Ruta: Productos y Promociones/Personas/Historial Comercial Postpago/Descuento en Equipo /Alta-Portabilidad-Renovación-Migración/20% Descuento Zonas Cuotas Salud Peruana/20% Descuento Zonas Salud Peruana
Ruta: Productos y Promociones/Personas/Historial Comercial Postpago/Descuento Cargo Fijo /Portabilidad/Líneas Adicionales con Descuento (Aplican todas las Campañas)</v>
          </cell>
          <cell r="L6" t="str">
            <v>Beneficio Descuento Líneas Adicionales Resumen Nota de Producto</v>
          </cell>
          <cell r="M6" t="str">
            <v>Ruta: Productos y Promociones/Resumen NP/ Postpago/Beneficios Descuentos Lineas Adicionales (Aplican todas las Campañas)</v>
          </cell>
          <cell r="N6" t="str">
            <v>Descuento en equipo y cargo fijo</v>
          </cell>
        </row>
        <row r="7">
          <cell r="A7" t="str">
            <v>20% DESCUENTO ZONAS ESPECIALES</v>
          </cell>
          <cell r="D7" t="str">
            <v>20% DESCUENTO ZONAS ESPECIALES</v>
          </cell>
          <cell r="E7" t="str">
            <v>PORTABILIDAD</v>
          </cell>
          <cell r="F7" t="str">
            <v>20% Descuento Zonas Especiales 
Los clientes que hayan adquirido un plan Postpago Max Limitados desde S/49.90 hasta S/ 289 obtendrán 20% de descuento en los 6 primeros cargos fijos mensuales del plan.
Beneficio Líneas adicionales
Si el el cliente adquiere por Portabilidad líneas adicionales obtendrá 50% en el cargo fijo por 12 meses.
Aplica descuento líneas adicionales desde el plan max 49.90.</v>
          </cell>
          <cell r="G7" t="str">
            <v xml:space="preserve">11/12/2021: 20% Descuento Zonas Especiales: Vigencia del 11 al 25 de diciembre del 2021.
</v>
          </cell>
          <cell r="H7" t="str">
            <v>20% Descuento Zonas Especiales: 
Válido para DAC Plaza San Miguel, DAC Cercado, DAC Jockey Plaza, DAC Jr de la Unión, DAC Open Plaza.CAC Larco, Cadena Centro Cívico, Cadena Plaza Vea Risso,
Cadena Metro Jr Cusco, Cadena Tottus Jockey Plaza, Cadena Plaza San Miguel, Cadena Plaza Vea Bolichera.
Beneficio Líneas adicionales: Válido para todos los canales.</v>
          </cell>
          <cell r="I7" t="str">
            <v>No Vigente</v>
          </cell>
          <cell r="J7" t="str">
            <v>*Promoción Descuento Cargo Fijo Zonas Especiales
*HV 50% de Descuento en el cargo fijo para Líneas Adicionales</v>
          </cell>
          <cell r="K7" t="str">
            <v xml:space="preserve">Ruta: Productos y Promociones/Personas/Historial Comercial Postpago/Descuento Cargo Fijo / Portabilidad / 20% Descuento Zonas Especiales/Cuotas
Ruta: Productos y Promociones/Personas/Historial Comercial Postpago/Descuento Cargo Fijo /Portabilidad/Líneas Adicionales con Descuento (Aplican todas las Campañas)
</v>
          </cell>
          <cell r="L7" t="str">
            <v xml:space="preserve">* Beneficio Descuento Líneas Adicionales Resumen Nota de Producto </v>
          </cell>
          <cell r="M7" t="str">
            <v>Ruta: Productos y Promociones/Resumen NP/ Postpago/Beneficios Descuentos Lineas Adicionales (Aplican todas las Campañas).</v>
          </cell>
          <cell r="N7" t="str">
            <v>Descuento en cargo fijo</v>
          </cell>
        </row>
        <row r="8">
          <cell r="A8" t="str">
            <v>20% DESCUENTO ZONAS ESPECIALES CUOTAS</v>
          </cell>
          <cell r="D8" t="str">
            <v>20% DESCUENTO ZONAS ESPECIALES CUOTAS</v>
          </cell>
          <cell r="E8" t="str">
            <v>PORTABILIDAD</v>
          </cell>
          <cell r="F8" t="str">
            <v>20% Descuento Zonas Especiales Cuotas
Los clientes que hayan adquirido un plan Postpago Max Limitados desde S/49.90 hasta S/ 289 obtendrán 20% de descuento en los 6 primeros cargos fijos mensuales del plan.
Beneficio Líneas adicionales
Si el el cliente adquiere por Portabilidad líneas adicionales obtendrá 50% en el cargo fijo por 12 meses.
Aplica descuento líneas adicionales desde el plan max 49.90.</v>
          </cell>
          <cell r="G8" t="str">
            <v>11/12/2021: 20% Descuento Zonas Especiales Cuotas: Vigencia del 11 al 25 de diciembre del 2021.
Válido para CAC, DAC y Cadenas según siguiente detalle:
DAC Plaza San Miguel, DAC Cercado, DAC Jockey Plaza, DAC Jr de la Unión, DAC Open Plaza.
CAC Larco, Cadena Centro Cívico, Cadena Plaza Vea Risso,
Cadena Metro Jr Cusco, Cadena Tottus Jockey Plaza, Cadena Plaza San Miguel, Cadena Plaza Vea Bolichera.</v>
          </cell>
          <cell r="H8" t="str">
            <v>20% Descuento Zonas Especiales: 
Válido para CAC, DAC y Cadenas indicados.
Beneficio Líneas adicionales: Válido para todos los canales.</v>
          </cell>
          <cell r="I8" t="str">
            <v>No Vigente</v>
          </cell>
          <cell r="J8" t="str">
            <v>*Promoción Descuento Cargo Fijo Zonas Especiales
*HV 50% de Descuento en el cargo fijo para Líneas Adicionales</v>
          </cell>
          <cell r="K8" t="str">
            <v>Ruta: Productos y Promociones/Personas/Historial Comercial Postpago/Descuento Cargo Fijo / Portabilidad / 20% Descuento Zonas Especiales/Cuotas
Ruta: Productos y Promociones/Personas/Historial Comercial Postpago/Descuento Cargo Fijo /Portabilidad/Líneas Adicionales con Descuento (Aplican todas las Campañas)</v>
          </cell>
          <cell r="L8" t="str">
            <v xml:space="preserve">* Beneficio Descuento Líneas Adicionales Resumen Nota de Producto </v>
          </cell>
          <cell r="M8" t="str">
            <v>Ruta: Productos y Promociones/Resumen NP/ Postpago/Beneficios Descuentos Lineas Adicionales (Aplican todas las Campañas).</v>
          </cell>
          <cell r="N8" t="str">
            <v>Descuento en cargo fijo</v>
          </cell>
        </row>
        <row r="9">
          <cell r="A9" t="str">
            <v>20% DESCUENTO ZONAS SALUD PERUANA</v>
          </cell>
          <cell r="D9" t="str">
            <v>20% DESCUENTO ZONAS SALUD PERUANA</v>
          </cell>
          <cell r="E9" t="str">
            <v>ALTA
PORTABILIDAD
RENOVACION
MIGRACION</v>
          </cell>
          <cell r="F9" t="str">
            <v>20% Descuento Zonas Salud Peruana: Los clientes que hayan recibido su segunda dosis de vacuna contra el COVID-19 podrán acceder a un descuento de hasta S/200.00 en la compra de un equipo. 
Válido para planes Postpago desde el cargo fijo de 39.90 y Prepago.
Beneficio Líneas adicionales (válido en Alta y Portabilidad)
Si el el cliente adquiere líneas adicionales obtendrá 50% en el cargo fijo por 12 meses desde el plan Max 49.90.</v>
          </cell>
          <cell r="G9" t="str">
            <v>Bono por la Salud:
Válido hasta el 31/12/2021.</v>
          </cell>
          <cell r="H9" t="str">
            <v xml:space="preserve">Solo válido para CACs </v>
          </cell>
          <cell r="I9" t="str">
            <v>No Vigente</v>
          </cell>
          <cell r="J9" t="str">
            <v>*NP Promoción por la Salud peruana
*HV Promoción por la Salud Claro Postpago
*HV 50% de Descuento en el cargo fijo para Líneas Adicionales (Portabilidad y Alta)</v>
          </cell>
          <cell r="K9" t="str">
            <v>Ruta: Productos y Promociones/Personas/Historial Comercial Postpago/Descuento en Equipo /Alta-Portabilidad-Renovación-Migración/20% Descuento Zonas Cuotas Salud Peruana/20% Descuento Zonas Salud Peruana
Ruta: Productos y Promociones/Personas/Historial Comercial Postpago/Descuento Cargo Fijo /Portabilidad/Líneas Adicionales con Descuento (Aplican todas las Campañas)</v>
          </cell>
          <cell r="L9" t="str">
            <v xml:space="preserve">
Beneficio Descuento Líneas Adicionales Resumen Nota de Producto</v>
          </cell>
          <cell r="M9" t="str">
            <v xml:space="preserve">Ruta: Productos y Promociones/Resumen NP/ Postpago/Beneficios Descuentos Lineas Adicionales (Aplican todas las Campañas)
</v>
          </cell>
          <cell r="N9" t="str">
            <v>Descuento en equipo y cargo fijo</v>
          </cell>
        </row>
        <row r="10">
          <cell r="A10" t="str">
            <v>ALTA REGULAR</v>
          </cell>
          <cell r="B10" t="str">
            <v>LISTA DE PRECIOS</v>
          </cell>
          <cell r="C10" t="str">
            <v>ALTA REGULAR</v>
          </cell>
          <cell r="D10" t="str">
            <v>ALTA REGULAR</v>
          </cell>
          <cell r="E10" t="str">
            <v>ALTA</v>
          </cell>
          <cell r="F10" t="str">
            <v>Alta Regular:
Válido para Alta.
Aplica para planes desde 49.90.
No válido para el plan Max Ilimitado 125.
Beneficio Líneas adicionales
Si el el cliente adquiere líneas adicionales obtendrá 50% en el cargo fijo por 12 meses.
Aplica descuento líneas adicionales desde el plan max 55.90.
* No aplica para los Planes Max Play con Netflix.</v>
          </cell>
          <cell r="G10" t="str">
            <v xml:space="preserve">01/08/2022: Lista de Precios: Alta Regular.
Se deja de ofrecer el plan Max Ilimitado 125.
01/08/2022: Beneficio Líneas adicionales: 
Antes aplicaba para el plan max 49.90 ahora aplica desde el plan max 55.90.
</v>
          </cell>
          <cell r="H10" t="str">
            <v>Aplica para todos los canales.</v>
          </cell>
          <cell r="I10" t="str">
            <v>No Vigente</v>
          </cell>
          <cell r="J10" t="str">
            <v>HV Beneficio Líneas Adicionales</v>
          </cell>
          <cell r="K10" t="str">
            <v>Ruta: Productos y Promociones/Personas/Historial Comercial Postpago/Descuento Cargo Fijo/ Portabilidad/Líneas Adicionales con Descuento (Aplican todas las Campañas)</v>
          </cell>
          <cell r="L10" t="str">
            <v>Beneficio Descuento Líneas Adicionales Resumen Nota de Producto</v>
          </cell>
          <cell r="M10" t="str">
            <v>Ruta: Productos y Promociones/Resumen NP/ Postpago/Beneficios Descuentos Lineas Adicionales (Aplican todas las Campañas)</v>
          </cell>
          <cell r="N10" t="str">
            <v>Descuento en equipo y cargo fijo</v>
          </cell>
        </row>
        <row r="11">
          <cell r="A11" t="str">
            <v>ATAQUE COMPETENCIA</v>
          </cell>
          <cell r="B11" t="str">
            <v>ATAQUE COMPETENCIA</v>
          </cell>
          <cell r="C11" t="str">
            <v>ATAQUE COMPETENCIA</v>
          </cell>
          <cell r="D11" t="str">
            <v>ATAQUE COMPETENCIA</v>
          </cell>
          <cell r="E11" t="str">
            <v>ALTA</v>
          </cell>
          <cell r="F11" t="str">
            <v>Ataque Competencia:
Válido para Alta.
Aplica para los planes Max desde 39.90.
No válido para el plan Max Ilimitado 125.
Beneficio Líneas adicionales
Si el el cliente adquiere por Portabilidad líneas adicionales obtendrá 50% en el cargo fijo por 12 meses.
Aplica descuento líneas adicionales desde el plan max 55.90.
* No aplica para los Planes Max Play con Netflix.</v>
          </cell>
          <cell r="G11" t="str">
            <v>01/08/2022: Lista de Precios: Ataque Competencia
Se deja de ofrecer el plan Max Ilimitado 125.
28/04/2022: Beneficio Líneas adicionales:
Se retira la selección del caso Especial Beneficio de CF para clientes actuales.
01/08/2022: Beneficio Líneas adicionales: Antes aplicaba para el plan max 49.90 ahora aplica desde el plan max 55.90.</v>
          </cell>
          <cell r="H11" t="str">
            <v>Aplica para todos los canales.</v>
          </cell>
          <cell r="I11" t="str">
            <v>Vigente</v>
          </cell>
          <cell r="J11" t="str">
            <v>HV Beneficio Líneas Adicionales</v>
          </cell>
          <cell r="K11" t="str">
            <v>Ruta: Productos y Promociones/Personas/Historial Comercial Postpago/Descuento Cargo Fijo/ Alta/Líneas Adicionales con Descuento (Aplican todas las Campañas)</v>
          </cell>
          <cell r="L11" t="str">
            <v>Beneficio Descuento Líneas Adicionales Resumen Nota de Producto</v>
          </cell>
          <cell r="M11" t="str">
            <v>Ruta: Productos y Promociones/Resumen NP/ Postpago/Beneficios Descuentos Lineas Adicionales (Aplican todas las Campañas)</v>
          </cell>
          <cell r="N11" t="str">
            <v>Descuento en equipo y cargo fijo</v>
          </cell>
        </row>
        <row r="12">
          <cell r="A12" t="str">
            <v>ATAQUE COMPETENCIA CUOTAS</v>
          </cell>
          <cell r="B12" t="str">
            <v>ATAQUE COMPETENCIA CUOTAS</v>
          </cell>
          <cell r="C12" t="str">
            <v>ATAQUE COMPETENCIA CUOTAS</v>
          </cell>
          <cell r="D12" t="str">
            <v>ATAQUE COMPETENCIA CUOTAS</v>
          </cell>
          <cell r="E12" t="str">
            <v>PORTABILIDAD
RENOVACION</v>
          </cell>
          <cell r="F12" t="str">
            <v>Ataque Competencia Cuotas:
*Aplica para planes 69.90, 79.90, 95.90, 109.90, 159.90, 189.90 y 289.90
*Sujeto a evaluación crediticia.
* Se solicita cuota inicial para Cadenas mínimo de 1 sol.
Beneficio Líneas adicionales (sólo Portabilidad)
Si el el cliente adquiere por Portabilidad líneas adicionales obtendrá 50% en el cargo fijo por 12 meses.
Aplica descuento líneas adicionales desde el plan max 55.90.
* No aplica para los Planes Max Play con Netflix.</v>
          </cell>
          <cell r="G12" t="str">
            <v>28/04/2022: Beneficio Líneas adicionales:
Se retira la selección del caso Especial Beneficio de CF para clientes actuales.
01/08/2022: Beneficio Líneas adicionales: 
Antes aplicaba para el plan max 49.90 ahora aplica desde el plan max 55.90.</v>
          </cell>
          <cell r="H12" t="str">
            <v>Aplica para todos los canales.</v>
          </cell>
          <cell r="I12" t="str">
            <v>Vigente</v>
          </cell>
          <cell r="J12" t="str">
            <v>HV Beneficio Líneas Adicionales</v>
          </cell>
          <cell r="K12" t="str">
            <v>Ruta: Productos y Promociones/Personas/Historial Comercial Postpago/Descuento Cargo Fijo/ Portabilidad/Líneas Adicionales con Descuento (Aplican todas las Campañas)</v>
          </cell>
          <cell r="L12" t="str">
            <v xml:space="preserve">Beneficio Descuento Líneas Adicionales Resumen Nota de Producto </v>
          </cell>
          <cell r="M12" t="str">
            <v>Ruta: Productos y Promociones/Resumen NP/ Postpago/Beneficios Descuentos Lineas Adicionales (Aplican todas las Campañas)</v>
          </cell>
          <cell r="N12" t="str">
            <v>Descuento en cargo fijo</v>
          </cell>
        </row>
        <row r="13">
          <cell r="A13" t="str">
            <v>AUTOLIQUIDABLE</v>
          </cell>
          <cell r="D13" t="str">
            <v>AUTOLIQUIDABLE</v>
          </cell>
          <cell r="E13" t="str">
            <v>ALTA
PORTABILIDAD</v>
          </cell>
          <cell r="F13" t="str">
            <v>Plan autoliquidable:
- Bono por 3 meses (plan max 29.90 y 39.90) y Bono por 6 meses (plan 49.90), en modalidad de portabilidad.
- Paquete de gbs y redes sociales
- Aplica para planes desde Max 29.90 hasta 49.90.
- Aplica en modalidad chip.</v>
          </cell>
          <cell r="H13" t="str">
            <v>Válido a través del app de Ventas</v>
          </cell>
          <cell r="I13" t="str">
            <v>Vigente</v>
          </cell>
          <cell r="J13" t="str">
            <v>HV Plan Autoliquidable Postpago</v>
          </cell>
          <cell r="L13" t="str">
            <v>Oferta Comercial Postpago y Colaborador Resumen Nota de Producto</v>
          </cell>
          <cell r="M13" t="str">
            <v>Ruta: Productos y Promociones/Resumen NP/ Postpago/Oferta Comercial Postpago y Colaborador/Oferta Comercial Postpago y Colaborador Resumen Nota de Producto</v>
          </cell>
          <cell r="N13" t="str">
            <v>Bono de gigas</v>
          </cell>
        </row>
        <row r="14">
          <cell r="A14" t="str">
            <v>AVENTURA DE OFERTAS</v>
          </cell>
          <cell r="D14" t="str">
            <v>AVENTURA DE OFERTAS</v>
          </cell>
          <cell r="E14" t="str">
            <v>PORTABILIDAD
RENOVACION</v>
          </cell>
          <cell r="F14" t="str">
            <v>Campaña Mall Aventura CAC y Cadenas
Válido del 15 al 19 de julio 2021
CACs: Descuento en equipo de hasta 46% o cero cuota inicial y 12 cuotas mensuales en plan max ilimitado 65.
Cadenas: Descuento en equipo de hasta 46% o cuota inicial de 1 sol y 12 cuotas mensuales en plan max ilimitado 65.
Promoción de Ofertas Mall Aventura Plaza
Válido del 24/09 al 03/10 del 2021
Si tu cliente Porta en los puntos de venta Claro ubicados en el Mall 
Aventura en Lima, Arequipa y Chiclayo tendrá:
Descuento en equipos desde el plan 55.90.
Descuento en cargo fijo 20% en el plan max 49.90 o 50% en el plan max 55.90 por 6 meses.
Black Friday Mall Aventura
Válido del 25/11 al 30/11 del 2021
Descuento en equipos de hasta 60% desde el plan 55.90.
Bono de hasta 9500 Millas Latam (por portar o renovar) de acuerdo al modelo de equipo.
Descuento en cargo fijo 20% en el plan max 49.90 o 50% en el plan max 55.90 por 6 meses portabilidad.
Beneficio Líneas adicionales
Si el el cliente adquiere por Portabilidad o Alta líneas adicionales obtendrá 50% en el cargo fijo por 12 meses.
Aplica descuento líneas adicionales desde el plan max 49.90.
* No aplica para los Planes Max Play con Netflix.</v>
          </cell>
          <cell r="G14" t="str">
            <v>20/07/2021: Aventura de Ofertas:
Fin de vigencia Campaña Mall Aventura CAC y Cadenas.
04/10/2021: : Aventura de Ofertas:
Fin de vigencia Promoción de Ofertas Mall Aventura Plaza.
01/12/2021: Aventura de Ofertas:
Fin de vigencia Black Friday Mall Aventura.</v>
          </cell>
          <cell r="H14" t="str">
            <v>Campaña Mall Aventura (Válido para CAC y Cadenas)
Promoción de Ofertas Mall Aventura Plaza (PDV de Mall Plaz Lima, Arequipoa y Chiclayo).
Black Friday Mall Aventura (Válido para todos).</v>
          </cell>
          <cell r="I14" t="str">
            <v>No Vigente</v>
          </cell>
          <cell r="J14" t="str">
            <v>HV Campaña Mall Aventura Cadenas
HV Campaña Mall Aventura CACs
Promoción de Ofertas Mall Aventura Plaza
HV Black Friday Mall Aventura
*HV Beneficio Líneas Adicionales</v>
          </cell>
          <cell r="K14" t="str">
            <v>Ruta: Productos y Promociones/Personas/Historial Comercial Postpago/Descuento Cargo Fijo/ Portabilidad/Líneas Adicionales con Descuento (Aplican todas las Campañas)</v>
          </cell>
          <cell r="M14" t="str">
            <v>Ruta: Productos y Promociones/Personas/Historial de Hojas de Venta/Postpago/Descuento en equipo y cargo fijo/Aventura de ofertas</v>
          </cell>
          <cell r="N14" t="str">
            <v>Descuento en equipo y cargo fijo</v>
          </cell>
        </row>
        <row r="15">
          <cell r="A15" t="str">
            <v>AVENTURA DE OFERTAS CUOTAS</v>
          </cell>
          <cell r="D15" t="str">
            <v>AVENTURA DE OFERTAS CUOTAS</v>
          </cell>
          <cell r="E15" t="str">
            <v>PORTABILIDAD
RENOVACION</v>
          </cell>
          <cell r="F15" t="str">
            <v>Campaña Mall Aventura CAC y Cadenas
Válido del 15 al 19 de julio 2021
CACs: Descuento en equipo de hasta 46% o cero cuota inicial y 12 cuotas mensuales en plan max ilimitado 65.
Cadenas: Descuento en equipo de hasta 46% o cuota inicial de 1 sol y 12 cuotas mensuales en plan max ilimitado 65.
Promoción de Ofertas Mall Aventura Plaza
Válido del 24/09 al 03/10 del 2021
Si tu cliente Porta en los puntos de venta Claro ubicados en el Mall 
Aventura en Lima, Arequipa y Chiclayo tendrá:
Descuento en equipos desde el plan 55.90.
Descuento en cargo fijo 20% en el plan max 49.90 o 50% en el plan max 55.90 por 6 meses.
Black Friday Mall Aventura
Válido del 25/11 al 30/11 del 2021
Descuento en equipos de hasta 60% desde el plan 55.90.
Bono de hasta 9500 Millas Latam (por portar o renovar) de acuerdo al modelo de equipo.
Descuento en cargo fijo 20% en el plan max 49.90 o 50% en el plan max 55.90 por 6 meses portabilidad.
Beneficio Líneas adicionales
Si el el cliente adquiere por Portabilidad o Alta líneas adicionales obtendrá 50% en el cargo fijo por 12 meses.
Aplica descuento líneas adicionales desde el plan max 49.90.
* No aplica para los Planes Max Play con Netflix.</v>
          </cell>
          <cell r="G15" t="str">
            <v>20/07/2021: Aventura de Ofertas Cuotas:
Fin de vigencia Campaña Mall Aventura CAC y Cadenas.
04/10/2021: Aventura de Ofertas Cuotas:
Fin de vigencia Promoción de Ofertas Mall Aventura Plaza.
01/12/2021: Aventura de Ofertas Cuotas:
Fin de vigencia Black Friday Mall Aventura.</v>
          </cell>
          <cell r="H15" t="str">
            <v>Campaña Mall Aventura (Válido para CAC y Cadenas)
Promoción de Ofertas Mall Aventura Plaza (PDV de Mall Plaz Lima, Arequipoa y Chiclayo).
Black Friday Mall Aventura (Válido para todos).</v>
          </cell>
          <cell r="I15" t="str">
            <v>No Vigente</v>
          </cell>
          <cell r="J15" t="str">
            <v>HV Campaña Mall Aventura Cadenas
HV Campaña Mall Aventura CACs
Promoción de Ofertas Mall Aventura Plaza
HV Black Friday Mall Aventura
*HV Beneficio Líneas Adicionales</v>
          </cell>
          <cell r="K15" t="str">
            <v>Ruta: Productos y Promociones/Personas/Historial Comercial Postpago/Descuento Cargo Fijo/ Portabilidad/Líneas Adicionales con Descuento (Aplican todas las Campañas)</v>
          </cell>
          <cell r="M15" t="str">
            <v>Ruta: Productos y Promociones/Personas/Historial de Hojas de Venta/Postpago/Descuento en equipo y cargo fijo/Aventura de ofertas</v>
          </cell>
          <cell r="N15" t="str">
            <v>Descuento en equipo y cargo fijo</v>
          </cell>
        </row>
        <row r="16">
          <cell r="A16" t="str">
            <v>BONO POR LA SALUD PERUANA ALTA</v>
          </cell>
          <cell r="D16" t="str">
            <v>BONO POR LA SALUD PERUANA ALTA</v>
          </cell>
          <cell r="E16" t="str">
            <v>ALTA
PORTABILIDAD
RENOVACION
MIGRACION</v>
          </cell>
          <cell r="F16" t="str">
            <v>Bono por la Salud Peruana Alta: Los clientes que hayan recibido su segunda dosis de vacuna contra el COVID-19 podrán acceder a un descuento de hasta S/200.00 en la compra de un equipo. 
Válido para planes Postpago desde el cargo fijo de 39.90 y Prepago.
Beneficio Líneas adicionales (válido en Alta y Portabilidad)
Si el el cliente adquiere líneas adicionales obtendrá 50% en el cargo fijo por 12 meses desde el plan Max 49.90.</v>
          </cell>
          <cell r="G16" t="str">
            <v xml:space="preserve">
Bono por la Salud.
Válido hasta el 31/12/2021.</v>
          </cell>
          <cell r="H16" t="str">
            <v xml:space="preserve">Solo válido para CACs </v>
          </cell>
          <cell r="I16" t="str">
            <v>No Vigente</v>
          </cell>
          <cell r="J16" t="str">
            <v>*NP Promoción por la Salud peruana
*HV Promoción por la Salud Claro Postpago
*HV 50% de Descuento en el cargo fijo para Líneas Adicionales (Portabilidad y Alta)</v>
          </cell>
          <cell r="K16" t="str">
            <v xml:space="preserve">Ruta: Productos y Promociones/Personas/Historial Comercial Postpago/Descuento en Equipo /Alta-Portabilidad-Renovación-Migración/Bono por la Salud Peruana Post/Post Alta/Cuotas/Pre/Alta/
Ruta: Productos y Promociones/Personas/Historial Comercial Postpago/Descuento Cargo Fijo /Portabilidad/Líneas Adicionales con Descuento (Aplican todas las Campañas)
</v>
          </cell>
          <cell r="L16" t="str">
            <v xml:space="preserve">
Beneficio Descuento Líneas Adicionales Resumen Nota de Producto</v>
          </cell>
          <cell r="M16" t="str">
            <v xml:space="preserve">Ruta: Productos y Promociones/Resumen NP/ Postpago/Beneficios Descuentos Lineas Adicionales (Aplican todas las Campañas)
</v>
          </cell>
          <cell r="N16" t="str">
            <v>Descuento en equipo y cargo fijo</v>
          </cell>
        </row>
        <row r="17">
          <cell r="A17" t="str">
            <v>BONO POR LA SALUD PERUANA CUOTAS</v>
          </cell>
          <cell r="D17" t="str">
            <v>BONO POR LA SALUD PERUANA CUOTAS</v>
          </cell>
          <cell r="E17" t="str">
            <v>ALTA
PORTABILIDAD
RENOVACION
MIGRACION</v>
          </cell>
          <cell r="F17" t="str">
            <v>Bono por la Salud Peruana Cuotas: Los clientes que hayan recibido su segunda dosis de vacuna contra el COVID-19 podrán acceder a un descuento de hasta S/200.00 en la compra de un equipo. 
Válido para planes Postpago desde el cargo fijo de 39.90 y Prepago.
Beneficio Líneas adicionales
Si el el cliente adquiere por Portabilidad líneas adicionales obtendrá 50% en el cargo fijo por 12 meses desde el plan Max 49.90.</v>
          </cell>
          <cell r="G17" t="str">
            <v xml:space="preserve">
Bono por la Salud.
Válido hasta el 31/12/2021.</v>
          </cell>
          <cell r="H17" t="str">
            <v xml:space="preserve">Solo válido para CACs </v>
          </cell>
          <cell r="I17" t="str">
            <v>No Vigente</v>
          </cell>
          <cell r="J17" t="str">
            <v>*NP Promoción por la Salud peruana
*HV Promoción por la Salud Claro Postpago
*HV 50% de Descuento en el cargo fijo para Líneas Adicionales (Portabilidad y Alta)</v>
          </cell>
          <cell r="K17" t="str">
            <v xml:space="preserve">Ruta: Productos y Promociones/Personas/Historial Comercial Postpago/Descuento en Equipo /Alta-Portabilidad-Renovación-Migración/Bono por la Salud Peruana Post/Post Alta/Cuotas/Pre/Alta/
Ruta: Productos y Promociones/Personas/Historial Comercial Postpago/Descuento Cargo Fijo /Portabilidad/Líneas Adicionales con Descuento (Aplican todas las Campañas)
</v>
          </cell>
          <cell r="L17" t="str">
            <v xml:space="preserve">
Beneficio Descuento Líneas Adicionales Resumen Nota de Producto</v>
          </cell>
          <cell r="M17" t="str">
            <v xml:space="preserve">Ruta: Productos y Promociones/Resumen NP/ Postpago/Beneficios Descuentos Lineas Adicionales (Aplican todas las Campañas)
</v>
          </cell>
          <cell r="N17" t="str">
            <v>Descuento en equipo y cargo fijo</v>
          </cell>
        </row>
        <row r="18">
          <cell r="A18" t="str">
            <v>BONO POR LA SALUD PERUANA POST</v>
          </cell>
          <cell r="D18" t="str">
            <v>BONO POR LA SALUD PERUANA POST</v>
          </cell>
          <cell r="E18" t="str">
            <v>ALTA
PORTABILIDAD
RENOVACION
MIGRACION</v>
          </cell>
          <cell r="F18" t="str">
            <v>Bono por la Salud Peruana Post: Los clientes que hayan recibido su segunda dosis de vacuna contra el COVID-19 podrán acceder a un descuento de hasta S/200.00 en la compra de un equipo. 
Válido para planes Postpago desde el cargo fijo de 39.90 y Prepago.</v>
          </cell>
          <cell r="G18" t="str">
            <v xml:space="preserve">
Bono por la Salud.
Válido hasta el 31/12/2021.</v>
          </cell>
          <cell r="H18" t="str">
            <v xml:space="preserve">Solo válido para CACs </v>
          </cell>
          <cell r="I18" t="str">
            <v>No Vigente</v>
          </cell>
          <cell r="J18" t="str">
            <v>*NP Promoción por la Salud peruana
*HV Promoción por la Salud Claro Postpago
*HV 50% de Descuento en el cargo fijo para Líneas Adicionales (Portabilidad y Alta)</v>
          </cell>
          <cell r="K18" t="str">
            <v xml:space="preserve">Ruta: Productos y Promociones/Personas/Historial Comercial Postpago/Descuento en Equipo /Alta-Portabilidad-Renovación-Migración/Bono por la Salud Peruana Post/Post Alta/Cuotas/Pre/Alta/
Ruta: Productos y Promociones/Personas/Historial Comercial Postpago/Descuento Cargo Fijo /Portabilidad/Líneas Adicionales con Descuento (Aplican todas las Campañas)
</v>
          </cell>
          <cell r="L18" t="str">
            <v xml:space="preserve">
Beneficio Descuento Líneas Adicionales Resumen Nota de Producto</v>
          </cell>
          <cell r="M18" t="str">
            <v xml:space="preserve">Ruta: Productos y Promociones/Resumen NP/ Postpago/Beneficios Descuentos Lineas Adicionales (Aplican todas las Campañas)
</v>
          </cell>
          <cell r="N18" t="str">
            <v>Descuento en equipo y cargo fijo</v>
          </cell>
        </row>
        <row r="19">
          <cell r="A19" t="str">
            <v>BONO POR LA SALUD PERUANA POST ALTA</v>
          </cell>
          <cell r="D19" t="str">
            <v>BONO POR LA SALUD PERUANA POST ALTA</v>
          </cell>
          <cell r="E19" t="str">
            <v>ALTA
PORTABILIDAD
RENOVACION
MIGRACION</v>
          </cell>
          <cell r="F19" t="str">
            <v>Bono por la Salud Peruana Post Alta Los clientes que hayan recibido su segunda dosis de vacuna contra el COVID-19 podrán acceder a un descuento de hasta S/200.00 en la compra de un equipo. 
Válido para planes Postpago desde el cargo fijo de 39.90 y Prepago.
Beneficio Líneas adicionales (válido en Alta y Portabilidad)
Si el el cliente adquiere líneas adicionales obtendrá 50% en el cargo fijo por 12 meses desde el plan Max 49.90.</v>
          </cell>
          <cell r="G19" t="str">
            <v xml:space="preserve">
Válido hasta el 31/12/2021:Bono por la Salud.</v>
          </cell>
          <cell r="H19" t="str">
            <v xml:space="preserve">Solo válido para CACs </v>
          </cell>
          <cell r="I19" t="str">
            <v>No Vigente</v>
          </cell>
          <cell r="J19" t="str">
            <v>*NP Promoción por la Salud peruana
*HV Promoción por la Salud Claro Postpago
*HV 50% de Descuento en el cargo fijo para Líneas Adicionales (Portabilidad y Alta)</v>
          </cell>
          <cell r="K19" t="str">
            <v xml:space="preserve">Ruta: Productos y Promociones/Personas/Historial Comercial Postpago/Descuento en Equipo /Alta-Portabilidad-Renovación-Migración/Bono por la Salud Peruana Post/Post Alta/Cuotas/Pre/Alta/
Ruta: Productos y Promociones/Personas/Historial Comercial Postpago/Descuento Cargo Fijo /Portabilidad/Líneas Adicionales con Descuento (Aplican todas las Campañas)
</v>
          </cell>
          <cell r="L19" t="str">
            <v xml:space="preserve">
Beneficio Descuento Líneas Adicionales Resumen Nota de Producto</v>
          </cell>
          <cell r="M19" t="str">
            <v xml:space="preserve">Ruta: Productos y Promociones/Resumen NP/ Postpago/Beneficios Descuentos Lineas Adicionales (Aplican todas las Campañas)
</v>
          </cell>
          <cell r="N19" t="str">
            <v>Descuento en equipo y cargo fijo</v>
          </cell>
        </row>
        <row r="20">
          <cell r="A20" t="str">
            <v>BONO POR LA SALUD PERUANA PRE</v>
          </cell>
          <cell r="D20" t="str">
            <v>BONO POR LA SALUD PERUANA PRE</v>
          </cell>
          <cell r="E20" t="str">
            <v>ALTA
PORTABILIDAD
RENOVACION
MIGRACION</v>
          </cell>
          <cell r="F20" t="str">
            <v>Bono por la Salud Peruana Post Alta Los clientes que hayan recibido su segunda dosis de vacuna contra el COVID-19 podrán acceder a un descuento de hasta S/200.00 en la compra de un equipo. 
Válido para planes Postpago desde el cargo fijo de 39.90 y Prepago.
Beneficio Líneas adicionales (válido en Alta y Portabilidad)
Si el el cliente adquiere líneas adicionales obtendrá 50% en el cargo fijo por 12 meses desde el plan Max 49.90.</v>
          </cell>
          <cell r="G20" t="str">
            <v xml:space="preserve">
Bono por la Salud.
Válido hasta el 31/12/2021.</v>
          </cell>
          <cell r="H20" t="str">
            <v xml:space="preserve">Solo válido para CACs </v>
          </cell>
          <cell r="I20" t="str">
            <v>No Vigente</v>
          </cell>
          <cell r="J20" t="str">
            <v>*NP Promoción por la Salud peruana
*HV Promoción por la Salud Claro Postpago
*HV 50% de Descuento en el cargo fijo para Líneas Adicionales (Portabilidad y Alta)</v>
          </cell>
          <cell r="K20" t="str">
            <v xml:space="preserve">Ruta: Productos y Promociones/Personas/Historial Comercial Postpago/Descuento en Equipo /Alta-Portabilidad-Renovación-Migración/Bono por la Salud Peruana Post/Post Alta/Cuotas/Pre/Alta/
Ruta: Productos y Promociones/Personas/Historial Comercial Postpago/Descuento Cargo Fijo /Portabilidad/Líneas Adicionales con Descuento (Aplican todas las Campañas)
</v>
          </cell>
          <cell r="L20" t="str">
            <v xml:space="preserve">
Beneficio Descuento Líneas Adicionales Resumen Nota de Producto</v>
          </cell>
          <cell r="M20" t="str">
            <v xml:space="preserve">Ruta: Productos y Promociones/Resumen NP/ Postpago/Beneficios Descuentos Lineas Adicionales (Aplican todas las Campañas)
</v>
          </cell>
          <cell r="N20" t="str">
            <v>Descuento en equipo y cargo fijo</v>
          </cell>
        </row>
        <row r="21">
          <cell r="A21" t="str">
            <v>CADENAS POST REG 11</v>
          </cell>
          <cell r="D21" t="str">
            <v>CADENAS POST REG 11</v>
          </cell>
          <cell r="E21" t="str">
            <v>ALTA
PORTABILIDAD</v>
          </cell>
          <cell r="F21" t="str">
            <v>Beneficio Líneas adicionales
Si el el cliente adquiere por Portabilidad líneas adicionales obtendrá 50% en el cargo fijo por 12 meses.
Aplica descuento líneas adicionales desde el plan max 55.90.
* No aplica para los Planes Max Play con Netflix.</v>
          </cell>
          <cell r="G21" t="str">
            <v>28/04/2022: Beneficio Líneas adicionales:
Se retira la selección del caso Especial Beneficio de CF para clientes actuales.
01/08/2022: Beneficio Líneas adicionales:
Aplica desde el plan max 55.90 (antes desde el plan max 49.90)</v>
          </cell>
          <cell r="H21" t="str">
            <v>Beneficio líneas adicionales:
Válido para todos los canales.</v>
          </cell>
          <cell r="I21" t="str">
            <v>No Vigente</v>
          </cell>
          <cell r="J21" t="str">
            <v xml:space="preserve">*HV Beneficio Líneas Adicionales </v>
          </cell>
          <cell r="K21" t="str">
            <v xml:space="preserve">
Ruta: Productos y Promociones/Personas/Historial Comercial Postpago/Descuento Cargo Fijo/ Portabilidad/Líneas Adicionales con Descuento (Aplican todas las Campañas)
</v>
          </cell>
          <cell r="L21" t="str">
            <v xml:space="preserve">* Beneficio Descuento Líneas Adicionales Resumen Nota de Producto </v>
          </cell>
          <cell r="M21" t="str">
            <v>Ruta: Productos y Promociones/Resumen NP/ Postpago/Beneficios Descuentos Lineas Adicionales (Aplican todas las Campañas)</v>
          </cell>
          <cell r="N21" t="str">
            <v>Descuento en cargo fijo</v>
          </cell>
        </row>
        <row r="22">
          <cell r="A22" t="str">
            <v>CADENAS POST REG 12</v>
          </cell>
          <cell r="D22" t="str">
            <v>CADENAS POST REG 12</v>
          </cell>
          <cell r="E22" t="str">
            <v>ALTA
PORTABILIDAD</v>
          </cell>
          <cell r="F22" t="str">
            <v>Beneficio Líneas adicionales
Si el el cliente adquiere por Portabilidad líneas adicionales obtendrá 50% en el cargo fijo por 12 meses.
Aplica descuento líneas adicionales desde el plan max 55.90.
* No aplica para los Planes Max Play con Netflix.</v>
          </cell>
          <cell r="G22" t="str">
            <v>28/04/2022: Beneficio Líneas adicionales:
Se retira la selección del caso Especial Beneficio de CF para clientes actuales.
01/08/2022: Beneficio Líneas adicionales:
Aplica desde el plan max 55.90 (antes desde el plan max 49.90)</v>
          </cell>
          <cell r="H22" t="str">
            <v>Beneficio líneas adicionales:
Válido para todos los canales.</v>
          </cell>
          <cell r="I22" t="str">
            <v>No Vigente</v>
          </cell>
          <cell r="J22" t="str">
            <v xml:space="preserve">*HV Beneficio Líneas Adicionales </v>
          </cell>
          <cell r="K22" t="str">
            <v xml:space="preserve">
Ruta: Productos y Promociones/Personas/Historial Comercial Postpago/Descuento Cargo Fijo/ Portabilidad/Líneas Adicionales con Descuento (Aplican todas las Campañas)
</v>
          </cell>
          <cell r="L22" t="str">
            <v xml:space="preserve">* Beneficio Descuento Líneas Adicionales Resumen Nota de Producto </v>
          </cell>
          <cell r="M22" t="str">
            <v>Ruta: Productos y Promociones/Resumen NP/ Postpago/Beneficios Descuentos Lineas Adicionales (Aplican todas las Campañas)</v>
          </cell>
          <cell r="N22" t="str">
            <v>Descuento en cargo fijo</v>
          </cell>
        </row>
        <row r="23">
          <cell r="A23" t="str">
            <v>CADENAS POST REG 14</v>
          </cell>
          <cell r="D23" t="str">
            <v>CADENAS POST REG 14</v>
          </cell>
          <cell r="E23" t="str">
            <v>ALTA
PORTABILIDAD</v>
          </cell>
          <cell r="F23" t="str">
            <v>Beneficio Líneas adicionales
Si el el cliente adquiere por Portabilidad líneas adicionales obtendrá 50% en el cargo fijo por 12 meses.
Aplica descuento líneas adicionales desde el plan max 55.90.
* No aplica para los Planes Max Play con Netflix.</v>
          </cell>
          <cell r="G23" t="str">
            <v>28/04/2022: Beneficio Líneas adicionales:
Se retira la selección del caso Especial Beneficio de CF para clientes actuales.
01/08/2022: Beneficio Líneas adicionales:
Aplica desde el plan max 55.90 (antes desde el plan max 49.90)</v>
          </cell>
          <cell r="H23" t="str">
            <v>Beneficio líneas adicionales:
Válido para todos los canales.</v>
          </cell>
          <cell r="I23" t="str">
            <v>No Vigente</v>
          </cell>
          <cell r="J23" t="str">
            <v xml:space="preserve">*HV Beneficio Líneas Adicionales </v>
          </cell>
          <cell r="K23" t="str">
            <v xml:space="preserve">
Ruta: Productos y Promociones/Personas/Historial Comercial Postpago/Descuento Cargo Fijo/ Portabilidad/Líneas Adicionales con Descuento (Aplican todas las Campañas)
</v>
          </cell>
          <cell r="L23" t="str">
            <v xml:space="preserve">* Beneficio Descuento Líneas Adicionales Resumen Nota de Producto </v>
          </cell>
          <cell r="M23" t="str">
            <v>Ruta: Productos y Promociones/Resumen NP/ Postpago/Beneficios Descuentos Lineas Adicionales (Aplican todas las Campañas)</v>
          </cell>
          <cell r="N23" t="str">
            <v>Descuento en cargo fijo</v>
          </cell>
        </row>
        <row r="24">
          <cell r="A24" t="str">
            <v>CADENAS POSTPAGO 1</v>
          </cell>
          <cell r="D24" t="str">
            <v>CADENAS POSTPAGO 1</v>
          </cell>
          <cell r="E24" t="str">
            <v>ALTA
PORTABILIDAD</v>
          </cell>
          <cell r="F24" t="str">
            <v>Beneficio Líneas adicionales
Si el el cliente adquiere por Portabilidad líneas adicionales obtendrá 50% en el cargo fijo por 12 meses.
Aplica descuento líneas adicionales desde el plan max 55.90.
* No aplica para los Planes Max Play con Netflix.</v>
          </cell>
          <cell r="G24" t="str">
            <v>28/04/2022: Beneficio Líneas adicionales:
Se retira la selección del caso Especial Beneficio de CF para clientes actuales.
01/08/2022: Beneficio Líneas adicionales:
Aplica desde el plan max 55.90 (antes desde el plan max 49.90)</v>
          </cell>
          <cell r="H24" t="str">
            <v>Beneficio líneas adicionales:
Válido para todos los canales.</v>
          </cell>
          <cell r="I24" t="str">
            <v>No Vigente</v>
          </cell>
          <cell r="J24" t="str">
            <v xml:space="preserve">*HV Beneficio Líneas Adicionales </v>
          </cell>
          <cell r="K24" t="str">
            <v xml:space="preserve">
Ruta: Productos y Promociones/Personas/Historial Comercial Postpago/Descuento Cargo Fijo/ Portabilidad/Líneas Adicionales con Descuento (Aplican todas las Campañas)
</v>
          </cell>
          <cell r="L24" t="str">
            <v xml:space="preserve">* Beneficio Descuento Líneas Adicionales Resumen Nota de Producto </v>
          </cell>
          <cell r="M24" t="str">
            <v>Ruta: Productos y Promociones/Resumen NP/ Postpago/Beneficios Descuentos Lineas Adicionales (Aplican todas las Campañas)</v>
          </cell>
          <cell r="N24" t="str">
            <v>Descuento en cargo fijo</v>
          </cell>
        </row>
        <row r="25">
          <cell r="A25" t="str">
            <v>CADENAS POSTPAGO 10</v>
          </cell>
          <cell r="D25" t="str">
            <v>CADENAS POSTPAGO 10</v>
          </cell>
          <cell r="E25" t="str">
            <v>ALTA
PORTABILIDAD</v>
          </cell>
          <cell r="F25" t="str">
            <v>Beneficio Líneas adicionales
Si el el cliente adquiere por Portabilidad líneas adicionales obtendrá 50% en el cargo fijo por 12 meses.
Aplica descuento líneas adicionales desde el plan max 55.90.
* No aplica para los Planes Max Play con Netflix.</v>
          </cell>
          <cell r="G25" t="str">
            <v>28/04/2022: Beneficio Líneas adicionales:
Se retira la selección del caso Especial Beneficio de CF para clientes actuales.
01/08/2022: Beneficio Líneas adicionales:
Aplica desde el plan max 55.90 (antes desde el plan max 49.90)</v>
          </cell>
          <cell r="H25" t="str">
            <v>Beneficio líneas adicionales:
Válido para todos los canales.</v>
          </cell>
          <cell r="I25" t="str">
            <v>No Vigente</v>
          </cell>
          <cell r="J25" t="str">
            <v xml:space="preserve">*HV Beneficio Líneas Adicionales </v>
          </cell>
          <cell r="K25" t="str">
            <v xml:space="preserve">
Ruta: Productos y Promociones/Personas/Historial Comercial Postpago/Descuento Cargo Fijo/ Portabilidad/Líneas Adicionales con Descuento (Aplican todas las Campañas)
</v>
          </cell>
          <cell r="L25" t="str">
            <v xml:space="preserve">* Beneficio Descuento Líneas Adicionales Resumen Nota de Producto </v>
          </cell>
          <cell r="M25" t="str">
            <v>Ruta: Productos y Promociones/Resumen NP/ Postpago/Beneficios Descuentos Lineas Adicionales (Aplican todas las Campañas)</v>
          </cell>
          <cell r="N25" t="str">
            <v>Descuento en cargo fijo</v>
          </cell>
        </row>
        <row r="26">
          <cell r="A26" t="str">
            <v>CADENAS POSTPAGO 2</v>
          </cell>
          <cell r="D26" t="str">
            <v>CADENAS POSTPAGO 2</v>
          </cell>
          <cell r="E26" t="str">
            <v>ALTA
PORTABILIDAD</v>
          </cell>
          <cell r="F26" t="str">
            <v>Beneficio Líneas adicionales
Si el el cliente adquiere por Portabilidad líneas adicionales obtendrá 50% en el cargo fijo por 12 meses.
Aplica descuento líneas adicionales desde el plan max 55.90.
* No aplica para los Planes Max Play con Netflix.</v>
          </cell>
          <cell r="G26" t="str">
            <v>28/04/2022: Beneficio Líneas adicionales:
Se retira la selección del caso Especial Beneficio de CF para clientes actuales.
01/08/2022: Beneficio Líneas adicionales:
Aplica desde el plan max 55.90 (antes desde el plan max 49.90)</v>
          </cell>
          <cell r="H26" t="str">
            <v>Beneficio líneas adicionales:
Válido para todos los canales.</v>
          </cell>
          <cell r="I26" t="str">
            <v>No Vigente</v>
          </cell>
          <cell r="J26" t="str">
            <v xml:space="preserve">*HV Beneficio Líneas Adicionales </v>
          </cell>
          <cell r="K26" t="str">
            <v xml:space="preserve">
Ruta: Productos y Promociones/Personas/Historial Comercial Postpago/Descuento Cargo Fijo/ Portabilidad/Líneas Adicionales con Descuento (Aplican todas las Campañas)
</v>
          </cell>
          <cell r="L26" t="str">
            <v xml:space="preserve">* Beneficio Descuento Líneas Adicionales Resumen Nota de Producto </v>
          </cell>
          <cell r="M26" t="str">
            <v>Ruta: Productos y Promociones/Resumen NP/ Postpago/Beneficios Descuentos Lineas Adicionales (Aplican todas las Campañas)</v>
          </cell>
          <cell r="N26" t="str">
            <v>Descuento en cargo fijo</v>
          </cell>
        </row>
        <row r="27">
          <cell r="A27" t="str">
            <v>CADENAS POSTPAGO 3</v>
          </cell>
          <cell r="D27" t="str">
            <v>CADENAS POSTPAGO 3</v>
          </cell>
          <cell r="E27" t="str">
            <v>ALTA
PORTABILIDAD</v>
          </cell>
          <cell r="F27" t="str">
            <v>Beneficio Líneas adicionales
Si el el cliente adquiere por Portabilidad líneas adicionales obtendrá 50% en el cargo fijo por 12 meses.
Aplica descuento líneas adicionales desde el plan max 55.90.
* No aplica para los Planes Max Play con Netflix.</v>
          </cell>
          <cell r="G27" t="str">
            <v>28/04/2022: Beneficio Líneas adicionales:
Se retira la selección del caso Especial Beneficio de CF para clientes actuales.
01/08/2022: Beneficio Líneas adicionales:
Aplica desde el plan max 55.90 (antes desde el plan max 49.90)</v>
          </cell>
          <cell r="H27" t="str">
            <v>Beneficio líneas adicionales:
Válido para todos los canales.</v>
          </cell>
          <cell r="I27" t="str">
            <v>No Vigente</v>
          </cell>
          <cell r="J27" t="str">
            <v xml:space="preserve">*HV Beneficio Líneas Adicionales </v>
          </cell>
          <cell r="K27" t="str">
            <v xml:space="preserve">
Ruta: Productos y Promociones/Personas/Historial Comercial Postpago/Descuento Cargo Fijo/ Portabilidad/Líneas Adicionales con Descuento (Aplican todas las Campañas)
</v>
          </cell>
          <cell r="L27" t="str">
            <v xml:space="preserve">* Beneficio Descuento Líneas Adicionales Resumen Nota de Producto </v>
          </cell>
          <cell r="M27" t="str">
            <v>Ruta: Productos y Promociones/Resumen NP/ Postpago/Beneficios Descuentos Lineas Adicionales (Aplican todas las Campañas)</v>
          </cell>
          <cell r="N27" t="str">
            <v>Descuento en cargo fijo</v>
          </cell>
        </row>
        <row r="28">
          <cell r="A28" t="str">
            <v>CADENAS POSTPAGO 4</v>
          </cell>
          <cell r="D28" t="str">
            <v>CADENAS POSTPAGO 4</v>
          </cell>
          <cell r="E28" t="str">
            <v>ALTA
PORTABILIDAD</v>
          </cell>
          <cell r="F28" t="str">
            <v>Beneficio Líneas adicionales
Si el el cliente adquiere por Portabilidad líneas adicionales obtendrá 50% en el cargo fijo por 12 meses.
Aplica descuento líneas adicionales desde el plan max 55.90.
* No aplica para los Planes Max Play con Netflix.</v>
          </cell>
          <cell r="G28" t="str">
            <v>28/04/2022: Beneficio Líneas adicionales:
Se retira la selección del caso Especial Beneficio de CF para clientes actuales.
01/08/2022: Beneficio Líneas adicionales:
Aplica desde el plan max 55.90 (antes desde el plan max 49.90)</v>
          </cell>
          <cell r="H28" t="str">
            <v>Beneficio líneas adicionales:
Válido para todos los canales.</v>
          </cell>
          <cell r="I28" t="str">
            <v>No Vigente</v>
          </cell>
          <cell r="J28" t="str">
            <v xml:space="preserve">*HV Beneficio Líneas Adicionales </v>
          </cell>
          <cell r="K28" t="str">
            <v xml:space="preserve">
Ruta: Productos y Promociones/Personas/Historial Comercial Postpago/Descuento Cargo Fijo/ Portabilidad/Líneas Adicionales con Descuento (Aplican todas las Campañas)
</v>
          </cell>
          <cell r="L28" t="str">
            <v xml:space="preserve">* Beneficio Descuento Líneas Adicionales Resumen Nota de Producto </v>
          </cell>
          <cell r="M28" t="str">
            <v>Ruta: Productos y Promociones/Resumen NP/ Postpago/Beneficios Descuentos Lineas Adicionales (Aplican todas las Campañas)</v>
          </cell>
          <cell r="N28" t="str">
            <v>Descuento en cargo fijo</v>
          </cell>
        </row>
        <row r="29">
          <cell r="A29" t="str">
            <v>CADENAS POSTPAGO 5</v>
          </cell>
          <cell r="D29" t="str">
            <v>CADENAS POSTPAGO 5</v>
          </cell>
          <cell r="E29" t="str">
            <v>ALTA
PORTABILIDAD</v>
          </cell>
          <cell r="F29" t="str">
            <v>Beneficio Líneas adicionales
Si el el cliente adquiere por Portabilidad líneas adicionales obtendrá 50% en el cargo fijo por 12 meses.
Aplica descuento líneas adicionales desde el plan max 55.90.
* No aplica para los Planes Max Play con Netflix.</v>
          </cell>
          <cell r="G29" t="str">
            <v>28/04/2022: Beneficio Líneas adicionales:
Se retira la selección del caso Especial Beneficio de CF para clientes actuales.
01/08/2022: Beneficio Líneas adicionales:
Aplica desde el plan max 55.90 (antes desde el plan max 49.90)</v>
          </cell>
          <cell r="H29" t="str">
            <v>Beneficio líneas adicionales:
Válido para todos los canales.</v>
          </cell>
          <cell r="I29" t="str">
            <v>No Vigente</v>
          </cell>
          <cell r="J29" t="str">
            <v xml:space="preserve">*HV Beneficio Líneas Adicionales </v>
          </cell>
          <cell r="K29" t="str">
            <v xml:space="preserve">
Ruta: Productos y Promociones/Personas/Historial Comercial Postpago/Descuento Cargo Fijo/ Portabilidad/Líneas Adicionales con Descuento (Aplican todas las Campañas)
</v>
          </cell>
          <cell r="L29" t="str">
            <v xml:space="preserve">* Beneficio Descuento Líneas Adicionales Resumen Nota de Producto </v>
          </cell>
          <cell r="M29" t="str">
            <v>Ruta: Productos y Promociones/Resumen NP/ Postpago/Beneficios Descuentos Lineas Adicionales (Aplican todas las Campañas)</v>
          </cell>
          <cell r="N29" t="str">
            <v>Descuento en cargo fijo</v>
          </cell>
        </row>
        <row r="30">
          <cell r="A30" t="str">
            <v>CADENAS POSTPAGO 6</v>
          </cell>
          <cell r="D30" t="str">
            <v>CADENAS POSTPAGO 6</v>
          </cell>
          <cell r="E30" t="str">
            <v>ALTA
PORTABILIDAD</v>
          </cell>
          <cell r="F30" t="str">
            <v>Beneficio Líneas adicionales
Si el el cliente adquiere por Portabilidad líneas adicionales obtendrá 50% en el cargo fijo por 12 meses.
Aplica descuento líneas adicionales desde el plan max 55.90.
* No aplica para los Planes Max Play con Netflix.</v>
          </cell>
          <cell r="G30" t="str">
            <v>28/04/2022: Beneficio Líneas adicionales:
Se retira la selección del caso Especial Beneficio de CF para clientes actuales.
01/08/2022: Beneficio Líneas adicionales:
Aplica desde el plan max 55.90 (antes desde el plan max 49.90)</v>
          </cell>
          <cell r="H30" t="str">
            <v>Beneficio líneas adicionales:
Válido para todos los canales.</v>
          </cell>
          <cell r="I30" t="str">
            <v>No Vigente</v>
          </cell>
          <cell r="J30" t="str">
            <v xml:space="preserve">*HV Beneficio Líneas Adicionales </v>
          </cell>
          <cell r="K30" t="str">
            <v xml:space="preserve">
Ruta: Productos y Promociones/Personas/Historial Comercial Postpago/Descuento Cargo Fijo/ Portabilidad/Líneas Adicionales con Descuento (Aplican todas las Campañas)
</v>
          </cell>
          <cell r="L30" t="str">
            <v xml:space="preserve">* Beneficio Descuento Líneas Adicionales Resumen Nota de Producto </v>
          </cell>
          <cell r="M30" t="str">
            <v>Ruta: Productos y Promociones/Resumen NP/ Postpago/Beneficios Descuentos Lineas Adicionales (Aplican todas las Campañas)</v>
          </cell>
          <cell r="N30" t="str">
            <v>Descuento en cargo fijo</v>
          </cell>
        </row>
        <row r="31">
          <cell r="A31" t="str">
            <v>CADENAS POSTPAGO 7</v>
          </cell>
          <cell r="D31" t="str">
            <v>CADENAS POSTPAGO 7</v>
          </cell>
          <cell r="E31" t="str">
            <v>ALTA
PORTABILIDAD</v>
          </cell>
          <cell r="F31" t="str">
            <v>Beneficio Líneas adicionales
Si el el cliente adquiere por Portabilidad líneas adicionales obtendrá 50% en el cargo fijo por 12 meses.
Aplica descuento líneas adicionales desde el plan max 55.90.
* No aplica para los Planes Max Play con Netflix.</v>
          </cell>
          <cell r="G31" t="str">
            <v>28/04/2022: Beneficio Líneas adicionales:
Se retira la selección del caso Especial Beneficio de CF para clientes actuales.
01/08/2022: Beneficio Líneas adicionales:
Aplica desde el plan max 55.90 (antes desde el plan max 49.90)</v>
          </cell>
          <cell r="H31" t="str">
            <v>Beneficio líneas adicionales:
Válido para todos los canales.</v>
          </cell>
          <cell r="I31" t="str">
            <v>No Vigente</v>
          </cell>
          <cell r="J31" t="str">
            <v xml:space="preserve">*HV Beneficio Líneas Adicionales </v>
          </cell>
          <cell r="K31" t="str">
            <v xml:space="preserve">
Ruta: Productos y Promociones/Personas/Historial Comercial Postpago/Descuento Cargo Fijo/ Portabilidad/Líneas Adicionales con Descuento (Aplican todas las Campañas)
</v>
          </cell>
          <cell r="L31" t="str">
            <v xml:space="preserve">* Beneficio Descuento Líneas Adicionales Resumen Nota de Producto </v>
          </cell>
          <cell r="M31" t="str">
            <v>Ruta: Productos y Promociones/Resumen NP/ Postpago/Beneficios Descuentos Lineas Adicionales (Aplican todas las Campañas)</v>
          </cell>
          <cell r="N31" t="str">
            <v>Descuento en cargo fijo</v>
          </cell>
        </row>
        <row r="32">
          <cell r="A32" t="str">
            <v>CADENAS POSTPAGO 8</v>
          </cell>
          <cell r="D32" t="str">
            <v>CADENAS POSTPAGO 8</v>
          </cell>
          <cell r="E32" t="str">
            <v>ALTA
PORTABILIDAD</v>
          </cell>
          <cell r="F32" t="str">
            <v>Beneficio Líneas adicionales
Si el el cliente adquiere por Portabilidad líneas adicionales obtendrá 50% en el cargo fijo por 12 meses.
Aplica descuento líneas adicionales desde el plan max 55.90.
* No aplica para los Planes Max Play con Netflix.</v>
          </cell>
          <cell r="G32" t="str">
            <v>28/04/2022: Beneficio Líneas adicionales:
Se retira la selección del caso Especial Beneficio de CF para clientes actuales.
01/08/2022: Beneficio Líneas adicionales:
Aplica desde el plan max 55.90 (antes desde el plan max 49.90)</v>
          </cell>
          <cell r="H32" t="str">
            <v>Beneficio líneas adicionales:
Válido para todos los canales.</v>
          </cell>
          <cell r="I32" t="str">
            <v>No Vigente</v>
          </cell>
          <cell r="J32" t="str">
            <v xml:space="preserve">*HV Beneficio Líneas Adicionales </v>
          </cell>
          <cell r="K32" t="str">
            <v xml:space="preserve">
Ruta: Productos y Promociones/Personas/Historial Comercial Postpago/Descuento Cargo Fijo/ Portabilidad/Líneas Adicionales con Descuento (Aplican todas las Campañas)
</v>
          </cell>
          <cell r="L32" t="str">
            <v xml:space="preserve">* Beneficio Descuento Líneas Adicionales Resumen Nota de Producto </v>
          </cell>
          <cell r="M32" t="str">
            <v>Ruta: Productos y Promociones/Resumen NP/ Postpago/Beneficios Descuentos Lineas Adicionales (Aplican todas las Campañas)</v>
          </cell>
          <cell r="N32" t="str">
            <v>Descuento en cargo fijo</v>
          </cell>
        </row>
        <row r="33">
          <cell r="A33" t="str">
            <v>CADENAS POSTPAGO 9</v>
          </cell>
          <cell r="D33" t="str">
            <v>CADENAS POSTPAGO 9</v>
          </cell>
          <cell r="E33" t="str">
            <v>ALTA
PORTABILIDAD</v>
          </cell>
          <cell r="F33" t="str">
            <v>Beneficio Líneas adicionales
Si el el cliente adquiere por Portabilidad líneas adicionales obtendrá 50% en el cargo fijo por 12 meses.
Aplica descuento líneas adicionales desde el plan max 55.90.
* No aplica para los Planes Max Play con Netflix.</v>
          </cell>
          <cell r="G33" t="str">
            <v>28/04/2022: Beneficio Líneas adicionales:
Se retira la selección del caso Especial Beneficio de CF para clientes actuales.
01/08/2022: Beneficio Líneas adicionales:
Aplica desde el plan max 55.90 (antes desde el plan max 49.90)</v>
          </cell>
          <cell r="H33" t="str">
            <v>Beneficio líneas adicionales:
Válido para todos los canales.</v>
          </cell>
          <cell r="I33" t="str">
            <v>No Vigente</v>
          </cell>
          <cell r="J33" t="str">
            <v xml:space="preserve">*HV Beneficio Líneas Adicionales </v>
          </cell>
          <cell r="K33" t="str">
            <v xml:space="preserve">
Ruta: Productos y Promociones/Personas/Historial Comercial Postpago/Descuento Cargo Fijo/ Portabilidad/Líneas Adicionales con Descuento (Aplican todas las Campañas)
</v>
          </cell>
          <cell r="L33" t="str">
            <v xml:space="preserve">* Beneficio Descuento Líneas Adicionales Resumen Nota de Producto </v>
          </cell>
          <cell r="M33" t="str">
            <v>Ruta: Productos y Promociones/Resumen NP/ Postpago/Beneficios Descuentos Lineas Adicionales (Aplican todas las Campañas)</v>
          </cell>
          <cell r="N33" t="str">
            <v>Descuento en cargo fijo</v>
          </cell>
        </row>
        <row r="34">
          <cell r="A34" t="str">
            <v>COMBO CLARO MIX</v>
          </cell>
          <cell r="C34" t="str">
            <v>COMBO CLARO MIX</v>
          </cell>
          <cell r="D34" t="str">
            <v>COMBO CLARO MIX</v>
          </cell>
          <cell r="E34" t="str">
            <v>ALTA
PORTABILIDAD
RENOVACION</v>
          </cell>
          <cell r="F34" t="str">
            <v xml:space="preserve">Combo Claro Mix:
La línea 1 y línea 2 aplica el cargo fijo 49.90.
Beneficio Líneas adicionales (solo Alta y Portabilidad)
Si el el cliente adquiere líneas adicionales obtendrá 50% en el cargo fijo por 12 meses desde el plan Max 49.90.
* No aplica para los Planes Max Play con Netflix.
</v>
          </cell>
          <cell r="G34" t="str">
            <v xml:space="preserve">28/04/2022: Beneficio Líneas adicionales:
Se retira la selección del caso Especial Beneficio de CF para clientes actuales.
07/05/2022: Combo Claro Mix:
Fin de vigencia de Combo Claro Mix.
</v>
          </cell>
          <cell r="H34" t="str">
            <v>A nivel nacional</v>
          </cell>
          <cell r="I34" t="str">
            <v>No Vigente</v>
          </cell>
          <cell r="J34" t="str">
            <v>* HV Combo Claro Postpago
*HV Beneficio Líneas Adicionales</v>
          </cell>
          <cell r="K34" t="str">
            <v>Ruta: Productos y Promociones/Personas/Historial Comercial Postpago/Descuento en Equipo/Alta-Portabilidad-Renovación/Combo Claro Plus/Mix
Ruta: Productos y Promociones/Personas/Historial Comercial Postpago/Descuento Cargo Fijo /Alta/Líneas Adicionales con Descuento (Aplican todas las Campañas)</v>
          </cell>
          <cell r="L34" t="str">
            <v>Beneficio Descuento Líneas Adicionales Resumen Nota de Producto</v>
          </cell>
          <cell r="M34" t="str">
            <v>Ruta: Productos y Promociones/Resumen NP/ Postpago/Beneficios Descuentos Lineas Adicionales (Aplican todas las Campañas)</v>
          </cell>
          <cell r="N34" t="str">
            <v>Descuento en equipo y cargo fijo</v>
          </cell>
        </row>
        <row r="35">
          <cell r="A35" t="str">
            <v>COMBO CLARO PLUS</v>
          </cell>
          <cell r="B35" t="str">
            <v>LISTA COMBOS CLARO POSTPAGO</v>
          </cell>
          <cell r="C35" t="str">
            <v>COMBO CLARO PLUS</v>
          </cell>
          <cell r="D35" t="str">
            <v>COMBO CLARO PLUS</v>
          </cell>
          <cell r="E35" t="str">
            <v>ALTA
PORTABILIDAD
RENOVACION</v>
          </cell>
          <cell r="F35" t="str">
            <v xml:space="preserve">Combo Claro Plus:
La línea 1 y línea 2 aplica el cargo fijo 69.90.
Beneficio Líneas adicionales (solo Alta y Portabilidad)
Si el el cliente adquiere por Portabilidad líneas adicionales obtendrá 50% en el cargo fijo por 12 meses desde el plan Max 55.90.
* No aplica para los Planes Max Play con Netflix.
</v>
          </cell>
          <cell r="G35" t="str">
            <v>28/04/2022: Beneficio Líneas adicionales:
Se retira la selección del caso Especial Beneficio de CF para clientes actuales.
09/05/2022: Combo Claro Plus
Fin de vigencia Lista de Precios Combos Claro Postpago.
01/08/2022: Beneficio Líneas adicionales: Antes aplicaba para el plan max 49.90 ahora aplica desde el plan max 55.90.
07/05/2022: Combo Claro Plus:
La línea 1 y línea 2 aplica el cargo fijo 69.90 (antes desde 49.90).
16/08/2022: Combo Claro Plus:
Se reactiva Lista de Precios Combos Claro Postpago.
31/08/2022: Combo Claro Plus:
Fin de vigencia Lista de Precios Combos Claro Postpago.</v>
          </cell>
          <cell r="H35" t="str">
            <v>A nivel nacional</v>
          </cell>
          <cell r="I35" t="str">
            <v>No Vigente</v>
          </cell>
          <cell r="J35" t="str">
            <v>* HV Combo Claro Plus
*HV Beneficio Líneas Adicionales</v>
          </cell>
          <cell r="K35" t="str">
            <v>Ruta: Productos y Promociones/Personas/Historial Comercial Postpago/Descuento en Equipo/Alta-Portabilidad-Renovación/Combo Claro Plus/Mix
Ruta: Productos y Promociones/Personas/Historial Comercial Postpago/Descuento Cargo Fijo /Alta/Líneas Adicionales con Descuento (Aplican todas las Campañas)</v>
          </cell>
          <cell r="L35" t="str">
            <v>Beneficio Descuento Líneas Adicionales Resumen Nota de Producto</v>
          </cell>
          <cell r="M35" t="str">
            <v>Ruta: Productos y Promociones/Resumen NP/ Postpago/Beneficios Descuentos Lineas Adicionales (Aplican todas las Campañas)</v>
          </cell>
          <cell r="N35" t="str">
            <v>Descuento en equipo y cargo fijo</v>
          </cell>
        </row>
        <row r="36">
          <cell r="A36" t="str">
            <v>COMBO FULL CLARO MIX</v>
          </cell>
          <cell r="D36" t="str">
            <v>COMBO FULL CLARO MIX</v>
          </cell>
          <cell r="E36" t="str">
            <v>ALTA
PORTABILIDAD
RENOVACION</v>
          </cell>
          <cell r="F36" t="str">
            <v xml:space="preserve">
Combo Full Claro Mix
*Válido para clientes de HFC/FTTH que les falte el producto móvil para ser FULL CLARO y para clientes que ya son FULL CLARO.
*La línea 1 y 2 aplica desde el plan Max 49.9.
Beneficio Líneas adicionales
Si el el cliente adquiere por Portabilidad líneas adicionales obtendrá 50% en el cargo fijo por 12 meses desde el plan Max 49.90.
* No aplica para los Planes Max Play con Netflix.
</v>
          </cell>
          <cell r="G36" t="str">
            <v xml:space="preserve">Combo Full Claro Mix:
Válido hasta el 31/12/2021.
</v>
          </cell>
          <cell r="H36" t="str">
            <v>Combo Full Claro Mix: 
Válido sólo en canales presenciales-CAC,DAC y Cadenas.
Beneficio Líneas adicionales: Válido para todos los canales.</v>
          </cell>
          <cell r="I36" t="str">
            <v>No Vigente</v>
          </cell>
          <cell r="J36" t="str">
            <v>* HV Combos Full Claro
*HV Beneficio Líneas Adicionales</v>
          </cell>
          <cell r="K36" t="str">
            <v>Ruta: Productos y Promociones/Personas/Historial Comercial Postpago/Descuento en Equipo/Alta-Portabilidad-Renovación/Combo Full Claro Mix
Ruta: Productos y Promociones/Personas/Historial Comercial Postpago/Descuento Cargo Fijo /Alta/Líneas Adicionales con Descuento (Aplican todas las Campañas)</v>
          </cell>
          <cell r="L36" t="str">
            <v>Beneficio Descuento Líneas Adicionales Resumen Nota de Producto</v>
          </cell>
          <cell r="M36" t="str">
            <v>Ruta: Productos y Promociones/Resumen NP/ Postpago/Beneficios Descuentos Lineas Adicionales (Aplican todas las Campañas)</v>
          </cell>
          <cell r="N36" t="str">
            <v>Descuento en equipo y cargo fijo</v>
          </cell>
        </row>
        <row r="37">
          <cell r="A37" t="str">
            <v>CONTRAATAQUE PICK UP</v>
          </cell>
          <cell r="D37" t="str">
            <v>CONTRAATAQUE PICK UP</v>
          </cell>
          <cell r="E37" t="str">
            <v>PORTABILIDAD</v>
          </cell>
          <cell r="F37" t="str">
            <v>Descuento Televentas: 
Si el cliente contrata a través de televentas:
Con recojo en CAC, DAC y Cadena:
Planes Max 49.90: Descuento 30% el 1er mes y 20% del 2do al 6to mes.
Planes Max 55.90 al 289.90: Descuento 50% por 6 meses.
Entrega por delivery:
Planes Max 49.90: 20% por 6 meses en el cargo fijo. 
Planes Max 55.90 al 289.90: Descuento 50% por 6 meses.
Además de bono de GB por 6 meses en el plan Max 49.90.
Beneficio Líneas adicionales
Si el el cliente adquiere por Portabilidad líneas adicionales obtendrá 50% en el cargo fijo por 12 meses.
Aplica descuento líneas adicionales desde el plan max 55.90.
* No aplica para los Planes Max Play con Netflix.</v>
          </cell>
          <cell r="G37" t="str">
            <v>28/04/2022: Beneficio Líneas adicionales:
Se retira la selección del caso Especial Beneficio de CF para clientes actuales.
16/06/2021: Descuento Televentas: 
Con recojo en CAC, DAC y Cadena:
Planes Max 49.90: Descuento 30% el 1er mes y 20% del 2do al 6to mes.
Planes Max 59.90 al 289.90: Descuento 50% por 6 meses.
*Entrega por delivery:
Descuento 20% por 6 meses en el cargo fijo. Además de bono de GB por 6 meses en los planes Max 49.90 y 59.90.
03/11/2021: Descuento Televentas: 
*Se actualiza los planes Max a: 55.90. 69.90, 79.90, 89.90, 109.90.
*Se actualiza el descuento para recojo en CAC, DAC y Cadena:
Planes Max 49.90: Descuento 30% el 1er mes y 20% del 2do al 6to mes.
Planes Max 55.90 al 289.90: Descuento 50% por 6 meses.
*Entrega por delivery:
*Se actualiza el descuento a:
Planes Max 49.90: 20% por 6 meses en el cargo fijo. 
Planes Max 55.90 al 289.90: Descuento 50% por 6 meses.
Además de bono de GB por 6 meses en el plan Max 49.90.
16/01/2022: Descuento Televentas: 
Fin de vigencia Promoción televentas.</v>
          </cell>
          <cell r="H37" t="str">
            <v>Promoción Televentas: 
Válido para Televentas.
Beneficio Líneas adicionales: Válido para todos los canales.</v>
          </cell>
          <cell r="I37" t="str">
            <v>No Vigente</v>
          </cell>
          <cell r="J37" t="str">
            <v>*HV Promoción Televentas
*HV 50% de Descuento en el cargo fijo para Líneas Adicionales</v>
          </cell>
          <cell r="K37" t="str">
            <v xml:space="preserve">Ruta: Productos y Promociones/Personas/Historial Comercial Postpago/Descuento Cargo Fijo / Alta / Pick Up Porta/Cuotas-Contraataque Pick Up
Ruta: Productos y Promociones/Personas/Historial Comercial Postpago/Descuento Cargo Fijo /Portabilidad/Líneas Adicionales con Descuento (Aplican todas las Campañas)
</v>
          </cell>
          <cell r="L37" t="str">
            <v xml:space="preserve">*Beneficio Descuento Cargo Fijo Televentas y Tienda Virtual Resumen Nota de Producto
* Beneficio Descuento Líneas Adicionales Resumen Nota de Producto </v>
          </cell>
          <cell r="M37" t="str">
            <v>Ruta: Productos y Promociones/Resumen NP/ Postpago/Beneficios Descuentos Lineas Adicionales (Aplican todas las Campañas)
Ruta: Productos y Promociones/Resumen NP/ Postpago/Beneficio Descuento Cargo Fijo Televentas y Tienda Virtual Resumen Nota de Producto</v>
          </cell>
          <cell r="N37" t="str">
            <v>Descuento en cargo fijo</v>
          </cell>
        </row>
        <row r="38">
          <cell r="A38" t="str">
            <v>CONVENIOS</v>
          </cell>
          <cell r="B38" t="str">
            <v>LISTA DE PRECIOS CONVENIOS</v>
          </cell>
          <cell r="C38" t="str">
            <v>CONVENIOS</v>
          </cell>
          <cell r="D38" t="str">
            <v>CONVENIOS</v>
          </cell>
          <cell r="E38" t="str">
            <v>PORTABILIDAD</v>
          </cell>
          <cell r="F38" t="str">
            <v>Portabilidad Proactiva
Si tu cliente realiza una Portabilidad por Televentas obtendrá:
20% de descuento en el cargo fijo por 3 meses si cuenta con un plan max 55.90 en adelante.
Beneficio Líneas adicionales
Si el el cliente adquiere por Portabilidad líneas adicionales obtendrá 50% en el cargo fijo por 12 meses.
Aplica descuento líneas adicionales desde el plan max 55.90.
* No aplica para los Planes Max Play con Netflix.</v>
          </cell>
          <cell r="G38" t="str">
            <v>23/02/2022: Portabilidad Proactiva: Se actualiza el descuento en el cargo fijo: Ahora 30% de descuento en el cargo fijo (antes 50%). Se retira el bono de gbs por 6 meses del plan max 49.90.
28/04/2022: Beneficio Líneas adicionales:
Se retira la selección del caso Especial Beneficio de CF para clientes actuales.
01/06/2022: Portabilidad Proactiva: Se actualiza la cantidad de meses que aplica el descuento en el cargo fijo: Ahora 3 meses (antes 6 meses).
15/07/2022: Portabilidad Proactiva: Campaña vigente hasta el 15/07/2022.
01/08/2022: Portabilidad Proactiva: Se reactiva la campaña y se adiciona el nuevo plan Max 55.90 y Max Ilimitado 95.90 (se retira el de 89.90).
01/08/2022: Beneficio Líneas adicionales: 
Aplica desde el plan max 55.90 (antes desde el plan max 49.90)</v>
          </cell>
          <cell r="H38" t="str">
            <v>Portabilidad Proactiva (Válido para Televentas).
Beneficio Líneas adicionales (Válido para todos los canales).</v>
          </cell>
          <cell r="I38" t="str">
            <v>Vigente</v>
          </cell>
          <cell r="J38" t="str">
            <v xml:space="preserve">
*HV Portabilidad Proactiva  
*HV Beneficio Líneas Adicionales </v>
          </cell>
          <cell r="K38"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38" t="str">
            <v xml:space="preserve">*Beneficio Descuento Cargo Fijo Televentas y Tienda Virtual Resumen Nota de Producto
* Beneficio Descuento Líneas Adicionales Resumen Nota de Producto </v>
          </cell>
          <cell r="M38" t="str">
            <v>Ruta: Productos y Promociones/Resumen NP/ Postpago/Beneficios Descuentos Lineas Adicionales (Aplican todas las Campañas)
Ruta: Productos y Promociones/Resumen NP/ Postpago/Beneficio Descuento Cargo Fijo Televentas y Tienda Virtual Resumen Nota de Producto</v>
          </cell>
          <cell r="N38" t="str">
            <v>Descuento en cargo fijo</v>
          </cell>
        </row>
        <row r="39">
          <cell r="A39" t="str">
            <v>CYBER DAY POST</v>
          </cell>
          <cell r="C39" t="str">
            <v>CYBER MONDAY</v>
          </cell>
          <cell r="D39" t="str">
            <v>CYBER DAY POST</v>
          </cell>
          <cell r="E39" t="str">
            <v>PORTABILIDAD
RENOVACION</v>
          </cell>
          <cell r="F39" t="str">
            <v>Cyber Days
Se ofrecerá un descuento de 49% en compra de equipos para Renovación y Portabilidad.
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(sólo Portabilidad)
Si el el cliente adquiere líneas adicionales obtendrá 50% en el cargo fijo por 12 meses.
Aplica descuento líneas adicionales desde el plan max 55.90
* No aplica para los Planes Max Play con Netflix.</v>
          </cell>
          <cell r="G39" t="str">
            <v xml:space="preserve">
25 al 29 de octubre del 2021: Cyber Days
Los clientes Postpago Max Ilimitados que adquieran equipos al contado en la
modalidad de Renovación o Portabilidad por medio de la Tienda Virtual de Claro, se llevarán un bono de hasta 8 mil millas LATAM PASS (bono es de acuerdo al plan Max elegido).
28/04/2022: Beneficio Líneas adicionales:
Se retira la selección del caso Especial Beneficio de CF para clientes actuales.
04 al 08 de julio del 2022: Cyber Days
Se activa la promoción por los cybers days.
01/08/2022: Beneficio Líneas adicionales:
Aplica desde el plan max 55.90 (antes desde el plan max 49.90)</v>
          </cell>
          <cell r="H39" t="str">
            <v>Cyber Days:
Válido para Tienda Virtual.
Descuento Cargo Fijo Televentas y Tienda Virtual:
Válido para televentas y tienda virtual.
Beneficio líneas adicionales:
Válido para todos los canales.</v>
          </cell>
          <cell r="I39" t="str">
            <v>No Vigente</v>
          </cell>
          <cell r="J39" t="str">
            <v xml:space="preserve">* HV CyberWow equipos con Millas
*HV Cyber Days Postpago
*HV Beneficio Líneas Adicionales </v>
          </cell>
          <cell r="K39" t="str">
            <v xml:space="preserve">
Ruta: Productos y Promociones/Personas/Historial Comercial Postpago/Descuento en equipo/ Portabilidad o Renovación /Cyber Days Post
Ruta: Productos y Promociones/Personas/Historial Comercial Postpago/Descuento Cargo Fijo/ Portabilidad/Líneas Adicionales con Descuento (Aplican todas las Campañas)
</v>
          </cell>
          <cell r="L39" t="str">
            <v xml:space="preserve">*Beneficio Descuento Cargo Fijo Televentas y Tienda Virtual Resumen Nota de Producto
* Beneficio Descuento Líneas Adicionales Resumen Nota de Producto </v>
          </cell>
          <cell r="M39" t="str">
            <v>Ruta: Productos y Promociones/Resumen NP/ Postpago/Beneficios Descuentos Lineas Adicionales (Aplican todas las Campañas)
Ruta: Productos y Promociones/Resumen NP/ Postpago/Beneficio Descuento Cargo Fijo Televentas y Tienda Virtual Resumen Nota de Producto</v>
          </cell>
          <cell r="N39" t="str">
            <v>Descuento en equipo, cargo fijo y bono</v>
          </cell>
        </row>
        <row r="40">
          <cell r="A40" t="str">
            <v>DAYS PROMO TIENDA</v>
          </cell>
          <cell r="C40" t="str">
            <v>PRECIOS TIENDA ONLINE POST</v>
          </cell>
          <cell r="D40" t="str">
            <v>DAYS PROMO TIENDA</v>
          </cell>
          <cell r="E40" t="str">
            <v>PORTABILIDAD</v>
          </cell>
          <cell r="F40" t="str">
            <v>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Si el el cliente adquiere por Portabilidad líneas adicionales obtendrá 50% en el cargo fijo por 12 meses.
Aplica descuento líneas adicionales desde el plan max 55.90
* No aplica para los Planes Max Play con Netflix.</v>
          </cell>
          <cell r="G40" t="str">
            <v xml:space="preserve">
28/04/2022: Beneficio Líneas adicionales:
Se retira la selección del caso Especial Beneficio de CF para clientes actuales.
01/08/2022: Beneficio Líneas adicionales:
Aplica desde el plan max 55.90 (antes desde el plan max 49.90)</v>
          </cell>
          <cell r="H40" t="str">
            <v>Descuento Cargo Fijo Televentas y Tienda Virtual:
Válido para televentas y tienda virtual.
Beneficio líneas adicionales:
Válido para todos los canales.</v>
          </cell>
          <cell r="I40" t="str">
            <v>No Vigente</v>
          </cell>
          <cell r="J40" t="str">
            <v xml:space="preserve">*HV Beneficio Líneas Adicionales </v>
          </cell>
          <cell r="K40" t="str">
            <v xml:space="preserve">
Ruta: Productos y Promociones/Personas/Historial Comercial Postpago/Descuento Cargo Fijo/ Portabilidad/Líneas Adicionales con Descuento (Aplican todas las Campañas)
</v>
          </cell>
          <cell r="L40" t="str">
            <v xml:space="preserve">*Beneficio Descuento Cargo Fijo Televentas y Tienda Virtual Resumen Nota de Producto
* Beneficio Descuento Líneas Adicionales Resumen Nota de Producto </v>
          </cell>
          <cell r="M40" t="str">
            <v>Ruta: Productos y Promociones/Resumen NP/ Postpago/Beneficios Descuentos Lineas Adicionales (Aplican todas las Campañas)
Ruta: Productos y Promociones/Resumen NP/ Postpago/Beneficio Descuento Cargo Fijo Televentas y Tienda Virtual Resumen Nota de Producto</v>
          </cell>
          <cell r="N40" t="str">
            <v>Descuento en cargo fijo</v>
          </cell>
        </row>
        <row r="41">
          <cell r="A41" t="str">
            <v>DESCUENTO ALTA/PORTA</v>
          </cell>
          <cell r="D41" t="str">
            <v>DESCUENTO ALTA/PORTA</v>
          </cell>
          <cell r="E41" t="str">
            <v>ALTA
PORTABILIDAD</v>
          </cell>
          <cell r="F41" t="str">
            <v>Beneficio Líneas adicionales
Si el el cliente adquiere por Portabilidad líneas adicionales obtendrá 50% en el cargo fijo por 12 meses.
Aplica descuento líneas adicionales desde el plan max 49.90.</v>
          </cell>
          <cell r="G41" t="str">
            <v>17/08/2022: Descuento alta/porta
Se retira la campaña.</v>
          </cell>
          <cell r="H41" t="str">
            <v>Beneficio Líneas adicionales: Válido para todos los canales.</v>
          </cell>
          <cell r="I41" t="str">
            <v>No Vigente</v>
          </cell>
          <cell r="J41" t="str">
            <v xml:space="preserve">*HV Beneficio Líneas Adicionales </v>
          </cell>
          <cell r="K41" t="str">
            <v xml:space="preserve">Ruta: Productos y Promociones/Personas/Historial Comercial Postpago/Descuento Cargo Fijo/ Portabilidad/Líneas Adicionales con Descuento (Aplican todas las Campañas)
</v>
          </cell>
          <cell r="L41" t="str">
            <v xml:space="preserve">* Beneficio Descuento Líneas Adicionales Resumen Nota de Producto </v>
          </cell>
          <cell r="M41" t="str">
            <v>Ruta: Productos y Promociones/Resumen NP/ Postpago/Beneficios Descuentos Lineas Adicionales (Aplican todas las Campañas)</v>
          </cell>
          <cell r="N41" t="str">
            <v>Descuento en cargo fijo</v>
          </cell>
        </row>
        <row r="42">
          <cell r="A42" t="str">
            <v>DESCUENTO ECOMMERCE</v>
          </cell>
          <cell r="C42" t="str">
            <v>DSCTO 20% ECOMMERCE</v>
          </cell>
          <cell r="D42" t="str">
            <v>DESCUENTO ECOMMERCE</v>
          </cell>
          <cell r="E42" t="str">
            <v>PORTABILIDAD</v>
          </cell>
          <cell r="F42" t="str">
            <v>Promoción Canal Virtual
Si el cliente porta por medio del canal virtual obtendrá un 20% de descuento en su cargo fijo por 3 meses. Aplica a partir del plan max 55.90 en adelante.
Beneficio Líneas adicionales
Si el el cliente adquiere por Portabilidad o Alta líneas adicionales obtendrá 50% en el cargo fijo por 12 meses.
Aplica descuento líneas adicionales desde el plan max 55.90.
* No aplica para los Planes Max Play con Netflix.</v>
          </cell>
          <cell r="G42" t="str">
            <v>02/11/2021: Promoción canal virtual: 
Solo aplica bono de GB por 6 meses para plan Max 49.90 (antes tambien aplicaba para el plan Max 59.90).
16/01/2022: Promoción canal virtual:
Fin de vigencia bono de GB de internet en plan Max 49.90.
23/02/2022: Promoción canal virtual:
Aplica para planes Max desde 55.90 (antes desde 49.90).
Ahora recibirá 20% de descuento en cargo fijo (antes 50%).
28/04/2022: Beneficio Líneas adicionales:
Se retira la selección del caso Especial Beneficio de CF para clientes actuales.
08/06/2022: Promoción canal virtual:
Ahora recibirá el descuento en cargo fijo por 3 meses (antes 6 meses).
01/08/2022: Beneficio Líneas adicionales: Antes aplicaba para el plan max 49.90 ahora aplica desde el plan max 55.90.</v>
          </cell>
          <cell r="H42" t="str">
            <v>Promoción Canal Virtual (Aplica para el canal virtual).
Beneficio Líneas adicionales (Válido para todos los canales).</v>
          </cell>
          <cell r="I42" t="str">
            <v>Vigente</v>
          </cell>
          <cell r="J42" t="str">
            <v xml:space="preserve">*HV Promoción Canal Virtual
*HV 50% de Descuento en el cargo fijo para Líneas Adicionales
</v>
          </cell>
          <cell r="K42" t="str">
            <v xml:space="preserve">Ruta: Productos y Promociones/Personas/Historial Comercial Postpago/Descuento Cargo Fijo /Portabilidad/Descuento Ecommerce
Ruta: Productos y Promociones/Personas/Historial Comercial Postpago/Descuento Cargo Fijo /Portabilidad/Líneas Adicionales con Descuento (Aplican todas las Campañas)
</v>
          </cell>
          <cell r="L42" t="str">
            <v>Beneficio Descuento Cargo Fijo Televentas y Tienda Virtual Resumen Nota de Producto
Beneficio Descuento Líneas Adicionales Resumen Nota de Producto</v>
          </cell>
          <cell r="M42" t="str">
            <v xml:space="preserve">Ruta: Productos y Promociones/Resumen NP/ Postpago/Beneficio Descuento Cargo Fijo Televentas y Tienda Virtual Resumen Nota de Producto
Ruta: Productos y Promociones/Resumen NP/ Postpago/Beneficios Descuentos Lineas Adicionales (Aplican todas las Campañas)
</v>
          </cell>
          <cell r="N42" t="str">
            <v>Descuento en cargo fijo</v>
          </cell>
        </row>
        <row r="43">
          <cell r="A43" t="str">
            <v>DESCUENTO ECOMMERCE CUOTAS</v>
          </cell>
          <cell r="C43" t="str">
            <v>DSCTO 20% ECOMMERCE CUOTAS</v>
          </cell>
          <cell r="D43" t="str">
            <v>DESCUENTO ECOMMERCE CUOTAS</v>
          </cell>
          <cell r="E43" t="str">
            <v>PORTABILIDAD</v>
          </cell>
          <cell r="F43" t="str">
            <v>Promoción Canal Virtual
Si el cliente porta por medio del canal virtual obtendrá un 20% de descuento en su cargo fijo por 3 meses. Aplica a partir del plan max 55.90 en adelante.
Beneficio Líneas adicionales
Si el el cliente adquiere por Portabilidad o Alta líneas adicionales obtendrá 50% en el cargo fijo por 12 meses.
Aplica descuento líneas adicionales desde el plan max 55.90.
* No aplica para los Planes Max Play con Netflix.</v>
          </cell>
          <cell r="G43" t="str">
            <v>02/11/2021: Promoción canal virtual: 
Solo aplica bono de GB por 6 meses para plan Max 49.90 (antes tambien aplicaba para el plan Max 59.90).
16/01/2022: Promoción canal virtual:
Fin de vigencia bono de GB de internet en plan Max 49.90.
23/02/2022: Promoción canal virtual:
Aplica para planes Max desde 55.90 (antes desde 49.90).
Ahora recibirá 20% de descuento en cargo fijo (antes 50%).
08/06/2022: Promoción canal virtual:
Ahora recibirá el descuento en cargo fijo por 3 meses (antes 6 meses).
01/08/2022: Beneficio Líneas adicionales: Antes aplicaba para el plan max 49.90 ahora aplica desde el plan max 55.90.</v>
          </cell>
          <cell r="H43" t="str">
            <v>Promoción Canal Virtual (Aplica para el canal virtual).
Beneficio Líneas adicionales (Válido para todos los canales).</v>
          </cell>
          <cell r="I43" t="str">
            <v>Vigente</v>
          </cell>
          <cell r="J43" t="str">
            <v xml:space="preserve">*HV Promoción Canal Virtual
*HV 50% de Descuento en el cargo fijo para Líneas Adicionales
</v>
          </cell>
          <cell r="K43" t="str">
            <v xml:space="preserve">Ruta: Productos y Promociones/Personas/Historial Comercial Postpago/Descuento Cargo Fijo /Portabilidad/Descuento Ecommerce Cuotas
Ruta: Productos y Promociones/Personas/Historial Comercial Postpago/Descuento Cargo Fijo /Portabilidad/Líneas Adicionales con Descuento (Aplican todas las Campañas)
</v>
          </cell>
          <cell r="L43" t="str">
            <v>Beneficio Descuento Cargo Fijo Televentas y Tienda Virtual Resumen Nota de Producto
Beneficio Descuento Líneas Adicionales Resumen Nota de Producto</v>
          </cell>
          <cell r="M43" t="str">
            <v xml:space="preserve">Ruta: Productos y Promociones/Resumen NP/ Postpago/Beneficio Descuento Cargo Fijo Televentas y Tienda Virtual Resumen Nota de Producto
Ruta: Productos y Promociones/Resumen NP/ Postpago/Beneficios Descuentos Lineas Adicionales (Aplican todas las Campañas)
</v>
          </cell>
          <cell r="N43" t="str">
            <v>Descuento en cargo fijo</v>
          </cell>
        </row>
        <row r="44">
          <cell r="A44" t="str">
            <v>DESCUENTO TELEVENTAS</v>
          </cell>
          <cell r="C44" t="str">
            <v>DSCTO 20% TELEVENTAS</v>
          </cell>
          <cell r="D44" t="str">
            <v>DESCUENTO TELEVENTAS</v>
          </cell>
          <cell r="E44" t="str">
            <v>PORTABILIDAD</v>
          </cell>
          <cell r="F44" t="str">
            <v>Portabilidad Proactiva
Si tu cliente realiza una Portabilidad por Televentas obtendrá:
20% de descuento en el cargo fijo por 3 meses si cuenta con un plan max 55.90 en adelante.
Beneficio Líneas adicionales
Si el el cliente adquiere por Portabilidad líneas adicionales obtendrá 50% en el cargo fijo por 12 meses.
Aplica descuento líneas adicionales desde el plan max 55.90.
* No aplica para los Planes Max Play con Netflix.</v>
          </cell>
          <cell r="G44" t="str">
            <v>23/02/2022: Portabilidad Proactiva: Se actualiza el descuento en el cargo fijo: Ahora 30% de descuento en el cargo fijo (antes 50%). Se retira el bono de gbs por 6 meses del plan max 49.90.
01/06/2022: Portabilidad Proactiva: Se actualiza la cantidad de meses que aplica el descuento en el cargo fijo: Ahora 3 meses (antes 6 meses).
15/07/2022: Portabilidad Proactiva: Campaña vigente hasta el 15/07/2022.
01/08/2022: Portabilidad Proactiva: Se reactiva la campaña y se adiciona el nuevo plan Max 55.90 y Max Ilimitado 95.90 (se retira el de 89.90).</v>
          </cell>
          <cell r="H44" t="str">
            <v>Portabilidad Proactiva (Válido para Televentas).
Beneficio Líneas adicionales (Válido para todos los canales).</v>
          </cell>
          <cell r="I44" t="str">
            <v>Vigente</v>
          </cell>
          <cell r="J44" t="str">
            <v xml:space="preserve">
*HV Portabilidad Proactiva  
*HV Beneficio Líneas Adicionales </v>
          </cell>
          <cell r="K44"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44" t="str">
            <v xml:space="preserve">*Beneficio Descuento Cargo Fijo Televentas y Tienda Virtual Resumen Nota de Producto
* Beneficio Descuento Líneas Adicionales Resumen Nota de Producto </v>
          </cell>
          <cell r="M44" t="str">
            <v>Ruta: Productos y Promociones/Resumen NP/ Postpago/Beneficios Descuentos Lineas Adicionales (Aplican todas las Campañas)
Ruta: Productos y Promociones/Resumen NP/ Postpago/Beneficio Descuento Cargo Fijo Televentas y Tienda Virtual Resumen Nota de Producto</v>
          </cell>
          <cell r="N44" t="str">
            <v>Descuento en cargo fijo</v>
          </cell>
        </row>
        <row r="45">
          <cell r="A45" t="str">
            <v>DESCUENTO TELEVENTAS CUOTAS</v>
          </cell>
          <cell r="C45" t="str">
            <v>DSCTO 20% TELEVENTAS CUOTAS</v>
          </cell>
          <cell r="D45" t="str">
            <v>DESCUENTO TELEVENTAS CUOTAS</v>
          </cell>
          <cell r="E45" t="str">
            <v>PORTABILIDAD</v>
          </cell>
          <cell r="F45" t="str">
            <v>Portabilidad Proactiva
Si tu cliente realiza una Portabilidad por Televentas obtendrá:
20% de descuento en el cargo fijo por 3 meses si cuenta con un plan max 55.90 en adelante.
Beneficio Líneas adicionales
Si el el cliente adquiere por Portabilidad líneas adicionales obtendrá 50% en el cargo fijo por 12 meses.
Aplica descuento líneas adicionales desde el plan max 55.90.
* No aplica para los Planes Max Play con Netflix.</v>
          </cell>
          <cell r="G45" t="str">
            <v>23/02/2022: Portabilidad Proactiva: Se actualiza el descuento en el cargo fijo: Ahora 30% de descuento en el cargo fijo (antes 50%). Se retira el bono de gbs por 6 meses del plan max 49.90.
28/04/2022: Beneficio Líneas adicionales:
Se retira la selección del caso Especial Beneficio de CF para clientes actuales.
01/06/2022: Portabilidad Proactiva: Se actualiza la cantidad de meses que aplica el descuento en el cargo fijo: Ahora 3 meses (antes 6 meses).
15/07/2022: Portabilidad Proactiva: Campaña vigente hasta el 15/07/2022.
01/08/2022: Portabilidad Proactiva: Se reactiva la campaña y se adiciona el nuevo plan Max 55.90 y Max Ilimitado 95.90 (se retira el de 89.90).</v>
          </cell>
          <cell r="H45" t="str">
            <v>Portabilidad Proactiva (Válido para Televentas).
Beneficio Líneas adicionales (Válido para todos los canales).</v>
          </cell>
          <cell r="I45" t="str">
            <v>Vigente</v>
          </cell>
          <cell r="J45" t="str">
            <v xml:space="preserve">
*HV Portabilidad Proactiva  
*HV Beneficio Líneas Adicionales </v>
          </cell>
          <cell r="K45"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45" t="str">
            <v xml:space="preserve">*Beneficio Descuento Cargo Fijo Televentas y Tienda Virtual Resumen Nota de Producto
* Beneficio Descuento Líneas Adicionales Resumen Nota de Producto </v>
          </cell>
          <cell r="M45" t="str">
            <v>Ruta: Productos y Promociones/Resumen NP/ Postpago/Beneficios Descuentos Lineas Adicionales (Aplican todas las Campañas)
Ruta: Productos y Promociones/Resumen NP/ Postpago/Beneficio Descuento Cargo Fijo Televentas y Tienda Virtual Resumen Nota de Producto</v>
          </cell>
          <cell r="N45" t="str">
            <v>Descuento en cargo fijo</v>
          </cell>
        </row>
        <row r="46">
          <cell r="A46" t="str">
            <v>DIAS CLARO FANS POST</v>
          </cell>
          <cell r="C46" t="str">
            <v>DIAS CLARO POST</v>
          </cell>
          <cell r="D46" t="str">
            <v>DIAS CLARO FANS POST</v>
          </cell>
          <cell r="E46" t="str">
            <v>PORTABILIDAD
RENOVACION</v>
          </cell>
          <cell r="F46" t="str">
            <v>Dias Claro Fans:
Tu cliente podrá adquirir bonos al comprar paquetes, descuentos en equipos y si realiza una Portabilidad o Renovación se llevará bonos de millas LATAM.
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Si el el cliente adquiere por Portabilidad líneas adicionales obtendrá 50% en el cargo fijo por 12 meses.
Aplica descuento líneas adicionales desde el plan max 55.90.
* No aplica para los Planes Max Play con Netflix.</v>
          </cell>
          <cell r="G46" t="str">
            <v xml:space="preserve">Dias Claro Fans:
20 al 23 de febrero del 2022.
28/04/2022: Beneficio Líneas adicionales:
Se retira la selección del caso Especial Beneficio de CF para clientes actuales.
01/08/2022: Beneficio Líneas adicionales:
Aplica desde el plan max 55.90 (antes desde el plan max 49.90)
Dias Claro Fans:
6 al 9 de setiembre del 2022.
</v>
          </cell>
          <cell r="H46" t="str">
            <v xml:space="preserve">
Dias Claro Fans:
Válido para todos los canales.
Descuento Cargo Fijo Televentas y Tienda Virtual:
Válido para televentas y tienda virtual.
Beneficio líneas adicionales:
Válido para todos los canales.</v>
          </cell>
          <cell r="I46" t="str">
            <v>No Vigente</v>
          </cell>
          <cell r="J46" t="str">
            <v xml:space="preserve">*HV Dias Claro Fans Postpago 
*HV Dias Claro Fans Setiembre
*HV Beneficio Líneas Adicionales </v>
          </cell>
          <cell r="K46" t="str">
            <v>Ruta: Productos y Promociones/ Personas/Promociones/Postpago
Ruta: Productos y Promociones/Personas/Historial Comercial Postpago/Descuento Cargo Fijo/ Portabilidad/Líneas Adicionales con Descuento (Aplican todas las Campañas)</v>
          </cell>
          <cell r="L46" t="str">
            <v xml:space="preserve">*Beneficio Descuento Cargo Fijo Televentas y Tienda Virtual Resumen Nota de Producto
* Beneficio Descuento Líneas Adicionales Resumen Nota de Producto </v>
          </cell>
          <cell r="M46" t="str">
            <v>Ruta: Productos y Promociones/Resumen NP/ Postpago/Beneficios Descuentos Lineas Adicionales (Aplican todas las Campañas)
Ruta: Productos y Promociones/Resumen NP/ Postpago/Beneficio Descuento Cargo Fijo Televentas y Tienda Virtual Resumen Nota de Producto</v>
          </cell>
          <cell r="N46" t="str">
            <v>Descuento en equipo, cargo fijo y bono</v>
          </cell>
        </row>
        <row r="47">
          <cell r="A47" t="str">
            <v>DSCTO ECOMMERCE</v>
          </cell>
          <cell r="D47" t="str">
            <v>DSCTO ECOMMERCE</v>
          </cell>
          <cell r="E47" t="str">
            <v>PORTABILIDAD</v>
          </cell>
          <cell r="F47" t="str">
            <v xml:space="preserve">Dscto Ecommerce:
Aplica para el plan Max 39.90.
Adquiriendo equipo en la tienda virtual.
Beneficio Líneas adicionales
Si el el cliente adquiere líneas adicionales obtendrá 50% en el cargo fijo por 12 meses.
Aplica descuento líneas adicionales desde el plan max 55.90
* No aplica para los Planes Max Play con Netflix.
</v>
          </cell>
          <cell r="G47" t="str">
            <v xml:space="preserve">
28/04/2022: Beneficio Líneas adicionales:
Se retira la selección del caso Especial Beneficio de CF para clientes actuales.
01/08/2022: Beneficio Líneas adicionales:
Aplica desde el plan max 55.90 (antes desde el plan max 49.90)</v>
          </cell>
          <cell r="H47" t="str">
            <v>Dscto Ecommerce
Aplica para el canal virtual.
Beneficio líneas adicionales:
Válido para todos los canales.</v>
          </cell>
          <cell r="I47" t="str">
            <v>No Vigente</v>
          </cell>
          <cell r="J47" t="str">
            <v xml:space="preserve">*HV Promoción Ecommerce
*HV Beneficio Líneas Adicionales </v>
          </cell>
          <cell r="K47" t="str">
            <v>Ruta: Productos y Promociones/Personas/Historial Comercial Postpago/Descuento Cargo Fijo /Portabilidad/Dscto Ecommerce
Ruta: Productos y Promociones/Personas/Historial Comercial Postpago/Descuento Cargo Fijo/ Portabilidad/Líneas Adicionales con Descuento (Aplican todas las Campañas)</v>
          </cell>
          <cell r="L47" t="str">
            <v xml:space="preserve">
*Beneficio Descuento Cargo Fijo Televentas y Tienda Virtual Resumen Nota de Producto
* Beneficio Descuento Líneas Adicionales Resumen Nota de Producto</v>
          </cell>
          <cell r="M47" t="str">
            <v>Ruta: Productos y Promociones/Resumen NP/ Postpago/Beneficios Descuentos Lineas Adicionales (Aplican todas las Campañas)
Ruta: Productos y Promociones/Resumen NP/ Postpago/Beneficio Descuento Cargo Fijo Televentas y Tienda Virtual Resumen Nota de Producto</v>
          </cell>
          <cell r="N47" t="str">
            <v>Descuento en equipo y cargo fijo</v>
          </cell>
        </row>
        <row r="48">
          <cell r="A48" t="str">
            <v>DSCTO.+BASE</v>
          </cell>
          <cell r="D48" t="str">
            <v>DSCTO+BASE</v>
          </cell>
          <cell r="E48" t="str">
            <v>ALTA
PORTABILIDAD</v>
          </cell>
          <cell r="F48" t="str">
            <v>Beneficio Líneas adicionales
Si el el cliente adquiere por Portabilidad líneas adicionales obtendrá 50% en el cargo fijo por 12 meses.
Aplica descuento líneas adicionales desde el plan max 49.90.</v>
          </cell>
          <cell r="G48" t="str">
            <v>17/08/2022: Dscto. + Base:
Se retira la campaña.</v>
          </cell>
          <cell r="H48" t="str">
            <v>Beneficio Líneas adicionales: Válido para todos los canales.</v>
          </cell>
          <cell r="I48" t="str">
            <v>No Vigente</v>
          </cell>
          <cell r="J48" t="str">
            <v xml:space="preserve">*HV Beneficio Líneas Adicionales </v>
          </cell>
          <cell r="K48" t="str">
            <v>Ruta: Productos y Promociones/Personas/Historial Comercial Postpago/Descuento Cargo Fijo/ Portabilidad/Líneas Adicionales con Descuento (Aplican todas las Campañas)</v>
          </cell>
          <cell r="L48" t="str">
            <v xml:space="preserve">* Beneficio Descuento Líneas Adicionales Resumen Nota de Producto </v>
          </cell>
          <cell r="M48" t="str">
            <v>Ruta: Productos y Promociones/Resumen NP/ Postpago/Beneficios Descuentos Lineas Adicionales (Aplican todas las Campañas)</v>
          </cell>
          <cell r="N48" t="str">
            <v>Descuento en cargo fijo</v>
          </cell>
        </row>
        <row r="49">
          <cell r="A49" t="str">
            <v>ENTIDAD BANCARIA</v>
          </cell>
          <cell r="B49" t="str">
            <v>LISTA DE PRECIOS VIP</v>
          </cell>
          <cell r="D49" t="str">
            <v>ENTIDAD BANCARIA</v>
          </cell>
          <cell r="E49" t="str">
            <v>PORTABILIDAD
RENOVACION</v>
          </cell>
          <cell r="F49" t="str">
            <v xml:space="preserve">Entidad Bancaria:
*Clientes del Banco Alfin (con tarjetas débito VISA) podrán comprar equipos al contado con acuerdo de 18 meses.
*Válido para planes postpago Max Limitado 49.90, Max Ilimitado 69.90 y 109.90 en Portabilidad y Renovación. 
*Los planes ilimitados incluyen un bono de GB en alta velocidad por 12 meses.
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(sólo Portabilidad)
Si el el cliente adquiere por Portabilidad líneas adicionales obtendrá 50% en el cargo fijo por 12 meses.
Aplica descuento líneas adicionales desde el plan max 55.90
* No aplica para los Planes Max Play con Netflix.
</v>
          </cell>
          <cell r="G49" t="str">
            <v xml:space="preserve">
28/04/2022: Beneficio Líneas adicionales:
Se retira la selección del caso Especial Beneficio de CF para clientes actuales.
01/08/2022: Beneficio Líneas adicionales:
Aplica desde el plan max 55.90 (antes desde el plan max 49.90)</v>
          </cell>
          <cell r="H49" t="str">
            <v>Entidad Bancaria:
Válido para todos los canales.
Descuento Cargo Fijo Televentas y Tienda Virtual:
Válido para televentas y tienda virtual.
Beneficio líneas adicionales:
Válido para todos los canales.</v>
          </cell>
          <cell r="I49" t="str">
            <v>Vigente</v>
          </cell>
          <cell r="K49" t="str">
            <v xml:space="preserve">
Ruta: Productos y Promociones/Personas/Historial Comercial Postpago/Descuento Cargo Fijo/ Portabilidad/Líneas Adicionales con Descuento (Aplican todas las Campañas)
</v>
          </cell>
          <cell r="L49" t="str">
            <v>*Oferta Comercial Campaña Bancos Renovación y Portabilidad Resumen Nota de Producto
*Beneficio Descuento Cargo Fijo Televentas y Tienda Virtual Resumen Nota de Producto
* Beneficio Descuento Líneas Adicionales Resumen Nota de Producto</v>
          </cell>
          <cell r="M49" t="str">
            <v>Ruta: Productos y Promociones/Personas/Historial Comercial Postpago/Descuento en equipos/ Entidad Bancaria
Ruta: Productos y Promociones/Resumen NP/ Postpago/Beneficios Descuentos Lineas Adicionales (Aplican todas las Campañas)
Ruta: Productos y Promociones/Resumen NP/ Postpago/Beneficio Descuento Cargo Fijo Televentas y Tienda Virtual Resumen Nota de Producto</v>
          </cell>
          <cell r="N49" t="str">
            <v>Descuento en equipo, cargo fijo y bono</v>
          </cell>
        </row>
        <row r="50">
          <cell r="A50" t="str">
            <v>EXCEPCIONES</v>
          </cell>
          <cell r="C50" t="str">
            <v>EXCEPCIONES</v>
          </cell>
          <cell r="D50" t="str">
            <v>EXCEPCIONES</v>
          </cell>
          <cell r="E50" t="str">
            <v>PORTABILIDAD</v>
          </cell>
          <cell r="F50" t="str">
            <v>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Si el el cliente adquiere por Portabilidad líneas adicionales obtendrá 50% en el cargo fijo por 12 meses.
Aplica descuento líneas adicionales desde el plan max 55.90.
* No aplica para los Planes Max Play con Netflix.</v>
          </cell>
          <cell r="G50" t="str">
            <v xml:space="preserve">
28/04/2022: Beneficio Líneas adicionales:
Se retira la selección del caso Especial Beneficio de CF para clientes actuales.
01/08/2022: Beneficio Líneas adicionales:
Aplica desde el plan max 55.90 (antes desde el plan max 49.90)</v>
          </cell>
          <cell r="H50" t="str">
            <v>Descuento Cargo Fijo Televentas y Tienda Virtual:
Válido para televentas y tienda virtual.
Beneficio líneas adicionales:
Válido para todos los canales.</v>
          </cell>
          <cell r="I50" t="str">
            <v>No Vigente</v>
          </cell>
          <cell r="J50" t="str">
            <v xml:space="preserve">*HV Beneficio Líneas Adicionales </v>
          </cell>
          <cell r="K50" t="str">
            <v xml:space="preserve">
Ruta: Productos y Promociones/Personas/Historial Comercial Postpago/Descuento Cargo Fijo/ Portabilidad/Líneas Adicionales con Descuento (Aplican todas las Campañas)
</v>
          </cell>
          <cell r="L50" t="str">
            <v xml:space="preserve">*Beneficio Descuento Cargo Fijo Televentas y Tienda Virtual Resumen Nota de Producto
* Beneficio Descuento Líneas Adicionales Resumen Nota de Producto </v>
          </cell>
          <cell r="M50" t="str">
            <v>Ruta: Productos y Promociones/Resumen NP/ Postpago/Beneficios Descuentos Lineas Adicionales (Aplican todas las Campañas)
Ruta: Productos y Promociones/Resumen NP/ Postpago/Beneficio Descuento Cargo Fijo Televentas y Tienda Virtual Resumen Nota de Producto</v>
          </cell>
          <cell r="N50" t="str">
            <v>Descuento en cargo fijo</v>
          </cell>
        </row>
        <row r="51">
          <cell r="A51" t="str">
            <v>EXCEPCIONES CUOTA PORTA</v>
          </cell>
          <cell r="C51" t="str">
            <v>HORAS NAVIDEÑAS CUOTAS PORTA</v>
          </cell>
          <cell r="D51" t="str">
            <v>EXCEPCIONES CUOTA PORTA</v>
          </cell>
          <cell r="E51" t="str">
            <v>PORTABILIDAD</v>
          </cell>
          <cell r="F51" t="str">
            <v xml:space="preserve">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Si el el cliente adquiere por Portabilidad líneas adicionales obtendrá 50% en el cargo fijo por 12 meses.
Aplica descuento líneas adicionales desde el plan max 55.90.
* No aplica para los Planes Max Play con Netflix.
</v>
          </cell>
          <cell r="G51" t="str">
            <v xml:space="preserve">
28/04/2022: Beneficio Líneas adicionales:
Se retira la selección del caso Especial Beneficio de CF para clientes actuales.
01/08/2022: Beneficio Líneas adicionales:
Aplica desde el plan max 55.90 (antes desde el plan max 49.90)</v>
          </cell>
          <cell r="H51" t="str">
            <v>Descuento Cargo Fijo Televentas y Tienda Virtual:
Válido para televentas y tienda virtual.
Beneficio líneas adicionales:
Válido para todos los canales.</v>
          </cell>
          <cell r="I51" t="str">
            <v>No Vigente</v>
          </cell>
          <cell r="J51" t="str">
            <v xml:space="preserve">*HV Beneficio Líneas Adicionales </v>
          </cell>
          <cell r="K51" t="str">
            <v xml:space="preserve">
Ruta: Productos y Promociones/Personas/Historial Comercial Postpago/Descuento Cargo Fijo/ Portabilidad/Líneas Adicionales con Descuento (Aplican todas las Campañas)
</v>
          </cell>
          <cell r="L51" t="str">
            <v xml:space="preserve">*Beneficio Descuento Cargo Fijo Televentas y Tienda Virtual Resumen Nota de Producto
* Beneficio Descuento Líneas Adicionales Resumen Nota de Producto </v>
          </cell>
          <cell r="M51" t="str">
            <v>Ruta: Productos y Promociones/Resumen NP/ Postpago/Beneficios Descuentos Lineas Adicionales (Aplican todas las Campañas)
Ruta: Productos y Promociones/Resumen NP/ Postpago/Beneficio Descuento Cargo Fijo Televentas y Tienda Virtual Resumen Nota de Producto</v>
          </cell>
          <cell r="N51" t="str">
            <v>Descuento en cargo fijo</v>
          </cell>
        </row>
        <row r="52">
          <cell r="A52" t="str">
            <v>FULL CLARO</v>
          </cell>
          <cell r="B52" t="str">
            <v>LISTA DE PRECIOS FULL CLARO</v>
          </cell>
          <cell r="D52" t="str">
            <v>FULL CLARO</v>
          </cell>
          <cell r="E52" t="str">
            <v>PORTABILIDAD</v>
          </cell>
          <cell r="F52" t="str">
            <v xml:space="preserve">Lista de Precios Full Claro:
Lista de precios para clientes que cuentan con un servicio fijo hfc o ftth y se les ofrece el servicio móvil.Se deja de comercializar el plan Max Ilimitado 125.
* Se agrega el plan Max 25.90.
Beneficio Líneas adicionales
Si el el cliente adquiere por Portabilidad o Alta líneas adicionales obtendrá 50% en el cargo fijo por 12 meses.
Aplica descuento líneas adicionales desde el plan max 55.90.
* No aplica para los Planes Max Play con Netflix.
</v>
          </cell>
          <cell r="G52" t="str">
            <v xml:space="preserve">
28/04/2022: Beneficio Líneas adicionales:
Se retira la selección del caso Especial Beneficio de CF para clientes actuales.
01/06/2022: Full Claro
Se agrega a la lista el plan Max 25.90.
01/08/2022: Beneficio Líneas adicionales:
Aplica desde el plan max 55.90 (antes desde el plan max 49.90)
01/08/2022: Full Claro
Se deja de comercializar en la lista el plan Max 125.</v>
          </cell>
          <cell r="H52" t="str">
            <v>Aplica para todos los canales.</v>
          </cell>
          <cell r="I52" t="str">
            <v>Vigente</v>
          </cell>
          <cell r="J52" t="str">
            <v>HV Beneficio Líneas Adicionales</v>
          </cell>
          <cell r="K52" t="str">
            <v>Ruta: Productos y Promociones/Personas/Historial Comercial Postpago/Descuento Cargo Fijo /Alta-Portabilidad/Líneas Adicionales con Descuento (Aplican todas las Campañas)</v>
          </cell>
          <cell r="L52" t="str">
            <v>Beneficio Descuento Líneas Adicionales Resumen Nota de Producto</v>
          </cell>
          <cell r="M52" t="str">
            <v>Ruta: Productos y Promociones/Resumen NP/ Postpago/Beneficios Descuentos Lineas Adicionales (Aplican todas las Campañas)</v>
          </cell>
          <cell r="N52" t="str">
            <v>Descuento en cargo fijo</v>
          </cell>
        </row>
        <row r="53">
          <cell r="A53" t="str">
            <v>FULL CLARO RENOVACIÓN</v>
          </cell>
          <cell r="B53" t="str">
            <v>LISTA DE PRECIOS FULL CLARO</v>
          </cell>
          <cell r="D53" t="str">
            <v>FULL CLARO RENOVACIÓN</v>
          </cell>
          <cell r="E53" t="str">
            <v>RENOVACIÓN</v>
          </cell>
          <cell r="F53" t="str">
            <v xml:space="preserve">Lista de Precios Full Claro:
Se deja de comercializar el plan Max Ilimitado 125.
* Se agrega el plan Max 25.90.
</v>
          </cell>
          <cell r="H53" t="str">
            <v>Aplica para todos los canales.</v>
          </cell>
          <cell r="I53" t="str">
            <v>Vigente</v>
          </cell>
          <cell r="J53" t="str">
            <v>No aplica</v>
          </cell>
          <cell r="K53" t="str">
            <v>No aplica</v>
          </cell>
          <cell r="L53" t="str">
            <v>No aplica</v>
          </cell>
          <cell r="M53" t="str">
            <v>No aplica</v>
          </cell>
          <cell r="N53" t="str">
            <v>Descuento en equipo</v>
          </cell>
        </row>
        <row r="54">
          <cell r="A54" t="str">
            <v>LANZAMIENTOS</v>
          </cell>
          <cell r="C54" t="str">
            <v>LANZAMIENTOS</v>
          </cell>
          <cell r="D54" t="str">
            <v>LANZAMIENTOS</v>
          </cell>
          <cell r="E54" t="str">
            <v>PORTABILIDAD</v>
          </cell>
          <cell r="F54" t="str">
            <v xml:space="preserve">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Si el el cliente adquiere por Portabilidad líneas adicionales obtendrá 50% en el cargo fijo por 12 meses.
Aplica descuento líneas adicionales desde el plan max 55.90
* No aplica para los Planes Max Play con Netflix.
</v>
          </cell>
          <cell r="G54" t="str">
            <v xml:space="preserve">
28/04/2022: Beneficio Líneas adicionales:
Se retira la selección del caso Especial Beneficio de CF para clientes actuales.
01/08/2022: Beneficio Líneas adicionales:
Aplica desde el plan max 55.90 (antes desde el plan max 49.90)</v>
          </cell>
          <cell r="H54" t="str">
            <v>Descuento Cargo Fijo Televentas y Tienda Virtual:
Válido para televentas y tienda virtual.
Beneficio líneas adicionales:
Válido para todos los canales.</v>
          </cell>
          <cell r="I54" t="str">
            <v>No Vigente</v>
          </cell>
          <cell r="J54" t="str">
            <v xml:space="preserve">*HV Beneficio Líneas Adicionales </v>
          </cell>
          <cell r="K54" t="str">
            <v xml:space="preserve">
Ruta: Productos y Promociones/Personas/Historial Comercial Postpago/Descuento Cargo Fijo/ Portabilidad/Líneas Adicionales con Descuento (Aplican todas las Campañas)
</v>
          </cell>
          <cell r="L54" t="str">
            <v xml:space="preserve">*Beneficio Descuento Cargo Fijo Televentas y Tienda Virtual Resumen Nota de Producto
* Beneficio Descuento Líneas Adicionales Resumen Nota de Producto </v>
          </cell>
          <cell r="M54" t="str">
            <v>Ruta: Productos y Promociones/Resumen NP/ Postpago/Beneficios Descuentos Lineas Adicionales (Aplican todas las Campañas)
Ruta: Productos y Promociones/Resumen NP/ Postpago/Beneficio Descuento Cargo Fijo Televentas y Tienda Virtual Resumen Nota de Producto</v>
          </cell>
          <cell r="N54" t="str">
            <v>Descuento en cargo fijo</v>
          </cell>
        </row>
        <row r="55">
          <cell r="A55" t="str">
            <v>LINEA ADICIONAL ALTA</v>
          </cell>
          <cell r="B55" t="str">
            <v>LINEA ADICIONAL ALTA</v>
          </cell>
          <cell r="D55" t="str">
            <v>LINEA ADICIONAL ALTA</v>
          </cell>
          <cell r="E55" t="str">
            <v>ALTA</v>
          </cell>
          <cell r="F55" t="str">
            <v>Línea Adicional Alta
Aplica para clientes que compren una línea adicional y tengan una línea en la base desde el cargo fijo de 55.90
Valido para DNI, Pasaporte, RUC 10 y CE
No aplica planes Netflix.
Beneficio Líneas adicionales
Si el el cliente adquiere por Portabilidad líneas adicionales obtendrá 50% en el cargo fijo por 12 meses.
Aplica descuento líneas adicionales desde el plan max 55.90.
* No aplica para los Planes Max Play con Netflix.</v>
          </cell>
          <cell r="G55" t="str">
            <v>28/04/2022: Beneficio Líneas adicionales:
Se retira la selección del caso Especial Beneficio de CF para clientes actuales.
01/08/2022: Linea Adicional Alta:
Se deja de comercializar el plan Max Ilimitado 125.
01/08/2022: Beneficio Líneas adicionales: 
Antes aplicaba para el plan max 49.90 ahora aplica desde el plan max 55.90.
27/08/2022: Linea Adicional Alta:
Aplica desde el plan 55.90 (antes aplicaba desde el plan Max 49.90)</v>
          </cell>
          <cell r="H55" t="str">
            <v>Línea adicional alta:
Válido para todos los canales.
Beneficio líneas adicionales:
Válido para todos los canales.</v>
          </cell>
          <cell r="I55" t="str">
            <v>Vigente</v>
          </cell>
          <cell r="J55" t="str">
            <v>HV Beneficio Líneas Adicionales</v>
          </cell>
          <cell r="K55" t="str">
            <v>Ruta: Productos y Promociones/Personas/Historial Comercial Postpago/Descuento Cargo Fijo /Alta/Líneas Adicionales con Descuento (Aplican todas las Campañas)</v>
          </cell>
          <cell r="L55" t="str">
            <v xml:space="preserve">Beneficio Descuento Líneas Adicionales Resumen Nota de Producto </v>
          </cell>
          <cell r="M55" t="str">
            <v>Ruta: Productos y Promociones/Resumen NP/ Postpago/Beneficios Descuentos Lineas Adicionales (Aplican todas las Campañas)</v>
          </cell>
          <cell r="N55" t="str">
            <v>Descuento en equipo y cargo fijo</v>
          </cell>
        </row>
        <row r="56">
          <cell r="A56" t="str">
            <v>LINEA ADICIONAL ALTA CUOTA</v>
          </cell>
          <cell r="B56" t="str">
            <v>LINEA ADICIONAL ALTA CUOTA</v>
          </cell>
          <cell r="D56" t="str">
            <v>LINEA ADICIONAL ALTA CUOTA</v>
          </cell>
          <cell r="E56" t="str">
            <v>ALTA</v>
          </cell>
          <cell r="F56" t="str">
            <v>Línea Adicional Alta Cuota
Aplica para clientes que compren una línea adicional y tengan una línea en la base desde el cargo fijo de 55.90
Valido para DNI, Pasaporte, RUC 10 y CE
No aplica planes Netflix.
Beneficio Líneas adicionales
Si el el cliente adquiere por Portabilidad líneas adicionales obtendrá 50% en el cargo fijo por 12 meses.
Aplica descuento líneas adicionales desde el plan max 55.90.
* No aplica para los Planes Max Play con Netflix.</v>
          </cell>
          <cell r="G56" t="str">
            <v>28/04/2022: Beneficio Líneas adicionales:
Se retira la selección del caso Especial Beneficio de CF para clientes actuales.
01/08/2022: Linea Adicional Alta Cuota:
Se deja de comercializar el plan Max Ilimitado 125.
01/08/2022: Beneficio Líneas adicionales: 
Antes aplicaba para el plan max 49.90 ahora aplica desde el plan max 55.90.
27/08/2022: Linea Adicional Alta Cuota:
Aplica desde el plan 55.90 (antes aplicaba desde el plan Max 49.90)</v>
          </cell>
          <cell r="H56" t="str">
            <v>Línea adicional alta cuota:
Válido para todos los canales.
Beneficio líneas adicionales:
Válido para todos los canales.</v>
          </cell>
          <cell r="I56" t="str">
            <v>Vigente</v>
          </cell>
          <cell r="J56" t="str">
            <v>HV Beneficio Líneas Adicionales</v>
          </cell>
          <cell r="K56" t="str">
            <v>Ruta: Productos y Promociones/Personas/Historial Comercial Postpago/Descuento Cargo Fijo /Alta/Líneas Adicionales con Descuento (Aplican todas las Campañas)</v>
          </cell>
          <cell r="L56" t="str">
            <v xml:space="preserve">Beneficio Descuento Líneas Adicionales Resumen Nota de Producto </v>
          </cell>
          <cell r="M56" t="str">
            <v>Ruta: Productos y Promociones/Resumen NP/ Postpago/Beneficios Descuentos Lineas Adicionales (Aplican todas las Campañas)</v>
          </cell>
          <cell r="N56" t="str">
            <v>Descuento en cargo fijo</v>
          </cell>
        </row>
        <row r="57">
          <cell r="A57" t="str">
            <v>LINEA ADICIONAL ALTA CUOTA 6M</v>
          </cell>
          <cell r="B57" t="str">
            <v>LINEA ADICIONAL ALTA CUOTA</v>
          </cell>
          <cell r="D57" t="str">
            <v>LINEA ADICIONAL ALTA CUOTA 6M</v>
          </cell>
          <cell r="E57" t="str">
            <v>ALTA</v>
          </cell>
          <cell r="F57" t="str">
            <v>Línea Adicional Alta Cuota 6M:
Aplica para clientes que compren una línea adicional y tengan una línea en la base desde el cargo fijo de 55.90
Valido para DNI, Pasaporte, RUC 10 y CE
No aplica planes Netflix.
Beneficio Líneas adicionales
Si el el cliente adquiere por Portabilidad líneas adicionales obtendrá 50% en el cargo fijo por 12 meses.
Aplica descuento líneas adicionales desde el plan max 55.90.
* No aplica para los Planes Max Play con Netflix.</v>
          </cell>
          <cell r="G57" t="str">
            <v>28/04/2022: Beneficio Líneas adicionales:
Se retira la selección del caso Especial Beneficio de CF para clientes actuales.
01/08/2022: Linea Adicional Alta Cuota 6M:
Se deja de comercializar el plan Max Ilimitado 125.
01/08/2022: Beneficio Líneas adicionales: 
Antes aplicaba para el plan max 49.90 ahora aplica desde el plan max 55.90.
27/08/2022: Linea Adicional Alta Cuota 6M:
Aplica desde el plan 55.90 (antes aplicaba desde el plan Max 49.90)</v>
          </cell>
          <cell r="H57" t="str">
            <v>Línea adicional alta cuota 6M:
Válido para todos los canales.
Beneficio líneas adicionales:
Válido para todos los canales.</v>
          </cell>
          <cell r="I57" t="str">
            <v>Vigente</v>
          </cell>
          <cell r="J57" t="str">
            <v>HV Beneficio Líneas Adicionales</v>
          </cell>
          <cell r="K57" t="str">
            <v>Ruta: Productos y Promociones/Personas/Historial Comercial Postpago/Descuento Cargo Fijo /Alta/Líneas Adicionales con Descuento (Aplican todas las Campañas)</v>
          </cell>
          <cell r="L57" t="str">
            <v xml:space="preserve">Beneficio Descuento Líneas Adicionales Resumen Nota de Producto </v>
          </cell>
          <cell r="M57" t="str">
            <v>Ruta: Productos y Promociones/Resumen NP/ Postpago/Beneficios Descuentos Lineas Adicionales (Aplican todas las Campañas)</v>
          </cell>
          <cell r="N57" t="str">
            <v>Descuento en equipo y cargo fijo</v>
          </cell>
        </row>
        <row r="58">
          <cell r="A58" t="str">
            <v>LISTA CUOTAS LITE 6M</v>
          </cell>
          <cell r="B58" t="str">
            <v>LISTA VENTA EN CUOTAS</v>
          </cell>
          <cell r="D58" t="str">
            <v>LISTA CUOTAS LITE 6M</v>
          </cell>
          <cell r="E58" t="str">
            <v>PORTABILIDAD
RENOVACION</v>
          </cell>
          <cell r="F58" t="str">
            <v xml:space="preserve">Lista Cuotas Lite 6M:
Válido para Portabilidad y Renovación.
Para cadenas cuota inicial por el equipo de 1 sol (mínimo).
Lista de precios disponible para planes de la oferta actual y planes antiguos para la base de clientes.
Lista de precios aplica para portabilidad en algunos planes.
Beneficio Líneas adicionales (sólo Portabilidad)
Si el el cliente adquiere por Portabilidad líneas adicionales obtendrá 50% en el cargo fijo por 12 meses.
Aplica descuento líneas adicionales desde el plan max 55.90.
* No aplica para los Planes Max Play con Netflix.
</v>
          </cell>
          <cell r="G58" t="str">
            <v xml:space="preserve">28/04/2022: Beneficio Líneas adicionales:
Se retira la selección del caso Especial Beneficio de CF para clientes actuales.
01/08/2022: Linea Cuotas Lite 6M:
Se deja de comercializar el plan Max Ilimitado 125.
01/08/2022: Beneficio Líneas adicionales: 
Antes aplicaba para el plan max 49.90 ahora aplica desde el plan max 55.90.
</v>
          </cell>
          <cell r="H58" t="str">
            <v>Lista cuotas Lite 6M:
Válido para todos los canales.
Beneficio líneas adicionales:
Válido para todos los canales.</v>
          </cell>
          <cell r="I58" t="str">
            <v>Vigente</v>
          </cell>
          <cell r="J58" t="str">
            <v>HV Beneficio Líneas Adicionales</v>
          </cell>
          <cell r="K58" t="str">
            <v>Ruta: Productos y Promociones/Personas/Historial Comercial Postpago/Descuento Cargo Fijo/ Portabilidad/Líneas Adicionales con Descuento (Aplican todas las Campañas)</v>
          </cell>
          <cell r="L58" t="str">
            <v xml:space="preserve">Beneficio Descuento Líneas Adicionales Resumen Nota de Producto </v>
          </cell>
          <cell r="M58" t="str">
            <v>Ruta: Productos y Promociones/Resumen NP/ Postpago/Beneficios Descuentos Lineas Adicionales (Aplican todas las Campañas)</v>
          </cell>
          <cell r="N58" t="str">
            <v>Descuento en cargo fijo</v>
          </cell>
        </row>
        <row r="59">
          <cell r="A59" t="str">
            <v xml:space="preserve">LISTA EXCLUSIVA CUOTAS PORTA </v>
          </cell>
          <cell r="B59" t="str">
            <v>LISTA VENTA EN CUOTAS</v>
          </cell>
          <cell r="D59" t="str">
            <v xml:space="preserve">LISTA EXCLUSIVA CUOTAS PORTA </v>
          </cell>
          <cell r="E59" t="str">
            <v>PORTABILIDAD</v>
          </cell>
          <cell r="F59" t="str">
            <v>Lista Exclusiva Cuotas Porta:
Válido para Portabilidad y Renovación.
Para cadenas cuota inicial por el equipo de 1 sol (mínimo).
12 Meses: No válido para planes 39.90 y de acuerdo al modelo del equipo para 49.90 y 55.90.
18 Meses: No válido para planes 39.90, 49.90 y 55.90.
Beneficio Líneas adicionales
Si el el cliente adquiere por Portabilidad líneas adicionales obtendrá 50% en el cargo fijo por 12 meses.
Aplica descuento líneas adicionales desde el plan max 55.90.
* No aplica para los Planes Max Play con Netflix.</v>
          </cell>
          <cell r="G59" t="str">
            <v xml:space="preserve">28/04/2022: Beneficio Líneas adicionales:
Se retira la selección del caso Especial Beneficio de CF para clientes actuales.
12/07/2022: Linea Exclusiva Cuotas Porta:
Se deja de comercializar la lista en cuotas a 24 meses.
01/08/2022: Linea Exclusiva Cuotas Porta:
Se deja de comercializar el plan Max Ilimitado 125.
01/08/2022: Beneficio Líneas adicionales: 
Antes aplicaba para el plan max 49.90 ahora aplica desde el plan max 55.90.
</v>
          </cell>
          <cell r="H59" t="str">
            <v>Lista exclusiva cuotas porta:
Válido para todos los canales.
Beneficio líneas adicionales:
Válido para todos los canales.</v>
          </cell>
          <cell r="I59" t="str">
            <v>Vigente</v>
          </cell>
          <cell r="J59" t="str">
            <v>HV Beneficio Líneas Adicionales</v>
          </cell>
          <cell r="K59" t="str">
            <v>Ruta: Productos y Promociones/Personas/Historial Comercial Postpago/Descuento Cargo Fijo/ Portabilidad/Líneas Adicionales con Descuento (Aplican todas las Campañas)</v>
          </cell>
          <cell r="L59" t="str">
            <v xml:space="preserve">Beneficio Descuento Líneas Adicionales Resumen Nota de Producto </v>
          </cell>
          <cell r="M59" t="str">
            <v>Ruta: Productos y Promociones/Resumen NP/ Postpago/Beneficios Descuentos Lineas Adicionales (Aplican todas las Campañas)</v>
          </cell>
          <cell r="N59" t="str">
            <v>Descuento en equipo y cargo fijo</v>
          </cell>
        </row>
        <row r="60">
          <cell r="A60" t="str">
            <v>LISTA EXCLUSIVA CUOTAS RENO</v>
          </cell>
          <cell r="B60" t="str">
            <v>LISTA VENTA EN CUOTAS</v>
          </cell>
          <cell r="D60" t="str">
            <v>LISTA EXCLUSIVA CUOTAS RENO</v>
          </cell>
          <cell r="E60" t="str">
            <v>RENOVACIÓN</v>
          </cell>
          <cell r="F60" t="str">
            <v xml:space="preserve">Lista Exclusiva Cuotas Reno:
Válido para Portabilidad y Renovación.
Para cadenas cuota inicial por el equipo de 1 sol (mínimo).
Aplica tambien para clientes con planes de la base)
12 Meses: No válido para planes 39.90 y de acuerdo al modelo del equipo para 49.90 y 55.90.
18 Meses: No válido para planes 39.90, 49.90 y 55.90.
</v>
          </cell>
          <cell r="G60" t="str">
            <v xml:space="preserve">12/07/2022: Linea Exclusiva Cuotas Reno:
Se deja de comercializar la lista en cuotas a 24 meses.
01/08/2022: Linea Exclusiva Cuotas Reno:
Se deja de comercializar el plan Max Ilimitado 125.
</v>
          </cell>
          <cell r="H60" t="str">
            <v>Lista exclusiva cuotas reno:
Válido para todos los canales.</v>
          </cell>
          <cell r="I60" t="str">
            <v>Vigente</v>
          </cell>
          <cell r="J60" t="str">
            <v>HV Beneficio Líneas Adicionales</v>
          </cell>
          <cell r="K60" t="str">
            <v>Ruta: Productos y Promociones/Personas/Historial Comercial Postpago/Descuento Cargo Fijo/ Portabilidad/Líneas Adicionales con Descuento (Aplican todas las Campañas)</v>
          </cell>
          <cell r="L60" t="str">
            <v xml:space="preserve">Beneficio Descuento Líneas Adicionales Resumen Nota de Producto </v>
          </cell>
          <cell r="M60" t="str">
            <v>Ruta: Productos y Promociones/Resumen NP/ Postpago/Beneficios Descuentos Lineas Adicionales (Aplican todas las Campañas)</v>
          </cell>
          <cell r="N60" t="str">
            <v>Descuento en cargo fijo</v>
          </cell>
        </row>
        <row r="61">
          <cell r="A61" t="str">
            <v>MIÉRCOLES CON MILLAS</v>
          </cell>
          <cell r="C61" t="str">
            <v xml:space="preserve"> MILLAS CYBER CUOTAS - TIENDA VIRTUAL</v>
          </cell>
          <cell r="D61" t="str">
            <v>MIÉRCOLES CON MILLAS</v>
          </cell>
          <cell r="E61" t="str">
            <v>PORTABILIDAD
RENOVACION</v>
          </cell>
          <cell r="F61" t="str">
            <v>Miércoles con Millas LATAM Pass
Los clientes podrán comprar equipos con descuentos además de un bono de millas latam desde el plan max postpago 55.90.
Válido para portabilidad y renovación.
Beneficio Líneas adicionales (sólo Portabilidad)
Si el el cliente adquiere por Portabilidad líneas adicionales obtendrá 50% en el cargo fijo por 12 meses.
Aplica descuento líneas adicionales desde el plan max 55.90.</v>
          </cell>
          <cell r="G61" t="str">
            <v>Del 04 al 08 de Julio del 2022: HV Cyber Days Postpago
Descuento en equipos seleccionados más bono de millas latam.
Del 04 al 08 de Julio del 2022: HV Cyber Days Postpago
Descuento en equipos seleccionados más bono de millas latam.</v>
          </cell>
          <cell r="I61" t="str">
            <v>No Vigente</v>
          </cell>
          <cell r="J61" t="str">
            <v>HV Miércoles con Millas LATAM Pass</v>
          </cell>
          <cell r="N61" t="str">
            <v>Descuento en equipo y cargo fijo</v>
          </cell>
        </row>
        <row r="62">
          <cell r="A62" t="str">
            <v>MIGRA/PORTA A POST</v>
          </cell>
          <cell r="D62" t="str">
            <v>MIGRA/PORTA A POST</v>
          </cell>
          <cell r="E62" t="str">
            <v>PORTABILIDAD
MIGRACION</v>
          </cell>
          <cell r="F62" t="str">
            <v>Bono 5 soles y Tik Tok
Los clientes que:
*Porten o migren al plan Max 29.90 recibirán un descuento de 5 soles por 6 meses en el cargo fijo mas un bono 3.5GB de Tik Tok por 12 meses.
*Migración: Si cuentan con un plan prepago migran al plan Max 39.90 recibirán un descuento de 5 soles por 6 meses mas un bono 3.5GB de Tik Tok por 12 meses.
*Portabilidad: Si portan al plan Max 39.90 recibirán un descuento de 5 soles por 6 meses.
Beneficio Líneas adicionales (sólo Portabilidad)
Si el el cliente adquiere por Portabilidad líneas adicionales obtendrá 50% en el cargo fijo por 12 meses.
Aplica descuento líneas adicionales desde el plan max 49.90.</v>
          </cell>
          <cell r="G62" t="str">
            <v>28/04/2022: Beneficio Líneas adicionales:
Se retira la selección del caso Especial Beneficio de CF para clientes actuales.
Bono 5 soles y Tik Tok: 
Vigencia hasta el 31/05/2022
01/08/2022: Beneficio Líneas adicionales: 
Antes aplicaba para el plan max 49.90 ahora aplica desde el plan max 55.90.</v>
          </cell>
          <cell r="H62" t="str">
            <v>Migra/Porta a Post:
Válido para todos los canales.
Beneficio líneas adicionales:
Válido para todos los canales.</v>
          </cell>
          <cell r="I62" t="str">
            <v>No Vigente</v>
          </cell>
          <cell r="J62" t="str">
            <v xml:space="preserve">* Hv Bono de 5 soles y Tik Tok
*HV Beneficio Líneas Adicionales </v>
          </cell>
          <cell r="K62" t="str">
            <v xml:space="preserve">
Ruta: Productos y Promociones/Personas/Historial Comercial Postpago/Descuento Cargo Fijo /Portabilidad/Migra/Porta a Post
Ruta: Productos y Promociones/Personas/Historial Comercial Postpago/Descuento Cargo Fijo/ Portabilidad/Líneas Adicionales con Descuento (Aplican todas las Campañas)
</v>
          </cell>
          <cell r="L62" t="str">
            <v xml:space="preserve">*Oferta Comercial Postpago y Colaborador Resumen Nota de Producto/Bonos
* Beneficio Descuento Líneas Adicionales Resumen Nota de Producto </v>
          </cell>
          <cell r="M62" t="str">
            <v xml:space="preserve">
Ruta: Productos y Promociones/Resumen NP/ Postpago/Oferta Comercial Postpago y Colaborador Resumen Nota de Producto/Bonos
Ruta: Productos y Promociones/Resumen NP/ Postpago/Beneficios Descuentos Lineas Adicionales (Aplican todas las Campañas)</v>
          </cell>
          <cell r="N62" t="str">
            <v>Descuento en cargo fijo</v>
          </cell>
        </row>
        <row r="63">
          <cell r="A63" t="str">
            <v>OFERTA EXPRESS</v>
          </cell>
          <cell r="B63" t="str">
            <v>OFERTA EXPRESS</v>
          </cell>
          <cell r="C63" t="str">
            <v>PROMO TIENDA Y TELEVENTAS P/A</v>
          </cell>
          <cell r="D63" t="str">
            <v>OFERTA EXPRESS</v>
          </cell>
          <cell r="E63" t="str">
            <v>PORTABILIDAD
RENOVACION</v>
          </cell>
          <cell r="F63" t="str">
            <v xml:space="preserve">
Oferta Express:
Aplica para planes a partir de Max 39.90.
No válido para planes Max Ilimitado 125.
Válido para Portabilidad y Renovación.
Beneficio Líneas adicionales (sólo por Portabilidad)
Si el el cliente adquiere líneas adicionales obtendrá 50% en el cargo fijo por 12 meses.
Aplica descuento líneas adicionales desde el plan max 55.90.
* No aplica para los Planes Max Play con Netflix.</v>
          </cell>
          <cell r="G63" t="str">
            <v xml:space="preserve">28/04/2022: Beneficio Líneas adicionales:
Se retira la selección del caso Especial Beneficio de CF para clientes actuales.
30/05/2022: Oferta Express:
Lista de precios Vigente hasta 30 de Mayo del 2022. 
01/08/2022: Beneficio Líneas adicionales: 
Antes aplicaba para el plan max 49.90 ahora aplica desde el plan max 55.90.
07/09/2022: Oferta Express:
Se reactiva lista de precios.       
30/09/2022: Oferta Express:
Fin de vigencia.                                                                                                                </v>
          </cell>
          <cell r="H63" t="str">
            <v>Oferta Express:
Válido para todos los canales.</v>
          </cell>
          <cell r="I63" t="str">
            <v>No Vigente</v>
          </cell>
          <cell r="J63" t="str">
            <v>HV Beneficio Líneas Adicionales</v>
          </cell>
          <cell r="K63" t="str">
            <v>Ruta: Productos y Promociones/Personas/Historial Comercial Postpago/Descuento Cargo Fijo/ Portabilidad/Líneas Adicionales con Descuento (Aplican todas las Campañas)</v>
          </cell>
          <cell r="L63" t="str">
            <v xml:space="preserve">Beneficio Descuento Líneas Adicionales Resumen Nota de Producto </v>
          </cell>
          <cell r="M63" t="str">
            <v>Ruta: Productos y Promociones/Resumen NP/ Postpago/Beneficios Descuentos Lineas Adicionales (Aplican todas las Campañas)</v>
          </cell>
          <cell r="N63" t="str">
            <v>Descuento en equipo y cargo fijo</v>
          </cell>
        </row>
        <row r="64">
          <cell r="A64" t="str">
            <v>OFERTA PRESENCIAL 2</v>
          </cell>
          <cell r="B64" t="str">
            <v>OFERTA PRESENCIAL 3</v>
          </cell>
          <cell r="D64" t="str">
            <v>OFERTA PRESENCIAL 2</v>
          </cell>
          <cell r="E64" t="str">
            <v>PORTABILIDAD
RENOVACION</v>
          </cell>
          <cell r="F64" t="str">
            <v>Oferta Presencial 2:
*Válido para Portabilidad y Renovación.
* Sujeto a evaluación crediticia.
* Los planes 35.9, 59.9, 65, 75, 85 y 105 sólo aplican para "RENOVACIÓN".
Beneficio Líneas adicionales (sólo por Portabilidad)
Si el el cliente adquiere por Portabilidad líneas adicionales obtendrá 50% en el cargo fijo por 12 meses.
Aplica descuento líneas adicionales desde el plan max 49.90.</v>
          </cell>
          <cell r="G64" t="str">
            <v>14/04/2022: Oferta Presencial 2:
Fin de vigencia.</v>
          </cell>
          <cell r="H64" t="str">
            <v xml:space="preserve">Oferta Presencial 2:
Aplica sólo para los CACs  y DACs de AMAZONAS, APURIMAC, AYACUCHO, CAJAMARCA, HUANCAVELICA, LAMBAYEQUE, LORETO, MADRE DE DIOS, MOQUEGUA, PASCO, SAN MARTIN, TUMBES y UCAYALI 
</v>
          </cell>
          <cell r="I64" t="str">
            <v>No Vigente</v>
          </cell>
          <cell r="J64" t="str">
            <v>HV Beneficio Líneas Adicionales</v>
          </cell>
          <cell r="K64" t="str">
            <v>Ruta: Productos y Promociones/Personas/Historial Comercial Postpago/Descuento Cargo Fijo/ Portabilidad/Líneas Adicionales con Descuento (Aplican todas las Campañas)</v>
          </cell>
          <cell r="L64" t="str">
            <v>Beneficio Descuento Líneas Adicionales Resumen Nota de Producto</v>
          </cell>
          <cell r="M64" t="str">
            <v>Ruta: Productos y Promociones/Resumen NP/ Postpago/Beneficios Descuentos Lineas Adicionales (Aplican todas las Campañas)</v>
          </cell>
          <cell r="N64" t="str">
            <v>Descuento en equipo y cargo fijo</v>
          </cell>
        </row>
        <row r="65">
          <cell r="A65" t="str">
            <v>PICK UP ALTA</v>
          </cell>
          <cell r="D65" t="str">
            <v>PICK UP ALTA</v>
          </cell>
          <cell r="E65" t="str">
            <v>ALTA</v>
          </cell>
          <cell r="F65" t="str">
            <v>Descuento Televentas: 
Si el cliente contrata a través de televentas con recojo en el CAC o DAC (Pick up) recibirá un descuento del 10 % en el primer mes. Válido para los planes Max 29.90 al Max Ilimitado 289.90.
Beneficio Líneas adicionales
Si el el cliente adquiere por Portabilidad líneas adicionales obtendrá 50% en el cargo fijo por 12 meses.
Aplica descuento líneas adicionales desde el plan max 55.90.
* No aplica para los Planes Max Play con Netflix.</v>
          </cell>
          <cell r="G65" t="str">
            <v>16/06/2021: Descuento Televentas: 
Con recojo en CAC, DAC y Cadena:
Planes Max 49.90: Descuento 30% el 1er mes y 20% del 2do al 6to mes.
Planes Max 59.90 al 289.90: Descuento 50% por 6 meses.
Entrega por delivery:
Descuento 20% por 6 meses en el cargo fijo. Además de bono de GB por 6 meses en los planes Max 49.90 y 59.90.
03/11/2021: Descuento Televentas: 
*Se actualiza los planes Max a: 55.90. 69.90, 79.90, 89.90, 109.90.
*Se actualiza el descuento para recojo en CAC, DAC y Cadena:
Planes Max 49.90: Descuento 30% el 1er mes y 20% del 2do al 6to mes.
Planes Max 55.90 al 289.90: Descuento 50% por 6 meses.
Entrega por delivery:
*Se actualiza el descuento a:
Planes Max 49.90: 20% por 6 meses en el cargo fijo. 
Planes Max 55.90 al 289.90: Descuento 50% por 6 meses.
Además de bono de GB por 6 meses en el plan Max 49.90.
01/08/2022: Beneficio Líneas adicionales: 
Antes aplicaba para el plan max 49.90 ahora aplica desde el plan max 55.90.</v>
          </cell>
          <cell r="H65" t="str">
            <v>Descuento Televentas: 
Válido sólo para televentas.
Beneficio Líneas adicionales: 
Aplica para todos los canales.</v>
          </cell>
          <cell r="I65" t="str">
            <v>No Vigente</v>
          </cell>
          <cell r="J65" t="str">
            <v>*HV Promoción Televentas
*HV 50% de Descuento en el cargo fijo para Líneas Adicionales</v>
          </cell>
          <cell r="K65" t="str">
            <v xml:space="preserve">Ruta: Productos y Promociones/Personas/Historial Comercial Postpago/Descuento Cargo Fijo / Alta / Pick Up Alta
Ruta: Productos y Promociones/Personas/Historial Comercial Postpago/Descuento Cargo Fijo /Portabilidad/Líneas Adicionales con Descuento (Aplican todas las Campañas)
</v>
          </cell>
          <cell r="L65" t="str">
            <v xml:space="preserve">*Beneficio Descuento Cargo Fijo Televentas y Tienda Virtual Resumen Nota de Producto
* Beneficio Descuento Líneas Adicionales Resumen Nota de Producto </v>
          </cell>
          <cell r="M65" t="str">
            <v>Ruta: Productos y Promociones/Resumen NP/ Postpago/Beneficios Descuentos Lineas Adicionales (Aplican todas las Campañas)
Ruta: Productos y Promociones/Resumen NP/ Postpago/Beneficio Descuento Cargo Fijo Televentas y Tienda Virtual Resumen Nota de Producto</v>
          </cell>
          <cell r="N65" t="str">
            <v>Descuento en cargo fijo</v>
          </cell>
        </row>
        <row r="66">
          <cell r="A66" t="str">
            <v>PICK UP PORTA</v>
          </cell>
          <cell r="D66" t="str">
            <v>PICK UP PORTA</v>
          </cell>
          <cell r="E66" t="str">
            <v>PORTABILIDAD</v>
          </cell>
          <cell r="F66" t="str">
            <v>Descuento Televentas: 
Si el cliente contrata a través de televentas:
Con recojo en CAC, DAC y Cadena:
Planes Max 49.90: Descuento 30% el 1er mes y 20% del 2do al 6to mes.
Planes Max 55.90 al 289.90: Descuento 50% por 6 meses.
Entrega por delivery:
Planes Max 49.90: 20% por 6 meses en el cargo fijo. 
Planes Max 55.90 al 289.90: Descuento 50% por 6 meses.
Además de bono de GB por 6 meses en el plan Max 49.90.
Beneficio Líneas adicionales
Si el el cliente adquiere por Portabilidad líneas adicionales obtendrá 50% en el cargo fijo por 12 meses.
Aplica descuento líneas adicionales desde el plan max 55.90.
* No aplica para los Planes Max Play con Netflix.</v>
          </cell>
          <cell r="G66" t="str">
            <v>16/06/2021: Descuento Televentas: 
Con recojo en CAC, DAC y Cadena:
Planes Max 49.90: Descuento 30% el 1er mes y 20% del 2do al 6to mes.
Planes Max 59.90 al 289.90: Descuento 50% por 6 meses.
Entrega por delivery:
Descuento 20% por 6 meses en el cargo fijo. Además de bono de GB por 6 meses en los planes Max 49.90 y 59.90.
03/11/2021: Descuento Televentas: 
*Se actualiza los planes Max a: 55.90. 69.90, 79.90, 89.90, 109.90.
*Se actualiza el descuento para recojo en CAC, DAC y Cadena:
Planes Max 49.90: Descuento 30% el 1er mes y 20% del 2do al 6to mes.
Planes Max 55.90 al 289.90: Descuento 50% por 6 meses.
Entrega por delivery:
*Se actualiza el descuento a:
Planes Max 49.90: 20% por 6 meses en el cargo fijo. 
Planes Max 55.90 al 289.90: Descuento 50% por 6 meses.
Además de bono de GB por 6 meses en el plan Max 49.90.
28/04/2022: Beneficio Líneas adicionales:
Se retira la selección del caso Especial Beneficio de CF para clientes actuales.
01/08/2022: Beneficio Líneas adicionales: 
Antes aplicaba para el plan max 49.90 ahora aplica desde el plan max 55.90.</v>
          </cell>
          <cell r="H66" t="str">
            <v>Descuento Televentas: 
Válido sólo para televentas.
Beneficio Líneas adicionales: 
Aplica para todos los canales.</v>
          </cell>
          <cell r="I66" t="str">
            <v>No Vigente</v>
          </cell>
          <cell r="J66" t="str">
            <v>*HV Promoción Televentas
*HV 50% de Descuento en el cargo fijo para Líneas Adicionales</v>
          </cell>
          <cell r="K66" t="str">
            <v xml:space="preserve">Ruta: Productos y Promociones/Personas/Historial Comercial Postpago/Descuento Cargo Fijo / Alta / Pick Up Porta/Cuotas-Contraataque Pick Up
Ruta: Productos y Promociones/Personas/Historial Comercial Postpago/Descuento Cargo Fijo /Portabilidad/Líneas Adicionales con Descuento (Aplican todas las Campañas)
</v>
          </cell>
          <cell r="L66" t="str">
            <v xml:space="preserve">*Beneficio Descuento Cargo Fijo Televentas y Tienda Virtual Resumen Nota de Producto
* Beneficio Descuento Líneas Adicionales Resumen Nota de Producto </v>
          </cell>
          <cell r="M66" t="str">
            <v>Ruta: Productos y Promociones/Resumen NP/ Postpago/Beneficios Descuentos Lineas Adicionales (Aplican todas las Campañas)
Ruta: Productos y Promociones/Resumen NP/ Postpago/Beneficio Descuento Cargo Fijo Televentas y Tienda Virtual Resumen Nota de Producto</v>
          </cell>
          <cell r="N66" t="str">
            <v>Descuento en cargo fijo</v>
          </cell>
        </row>
        <row r="67">
          <cell r="A67" t="str">
            <v>PICK UP PORTA CUOTAS</v>
          </cell>
          <cell r="D67" t="str">
            <v>PICK UP PORTA CUOTAS</v>
          </cell>
          <cell r="E67" t="str">
            <v>PORTABILIDAD</v>
          </cell>
          <cell r="F67" t="str">
            <v>Descuento Televentas: 
Si el cliente contrata a través de televentas:
Con recojo en CAC, DAC y Cadena:
Planes Max 49.90: Descuento 30% el 1er mes y 20% del 2do al 6to mes.
Planes Max 55.90 al 289.90: Descuento 50% por 6 meses.
Entrega por delivery:
Planes Max 49.90: 20% por 6 meses en el cargo fijo. 
Planes Max 55.90 al 289.90: Descuento 50% por 6 meses.
Además de bono de GB por 6 meses en el plan Max 49.90.
Beneficio Líneas adicionales
Si el el cliente adquiere por Portabilidad líneas adicionales obtendrá 50% en el cargo fijo por 12 meses.
Aplica descuento líneas adicionales desde el plan max 55.90.
* No aplica para los Planes Max Play con Netflix.</v>
          </cell>
          <cell r="G67" t="str">
            <v>16/06/2021: Descuento Televentas: 
Con recojo en CAC, DAC y Cadena:
Planes Max 49.90: Descuento 30% el 1er mes y 20% del 2do al 6to mes.
Planes Max 59.90 al 289.90: Descuento 50% por 6 meses.
Entrega por delivery:
Descuento 20% por 6 meses en el cargo fijo. Además de bono de GB por 6 meses en los planes Max 49.90 y 59.90.
03/11/2021: Descuento Televentas: 
*Se actualiza los planes Max a: 55.90. 69.90, 79.90, 89.90, 109.90.
*Se actualiza el descuento para recojo en CAC, DAC y Cadena:
Planes Max 49.90: Descuento 30% el 1er mes y 20% del 2do al 6to mes.
Planes Max 55.90 al 289.90: Descuento 50% por 6 meses.
Entrega por delivery:
*Se actualiza el descuento a:
Planes Max 49.90: 20% por 6 meses en el cargo fijo. 
Planes Max 55.90 al 289.90: Descuento 50% por 6 meses.
Además de bono de GB por 6 meses en el plan Max 49.90.
28/04/2022: Beneficio Líneas adicionales:
Se retira la selección del caso Especial Beneficio de CF para clientes actuales.
01/08/2022: Beneficio Líneas adicionales: 
Antes aplicaba para el plan max 49.90 ahora aplica desde el plan max 55.90.</v>
          </cell>
          <cell r="H67" t="str">
            <v>Descuento Televentas: 
Válido sólo para televentas.
Beneficio Líneas adicionales: 
Aplica para todos los canales.</v>
          </cell>
          <cell r="I67" t="str">
            <v>No Vigente</v>
          </cell>
          <cell r="J67" t="str">
            <v>*HV Promoción Televentas
*HV 50% de Descuento en el cargo fijo para Líneas Adicionales</v>
          </cell>
          <cell r="K67" t="str">
            <v xml:space="preserve">Ruta: Productos y Promociones/Personas/Historial Comercial Postpago/Descuento Cargo Fijo / Alta / Pick Up Porta/Cuotas-Contraataque Pick Up
Ruta: Productos y Promociones/Personas/Historial Comercial Postpago/Descuento Cargo Fijo /Portabilidad/Líneas Adicionales con Descuento (Aplican todas las Campañas)
</v>
          </cell>
          <cell r="L67" t="str">
            <v xml:space="preserve">*Beneficio Descuento Cargo Fijo Televentas y Tienda Virtual Resumen Nota de Producto
* Beneficio Descuento Líneas Adicionales Resumen Nota de Producto </v>
          </cell>
          <cell r="M67" t="str">
            <v>Ruta: Productos y Promociones/Resumen NP/ Postpago/Beneficios Descuentos Lineas Adicionales (Aplican todas las Campañas)
Ruta: Productos y Promociones/Resumen NP/ Postpago/Beneficio Descuento Cargo Fijo Televentas y Tienda Virtual Resumen Nota de Producto</v>
          </cell>
          <cell r="N67" t="str">
            <v>Descuento en cargo fijo</v>
          </cell>
        </row>
        <row r="68">
          <cell r="A68" t="str">
            <v>PORTABILIDAD EXCLUSIVA</v>
          </cell>
          <cell r="B68" t="str">
            <v>LISTA DE PRECIOS</v>
          </cell>
          <cell r="D68" t="str">
            <v>PORTABILIDAD EXCLUSIVA</v>
          </cell>
          <cell r="E68" t="str">
            <v>PORTABILIDAD
MIGRACION</v>
          </cell>
          <cell r="F68" t="str">
            <v xml:space="preserve">Portabilidad Exclusiva
Válido para migraciones de prepago a postpago o Portabilidad.
Aplica para planes desde 49.90.
No válido para el plan Max Ilimitado 125.
Beneficio Líneas adicionales (sólo Portabilidad)
Si el el cliente adquiere por Portabilidad líneas adicionales obtendrá 50% en el cargo fijo por 12 meses.
Aplica descuento líneas adicionales desde el plan max 55.90.
* No aplica para los Planes Max Play con Netflix.
</v>
          </cell>
          <cell r="G68" t="str">
            <v xml:space="preserve">
28/04/2022: Beneficio Líneas adicionales:
Se retira la selección del caso Especial Beneficio de CF para clientes actuales.
01/08/2022: Lista de Precios: Portabilidad Exclusiva
Se deja de ofrecer el plan Max Ilimitado 125.
01/08/2022: Beneficio Líneas adicionales: 
Antes aplicaba para el plan max 49.90 ahora aplica desde el plan max 55.90.
</v>
          </cell>
          <cell r="H68" t="str">
            <v>Portabilidad exclusiva:
Válido para todos los canales.
Beneficio líneas adicionales:
Válido para todos los canales.</v>
          </cell>
          <cell r="I68" t="str">
            <v>Vigente</v>
          </cell>
          <cell r="J68" t="str">
            <v>HV Beneficio Líneas Adicionales</v>
          </cell>
          <cell r="K68" t="str">
            <v>Ruta: Productos y Promociones/Personas/Historial Comercial Postpago/Descuento Cargo Fijo/ Portabilidad/Líneas Adicionales con Descuento (Aplican todas las Campañas)</v>
          </cell>
          <cell r="L68" t="str">
            <v>Beneficio Descuento Líneas Adicionales Resumen Nota de Producto</v>
          </cell>
          <cell r="M68" t="str">
            <v>Ruta: Productos y Promociones/Resumen NP/ Postpago/Beneficios Descuentos Lineas Adicionales (Aplican todas las Campañas)</v>
          </cell>
          <cell r="N68" t="str">
            <v>Descuento en equipo y cargo fijo</v>
          </cell>
        </row>
        <row r="69">
          <cell r="A69" t="str">
            <v>PORTABILIDAD PLUS</v>
          </cell>
          <cell r="D69" t="str">
            <v>PORTABILIDAD PLUS</v>
          </cell>
          <cell r="E69" t="str">
            <v>PORTABILIDAD</v>
          </cell>
          <cell r="F69" t="str">
            <v xml:space="preserve">Portabilidad Plus:
Los clientes que hagan una Portabilidad de Postpago a Postpago gozarán de un descuento en el cargo fijo del 50% por 12 meses desde el plan Max Ilimitado 69.90 hasta 289.90.
Aplica para el caso especial whitelist "Winback Call Out.
Beneficio Líneas adicionales
Si el el cliente adquiere por Portabilidad líneas adicionales obtendrá 50% en el cargo fijo por 12 meses.
Aplica descuento líneas adicionales desde el plan max 55.90.
* No aplica para los Planes Max Play con Netflix.
</v>
          </cell>
          <cell r="G69" t="str">
            <v xml:space="preserve">
28/04/2022: Beneficio Líneas adicionales:
Se retira la selección del caso Especial Beneficio de CF para clientes actuales.
01/08/2022: Beneficio Líneas adicionales: 
Antes aplicaba para el plan max 49.90 ahora aplica desde el plan max 55.90.</v>
          </cell>
          <cell r="H69" t="str">
            <v>Portabilidad Plus:
Válido para Televentas.
Beneficio líneas adicionales:
Válido para todos los canales.</v>
          </cell>
          <cell r="I69" t="str">
            <v>Vigente</v>
          </cell>
          <cell r="J69" t="str">
            <v>*HV Promoción Portabilidad Plus
*HV Beneficio Líneas Adicionales</v>
          </cell>
          <cell r="K69" t="str">
            <v xml:space="preserve">Ruta: Productos y Promociones/Personas/Historial Comercial Postpago/Descuento en cargo fijo/ Portabilidad/Portabilidad Plus
Ruta: Productos y Promociones/Personas/Historial Comercial Postpago/Descuento Cargo Fijo/ Portabilidad/Líneas Adicionales con Descuento (Aplican todas las Campañas)
</v>
          </cell>
          <cell r="L69" t="str">
            <v>Promoción Portabilidad Postpago Outbound Resumen Nota de Producto
Beneficio Descuento Líneas Adicionales Resumen Nota de Producto</v>
          </cell>
          <cell r="M69" t="str">
            <v>Ruta: Productos y Promociones/Resumen NP/ Postpago/Promoción Portabilidad Postpago Outbound Resumen Nota de Producto
Ruta: Productos y Promociones/Resumen NP/ Postpago/Oferta Comercial Campaña Bancos</v>
          </cell>
          <cell r="N69" t="str">
            <v>Descuento en cargo fijo</v>
          </cell>
        </row>
        <row r="70">
          <cell r="A70" t="str">
            <v>PORTABILIDAD PLUS CUOTAS</v>
          </cell>
          <cell r="D70" t="str">
            <v>PORTABILIDAD PLUS CUOTAS</v>
          </cell>
          <cell r="E70" t="str">
            <v>PORTABILIDAD</v>
          </cell>
          <cell r="F70" t="str">
            <v>Portabilidad Plus:
Los clientes que hagan una Portabilidad de Postpago a Postpago gozarán de un descuento en el cargo fijo del 50% por 12 meses desde el plan Max Ilimitado 69.90 hasta 289.90.
Aplica para el caso especial whitelist "Winback Call Out.
Beneficio Líneas adicionales
Si el el cliente adquiere por Portabilidad líneas adicionales obtendrá 50% en el cargo fijo por 12 meses.
Aplica descuento líneas adicionales desde el plan max 55.90.
* No aplica para los Planes Max Play con Netflix.</v>
          </cell>
          <cell r="G70" t="str">
            <v>28/04/2022: Beneficio Líneas adicionales:
Se retira la selección del caso Especial Beneficio de CF para clientes actuales.
01/08/2022: Beneficio Líneas adicionales: 
Antes aplicaba para el plan max 49.90 ahora aplica desde el plan max 55.90.</v>
          </cell>
          <cell r="H70" t="str">
            <v>Portabilidad Plus:
Válido para Televentas.
Beneficio líneas adicionales:
Válido para todos los canales.</v>
          </cell>
          <cell r="I70" t="str">
            <v>No Vigente</v>
          </cell>
          <cell r="J70" t="str">
            <v>*HV Promoción Portabilidad Plus
*HV Beneficio Líneas Adicionales</v>
          </cell>
          <cell r="K70" t="str">
            <v xml:space="preserve">Ruta: Productos y Promociones/Personas/Historial Comercial Postpago/Descuento en cargo fijo/ Portabilidad/Portabilidad Plus
Ruta: Productos y Promociones/Personas/Historial Comercial Postpago/Descuento Cargo Fijo/ Portabilidad/Líneas Adicionales con Descuento (Aplican todas las Campañas)
</v>
          </cell>
          <cell r="L70" t="str">
            <v>Promoción Portabilidad Postpago Outbound Resumen Nota de Producto
Beneficio Descuento Líneas Adicionales Resumen Nota de Producto</v>
          </cell>
          <cell r="M70" t="str">
            <v>Ruta: Productos y Promociones/Resumen NP/ Postpago/Promoción Portabilidad Postpago Outbound Resumen Nota de Producto
Ruta: Productos y Promociones/Resumen NP/ Postpago/Oferta Comercial Campaña Bancos</v>
          </cell>
          <cell r="N70" t="str">
            <v>Descuento en cargo fijo</v>
          </cell>
        </row>
        <row r="71">
          <cell r="A71" t="str">
            <v>PORTABILIDAD POST A POST</v>
          </cell>
          <cell r="C71" t="str">
            <v>PORTABILIDAD POST A POST</v>
          </cell>
          <cell r="D71" t="str">
            <v>PORTABILIDAD POST A POST</v>
          </cell>
          <cell r="E71" t="str">
            <v>PORTABILIDAD</v>
          </cell>
          <cell r="F71" t="str">
            <v>Portabilidad Post a Post
Los clientes que realicen una Portabilidad de Postpago a Postpago (chip y pack) tendrán 50% en el cargo fijo por 6 meses.
Aplica descuento líneas adicionales desde el plan max 69.90.
Beneficio Líneas adicionales
Si el el cliente adquiere por Portabilidad líneas adicionales obtendrá 50% en el cargo fijo por 12 meses.
Aplica descuento líneas adicionales desde el plan max 55.90.</v>
          </cell>
          <cell r="G71" t="str">
            <v>28/04/2022: Beneficio Líneas adicionales:
Se retira la selección del caso Especial Beneficio de CF para clientes actuales.
01/08/2022: Beneficio Líneas adicionales: Antes aplicaba para el plan max 49.90 ahora aplica desde el plan max 55.90.</v>
          </cell>
          <cell r="H71" t="str">
            <v>Beneficio Líneas adicionales: Válido para todos los canales.
Portabilidad Post a Post
Válido para Televentas.</v>
          </cell>
          <cell r="I71" t="str">
            <v>Vigente</v>
          </cell>
          <cell r="J71" t="str">
            <v xml:space="preserve">*HV Beneficio Líneas Adicionales </v>
          </cell>
          <cell r="K71" t="str">
            <v xml:space="preserve">Ruta: Productos y Promociones/Personas/Historial Comercial Postpago/Descuento Cargo Fijo/ Portabilidad/Líneas Adicionales con Descuento (Aplican todas las Campañas)
</v>
          </cell>
          <cell r="L71" t="str">
            <v xml:space="preserve">*Promoción Portabilidad Post a Post Resumen Nota de Producto
* Beneficio Descuento Líneas Adicionales Resumen Nota de Producto </v>
          </cell>
          <cell r="M71" t="str">
            <v xml:space="preserve">
Ruta: Productos y Promociones/Resumen NP/ Postpago/Portabilidad Post a Post
Ruta: Productos y Promociones/Resumen NP/ Postpago/Beneficios Descuentos Lineas Adicionales (Aplican todas las Campañas)
</v>
          </cell>
          <cell r="N71" t="str">
            <v>Descuento en cargo fijo</v>
          </cell>
        </row>
        <row r="72">
          <cell r="A72" t="str">
            <v>PROM BBVA POST</v>
          </cell>
          <cell r="D72" t="str">
            <v>PROM BBVA POST</v>
          </cell>
          <cell r="E72" t="str">
            <v>PORTABILIDAD
RENOVACION</v>
          </cell>
          <cell r="F72" t="str">
            <v>Promo BBVA Post
*Si el cliente adquiere equipos de la lista tendrá descuento con tarjetas BBVA (cuotas 12 meses) desde el plan Max 49.90.
* No aplica al descuento el plan Max 125.
* Válido por Portabilidad y Renovación.
Portabilidad Proactiva
Si tu cliente realiza una Portabilidad por Televentas obtendrá:
50% de descuento en el cargo fijo por 6 meses si cuenta con un plan max 55.90 en adelante.
20% de descuento si cuenta con un plan Max 49.90, además de un bono de GB por 6 meses.
Beneficio Líneas adicionales (sólo Portabilidad)
Si el el cliente adquiere por Portabilidad líneas adicionales obtendrá 50% en el cargo fijo por 12 meses.
Aplica descuento líneas adicionales desde el plan max 55.90.</v>
          </cell>
          <cell r="G72" t="str">
            <v xml:space="preserve">
25/09/2021: Promo BBVA Post:
Se adicionan los nuevos planes Max ilimitado 55.90, 69.90, 79.90, 89.90 y 109.90.
01/02/2022: Promo BBVA Post:
Se adiciona un nuevo equipo a la lista.
28/04/2022: Beneficio Líneas adicionales:
Se retira la selección del caso Especial Beneficio de CF para clientes actuales.
01/08/2022: Beneficio Líneas adicionales: 
Antes aplicaba para el plan max 49.90 ahora aplica desde el plan max 55.90.
04/08/2022: Promo BBVA Post:
Se retira el plan Max Ilimitado 125 del beneficio.</v>
          </cell>
          <cell r="H72" t="str">
            <v>Promo BBVA Post: 
Válido para 53 CACs seleccionados 
(revisar hv).
Portabilidad Proactiva: Televentas
Beneficio Líneas adicionales: 
Válido para todos los canales.</v>
          </cell>
          <cell r="I72" t="str">
            <v>Vigente</v>
          </cell>
          <cell r="J72" t="str">
            <v>*HV Convenio BBVA
*HV Portabilidad Proactiva
*HV Beneficio Líneas Adicionales</v>
          </cell>
          <cell r="K72" t="str">
            <v xml:space="preserve">Ruta: Productos y Promociones/Personas/Historial Comercial Postpago/Descuento en equipo/ Portabilidad/Prom BBVA Post
Ruta: Productos y Promociones/Personas/Historial Comercial Postpago/Descuento en cargo fijo / Portabilidad / Prom Interbank/Diners/BBVA/Scotiabank Post
Ruta: Productos y Promociones/Personas/Historial Comercial Postpago/Descuento Cargo Fijo/ Alta o Portabilidad/Líneas Adicionales con Descuento (Aplican todas las Campañas)
</v>
          </cell>
          <cell r="L72" t="str">
            <v>Oferta Comercial Campaña Bancos Renovación y Portabilidad Resumen Nota de Producto
Beneficio Descuento Líneas Adicionales Resumen Nota de Producto</v>
          </cell>
          <cell r="M72" t="str">
            <v>Ruta: Productos y Promociones/Resumen NP/ Postpago/Oferta Comercial Campaña Bancos
Ruta: Productos y Promociones/Resumen NP/ Postpago/Beneficio Descuento Líneas Adicionales Resumen Nota de Producto</v>
          </cell>
          <cell r="N72" t="str">
            <v>Descuento en equipo y cargo fijo</v>
          </cell>
        </row>
        <row r="73">
          <cell r="A73" t="str">
            <v>PROM CENCOSUD POST</v>
          </cell>
          <cell r="B73" t="str">
            <v>LISTA DE PRECIOS CONVENIOS</v>
          </cell>
          <cell r="D73" t="str">
            <v>PROM CENCOSUD POST</v>
          </cell>
          <cell r="E73" t="str">
            <v>PORTABILIDAD
RENOVACION</v>
          </cell>
          <cell r="F73" t="str">
            <v>Prom Cencosud Post
*Si el cliente adquiere equipos de la lista tendrá descuento con tarjetas CENCOSUD (cuotas 14 o 22 meses) sin intereses, desde el plan Max 49.90.
* Válido por Portabilidad y Renovación.
Beneficio Líneas adicionales (sólo Portabilidad)
Si el el cliente adquiere por Portabilidad líneas adicionales obtendrá 50% en el cargo fijo por 12 meses.
Aplica descuento líneas adicionales desde el plan max 55.90.</v>
          </cell>
          <cell r="G73" t="str">
            <v xml:space="preserve">01/08/2022: Beneficio Líneas adicionales: 
Antes aplicaba para el plan max 49.90 ahora aplica desde el plan max 55.90.
</v>
          </cell>
          <cell r="H73" t="str">
            <v>Prom Cencosud Post: 
Válido para 55 CACs seleccionados 
(revisar hv).
Beneficio Líneas adicionales: 
Válido para todos los canales.</v>
          </cell>
          <cell r="I73" t="str">
            <v>Vigente</v>
          </cell>
          <cell r="J73" t="str">
            <v>*HV Convenio Cencosud
*HV Beneficio Líneas Adicionales</v>
          </cell>
          <cell r="K73" t="str">
            <v>Ruta: Productos y Promociones/Personas/Historial Comercial Postpago/Descuento en equipo/ Portabilidad-Renovación/Prom Cencosud Post
Ruta: Productos y Promociones/Personas/Historial Comercial Postpago/Descuento Cargo Fijo/ Alta o Portabilidad/Líneas Adicionales con Descuento (Aplican todas las Campañas)</v>
          </cell>
          <cell r="L73" t="str">
            <v>Oferta Comercial Campaña Bancos Renovación y Portabilidad Resumen Nota de Producto
Beneficio Descuento Líneas Adicionales Resumen Nota de Producto</v>
          </cell>
          <cell r="M73" t="str">
            <v>Ruta: Productos y Promociones/Resumen NP/ Postpago/Oferta Comercial Campaña Bancos
Ruta: Productos y Promociones/Resumen NP/ Postpago/Beneficio Descuento Líneas Adicionales Resumen Nota de Producto</v>
          </cell>
          <cell r="N73" t="str">
            <v>Descuento en equipo y cargo fijo</v>
          </cell>
        </row>
        <row r="74">
          <cell r="A74" t="str">
            <v>PROM DINERS POST</v>
          </cell>
          <cell r="C74" t="str">
            <v>PROM DINERS POST</v>
          </cell>
          <cell r="D74" t="str">
            <v>PROM DINERS POST</v>
          </cell>
          <cell r="E74" t="str">
            <v>PORTABILIDAD</v>
          </cell>
          <cell r="F74" t="str">
            <v xml:space="preserve">Portabilidad Proactiva
Si tu cliente realiza una Portabilidad por Televentas obtendrá:
50% de descuento en el cargo fijo por 6 meses si cuenta con un plan max 55.90 en adelante.
20% de descuento si cuenta con un plan Max 49.90, además de un bono de GB por 6 meses.
Beneficio Líneas adicionales
Si el el cliente adquiere por Portabilidad líneas adicionales obtendrá 50% en el cargo fijo por 12 meses.
Aplica descuento líneas adicionales desde el plan max 55.90.
* No aplica para los Planes Max Play con Netflix.
Convenio Diners
Porta o renueva tu equipo en Claro hasta en 12 cuotas sin intereses pagando con tu tarjeta DINERS desde el plan Max 49.90.
</v>
          </cell>
          <cell r="G74" t="str">
            <v xml:space="preserve">
28/04/2022: Beneficio Líneas adicionales:
Se retira la selección del caso Especial Beneficio de CF para clientes actuales.
01/08/2022: Beneficio Líneas adicionales: 
Antes aplicaba para el plan max 49.90 ahora aplica desde el plan max 55.90.
Convenio Diners
Válido hasta el 31/10/2022.</v>
          </cell>
          <cell r="H74" t="str">
            <v xml:space="preserve">Convenio Diners: 
Solo válido para 53 CACs seleccionados.
Portabilidad Proactiva: Televentas
Beneficio Líneas adicionales: 
Válido para todos los canales.
</v>
          </cell>
          <cell r="I74" t="str">
            <v xml:space="preserve">Convenio Diners: 
No Vigente
Portabilidad Proactiva: 
Beneficio Líneas adicionales: 
Vigente
</v>
          </cell>
          <cell r="J74" t="str">
            <v xml:space="preserve">*HV Portabilidad Proactiva
*HV Beneficio Líneas Adicionales
*HV Convenio Diners
</v>
          </cell>
          <cell r="K74" t="str">
            <v xml:space="preserve">
Ruta: Productos y Promociones/Personas/Historial Comercial Postpago/Descuento Cargo Fijo/ Alta o Portabilidad/Líneas Adicionales con Descuento (Aplican todas las Campañas)
Ruta: Productos y Promociones/Personas/Historial Comercial Postpago/Descuento en equipo/ Portabilidad/Prom Diners Post
</v>
          </cell>
          <cell r="L74" t="str">
            <v xml:space="preserve">
Beneficio Descuento Líneas Adicionales Resumen Nota de Producto
Oferta Comercial Campaña Bancos Renovación y Portabilidad Resumen Nota de Producto
</v>
          </cell>
          <cell r="M74" t="str">
            <v>Ruta: Productos y Promociones/Resumen NP/ Postpago/Beneficios Descuentos Lineas Adicionales (Aplican todas las Campañas)
Ruta: Productos y Promociones/Resumen NP/ Postpago/Oferta Comercial Campaña Bancos</v>
          </cell>
          <cell r="N74" t="str">
            <v>Descuento en equipo y cargo fijo</v>
          </cell>
        </row>
        <row r="75">
          <cell r="A75" t="str">
            <v>PROM INTERBANK POST</v>
          </cell>
          <cell r="B75" t="str">
            <v>PROMOCION INTERBANK POST</v>
          </cell>
          <cell r="C75" t="str">
            <v>PROM INTERBANK POST</v>
          </cell>
          <cell r="D75" t="str">
            <v>PROM INTERBANK POST</v>
          </cell>
          <cell r="E75" t="str">
            <v>PORTABILIDAD
RENOVACION</v>
          </cell>
          <cell r="F75" t="str">
            <v xml:space="preserve">Prom Interbank Post:
El cliente podrá comprar su nuevo iPhone hasta en 24 cuotas sin intereses con su tarjeta de crédito Interbank en CAC seleccionados y en tienda Claro. 
Aplica para equipos y accesorios iPhone.
Aplica desde el plan Max 29.90 hasta 109.90 y del 159.90 hasta el 289.90.
Portabilidad Proactiva
Si tu cliente realiza una Portabilidad por Televentas obtendrá:
50% de descuento en el cargo fijo por 6 meses si cuenta con un plan max 55.90 en adelante.
20% de descuento si cuenta con un plan Max 49.90, además de un bono de GB por 6 meses.
Beneficio Líneas adicionales (sólo Portabilidad)
Si el el cliente adquiere por Portabilidad líneas adicionales obtendrá 50% en el cargo fijo por 12 meses.
Aplica descuento líneas adicionales desde el plan max 55.90.
</v>
          </cell>
          <cell r="G75" t="str">
            <v>24/09/2021: Prom Interbank Post:
Se adicionan los nuevos planes Max ilimitado 55.90, 69.90, 79.90, 89.90 y 109.90.
09/11/2021: Prom Interbank Post:
Se adicionan CACs participantes en la promoción (de 29 a 54 CACs).
25 al 31 de Marzo del 2022: Prom Interbank Post:
Se crea nueva lista de equipos Promoción Interbank Postpago.
Aplica para clientes interbank atendidos vía tienda virtual, televentas o CACs.
Los planes que aplican a esta lista para renovación son: 55.90, 65, 75, 85 y 105. 
28/04/2022: Beneficio Líneas adicionales:
Se retira la selección del caso Especial Beneficio de CF para clientes actuales.
07/06/2021: Prom Interbank Post:
La promoción es válida tambien para accesorios iPhone.
01/08/2022: Beneficio Líneas adicionales: 
Antes aplicaba para el plan max 49.90 ahora aplica desde el plan max 55.90.
03/08/2021: Prom Interbank Post:
No aplica para el plan Max Ilimitado 125.</v>
          </cell>
          <cell r="H75" t="str">
            <v>Prom Interbank Post:
Sólo válido para 54 CACs seleccionados
(revisa hv)
Portabilidad Proactiva: Televentas
Beneficio Líneas adicionales:
Válido para todos los canales.</v>
          </cell>
          <cell r="I75" t="str">
            <v>Vigente</v>
          </cell>
          <cell r="J75" t="str">
            <v xml:space="preserve">*HV Convenio Interbank
* HV Beneficio Líneas Adicionales 
*HV Portabilidad Proactiva  </v>
          </cell>
          <cell r="K75" t="str">
            <v xml:space="preserve">Ruta: Productos y Promociones/Personas/Historial Comercial Postpago/Descuento en Equipo/Portabilidad/Prom Interbank Post
Ruta: Productos y Promociones/Personas/Historial Comercial Postpago/Descuento Cargo Fijo/ Portabilidad/Líneas Adicionales con Descuento (Aplican todas las Campañas)
Ruta: Productos y Promociones/Personas/Historial Comercial Postpago/Descuento Cargo Fijo/ Portabilidad/Prom Interbank/Diners/BBVA/Scotiabank Post
</v>
          </cell>
          <cell r="L75" t="str">
            <v>* Oferta Comercial Campaña Bancos Renovación y Portabilidad Resumen Nota de Producto
* Beneficio Descuento Líneas Adicionales Resumen Nota de Producto 
* Beneficio Descuento Cargo Fijo Televentas y Tienda Virtual Resumen Nota de Producto</v>
          </cell>
          <cell r="M75" t="str">
            <v>*Oferta Comercial Campaña Bancos Renovación y Portabilidad Resumen Nota de Producto
Ruta: Productos y Promociones/Resumen NP/ Postpago/Beneficios Descuentos Lineas Adicionales (Aplican todas las Campañas)
Ruta: Productos y Promociones/Resumen NP/ Postpago/Beneficio Descuento Cargo Fijo Televentas y Tienda Virtual Resumen Nota de Producto</v>
          </cell>
          <cell r="N75" t="str">
            <v>Descuento en equipo y cargo fijo</v>
          </cell>
        </row>
        <row r="76">
          <cell r="A76" t="str">
            <v>PROM SCOTIABANK POST</v>
          </cell>
          <cell r="B76" t="str">
            <v>PROMOCION SCOTIABANK POSTPAGO</v>
          </cell>
          <cell r="C76" t="str">
            <v>PROM SCOTIABANK POST</v>
          </cell>
          <cell r="D76" t="str">
            <v>PROM SCOTIABANK POST</v>
          </cell>
          <cell r="E76" t="str">
            <v>PORTABILIDAD</v>
          </cell>
          <cell r="F76" t="str">
            <v xml:space="preserve">Prom Scotiabank Post
*Los clientes Scotiabank pueden adquirir equipos de la promoción en 12 cuotas sin intereses con su Tarjeta de Crédito Visa Única, *Válido para portabilidad o renovación con un plan postpago desde Max 49.90.
*Para el descuento en accesorios de la promoción, válido solo si reside en Lima Metropolitana.
Portabilidad Proactiva
Si tu cliente realiza una Portabilidad por Televentas obtendrá:
50% de descuento en el cargo fijo por 6 meses si cuenta con un plan max 55.90 en adelante.
20% de descuento si cuenta con un plan Max 49.90, además de un bono de GB por 6 meses.
Beneficio Líneas adicionales (sólo Portabilidad)
Si el el cliente adquiere por Portabilidad líneas adicionales obtendrá 50% en el cargo fijo por 12 meses.
Aplica descuento líneas adicionales desde el plan max 55.90.
</v>
          </cell>
          <cell r="G76" t="str">
            <v xml:space="preserve">
28/04/2022: Beneficio Líneas adicionales:
Se retira la selección del caso Especial Beneficio de CF para clientes actuales.
30/04/2022:Prom Scotiabank Post:
Promoción válida hasta el 30/04/2022.
30/04/2022: Lista de precios Promoción Scotiabank Postpago:
Válido del 15 al 30 de abril del 2022.
01/08/2022: Beneficio Líneas adicionales: 
Antes aplicaba para el plan max 49.90 ahora aplica desde el plan max 55.90.</v>
          </cell>
          <cell r="H76" t="str">
            <v>Prom Scotiabank Post:
Válido para los 53 CACs seleccionados. (revisa HV).
Lista de precios Promoción Scotiabank Postpago:
Aplica para clientes del Scotiabank atendidos por el call center TLVTAS_RETEN_A365
Portabilidad Proactiva: Televentas
Beneficio Líneas adicionales
Válido para todos los canales.</v>
          </cell>
          <cell r="I76" t="str">
            <v>Vigente</v>
          </cell>
          <cell r="J76" t="str">
            <v xml:space="preserve">*HV Convenio Scotiabank
* HV Beneficio Líneas Adicionales 
*HV Portabilidad Proactiva  </v>
          </cell>
          <cell r="K76" t="str">
            <v xml:space="preserve">Ruta: Productos y Promociones/Personas/Historial Comercial Postpago/Descuento en equipo/Portabilidad/Prom Scotiabank Post
Ruta: Productos y Promociones/Personas/Historial Comercial Postpago/Descuento Cargo Fijo/ Portabilidad/Líneas Adicionales con Descuento (Aplican todas las Campañas)
Ruta: Productos y Promociones/Personas/Historial Comercial Postpago/Descuento Cargo Fijo/ Portabilidad/Prom Interbank/Diners/BBVA/Scotiabank Post
</v>
          </cell>
          <cell r="L76" t="str">
            <v>* Oferta Comercial Campaña Bancos Renovación y Portabilidad Resumen Nota de Producto
* Beneficio Descuento Líneas Adicionales Resumen Nota de Producto 
* Beneficio Descuento Cargo Fijo Televentas y Tienda Virtual Resumen Nota de Producto</v>
          </cell>
          <cell r="M76" t="str">
            <v>*Oferta Comercial Campaña Bancos Renovación y Portabilidad Resumen Nota de Producto
Ruta: Productos y Promociones/Resumen NP/ Postpago/Beneficios Descuentos Lineas Adicionales (Aplican todas las Campañas)
Ruta: Productos y Promociones/Resumen NP/ Postpago/Beneficio Descuento Cargo Fijo Televentas y Tienda Virtual Resumen Nota de Producto</v>
          </cell>
          <cell r="N76" t="str">
            <v>Descuento en equipo y cargo fijo</v>
          </cell>
        </row>
        <row r="77">
          <cell r="A77" t="str">
            <v>PROM TARJETA OH POST</v>
          </cell>
          <cell r="D77" t="str">
            <v>PROM TARJETA OH POST</v>
          </cell>
          <cell r="E77" t="str">
            <v>PORTABILIDAD
RENOVACION</v>
          </cell>
          <cell r="F77" t="str">
            <v xml:space="preserve"> - Convenio Financiera OH
Si tu cliente adquiere un equipo pagando con tarjetas Financiera OH Visa tendrá desde 2 hasta 6 cuotas sin intereses además de precios especiales en equipos seleccionados.
Válido desde el plan Max 49.90. No participa el plan Max ilimitado 125.
No aplica para delivery.
No válido para compras en Tienda Virtual Claro, Cadenas ni Distribuidores. 
 - Beneficio Líneas adicionales (sólo Portabilidad)
Si el el cliente adquiere por Portabilidad líneas adicionales obtendrá 50% en el cargo fijo por 12 meses.
Aplica descuento líneas adicionales desde el plan max 55.90.</v>
          </cell>
          <cell r="G77" t="str">
            <v>01/11/2022: Convenio Financiera OH:
Se activa el convenio hasta el 10/12/2022.</v>
          </cell>
          <cell r="H77" t="str">
            <v>Promoción Huawei:
Válido solo en los 55 CACs indicados en la Hoja de venta.
Beneficio Líneas adicionales: 
Válido para todos los canales.</v>
          </cell>
          <cell r="I77" t="str">
            <v>Vigente</v>
          </cell>
          <cell r="J77" t="str">
            <v xml:space="preserve">
*HV Convenio Financiera OH
*HV Beneficio Líneas Adicionales</v>
          </cell>
          <cell r="K77" t="str">
            <v xml:space="preserve">Ruta: Productos y Promociones/Personas/Historial Comercial Postpago/Descuento en equipo/ Portabilidad - Renovación / Prom Tarjeta OH Post
Ruta: Productos y Promociones/Personas/Historial Comercial Postpago/Descuento Cargo Fijo/ Alta o Portabilidad/Líneas Adicionales con Descuento (Aplican todas las Campañas)
</v>
          </cell>
          <cell r="L77" t="str">
            <v>Oferta Comercial Campaña Bancos Renovación y Portabilidad Resumen Nota de Producto
Beneficio Descuento Líneas Adicionales Resumen Nota de Producto</v>
          </cell>
          <cell r="M77" t="str">
            <v>Ruta: Productos y Promociones/Resumen NP/ Postpago/Oferta Comercial Campaña Bancos Renovación y Portabilidad Resumen Nota de Producto
Ruta: Productos y Promociones/Resumen NP/ Postpago/Beneficio Descuento Líneas Adicionales Resumen Nota de Producto</v>
          </cell>
          <cell r="N77" t="str">
            <v>Descuento en equipo y cargo fijo</v>
          </cell>
        </row>
        <row r="78">
          <cell r="A78" t="str">
            <v>PROMO CANJE SMART 2022</v>
          </cell>
          <cell r="D78" t="str">
            <v>PROMO CANJE SMART 2022</v>
          </cell>
          <cell r="E78" t="str">
            <v>PORTABILIDAD
RENOVACION</v>
          </cell>
          <cell r="F78" t="str">
            <v>Promo Canje Smart 2022:
El cliente podrá comprar un equipo nuevo Iphone con su equipo antiguo. Válido para planes postpago Max e Ilimitados.
Beneficio Líneas adicionales
Si el el cliente adquiere por Portabilidad líneas adicionales obtendrá 50% en el cargo fijo por 12 meses.
Aplica descuento líneas adicionales desde el plan max 55.90.
* No aplica para los Planes Max Play con Netflix.</v>
          </cell>
          <cell r="G78" t="str">
            <v>Promo Canje Smart 2022: 
Vigente del 22/09/2022 hasta el 10/10/2022.</v>
          </cell>
          <cell r="H78" t="str">
            <v>Promo Canje Smart 2022: 
Aplica CACs a nivel nacional , Tienda Virtual y Televentas solo para solicitudes con recojo en CACs.
Beneficio Líneas adicionales: 
Válido para todos los canales.</v>
          </cell>
          <cell r="I78" t="str">
            <v>No Vigente</v>
          </cell>
          <cell r="J78" t="str">
            <v xml:space="preserve">* HV Canje Smart 
*HV Beneficio Líneas Adicionales </v>
          </cell>
          <cell r="K78" t="str">
            <v xml:space="preserve">
Ruta: Productos y Promociones/Personas/Historial Comercial Postpago/Descuento en Equipo/Portabilidad/Renovación/Promo Canje Smart 2022
Ruta: Productos y Promociones/Personas/Historial Comercial Postpago/Descuento Cargo Fijo/ Portabilidad/Líneas Adicionales con Descuento (Aplican todas las Campañas)
</v>
          </cell>
          <cell r="L78" t="str">
            <v xml:space="preserve">* Beneficio Descuento Líneas Adicionales Resumen Nota de Producto </v>
          </cell>
          <cell r="M78" t="str">
            <v>Ruta: Productos y Promociones/Resumen NP/ Postpago/Beneficios Descuentos Lineas Adicionales (Aplican todas las Campañas)</v>
          </cell>
          <cell r="N78" t="str">
            <v>Descuento en equipo y cargo fijo</v>
          </cell>
        </row>
        <row r="79">
          <cell r="A79" t="str">
            <v>PROMOCION DAC Y CADENAS</v>
          </cell>
          <cell r="B79" t="str">
            <v>PROMO DAC Y CADENAS</v>
          </cell>
          <cell r="D79" t="str">
            <v>PROMO DAC Y CADENAS</v>
          </cell>
          <cell r="E79" t="str">
            <v>PORTABILIDAD
RENOVACION</v>
          </cell>
          <cell r="F79" t="str">
            <v>Promo DAC y Cadenas:
Válido para Portabilidad y Renovación.
Al contado plazo de acuerdo a 18 meses.
Beneficio Líneas adicionales (sólo Portabilidad)
Si el el cliente adquiere por Portabilidad líneas adicionales obtendrá 50% en el cargo fijo por 12 meses.
Aplica descuento líneas adicionales desde el plan max 49.90.</v>
          </cell>
          <cell r="G79" t="str">
            <v>13/04/2022: Promo DAC y Cadenas: 
Última fecha de vigencia.</v>
          </cell>
          <cell r="H79" t="str">
            <v>Promo DAC y Cadenas:
Aplica sólo para los Dac y Cadenas a Nivel Nacional
Beneficio Líneas adicionales: 
Válido para todos los canales.</v>
          </cell>
          <cell r="I79" t="str">
            <v>No Vigente</v>
          </cell>
          <cell r="J79" t="str">
            <v>HV Beneficio Líneas Adicionales</v>
          </cell>
          <cell r="K79" t="str">
            <v>Ruta: Productos y Promociones/Personas/Historial Comercial Postpago/Descuento Cargo Fijo/ Portabilidad/Líneas Adicionales con Descuento (Aplican todas las Campañas)</v>
          </cell>
          <cell r="L79" t="str">
            <v>Beneficio Descuento Líneas Adicionales Resumen Nota de Producto</v>
          </cell>
          <cell r="M79" t="str">
            <v>Ruta: Productos y Promociones/Resumen NP/ Postpago/Beneficios Descuentos Lineas Adicionales (Aplican todas las Campañas)</v>
          </cell>
          <cell r="N79" t="str">
            <v>Descuento en cargo fijo</v>
          </cell>
        </row>
        <row r="80">
          <cell r="A80" t="str">
            <v>PROMO FOCALIZADA</v>
          </cell>
          <cell r="B80" t="str">
            <v>PROMOCION FOCALIZADA</v>
          </cell>
          <cell r="D80" t="str">
            <v>PROMO FOCALIZADA</v>
          </cell>
          <cell r="E80" t="str">
            <v>PORTABILIDAD
RENOVACION</v>
          </cell>
          <cell r="F80" t="str">
            <v>Promo Focalizada:
Válido para Portabilidad y Renovación.
Los planes 35.9, 59.9, 65, 75, 85 y 105 sólo aplican para "RENOVACIÓN".
Beneficio Líneas adicionales (sólo Portabilidad)
Si el el cliente adquiere por Portabilidad líneas adicionales obtendrá 50% en el cargo fijo por 12 meses.
Aplica descuento líneas adicionales desde el plan max 49.90.</v>
          </cell>
          <cell r="G80" t="str">
            <v>02 al 14 de Marzo del 2022: Promo Focalizada:
Vigencia de lista.
15 al 30 de Marzo del 2022: Promo Focalizada:
Vigencia de lista.
01 al 14 de Abril del 2022: Promo Focalizada:
Vigencia de lista.</v>
          </cell>
          <cell r="H80" t="str">
            <v>Promo Focalizada:
*Aplica sólo para los CACs, DACs y Cadenas de los departamentos Ancash, Arequipa, Cusco, Huanuco, Ica, Junin, La Libertad, Piura, Puno, Tacna, Ucayali, Lambayeque y Lima
Beneficio Líneas adicionales: 
Válido para todos los canales.</v>
          </cell>
          <cell r="I80" t="str">
            <v>No Vigente</v>
          </cell>
          <cell r="J80" t="str">
            <v>HV Beneficio Líneas Adicionales</v>
          </cell>
          <cell r="K80" t="str">
            <v>Ruta: Productos y Promociones/Personas/Historial Comercial Postpago/Descuento Cargo Fijo/ Portabilidad/Líneas Adicionales con Descuento (Aplican todas las Campañas)</v>
          </cell>
          <cell r="L80" t="str">
            <v>Beneficio Descuento Líneas Adicionales Resumen Nota de Producto</v>
          </cell>
          <cell r="M80" t="str">
            <v>Ruta: Productos y Promociones/Resumen NP/ Postpago/Beneficios Descuentos Lineas Adicionales (Aplican todas las Campañas)</v>
          </cell>
          <cell r="N80" t="str">
            <v>Descuento en cargo fijo</v>
          </cell>
        </row>
        <row r="81">
          <cell r="A81" t="str">
            <v>PROMO OFERTA SECRETA</v>
          </cell>
          <cell r="D81" t="str">
            <v>PROMO OFERTA SECRETA</v>
          </cell>
          <cell r="E81" t="str">
            <v>PORTABILIDAD</v>
          </cell>
          <cell r="F81" t="str">
            <v>Beneficio Líneas adicionales
Si el el cliente adquiere por Portabilidad líneas adicionales obtendrá 50% en el cargo fijo por 12 meses.
Aplica descuento líneas adicionales desde el plan max 55.90</v>
          </cell>
          <cell r="G81" t="str">
            <v xml:space="preserve">
28/04/2022: Beneficio Líneas adicionales:
Se retira la selección del caso Especial Beneficio de CF para clientes actuales.
01/08/2022: Beneficio Líneas adicionales:
Aplica desde el plan max 55.90 (antes desde el plan max 49.90).</v>
          </cell>
          <cell r="H81" t="str">
            <v>Beneficio líneas adicionales:
Válido para todos los canales.</v>
          </cell>
          <cell r="I81" t="str">
            <v>No Vigente</v>
          </cell>
          <cell r="J81" t="str">
            <v xml:space="preserve">*HV Beneficio Líneas Adicionales </v>
          </cell>
          <cell r="K81" t="str">
            <v xml:space="preserve">
Ruta: Productos y Promociones/Personas/Historial Comercial Postpago/Descuento Cargo Fijo/ Portabilidad/Líneas Adicionales con Descuento (Aplican todas las Campañas)
</v>
          </cell>
          <cell r="L81" t="str">
            <v xml:space="preserve">* Beneficio Descuento Líneas Adicionales Resumen Nota de Producto </v>
          </cell>
          <cell r="M81" t="str">
            <v>Ruta: Productos y Promociones/Resumen NP/ Postpago/Beneficios Descuentos Lineas Adicionales (Aplican todas las Campañas)</v>
          </cell>
          <cell r="N81" t="str">
            <v>Descuento en cargo fijo</v>
          </cell>
        </row>
        <row r="82">
          <cell r="A82" t="str">
            <v>PROMO POST</v>
          </cell>
          <cell r="B82" t="str">
            <v>PROMOCION POSTPAGO</v>
          </cell>
          <cell r="D82" t="str">
            <v>PROMO POST</v>
          </cell>
          <cell r="E82" t="str">
            <v>PORTABILIDAD
RENOVACION</v>
          </cell>
          <cell r="F82" t="str">
            <v>Promo Post:
Válido para Portabilidad y Renovación.
Al contado plazo de acuerdo a 18 meses.
Aplica para planes a partir de Max 55.90.
Aplica para planes Netflix 95, 115 y 145.
Beneficio Líneas adicionales (sólo Portabilidad)
Si el el cliente adquiere por Portabilidad líneas adicionales obtendrá 50% en el cargo fijo por 12 meses.
Aplica descuento líneas adicionales desde el plan max 55.90.
* No aplica para los Planes Max Play con Netflix.</v>
          </cell>
          <cell r="G82" t="str">
            <v xml:space="preserve">14 al 31 de julio del 2022: Promo Post
Vigencia de lista.
01 al 16 de agosto del 2022: Promo Post
Vigencia de lista.
01/08/2022: Beneficio Líneas adicionales: 
Antes aplicaba para el plan max 49.90 ahora aplica desde el plan max 55.90.
</v>
          </cell>
          <cell r="H82" t="str">
            <v>Promo Post:
Aplica en CAC, Cadenas, Tienda Virtual, Televentas In, Televentas Out y Retención
Beneficio líneas adicionales:
Válido para todos los canales.</v>
          </cell>
          <cell r="I82" t="str">
            <v>No Vigente</v>
          </cell>
          <cell r="J82" t="str">
            <v>HV Beneficio Líneas Adicionales</v>
          </cell>
          <cell r="K82" t="str">
            <v>Ruta: Productos y Promociones/Personas/Historial Comercial Postpago/Descuento Cargo Fijo/ Portabilidad/Líneas Adicionales con Descuento (Aplican todas las Campañas)</v>
          </cell>
          <cell r="L82" t="str">
            <v xml:space="preserve">Beneficio Descuento Líneas Adicionales Resumen Nota de Producto </v>
          </cell>
          <cell r="M82" t="str">
            <v>Ruta: Productos y Promociones/Resumen NP/ Postpago/Beneficios Descuentos Lineas Adicionales (Aplican todas las Campañas)</v>
          </cell>
          <cell r="N82" t="str">
            <v>Descuento en cargo fijo</v>
          </cell>
        </row>
        <row r="83">
          <cell r="A83" t="str">
            <v>PROMO RELAMPAGO POST</v>
          </cell>
          <cell r="B83" t="str">
            <v>PROMOCION RELAMPAGO</v>
          </cell>
          <cell r="D83" t="str">
            <v>PROMO RELAMPAGO POST</v>
          </cell>
          <cell r="E83" t="str">
            <v>PORTABILIDAD
RENOVACION</v>
          </cell>
          <cell r="F83" t="str">
            <v>Promo Relámpago Post:
Válido para Portabilidad y Renovación.
Aplica desde el plan Max 69.90.
Al contado plazo de acuerdo a 18 meses.
Aplica para planes Netflix 95, 115 y 145.
Beneficio Líneas adicionales (sólo Portabilidad)
Si el el cliente adquiere por Portabilidad líneas adicionales obtendrá 50% en el cargo fijo por 12 meses.
Aplica descuento líneas adicionales desde el plan max 49.90.
* No aplica para los Planes Max Play con Netflix.</v>
          </cell>
          <cell r="G83" t="str">
            <v>29 al 30 de Marzo del 2022: Promo Relámpago Post:
Vigencia de lista.
02 al 04 de Abril del 2022: Promo Relámpago Post:
Vigencia de lista.
09 al 11 de Abril del 2022: Promo Relámpago Post:
Vigencia de lista.
14 al 18 de Abril del 2022: Promo Relámpago Post:
Vigencia de lista.
23 al 25 de Abril del 2022: Promo Relámpago Post:
Vigencia de lista.
28/04/2022: Beneficio Líneas adicionales:
Se retira la selección del caso Especial Beneficio de CF para clientes actuales.
29 de Abril al 02 de Mayo del 2022: Promo Relámpago Post:
Vigencia de lista.
21 al 23 de Mayo del 2022: Promo Relámpago Post:
Se reactiva lista.
Aplica para planes Max desde 69.90 (antes desde 55.90).</v>
          </cell>
          <cell r="H83" t="str">
            <v>Promo Relámpago Post:
Válido para todos los canales.
Beneficio líneas adicionales:
Válido para todos los canales.</v>
          </cell>
          <cell r="I83" t="str">
            <v>No Vigente</v>
          </cell>
          <cell r="J83" t="str">
            <v>No aplica</v>
          </cell>
          <cell r="K83" t="str">
            <v>Ruta: Productos y Promociones/Personas/Historial Comercial Postpago/Descuento Cargo Fijo/ Portabilidad/Líneas Adicionales con Descuento (Aplican todas las Campañas)</v>
          </cell>
          <cell r="L83" t="str">
            <v xml:space="preserve">Beneficio Descuento Líneas Adicionales Resumen Nota de Producto </v>
          </cell>
          <cell r="M83" t="str">
            <v>Ruta: Productos y Promociones/Resumen NP/ Postpago/Beneficios Descuentos Lineas Adicionales (Aplican todas las Campañas)</v>
          </cell>
          <cell r="N83" t="str">
            <v>Descuento en cargo fijo</v>
          </cell>
        </row>
        <row r="84">
          <cell r="A84" t="str">
            <v>PROMOCION HUAWEI</v>
          </cell>
          <cell r="C84" t="str">
            <v>PROMOCION XIAOMI-HUAWEI</v>
          </cell>
          <cell r="D84" t="str">
            <v>PROMOCION HUAWEI</v>
          </cell>
          <cell r="E84" t="str">
            <v>ALTA
PORTABILIDAD</v>
          </cell>
          <cell r="F84" t="str">
            <v>Promoción Huawei
Clientes que hayan adquirido en alta y portabilidad tendrán el 20% de descuento en los 3 primeros cargos fijos mensuales del plan.*
*Se podrán adquirir solo en las tiendas Huawei.
Válido desde el plan Max 55.90.
Beneficio Líneas adicionales (sólo Portabilidad)
Si el el cliente adquiere por Portabilidad líneas adicionales obtendrá 50% en el cargo fijo por 12 meses.
Aplica descuento líneas adicionales desde el plan max 55.90.</v>
          </cell>
          <cell r="G84" t="str">
            <v>23/09/2022: Promoción Huawei:
Se activa la promoción.</v>
          </cell>
          <cell r="H84" t="str">
            <v>Promoción Huawei:
Solo en las tiendas Huawei.
Beneficio Líneas adicionales: 
Válido para todos los canales.</v>
          </cell>
          <cell r="I84" t="str">
            <v>Vigente</v>
          </cell>
          <cell r="J84" t="str">
            <v xml:space="preserve">
*HV Beneficio Líneas Adicionales</v>
          </cell>
          <cell r="K84" t="str">
            <v>Ruta: Productos y Promociones/Personas/Historial Comercial Postpago/Descuento en cargo fijo/ Alta-Portabilidad/Promoción Huawei
Ruta: Productos y Promociones/Personas/Historial Comercial Postpago/Descuento Cargo Fijo/ Alta o Portabilidad/Líneas Adicionales con Descuento (Aplican todas las Campañas)</v>
          </cell>
          <cell r="L84" t="str">
            <v>Promoción Huawei Resumen Nota de Producto
Beneficio Descuento Líneas Adicionales Resumen Nota de Producto</v>
          </cell>
          <cell r="M84" t="str">
            <v>Ruta: Productos y Promociones/Resumen NP/ Postpago/Promoción Huawei Resumen Nota de Producto
Ruta: Productos y Promociones/Resumen NP/ Postpago/Beneficio Descuento Líneas Adicionales Resumen Nota de Producto</v>
          </cell>
          <cell r="N84" t="str">
            <v>Descuento en cargo fijo</v>
          </cell>
        </row>
        <row r="85">
          <cell r="A85" t="str">
            <v>REFERIDOS PREMIUM</v>
          </cell>
          <cell r="B85" t="str">
            <v>REFERIDOS PREMIUM</v>
          </cell>
          <cell r="D85" t="str">
            <v>REFERIDOS PREMIUM</v>
          </cell>
          <cell r="E85" t="str">
            <v>PORTABILIDAD</v>
          </cell>
          <cell r="F85" t="str">
            <v>Portabilidad Proactiva
Si tu cliente realiza una Portabilidad por Televentas obtendrá:
50% de descuento en el cargo fijo por 6 meses si cuenta con un plan max 55.90 en adelante. Además de un bono de GBs en el plan de 49.90 por 6 meses.
Beneficio Líneas adicionales
Si el el cliente adquiere por Portabilidad líneas adicionales obtendrá 50% en el cargo fijo por 12 meses.
Aplica descuento líneas adicionales desde el plan max 55.90.
* No aplica para los Planes Max Play con Netflix.</v>
          </cell>
          <cell r="G85" t="str">
            <v>Portabilidad Proactiva: 
Campaña vigente hasta el 15/01/2022.</v>
          </cell>
          <cell r="H85" t="str">
            <v>Portabilidad Proactiva:
Válido para Televentas.
Beneficio Líneas adicionales:
Válido para todos los canales.</v>
          </cell>
          <cell r="I85" t="str">
            <v>Vigente</v>
          </cell>
          <cell r="J85" t="str">
            <v xml:space="preserve">
*HV Portabilidad Proactiva  
*HV Beneficio Líneas Adicionales </v>
          </cell>
          <cell r="K85"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85" t="str">
            <v xml:space="preserve">*Beneficio Descuento Cargo Fijo Televentas y Tienda Virtual Resumen Nota de Producto
* Beneficio Descuento Líneas Adicionales Resumen Nota de Producto </v>
          </cell>
          <cell r="M85" t="str">
            <v>Ruta: Productos y Promociones/Resumen NP/ Postpago/Beneficios Descuentos Lineas Adicionales (Aplican todas las Campañas)
Ruta: Productos y Promociones/Resumen NP/ Postpago/Beneficio Descuento Cargo Fijo Televentas y Tienda Virtual Resumen Nota de Producto</v>
          </cell>
          <cell r="N85" t="str">
            <v>Descuento en cargo fijo</v>
          </cell>
        </row>
        <row r="86">
          <cell r="A86" t="str">
            <v>REFERIDOS PREMIUM CUOTAS</v>
          </cell>
          <cell r="B86" t="str">
            <v>REFERIDOS PREMIUM CUOTAS</v>
          </cell>
          <cell r="D86" t="str">
            <v>REFERIDOS PREMIUM CUOTAS</v>
          </cell>
          <cell r="E86" t="str">
            <v>PORTABILIDAD</v>
          </cell>
          <cell r="F86" t="str">
            <v>Beneficio Líneas adicionales
Si el el cliente adquiere por Portabilidad líneas adicionales obtendrá 50% en el cargo fijo por 12 meses.
Aplica descuento líneas adicionales desde el plan max 55.90.</v>
          </cell>
          <cell r="G86" t="str">
            <v>01/08/2022: Beneficio Líneas adicionales:
Aplica desde el plan max 55.90 (antes desde el plan max 49.90)</v>
          </cell>
          <cell r="H86" t="str">
            <v xml:space="preserve">
Beneficio Líneas adicionales:
Válido para todos los canales.</v>
          </cell>
          <cell r="I86" t="str">
            <v>Vigente</v>
          </cell>
          <cell r="J86" t="str">
            <v xml:space="preserve">
*HV Beneficio Líneas Adicionales </v>
          </cell>
          <cell r="K86" t="str">
            <v xml:space="preserve">Ruta: Productos y Promociones/Personas/Historial Comercial Postpago/Descuento Cargo Fijo/ Portabilidad/Líneas Adicionales con Descuento (Aplican todas las Campañas)
</v>
          </cell>
          <cell r="L86" t="str">
            <v xml:space="preserve">* Beneficio Descuento Líneas Adicionales Resumen Nota de Producto </v>
          </cell>
          <cell r="M86" t="str">
            <v>Ruta: Productos y Promociones/Resumen NP/ Postpago/Beneficios Descuentos Lineas Adicionales (Aplican todas las Campañas)</v>
          </cell>
          <cell r="N86" t="str">
            <v>Descuento en equipo y cargo fijo</v>
          </cell>
        </row>
        <row r="87">
          <cell r="A87" t="str">
            <v>RENOVACIÓN EXCLUSIVA</v>
          </cell>
          <cell r="B87" t="str">
            <v>LISTA DE PRECIOS</v>
          </cell>
          <cell r="D87" t="str">
            <v>RENOVACIÓN EXCLUSIVA</v>
          </cell>
          <cell r="E87" t="str">
            <v>RENOVACIÓN</v>
          </cell>
          <cell r="F87" t="str">
            <v xml:space="preserve">Lista de Precios: Renovación Exclusiva
*Válido para renovaciones.
*Al contado plazo de acuerdo a 18 meses.
</v>
          </cell>
          <cell r="G87" t="str">
            <v xml:space="preserve">01/08/2022: Lista de Precios: Renovación Exclusiva
Se deja de ofrecer el plan Max Ilimitado 125.
</v>
          </cell>
          <cell r="H87" t="str">
            <v>Renovación exclusiva:
Válido para todos los canales.</v>
          </cell>
          <cell r="I87" t="str">
            <v>Vigente</v>
          </cell>
          <cell r="J87" t="str">
            <v>No aplica</v>
          </cell>
          <cell r="K87" t="str">
            <v>No aplica</v>
          </cell>
          <cell r="L87" t="str">
            <v>No aplica</v>
          </cell>
          <cell r="M87" t="str">
            <v>No aplica</v>
          </cell>
          <cell r="N87" t="str">
            <v>Descuento en equipo</v>
          </cell>
        </row>
        <row r="88">
          <cell r="A88" t="str">
            <v>RETENCIÓN ESPECIAL</v>
          </cell>
          <cell r="B88" t="str">
            <v>RETENCIÓN ESPECIAL</v>
          </cell>
          <cell r="D88" t="str">
            <v>RETENCIÓN ESPECIAL</v>
          </cell>
          <cell r="E88" t="str">
            <v>RENOVACIÓN</v>
          </cell>
          <cell r="F88" t="str">
            <v xml:space="preserve">Retención Especial
Válido para renovaciones.
Al contado plazo de acuerdo a 18 meses.
</v>
          </cell>
          <cell r="G88" t="str">
            <v xml:space="preserve">01/08/2022: Retención Especial
Se deja de ofrecer el plan Max Ilimitado 125.
</v>
          </cell>
          <cell r="H88" t="str">
            <v>Retención especial:
PDVs Retención, CAC y Televentas</v>
          </cell>
          <cell r="I88" t="str">
            <v>Vigente</v>
          </cell>
          <cell r="J88" t="str">
            <v>No aplica</v>
          </cell>
          <cell r="K88" t="str">
            <v>No aplica</v>
          </cell>
          <cell r="L88" t="str">
            <v>No aplica</v>
          </cell>
          <cell r="M88" t="str">
            <v>No aplica</v>
          </cell>
          <cell r="N88" t="str">
            <v>Descuento en equipo</v>
          </cell>
        </row>
        <row r="89">
          <cell r="A89" t="str">
            <v>RETENCIÓN ESPECIAL CUOTAS</v>
          </cell>
          <cell r="B89" t="str">
            <v>RETENCIÓN ESPECIAL CUOTAS</v>
          </cell>
          <cell r="D89" t="str">
            <v>RETENCIÓN ESPECIAL CUOTAS</v>
          </cell>
          <cell r="E89" t="str">
            <v>RENOVACIÓN</v>
          </cell>
          <cell r="F89" t="str">
            <v xml:space="preserve">Retención Especial Cuotas
Válido para renovaciones.
Al contado plazo de acuerdo a 12 y 18 meses (restricciones para ciertos planes Max de acuerdo al modelo del equipo).
</v>
          </cell>
          <cell r="G89" t="str">
            <v>12/07/2022: Retención Especial Cuotas
Se deja de comercializar la lista en Cuotas a 24 meses.   
27/08/2022: Retención Especial Cuotas
Último envío de lista de precios enviada.
01/10/2022: Retención Especial Migra
Se envía nuevamente la lista de precios.</v>
          </cell>
          <cell r="H89" t="str">
            <v>Retención especial cuotas:
Aplica sólo para los PDVs de Retencion, CACs y Televentas</v>
          </cell>
          <cell r="I89" t="str">
            <v>Vigente</v>
          </cell>
          <cell r="J89" t="str">
            <v>No aplica</v>
          </cell>
          <cell r="K89" t="str">
            <v>No aplica</v>
          </cell>
          <cell r="L89" t="str">
            <v>No aplica</v>
          </cell>
          <cell r="M89" t="str">
            <v>No aplica</v>
          </cell>
          <cell r="N89" t="str">
            <v>Descuento en equipo</v>
          </cell>
        </row>
        <row r="90">
          <cell r="A90" t="str">
            <v>RETENCION ESPECIAL MIGRA</v>
          </cell>
          <cell r="B90" t="str">
            <v>RETENCIÓN ESPECIAL MIGRACIÓN</v>
          </cell>
          <cell r="D90" t="str">
            <v>RETENCION ESPECIAL MIGRA</v>
          </cell>
          <cell r="E90" t="str">
            <v>MIGRACION</v>
          </cell>
          <cell r="F90" t="str">
            <v xml:space="preserve">Retención Especial Migra
Válido para migración.
Al contado plazo de acuerdo a 18 meses.
</v>
          </cell>
          <cell r="G90" t="str">
            <v xml:space="preserve">01/08/2022: Retención Especial Migra
Se deja de ofrecer el plan Max Ilimitado 125.
27/08/2022: Retención Especial Migra
Última lista de precios enviada.
01/10/2022: Retención Especial Migra
Se envía nuevamente lista de precios.
</v>
          </cell>
          <cell r="H90" t="str">
            <v>Retención especial migra:
Aplica sólo a los Puntos de ventas: AD6B y LKL9</v>
          </cell>
          <cell r="I90" t="str">
            <v>Vigente</v>
          </cell>
          <cell r="J90" t="str">
            <v>No aplica</v>
          </cell>
          <cell r="K90" t="str">
            <v>No aplica</v>
          </cell>
          <cell r="L90" t="str">
            <v>No aplica</v>
          </cell>
          <cell r="M90" t="str">
            <v>No aplica</v>
          </cell>
          <cell r="N90" t="str">
            <v>Descuento en equipo</v>
          </cell>
        </row>
        <row r="91">
          <cell r="A91" t="str">
            <v>SAN VALENTIN POST</v>
          </cell>
          <cell r="C91" t="str">
            <v>BLACK DAY POST</v>
          </cell>
          <cell r="D91" t="str">
            <v>SAN VALENTIN POST</v>
          </cell>
          <cell r="E91" t="str">
            <v>PORTABILIDAD</v>
          </cell>
          <cell r="F91" t="str">
            <v xml:space="preserve">Descuento Cargo Fijo Televentas y Tienda Virtual
*Por portabilidad de una línea nueva a través de Televentas o Canal Virtual recibirá un descuento en el cargo fijo de 20% los 3 primeros meses.
*Asimismo, para el plan Max 29.90 recibirá un bono “Triplica tus GBs” por un total de 3 meses.
*Válido desde el plan Max 55.90.
Beneficio Líneas adicionales
Si el el cliente adquiere por Portabilidad líneas adicionales obtendrá 50% en el cargo fijo por 12 meses.
Aplica descuento líneas adicionales desde el plan max 55.90.
* No aplica para los Planes Max Play con Netflix.
</v>
          </cell>
          <cell r="G91" t="str">
            <v>01/08/2022: Beneficio Líneas adicionales:
Aplica desde el plan max 55.90 (antes desde el plan max 49.90)</v>
          </cell>
          <cell r="H91" t="str">
            <v>Descuento Cargo Fijo Televentas y Tienda Virtual:
Válido para televentas y tienda virtual.
Beneficio líneas adicionales:
Válido para todos los canales.</v>
          </cell>
          <cell r="I91" t="str">
            <v>No Vigente</v>
          </cell>
          <cell r="J91" t="str">
            <v xml:space="preserve">*HV Beneficio Líneas Adicionales </v>
          </cell>
          <cell r="K91" t="str">
            <v xml:space="preserve">
Ruta: Productos y Promociones/Personas/Historial Comercial Postpago/Descuento Cargo Fijo/ Portabilidad/Líneas Adicionales con Descuento (Aplican todas las Campañas)
</v>
          </cell>
          <cell r="L91" t="str">
            <v xml:space="preserve">*Beneficio Descuento Cargo Fijo Televentas y Tienda Virtual Resumen Nota de Producto
* Beneficio Descuento Líneas Adicionales Resumen Nota de Producto </v>
          </cell>
          <cell r="M91" t="str">
            <v>Ruta: Productos y Promociones/Resumen NP/ Postpago/Beneficios Descuentos Lineas Adicionales (Aplican todas las Campañas)
Ruta: Productos y Promociones/Resumen NP/ Postpago/Beneficio Descuento Cargo Fijo Televentas y Tienda Virtual Resumen Nota de Producto</v>
          </cell>
          <cell r="N91" t="str">
            <v>Descuento en cargo fijo</v>
          </cell>
        </row>
        <row r="92">
          <cell r="A92" t="str">
            <v>TELEVENTAS FULL CLARO</v>
          </cell>
          <cell r="D92" t="str">
            <v>TELEVENTAS FULL CLARO</v>
          </cell>
          <cell r="E92" t="str">
            <v>PORTABILIDAD</v>
          </cell>
          <cell r="F92" t="str">
            <v>Portabilidad Proactiva
Si tu cliente realiza una Portabilidad por Televentas obtendrá:
50% de descuento en el cargo fijo por 6 meses si cuenta con un plan max 55.90 en adelante. Además de un bono de GBs en el plan de 49.90 por 6 meses.
Beneficio Líneas adicionales
Si el el cliente adquiere por Portabilidad líneas adicionales obtendrá 50% en el cargo fijo por 12 meses.
Aplica descuento líneas adicionales desde el plan max 55.90.
* No aplica para los Planes Max Play con Netflix.</v>
          </cell>
          <cell r="G92" t="str">
            <v>Portabilidad Proactiva: 
Campaña vigente hasta el 15/01/2022.</v>
          </cell>
          <cell r="H92" t="str">
            <v>Portabilidad Proactiva (Válido para Televentas).
Beneficio Líneas adicionales (Válido para todos los canales).</v>
          </cell>
          <cell r="I92" t="str">
            <v>Vigente</v>
          </cell>
          <cell r="J92" t="str">
            <v xml:space="preserve">
*HV Portabilidad Proactiva  
*HV Beneficio Líneas Adicionales </v>
          </cell>
          <cell r="K92"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92" t="str">
            <v xml:space="preserve">*Beneficio Descuento Cargo Fijo Televentas y Tienda Virtual Resumen Nota de Producto
* Beneficio Descuento Líneas Adicionales Resumen Nota de Producto </v>
          </cell>
          <cell r="M92" t="str">
            <v>Ruta: Productos y Promociones/Resumen NP/ Postpago/Beneficios Descuentos Lineas Adicionales (Aplican todas las Campañas)
Ruta: Productos y Promociones/Resumen NP/ Postpago/Beneficio Descuento Cargo Fijo Televentas y Tienda Virtual Resumen Nota de Producto</v>
          </cell>
          <cell r="N92" t="str">
            <v>Descuento en cargo fijo</v>
          </cell>
        </row>
        <row r="93">
          <cell r="A93" t="str">
            <v>TIENDA VIRTUAL CUOTAS</v>
          </cell>
          <cell r="D93" t="str">
            <v>TIENDA VIRTUAL CUOTAS</v>
          </cell>
          <cell r="E93" t="str">
            <v>PORTABILIDAD</v>
          </cell>
          <cell r="F93" t="str">
            <v>Beneficio Líneas adicionales
Si el el cliente adquiere por Portabilidad o Alta líneas adicionales obtendrá 50% en el cargo fijo por 12 meses.
Aplica descuento líneas adicionales desde el plan max 55.90.
* No aplica para los Planes Max Play con Netflix.</v>
          </cell>
          <cell r="G93" t="str">
            <v xml:space="preserve">
28/04/2022: Beneficio Líneas adicionales:
Se retira la selección del caso Especial Beneficio de CF para clientes actuales.
01/08/2022: Beneficio Líneas adicionales: Antes aplicaba para el plan max 49.90 ahora aplica desde el plan max 55.90.</v>
          </cell>
          <cell r="H93" t="str">
            <v>Beneficio Líneas adicionales:
Válido para todos los canales.</v>
          </cell>
          <cell r="I93" t="str">
            <v>No Vigente</v>
          </cell>
          <cell r="J93" t="str">
            <v xml:space="preserve">**HV 50% de Descuento en el cargo fijo para Líneas Adicionales
</v>
          </cell>
          <cell r="K93" t="str">
            <v xml:space="preserve">Ruta: Productos y Promociones/Personas/Historial Comercial Postpago/Descuento Cargo Fijo /Portabilidad/Líneas Adicionales con Descuento (Aplican todas las Campañas)
</v>
          </cell>
          <cell r="L93" t="str">
            <v>Beneficio Descuento Líneas Adicionales Resumen Nota de Producto</v>
          </cell>
          <cell r="M93" t="str">
            <v xml:space="preserve">Ruta: Productos y Promociones/Resumen NP/ Postpago/Beneficios Descuentos Lineas Adicionales (Aplican todas las Campañas)
</v>
          </cell>
          <cell r="N93" t="str">
            <v>Descuento en cargo fijo</v>
          </cell>
        </row>
        <row r="94">
          <cell r="A94" t="str">
            <v>TIENDA VIRTUAL POST</v>
          </cell>
          <cell r="C94" t="str">
            <v>TIENDA VIRTUAL CONTADO</v>
          </cell>
          <cell r="D94" t="str">
            <v>TIENDA VIRTUAL POST</v>
          </cell>
          <cell r="E94" t="str">
            <v>PORTABILIDAD</v>
          </cell>
          <cell r="F94" t="str">
            <v>Promoción Canal virtual
Si tu cliente realiza una Portabilidad por tienda virtual obtendrá:
20% de descuento en el cargo fijo por 3 meses si cuenta con un plan max 55.90 en adelante. Además de un bono de GBs en el plan de 49.90 por 6 meses.
Beneficio Líneas adicionales
Si el el cliente adquiere por Portabilidad líneas adicionales obtendrá 50% en el cargo fijo por 12 meses.
Aplica descuento líneas adicionales desde el plan max 55.90.
* No aplica para los Planes Max Play con Netflix.</v>
          </cell>
          <cell r="G94" t="str">
            <v>02/11/2021: Promoción canal virtual: 
Solo aplica bono de GB por 6 meses para plan Max 49.90 (antes tambien aplicaba para el plan Max 59.90).
16/01/2022: Promoción canal virtual:
Fin de vigencia bono de GB de internet en plan Max 49.90.
23/02/2022: Promoción canal virtual:
Aplica para planes Max desde 55.90 (antes desde 49.90).
Ahora recibirá 20% de descuento en cargo fijo (antes 50%).
28/04/2022: Beneficio Líneas adicionales:
Se retira la selección del caso Especial Beneficio de CF para clientes actuales.
08/06/2022: Promoción canal virtual:
Ahora recibirá el descuento en cargo fijo por 3 meses (antes 6 meses).
01/08/2022: Beneficio Líneas adicionales: Antes aplicaba para el plan max 49.90 ahora aplica desde el plan max 55.90.</v>
          </cell>
          <cell r="H94" t="str">
            <v>Portabilidad Proactiva (Válido para Televentas).
Beneficio Líneas adicionales (Válido para todos los canales).</v>
          </cell>
          <cell r="I94" t="str">
            <v>Vigente</v>
          </cell>
          <cell r="J94" t="str">
            <v xml:space="preserve">
*HV Portabilidad Proactiva  
*HV Beneficio Líneas Adicionales </v>
          </cell>
          <cell r="K94"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94" t="str">
            <v xml:space="preserve">*Beneficio Descuento Cargo Fijo Televentas y Tienda Virtual Resumen Nota de Producto
* Beneficio Descuento Líneas Adicionales Resumen Nota de Producto </v>
          </cell>
          <cell r="M94" t="str">
            <v>Ruta: Productos y Promociones/Resumen NP/ Postpago/Beneficios Descuentos Lineas Adicionales (Aplican todas las Campañas)
Ruta: Productos y Promociones/Resumen NP/ Postpago/Beneficio Descuento Cargo Fijo Televentas y Tienda Virtual Resumen Nota de Producto</v>
          </cell>
          <cell r="N94" t="str">
            <v>Descuento en cargo fijo</v>
          </cell>
        </row>
        <row r="95">
          <cell r="A95" t="str">
            <v>VIP CONTADO</v>
          </cell>
          <cell r="B95" t="str">
            <v>LISTA DE PRECIOS VIP</v>
          </cell>
          <cell r="D95" t="str">
            <v>VIP CONTADO</v>
          </cell>
          <cell r="E95" t="str">
            <v>PORTABILIDAD</v>
          </cell>
          <cell r="F95" t="str">
            <v>Portabilidad Proactiva
Si tu cliente realiza una Portabilidad por Televentas obtendrá:
50% de descuento en el cargo fijo por 6 meses si cuenta con un plan max 55.90 en adelante. Además de un bono de GBs en el plan de 49.90 por 6 meses.
Beneficio Líneas adicionales
Si el el cliente adquiere por Portabilidad líneas adicionales obtendrá 50% en el cargo fijo por 12 meses.
Aplica descuento líneas adicionales desde el plan max 55.90.
* No aplica para los Planes Max Play con Netflix.</v>
          </cell>
          <cell r="G95" t="str">
            <v>Portabilidad Proactiva: 
Campaña vigente para este beneficio hasta el 15/01/2022.</v>
          </cell>
          <cell r="H95" t="str">
            <v>Portabilidad Proactiva (Válido para Televentas).
Beneficio Líneas adicionales (Válido para todos los canales).</v>
          </cell>
          <cell r="I95" t="str">
            <v>Vigente</v>
          </cell>
          <cell r="J95" t="str">
            <v xml:space="preserve">
*HV Portabilidad Proactiva  
*HV Beneficio Líneas Adicionales </v>
          </cell>
          <cell r="K95"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
</v>
          </cell>
          <cell r="L95" t="str">
            <v xml:space="preserve">*Beneficio Descuento Cargo Fijo Televentas y Tienda Virtual Resumen Nota de Producto
* Beneficio Descuento Líneas Adicionales Resumen Nota de Producto </v>
          </cell>
          <cell r="M95" t="str">
            <v>Ruta: Productos y Promociones/Resumen NP/ Postpago/Beneficios Descuentos Lineas Adicionales (Aplican todas las Campañas)
Ruta: Productos y Promociones/Resumen NP/ Postpago/Beneficio Descuento Cargo Fijo Televentas y Tienda Virtual Resumen Nota de Producto</v>
          </cell>
          <cell r="N95" t="str">
            <v>Descuento en cargo fijo</v>
          </cell>
        </row>
        <row r="96">
          <cell r="A96" t="str">
            <v>VIP CUOTAS</v>
          </cell>
          <cell r="B96" t="str">
            <v>LISTA DE PRECIOS VIP CUOTAS</v>
          </cell>
          <cell r="D96" t="str">
            <v>VIP CUOTAS</v>
          </cell>
          <cell r="E96" t="str">
            <v>PORTABILIDAD</v>
          </cell>
          <cell r="F96" t="str">
            <v>Portabilidad Proactiva
Si tu cliente realiza una Portabilidad por Televentas obtendrá:
50% de descuento en el cargo fijo por 6 meses si cuenta con un plan max 55.90 en adelante. Además de un bono de GBs en el plan de 49.90 por 6 meses.
Beneficio Líneas adicionales
Si el el cliente adquiere por Portabilidad líneas adicionales obtendrá 50% en el cargo fijo por 12 meses.
Aplica descuento líneas adicionales desde el plan max 55.90.
* No aplica para los Planes Max Play con Netflix.</v>
          </cell>
          <cell r="G96" t="str">
            <v>Portabilidad Proactiva: Vigencia hasta el 15/01/2022.</v>
          </cell>
          <cell r="H96" t="str">
            <v>Portabilidad Proactiva (Válido para Televentas).
Beneficio Líneas adicionales (Válido para todos los canales).</v>
          </cell>
          <cell r="I96" t="str">
            <v>Vigente</v>
          </cell>
          <cell r="J96" t="str">
            <v xml:space="preserve">
*HV Portabilidad Proactiva  
*HV Beneficio Líneas Adicionales </v>
          </cell>
          <cell r="K96" t="str">
            <v xml:space="preserve">
Ruta: Productos y Promociones/Personas/Historial Comercial Postpago/Descuento Cargo Fijo /Portabilidad/Convenios
Ruta: Productos y Promociones/Personas/Historial Comercial Postpago/Descuento Cargo Fijo/ Portabilidad/Líneas Adicionales con Descuento (Aplican todas las Campañas)</v>
          </cell>
          <cell r="L96" t="str">
            <v xml:space="preserve">*Beneficio Descuento Cargo Fijo Televentas y Tienda Virtual Resumen Nota de Producto
* Beneficio Descuento Líneas Adicionales Resumen Nota de Producto </v>
          </cell>
          <cell r="M96" t="str">
            <v>Ruta: Productos y Promociones/Resumen NP/ Postpago/Beneficios Descuentos Lineas Adicionales (Aplican todas las Campañas)
Ruta: Productos y Promociones/Resumen NP/ Postpago/Beneficio Descuento Cargo Fijo Televentas y Tienda Virtual Resumen Nota de Producto</v>
          </cell>
          <cell r="N96" t="str">
            <v>Descuento en cargo fijo</v>
          </cell>
        </row>
      </sheetData>
      <sheetData sheetId="3">
        <row r="2">
          <cell r="B2" t="str">
            <v>20% DESCUENTO REGULAR ZONAS</v>
          </cell>
        </row>
        <row r="3">
          <cell r="B3" t="str">
            <v>20% DESCUENTO REGULAR ZONAS CUOTAS</v>
          </cell>
        </row>
        <row r="4">
          <cell r="B4" t="str">
            <v>20% DESCUENTO ZONAS</v>
          </cell>
        </row>
        <row r="5">
          <cell r="B5" t="str">
            <v>20% DESCUENTO ZONAS CUOTAS</v>
          </cell>
        </row>
        <row r="6">
          <cell r="B6" t="str">
            <v>20% DESCUENTO ZONAS CUOTAS SALUD PERUANA</v>
          </cell>
        </row>
        <row r="7">
          <cell r="B7" t="str">
            <v>20% DESCUENTO ZONAS ESPECIALES</v>
          </cell>
        </row>
        <row r="8">
          <cell r="B8" t="str">
            <v>20% DESCUENTO ZONAS ESPECIALES CUOTAS</v>
          </cell>
        </row>
        <row r="9">
          <cell r="B9" t="str">
            <v>20% DESCUENTO ZONAS SALUD PERUANA</v>
          </cell>
        </row>
        <row r="10">
          <cell r="B10" t="str">
            <v>ALTA REGULAR</v>
          </cell>
        </row>
        <row r="11">
          <cell r="B11" t="str">
            <v>ATAQUE COMPETENCIA</v>
          </cell>
        </row>
        <row r="12">
          <cell r="B12" t="str">
            <v>ATAQUE COMPETENCIA CUOTAS</v>
          </cell>
        </row>
        <row r="13">
          <cell r="B13" t="str">
            <v>AUTOLIQUIDABLE</v>
          </cell>
        </row>
        <row r="14">
          <cell r="B14" t="str">
            <v>AVENTURA DE OFERTAS</v>
          </cell>
        </row>
        <row r="15">
          <cell r="B15" t="str">
            <v>AVENTURA DE OFERTAS CUOTAS</v>
          </cell>
        </row>
        <row r="16">
          <cell r="B16" t="str">
            <v>BONO POR LA SALUD PERUANA ALTA</v>
          </cell>
        </row>
        <row r="17">
          <cell r="B17" t="str">
            <v>BONO POR LA SALUD PERUANA CUOTAS</v>
          </cell>
        </row>
        <row r="18">
          <cell r="B18" t="str">
            <v>BONO POR LA SALUD PERUANA POST</v>
          </cell>
        </row>
        <row r="19">
          <cell r="B19" t="str">
            <v>BONO POR LA SALUD PERUANA POST ALTA</v>
          </cell>
        </row>
        <row r="20">
          <cell r="B20" t="str">
            <v>BONO POR LA SALUD PERUANA PRE</v>
          </cell>
        </row>
        <row r="21">
          <cell r="B21" t="str">
            <v>CADENAS POST REG 11</v>
          </cell>
        </row>
        <row r="22">
          <cell r="B22" t="str">
            <v>CADENAS POST REG 12</v>
          </cell>
        </row>
        <row r="23">
          <cell r="B23" t="str">
            <v>CADENAS POST REG 14</v>
          </cell>
        </row>
        <row r="24">
          <cell r="B24" t="str">
            <v>CADENAS POSTPAGO 1</v>
          </cell>
        </row>
        <row r="25">
          <cell r="B25" t="str">
            <v>CADENAS POSTPAGO 10</v>
          </cell>
        </row>
        <row r="26">
          <cell r="B26" t="str">
            <v>CADENAS POSTPAGO 2</v>
          </cell>
        </row>
        <row r="27">
          <cell r="B27" t="str">
            <v>CADENAS POSTPAGO 3</v>
          </cell>
        </row>
        <row r="28">
          <cell r="B28" t="str">
            <v>CADENAS POSTPAGO 4</v>
          </cell>
        </row>
        <row r="29">
          <cell r="B29" t="str">
            <v>CADENAS POSTPAGO 5</v>
          </cell>
        </row>
        <row r="30">
          <cell r="B30" t="str">
            <v>CADENAS POSTPAGO 6</v>
          </cell>
        </row>
        <row r="31">
          <cell r="B31" t="str">
            <v>CADENAS POSTPAGO 7</v>
          </cell>
        </row>
        <row r="32">
          <cell r="B32" t="str">
            <v>CADENAS POSTPAGO 8</v>
          </cell>
        </row>
        <row r="33">
          <cell r="B33" t="str">
            <v>CADENAS POSTPAGO 9</v>
          </cell>
        </row>
        <row r="34">
          <cell r="B34" t="str">
            <v>COMBO CLARO MIX</v>
          </cell>
        </row>
        <row r="35">
          <cell r="B35" t="str">
            <v>COMBO CLARO PLUS</v>
          </cell>
        </row>
        <row r="36">
          <cell r="B36" t="str">
            <v>COMBO FULL CLARO MIX</v>
          </cell>
        </row>
        <row r="37">
          <cell r="B37" t="str">
            <v>CONTRAATAQUE PICK UP</v>
          </cell>
        </row>
        <row r="38">
          <cell r="B38" t="str">
            <v>CONVENIOS</v>
          </cell>
        </row>
        <row r="39">
          <cell r="B39" t="str">
            <v>CYBER DAY POST</v>
          </cell>
        </row>
        <row r="40">
          <cell r="B40" t="str">
            <v>DAYS PROMO TIENDA</v>
          </cell>
        </row>
        <row r="41">
          <cell r="B41" t="str">
            <v>DESCUENTO ALTA/PORTA</v>
          </cell>
        </row>
        <row r="42">
          <cell r="B42" t="str">
            <v>DESCUENTO ECOMMERCE</v>
          </cell>
        </row>
        <row r="43">
          <cell r="B43" t="str">
            <v>DESCUENTO ECOMMERCE CUOTAS</v>
          </cell>
        </row>
        <row r="44">
          <cell r="B44" t="str">
            <v>DESCUENTO TELEVENTAS</v>
          </cell>
        </row>
        <row r="45">
          <cell r="B45" t="str">
            <v>DESCUENTO TELEVENTAS CUOTAS</v>
          </cell>
        </row>
        <row r="46">
          <cell r="B46" t="str">
            <v>DIAS CLARO FANS POST</v>
          </cell>
        </row>
        <row r="47">
          <cell r="B47" t="str">
            <v>DSCTO ECOMMERCE</v>
          </cell>
        </row>
        <row r="48">
          <cell r="B48" t="str">
            <v>DSCTO+BASE</v>
          </cell>
        </row>
        <row r="49">
          <cell r="B49" t="str">
            <v>ENTIDAD BANCARIA</v>
          </cell>
        </row>
        <row r="50">
          <cell r="B50" t="str">
            <v>EXCEPCIONES</v>
          </cell>
        </row>
        <row r="51">
          <cell r="B51" t="str">
            <v>EXCEPCIONES CUOTA PORTA</v>
          </cell>
        </row>
        <row r="52">
          <cell r="B52" t="str">
            <v>FULL CLARO</v>
          </cell>
        </row>
        <row r="53">
          <cell r="B53" t="str">
            <v>FULL CLARO RENOVACIÓN</v>
          </cell>
        </row>
        <row r="54">
          <cell r="B54" t="str">
            <v>LANZAMIENTOS</v>
          </cell>
        </row>
        <row r="55">
          <cell r="B55" t="str">
            <v>LINEA ADICIONAL ALTA</v>
          </cell>
        </row>
        <row r="56">
          <cell r="B56" t="str">
            <v>LINEA ADICIONAL ALTA CUOTA</v>
          </cell>
        </row>
        <row r="57">
          <cell r="B57" t="str">
            <v>LINEA ADICIONAL ALTA CUOTA 6M</v>
          </cell>
        </row>
        <row r="58">
          <cell r="B58" t="str">
            <v>LISTA CUOTAS LITE 6M</v>
          </cell>
        </row>
        <row r="59">
          <cell r="B59" t="str">
            <v xml:space="preserve">LISTA EXCLUSIVA CUOTAS PORTA </v>
          </cell>
        </row>
        <row r="60">
          <cell r="B60" t="str">
            <v>LISTA EXCLUSIVA CUOTAS RENO</v>
          </cell>
        </row>
        <row r="61">
          <cell r="B61" t="str">
            <v>MIÉRCOLES CON MILLAS</v>
          </cell>
        </row>
        <row r="62">
          <cell r="B62" t="str">
            <v>MIGRA/PORTA A POST</v>
          </cell>
        </row>
        <row r="63">
          <cell r="B63" t="str">
            <v>OFERTA EXPRESS</v>
          </cell>
        </row>
        <row r="64">
          <cell r="B64" t="str">
            <v>OFERTA PRESENCIAL 2</v>
          </cell>
        </row>
        <row r="65">
          <cell r="B65" t="str">
            <v>PICK UP ALTA</v>
          </cell>
        </row>
        <row r="66">
          <cell r="B66" t="str">
            <v>PICK UP PORTA</v>
          </cell>
        </row>
        <row r="67">
          <cell r="B67" t="str">
            <v>PICK UP PORTA CUOTAS</v>
          </cell>
        </row>
        <row r="68">
          <cell r="B68" t="str">
            <v>PORTABILIDAD EXCLUSIVA</v>
          </cell>
        </row>
        <row r="69">
          <cell r="B69" t="str">
            <v>PORTABILIDAD PLUS</v>
          </cell>
        </row>
        <row r="70">
          <cell r="B70" t="str">
            <v>PORTABILIDAD PLUS CUOTAS</v>
          </cell>
        </row>
        <row r="71">
          <cell r="B71" t="str">
            <v>PORTABILIDAD POST A POST</v>
          </cell>
        </row>
        <row r="72">
          <cell r="B72" t="str">
            <v>PROM BBVA POST</v>
          </cell>
        </row>
        <row r="73">
          <cell r="B73" t="str">
            <v>PROM CENCOSUD POST</v>
          </cell>
        </row>
        <row r="74">
          <cell r="B74" t="str">
            <v>PROM DINERS POST</v>
          </cell>
        </row>
        <row r="75">
          <cell r="B75" t="str">
            <v>PROM INTERBANK POST</v>
          </cell>
        </row>
        <row r="76">
          <cell r="B76" t="str">
            <v>PROM SCOTIABANK POST</v>
          </cell>
        </row>
        <row r="77">
          <cell r="B77" t="str">
            <v>PROM TARJETA OH POST</v>
          </cell>
        </row>
        <row r="78">
          <cell r="B78" t="str">
            <v>PROMO CANJE SMART 2022</v>
          </cell>
        </row>
        <row r="79">
          <cell r="B79" t="str">
            <v>PROMO DAC Y CADENAS</v>
          </cell>
        </row>
        <row r="80">
          <cell r="B80" t="str">
            <v>PROMO FOCALIZADA</v>
          </cell>
        </row>
        <row r="81">
          <cell r="B81" t="str">
            <v>PROMO OFERTA SECRETA</v>
          </cell>
        </row>
        <row r="82">
          <cell r="B82" t="str">
            <v>PROMO POST</v>
          </cell>
        </row>
        <row r="83">
          <cell r="B83" t="str">
            <v>PROMO RELAMPAGO POST</v>
          </cell>
        </row>
        <row r="84">
          <cell r="B84" t="str">
            <v>PROMOCION HUAWEI</v>
          </cell>
        </row>
        <row r="85">
          <cell r="B85" t="str">
            <v>REFERIDOS PREMIUM</v>
          </cell>
        </row>
        <row r="86">
          <cell r="B86" t="str">
            <v>REFERIDOS PREMIUM CUOTAS</v>
          </cell>
        </row>
        <row r="87">
          <cell r="B87" t="str">
            <v>RENOVACIÓN EXCLUSIVA</v>
          </cell>
        </row>
        <row r="88">
          <cell r="B88" t="str">
            <v>RETENCIÓN ESPECIAL</v>
          </cell>
        </row>
        <row r="89">
          <cell r="B89" t="str">
            <v>RETENCIÓN ESPECIAL CUOTAS</v>
          </cell>
        </row>
        <row r="90">
          <cell r="B90" t="str">
            <v>RETENCION ESPECIAL MIGRA</v>
          </cell>
        </row>
        <row r="91">
          <cell r="B91" t="str">
            <v>SAN VALENTIN POST</v>
          </cell>
        </row>
        <row r="92">
          <cell r="B92" t="str">
            <v>TELEVENTAS FULL CLARO</v>
          </cell>
        </row>
        <row r="93">
          <cell r="B93" t="str">
            <v>TIENDA VIRTUAL CUOTAS</v>
          </cell>
        </row>
        <row r="94">
          <cell r="B94" t="str">
            <v>TIENDA VIRTUAL POST</v>
          </cell>
        </row>
        <row r="95">
          <cell r="B95" t="str">
            <v>VIP CONTADO</v>
          </cell>
        </row>
        <row r="96">
          <cell r="B96" t="str">
            <v>VIP CUOTAS</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showGridLines="0" showRowColHeaders="0" tabSelected="1" zoomScaleNormal="100" workbookViewId="0"/>
  </sheetViews>
  <sheetFormatPr baseColWidth="10" defaultRowHeight="15" x14ac:dyDescent="0.25"/>
  <sheetData/>
  <sheetProtection password="CFBD"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O21"/>
  <sheetViews>
    <sheetView showGridLines="0" showRowColHeaders="0" zoomScale="90" zoomScaleNormal="90" workbookViewId="0">
      <selection activeCell="D2" sqref="D2:G2"/>
    </sheetView>
  </sheetViews>
  <sheetFormatPr baseColWidth="10" defaultColWidth="11.42578125" defaultRowHeight="11.25" customHeight="1" x14ac:dyDescent="0.25"/>
  <cols>
    <col min="1" max="1" width="2.5703125" style="4" customWidth="1"/>
    <col min="2" max="2" width="20.85546875" style="4" customWidth="1"/>
    <col min="3" max="3" width="16.5703125" style="4" customWidth="1"/>
    <col min="4" max="6" width="20.140625" style="4" customWidth="1"/>
    <col min="7" max="7" width="5.7109375" style="4" customWidth="1"/>
    <col min="8" max="8" width="20.140625" style="4" customWidth="1"/>
    <col min="9" max="9" width="6.42578125" style="4" customWidth="1"/>
    <col min="10" max="10" width="9.5703125" style="4" customWidth="1"/>
    <col min="11" max="11" width="4.85546875" style="4" customWidth="1"/>
    <col min="12" max="12" width="4" style="4" customWidth="1"/>
    <col min="13" max="13" width="49.28515625" style="4" customWidth="1"/>
    <col min="14" max="14" width="8.85546875" style="4" customWidth="1"/>
    <col min="15" max="15" width="15" style="4" customWidth="1"/>
    <col min="16" max="16383" width="11.42578125" style="4"/>
    <col min="16384" max="16384" width="0.28515625" style="4" customWidth="1"/>
  </cols>
  <sheetData>
    <row r="1" spans="1:15" s="2" customFormat="1" ht="78" customHeight="1" x14ac:dyDescent="0.25">
      <c r="A1" s="1"/>
      <c r="B1" s="1"/>
      <c r="C1" s="1"/>
      <c r="D1" s="1"/>
      <c r="E1" s="1"/>
      <c r="F1" s="1"/>
      <c r="G1" s="1"/>
      <c r="H1" s="1"/>
      <c r="I1" s="1"/>
      <c r="J1" s="1"/>
      <c r="K1" s="1"/>
      <c r="L1" s="1"/>
      <c r="M1" s="1"/>
      <c r="N1" s="1"/>
      <c r="O1" s="1"/>
    </row>
    <row r="2" spans="1:15" s="2" customFormat="1" ht="19.5" customHeight="1" x14ac:dyDescent="0.25">
      <c r="A2" s="1"/>
      <c r="D2" s="28"/>
      <c r="E2" s="29"/>
      <c r="F2" s="29"/>
      <c r="G2" s="30"/>
      <c r="H2" s="1"/>
      <c r="I2" s="1"/>
      <c r="J2" s="1"/>
      <c r="K2" s="1"/>
      <c r="L2" s="1"/>
      <c r="M2" s="1"/>
      <c r="N2" s="1"/>
      <c r="O2" s="1"/>
    </row>
    <row r="3" spans="1:15" ht="6.75" customHeight="1" x14ac:dyDescent="0.25">
      <c r="A3" s="3"/>
      <c r="C3" s="5"/>
      <c r="D3" s="5"/>
      <c r="E3" s="5"/>
      <c r="F3" s="5"/>
      <c r="O3" s="3"/>
    </row>
    <row r="4" spans="1:15" s="6" customFormat="1" ht="18.75" customHeight="1" x14ac:dyDescent="0.25">
      <c r="B4" s="31" t="s">
        <v>4</v>
      </c>
      <c r="C4" s="31"/>
      <c r="D4" s="32" t="str">
        <f>IFERROR(VLOOKUP($D$2,TABLA,10,0),"-")</f>
        <v>-</v>
      </c>
      <c r="E4" s="33"/>
      <c r="F4" s="33"/>
      <c r="G4" s="33"/>
      <c r="H4" s="33"/>
      <c r="I4" s="33"/>
      <c r="J4" s="33"/>
      <c r="K4" s="33"/>
      <c r="L4" s="33"/>
      <c r="M4" s="34"/>
    </row>
    <row r="5" spans="1:15" s="6" customFormat="1" ht="16.5" customHeight="1" x14ac:dyDescent="0.25">
      <c r="B5" s="31" t="s">
        <v>7</v>
      </c>
      <c r="C5" s="31"/>
      <c r="D5" s="35" t="str">
        <f>IFERROR(VLOOKUP($D$2,TABLA,13,0),"-")</f>
        <v>-</v>
      </c>
      <c r="E5" s="36"/>
      <c r="F5" s="36"/>
      <c r="G5" s="36"/>
      <c r="H5" s="36"/>
      <c r="I5" s="36"/>
      <c r="J5" s="36"/>
      <c r="K5" s="36"/>
      <c r="L5" s="36"/>
      <c r="M5" s="37"/>
    </row>
    <row r="6" spans="1:15" s="6" customFormat="1" ht="15" customHeight="1" x14ac:dyDescent="0.25">
      <c r="A6" s="7"/>
      <c r="B6" s="31" t="s">
        <v>181</v>
      </c>
      <c r="C6" s="31"/>
      <c r="D6" s="35" t="str">
        <f>IFERROR(VLOOKUP($D$2,TABLA,4,0),"-")</f>
        <v>-</v>
      </c>
      <c r="E6" s="36"/>
      <c r="F6" s="36"/>
      <c r="G6" s="36"/>
      <c r="H6" s="36"/>
      <c r="I6" s="36"/>
      <c r="J6" s="36"/>
      <c r="K6" s="36"/>
      <c r="L6" s="36"/>
      <c r="M6" s="37"/>
      <c r="O6" s="7"/>
    </row>
    <row r="7" spans="1:15" s="6" customFormat="1" ht="19.5" customHeight="1" x14ac:dyDescent="0.25">
      <c r="A7" s="7"/>
      <c r="B7" s="31" t="s">
        <v>131</v>
      </c>
      <c r="C7" s="31"/>
      <c r="D7" s="38" t="str">
        <f>IFERROR(VLOOKUP($D$2,TABLA,5,0),"-")</f>
        <v>-</v>
      </c>
      <c r="E7" s="38"/>
      <c r="F7" s="38"/>
      <c r="G7" s="38"/>
      <c r="H7" s="38"/>
      <c r="I7" s="38"/>
      <c r="J7" s="38"/>
      <c r="K7" s="38"/>
      <c r="L7" s="38"/>
      <c r="M7" s="38"/>
    </row>
    <row r="8" spans="1:15" s="6" customFormat="1" ht="14.25" customHeight="1" x14ac:dyDescent="0.25">
      <c r="A8" s="7"/>
      <c r="B8" s="9"/>
      <c r="C8" s="9"/>
      <c r="D8" s="8"/>
      <c r="E8" s="8"/>
      <c r="F8" s="8"/>
      <c r="G8" s="8"/>
      <c r="H8" s="8"/>
      <c r="I8" s="8"/>
      <c r="J8" s="8"/>
      <c r="K8" s="8"/>
      <c r="L8" s="8"/>
      <c r="M8" s="8"/>
    </row>
    <row r="9" spans="1:15" s="6" customFormat="1" ht="184.5" customHeight="1" x14ac:dyDescent="0.25">
      <c r="B9" s="25"/>
      <c r="C9" s="25"/>
      <c r="D9" s="39" t="str">
        <f>IFERROR(VLOOKUP($D$2,TABLA,6,0),"-")</f>
        <v>-</v>
      </c>
      <c r="E9" s="39"/>
      <c r="F9" s="39"/>
      <c r="G9" s="39"/>
      <c r="H9" s="39"/>
      <c r="I9" s="39"/>
      <c r="J9" s="39"/>
      <c r="K9" s="39"/>
      <c r="L9" s="39"/>
      <c r="M9" s="39"/>
    </row>
    <row r="10" spans="1:15" s="6" customFormat="1" ht="6.75" customHeight="1" x14ac:dyDescent="0.25">
      <c r="B10" s="9"/>
      <c r="C10" s="9"/>
      <c r="D10" s="12"/>
      <c r="E10" s="12"/>
      <c r="F10" s="12"/>
      <c r="G10" s="12"/>
      <c r="H10" s="12"/>
      <c r="I10" s="12"/>
      <c r="J10" s="12"/>
      <c r="K10" s="12"/>
      <c r="L10" s="12"/>
      <c r="M10" s="12"/>
    </row>
    <row r="11" spans="1:15" s="6" customFormat="1" ht="118.5" customHeight="1" x14ac:dyDescent="0.25">
      <c r="B11" s="25"/>
      <c r="C11" s="25"/>
      <c r="D11" s="26" t="str">
        <f>IFERROR(VLOOKUP($D$2,TABLA,9,0),"-")</f>
        <v>-</v>
      </c>
      <c r="E11" s="26"/>
      <c r="F11" s="26"/>
      <c r="G11" s="26"/>
      <c r="H11" s="26"/>
      <c r="I11" s="26"/>
      <c r="J11" s="26"/>
      <c r="K11" s="26"/>
      <c r="L11" s="26"/>
      <c r="M11" s="26"/>
    </row>
    <row r="12" spans="1:15" s="6" customFormat="1" ht="3.75" customHeight="1" x14ac:dyDescent="0.25">
      <c r="B12" s="9"/>
      <c r="C12" s="9"/>
      <c r="D12" s="10"/>
      <c r="E12" s="10"/>
      <c r="F12" s="10"/>
      <c r="G12" s="10"/>
      <c r="H12" s="10"/>
      <c r="I12" s="10"/>
      <c r="J12" s="10"/>
      <c r="K12" s="10"/>
      <c r="L12" s="10"/>
      <c r="M12" s="10"/>
    </row>
    <row r="13" spans="1:15" s="6" customFormat="1" ht="9" customHeight="1" x14ac:dyDescent="0.25">
      <c r="B13" s="9"/>
      <c r="C13" s="9"/>
      <c r="D13" s="10"/>
      <c r="E13" s="10"/>
      <c r="F13" s="10"/>
      <c r="G13" s="10"/>
      <c r="H13" s="10"/>
      <c r="I13" s="10"/>
      <c r="J13" s="10"/>
      <c r="K13" s="10"/>
      <c r="L13" s="10"/>
      <c r="M13" s="10"/>
    </row>
    <row r="14" spans="1:15" s="6" customFormat="1" ht="81" customHeight="1" x14ac:dyDescent="0.25">
      <c r="B14" s="25"/>
      <c r="C14" s="25"/>
      <c r="D14" s="26" t="str">
        <f>IFERROR(VLOOKUP($D$2,TABLA,7,0),"-")</f>
        <v>-</v>
      </c>
      <c r="E14" s="26"/>
      <c r="F14" s="26"/>
      <c r="G14" s="26"/>
      <c r="H14" s="26"/>
      <c r="I14" s="26"/>
      <c r="J14" s="26"/>
      <c r="K14" s="26"/>
      <c r="L14" s="26"/>
      <c r="M14" s="26"/>
    </row>
    <row r="15" spans="1:15" s="6" customFormat="1" ht="11.25" customHeight="1" x14ac:dyDescent="0.25">
      <c r="B15" s="9"/>
      <c r="C15" s="9"/>
      <c r="D15" s="10"/>
      <c r="E15" s="10"/>
      <c r="F15" s="10"/>
      <c r="G15" s="10"/>
      <c r="H15" s="10"/>
      <c r="I15" s="10"/>
      <c r="J15" s="10"/>
      <c r="K15" s="10"/>
      <c r="L15" s="10"/>
      <c r="M15" s="10"/>
    </row>
    <row r="16" spans="1:15" s="6" customFormat="1" ht="227.25" customHeight="1" x14ac:dyDescent="0.25">
      <c r="B16" s="25"/>
      <c r="C16" s="25"/>
      <c r="D16" s="26" t="str">
        <f>IFERROR(VLOOKUP($D$2,TABLA,8,0),"-")</f>
        <v>-</v>
      </c>
      <c r="E16" s="26"/>
      <c r="F16" s="26"/>
      <c r="G16" s="26"/>
      <c r="H16" s="26"/>
      <c r="I16" s="26"/>
      <c r="J16" s="26"/>
      <c r="K16" s="26"/>
      <c r="L16" s="26"/>
      <c r="M16" s="26"/>
    </row>
    <row r="17" spans="2:13" s="6" customFormat="1" ht="108" customHeight="1" x14ac:dyDescent="0.25">
      <c r="B17" s="25"/>
      <c r="C17" s="25"/>
      <c r="D17" s="27" t="str">
        <f>IFERROR(VLOOKUP($D$2,TABLA,11,0),"-")</f>
        <v>-</v>
      </c>
      <c r="E17" s="27"/>
      <c r="F17" s="27"/>
      <c r="G17" s="27"/>
      <c r="H17" s="27"/>
      <c r="I17" s="27"/>
      <c r="J17" s="27"/>
      <c r="K17" s="27"/>
      <c r="L17" s="27"/>
      <c r="M17" s="27"/>
    </row>
    <row r="18" spans="2:13" s="6" customFormat="1" ht="16.5" customHeight="1" x14ac:dyDescent="0.25">
      <c r="B18" s="9"/>
      <c r="C18" s="9"/>
      <c r="D18" s="11"/>
      <c r="E18" s="11"/>
      <c r="F18" s="11"/>
      <c r="G18" s="11"/>
      <c r="H18" s="11"/>
      <c r="I18" s="11"/>
      <c r="J18" s="11"/>
      <c r="K18" s="11"/>
      <c r="L18" s="11"/>
      <c r="M18" s="11"/>
    </row>
    <row r="19" spans="2:13" s="6" customFormat="1" ht="144.75" customHeight="1" x14ac:dyDescent="0.25">
      <c r="B19" s="24"/>
      <c r="C19" s="24"/>
      <c r="D19" s="26" t="str">
        <f>IFERROR(VLOOKUP($D$2,TABLA,12,0),"-")</f>
        <v>-</v>
      </c>
      <c r="E19" s="26"/>
      <c r="F19" s="26"/>
      <c r="G19" s="26"/>
      <c r="H19" s="26"/>
      <c r="I19" s="26"/>
      <c r="J19" s="26"/>
      <c r="K19" s="26"/>
      <c r="L19" s="26"/>
      <c r="M19" s="26"/>
    </row>
    <row r="20" spans="2:13" s="6" customFormat="1" ht="20.25" customHeight="1" x14ac:dyDescent="0.25">
      <c r="B20" s="25"/>
      <c r="C20" s="25"/>
    </row>
    <row r="21" spans="2:13" ht="151.5" customHeight="1" x14ac:dyDescent="0.25">
      <c r="D21" s="26" t="str">
        <f>IFERROR(VLOOKUP($D$2,TABLA,14,0),"-")</f>
        <v>-</v>
      </c>
      <c r="E21" s="26"/>
      <c r="F21" s="26"/>
      <c r="G21" s="26"/>
      <c r="H21" s="26"/>
      <c r="I21" s="26"/>
      <c r="J21" s="26"/>
      <c r="K21" s="26"/>
      <c r="L21" s="26"/>
      <c r="M21" s="26"/>
    </row>
  </sheetData>
  <sheetProtection password="CFBD" sheet="1" objects="1" scenarios="1"/>
  <mergeCells count="23">
    <mergeCell ref="D21:M21"/>
    <mergeCell ref="D2:G2"/>
    <mergeCell ref="B4:C4"/>
    <mergeCell ref="D4:M4"/>
    <mergeCell ref="B6:C6"/>
    <mergeCell ref="D6:M6"/>
    <mergeCell ref="B5:C5"/>
    <mergeCell ref="D5:M5"/>
    <mergeCell ref="B7:C7"/>
    <mergeCell ref="D7:M7"/>
    <mergeCell ref="B9:C9"/>
    <mergeCell ref="D9:M9"/>
    <mergeCell ref="B11:C11"/>
    <mergeCell ref="D11:M11"/>
    <mergeCell ref="B20:C20"/>
    <mergeCell ref="D19:M19"/>
    <mergeCell ref="B19:C19"/>
    <mergeCell ref="B14:C14"/>
    <mergeCell ref="D14:M14"/>
    <mergeCell ref="B16:C16"/>
    <mergeCell ref="D16:M16"/>
    <mergeCell ref="B17:C17"/>
    <mergeCell ref="D17:M17"/>
  </mergeCells>
  <conditionalFormatting sqref="B4:B15">
    <cfRule type="containsText" dxfId="4" priority="6" operator="containsText" text="35.90">
      <formula>NOT(ISERROR(SEARCH("35.90",B4)))</formula>
    </cfRule>
  </conditionalFormatting>
  <conditionalFormatting sqref="B20">
    <cfRule type="containsText" dxfId="3" priority="4" operator="containsText" text="35.90">
      <formula>NOT(ISERROR(SEARCH("35.90",B20)))</formula>
    </cfRule>
  </conditionalFormatting>
  <conditionalFormatting sqref="B19">
    <cfRule type="containsText" dxfId="2" priority="3" operator="containsText" text="35.90">
      <formula>NOT(ISERROR(SEARCH("35.90",B19)))</formula>
    </cfRule>
  </conditionalFormatting>
  <conditionalFormatting sqref="B16">
    <cfRule type="containsText" dxfId="1" priority="2" operator="containsText" text="35.90">
      <formula>NOT(ISERROR(SEARCH("35.90",B16)))</formula>
    </cfRule>
  </conditionalFormatting>
  <conditionalFormatting sqref="B17:B18">
    <cfRule type="containsText" dxfId="0" priority="1" operator="containsText" text="35.90">
      <formula>NOT(ISERROR(SEARCH("35.90",B17)))</formula>
    </cfRule>
  </conditionalFormatting>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88"/>
  <sheetViews>
    <sheetView zoomScale="80" zoomScaleNormal="80" workbookViewId="0">
      <pane ySplit="1" topLeftCell="A88" activePane="bottomLeft" state="frozen"/>
      <selection pane="bottomLeft" activeCell="C103" sqref="C103"/>
    </sheetView>
  </sheetViews>
  <sheetFormatPr baseColWidth="10" defaultRowHeight="15" x14ac:dyDescent="0.25"/>
  <cols>
    <col min="1" max="1" width="4" style="19" hidden="1" customWidth="1"/>
    <col min="2" max="2" width="5.5703125" style="19" hidden="1" customWidth="1"/>
    <col min="3" max="3" width="25.7109375" style="19" customWidth="1"/>
    <col min="4" max="4" width="12.5703125" style="19" customWidth="1"/>
    <col min="5" max="5" width="17.28515625" style="19" customWidth="1"/>
    <col min="6" max="6" width="14.5703125" style="19" customWidth="1"/>
    <col min="7" max="7" width="20.140625" style="19" customWidth="1"/>
    <col min="8" max="8" width="65.7109375" style="19" customWidth="1"/>
    <col min="9" max="9" width="45.85546875" style="19" customWidth="1"/>
    <col min="10" max="10" width="72.7109375" style="19" customWidth="1"/>
    <col min="11" max="11" width="71.85546875" style="19" customWidth="1"/>
    <col min="12" max="12" width="13.5703125" style="19" bestFit="1" customWidth="1"/>
    <col min="13" max="13" width="36.85546875" style="19" customWidth="1"/>
    <col min="14" max="14" width="53.140625" style="19" customWidth="1"/>
    <col min="15" max="15" width="40" style="19" bestFit="1" customWidth="1"/>
    <col min="16" max="16" width="52.28515625" style="19" customWidth="1"/>
    <col min="17" max="17" width="17" style="19" customWidth="1"/>
    <col min="18" max="16384" width="11.42578125" style="19"/>
  </cols>
  <sheetData>
    <row r="1" spans="3:16" s="16" customFormat="1" ht="51" x14ac:dyDescent="0.25">
      <c r="C1" s="13" t="s">
        <v>0</v>
      </c>
      <c r="D1" s="14" t="s">
        <v>1</v>
      </c>
      <c r="E1" s="14" t="s">
        <v>2</v>
      </c>
      <c r="F1" s="13" t="s">
        <v>0</v>
      </c>
      <c r="G1" s="13" t="s">
        <v>131</v>
      </c>
      <c r="H1" s="13" t="s">
        <v>132</v>
      </c>
      <c r="I1" s="13" t="s">
        <v>133</v>
      </c>
      <c r="J1" s="13" t="s">
        <v>238</v>
      </c>
      <c r="K1" s="13" t="s">
        <v>237</v>
      </c>
      <c r="L1" s="15" t="s">
        <v>4</v>
      </c>
      <c r="M1" s="13" t="s">
        <v>3</v>
      </c>
      <c r="N1" s="13" t="s">
        <v>5</v>
      </c>
      <c r="O1" s="13" t="s">
        <v>7</v>
      </c>
      <c r="P1" s="13" t="s">
        <v>6</v>
      </c>
    </row>
    <row r="2" spans="3:16" ht="165" x14ac:dyDescent="0.25">
      <c r="C2" s="17" t="s">
        <v>16</v>
      </c>
      <c r="D2" s="17" t="s">
        <v>16</v>
      </c>
      <c r="E2" s="17" t="s">
        <v>16</v>
      </c>
      <c r="F2" s="17" t="s">
        <v>16</v>
      </c>
      <c r="G2" s="17" t="s">
        <v>184</v>
      </c>
      <c r="H2" s="18" t="s">
        <v>357</v>
      </c>
      <c r="I2" s="18" t="s">
        <v>365</v>
      </c>
      <c r="J2" s="18" t="s">
        <v>265</v>
      </c>
      <c r="K2" s="18" t="s">
        <v>249</v>
      </c>
      <c r="L2" s="17" t="s">
        <v>17</v>
      </c>
      <c r="M2" s="18" t="s">
        <v>136</v>
      </c>
      <c r="N2" s="18" t="s">
        <v>201</v>
      </c>
      <c r="O2" s="17" t="s">
        <v>12</v>
      </c>
      <c r="P2" s="18" t="s">
        <v>134</v>
      </c>
    </row>
    <row r="3" spans="3:16" ht="165" x14ac:dyDescent="0.25">
      <c r="C3" s="17" t="s">
        <v>18</v>
      </c>
      <c r="D3" s="17" t="s">
        <v>18</v>
      </c>
      <c r="E3" s="17" t="s">
        <v>18</v>
      </c>
      <c r="F3" s="17" t="s">
        <v>18</v>
      </c>
      <c r="G3" s="17" t="s">
        <v>184</v>
      </c>
      <c r="H3" s="18" t="s">
        <v>356</v>
      </c>
      <c r="I3" s="18" t="s">
        <v>366</v>
      </c>
      <c r="J3" s="18" t="s">
        <v>265</v>
      </c>
      <c r="K3" s="18" t="s">
        <v>250</v>
      </c>
      <c r="L3" s="17" t="s">
        <v>17</v>
      </c>
      <c r="M3" s="18" t="s">
        <v>136</v>
      </c>
      <c r="N3" s="18" t="s">
        <v>182</v>
      </c>
      <c r="O3" s="17" t="s">
        <v>11</v>
      </c>
      <c r="P3" s="18" t="s">
        <v>134</v>
      </c>
    </row>
    <row r="4" spans="3:16" ht="165" x14ac:dyDescent="0.25">
      <c r="C4" s="17" t="s">
        <v>74</v>
      </c>
      <c r="D4" s="17" t="s">
        <v>74</v>
      </c>
      <c r="E4" s="17"/>
      <c r="F4" s="17" t="s">
        <v>74</v>
      </c>
      <c r="G4" s="17" t="s">
        <v>15</v>
      </c>
      <c r="H4" s="18" t="s">
        <v>357</v>
      </c>
      <c r="I4" s="18" t="s">
        <v>367</v>
      </c>
      <c r="J4" s="18" t="s">
        <v>265</v>
      </c>
      <c r="K4" s="18" t="s">
        <v>257</v>
      </c>
      <c r="L4" s="17" t="s">
        <v>17</v>
      </c>
      <c r="M4" s="18" t="s">
        <v>136</v>
      </c>
      <c r="N4" s="18" t="s">
        <v>216</v>
      </c>
      <c r="O4" s="17" t="s">
        <v>12</v>
      </c>
      <c r="P4" s="18" t="s">
        <v>191</v>
      </c>
    </row>
    <row r="5" spans="3:16" ht="171" customHeight="1" x14ac:dyDescent="0.25">
      <c r="C5" s="17" t="s">
        <v>19</v>
      </c>
      <c r="D5" s="17"/>
      <c r="E5" s="17"/>
      <c r="F5" s="17" t="s">
        <v>19</v>
      </c>
      <c r="G5" s="17" t="s">
        <v>202</v>
      </c>
      <c r="H5" s="18" t="s">
        <v>369</v>
      </c>
      <c r="I5" s="18" t="s">
        <v>368</v>
      </c>
      <c r="J5" s="18" t="s">
        <v>240</v>
      </c>
      <c r="K5" s="18"/>
      <c r="L5" s="17" t="s">
        <v>17</v>
      </c>
      <c r="M5" s="18" t="s">
        <v>20</v>
      </c>
      <c r="N5" s="18" t="s">
        <v>203</v>
      </c>
      <c r="O5" s="17" t="s">
        <v>21</v>
      </c>
      <c r="P5" s="18" t="s">
        <v>204</v>
      </c>
    </row>
    <row r="6" spans="3:16" ht="317.25" customHeight="1" x14ac:dyDescent="0.25">
      <c r="C6" s="17" t="s">
        <v>22</v>
      </c>
      <c r="D6" s="17"/>
      <c r="E6" s="17"/>
      <c r="F6" s="17" t="s">
        <v>22</v>
      </c>
      <c r="G6" s="17" t="s">
        <v>184</v>
      </c>
      <c r="H6" s="18" t="s">
        <v>332</v>
      </c>
      <c r="I6" s="18" t="s">
        <v>185</v>
      </c>
      <c r="J6" s="18" t="s">
        <v>270</v>
      </c>
      <c r="K6" s="18" t="s">
        <v>186</v>
      </c>
      <c r="L6" s="17" t="s">
        <v>10</v>
      </c>
      <c r="M6" s="18" t="s">
        <v>138</v>
      </c>
      <c r="N6" s="18" t="s">
        <v>286</v>
      </c>
      <c r="O6" s="17" t="s">
        <v>12</v>
      </c>
      <c r="P6" s="18" t="s">
        <v>134</v>
      </c>
    </row>
    <row r="7" spans="3:16" ht="270" x14ac:dyDescent="0.25">
      <c r="C7" s="17" t="s">
        <v>23</v>
      </c>
      <c r="D7" s="17"/>
      <c r="E7" s="17"/>
      <c r="F7" s="17" t="s">
        <v>23</v>
      </c>
      <c r="G7" s="17" t="s">
        <v>184</v>
      </c>
      <c r="H7" s="18" t="s">
        <v>332</v>
      </c>
      <c r="I7" s="18" t="s">
        <v>185</v>
      </c>
      <c r="J7" s="18" t="s">
        <v>270</v>
      </c>
      <c r="K7" s="18" t="s">
        <v>186</v>
      </c>
      <c r="L7" s="17" t="s">
        <v>10</v>
      </c>
      <c r="M7" s="18" t="s">
        <v>138</v>
      </c>
      <c r="N7" s="18" t="s">
        <v>286</v>
      </c>
      <c r="O7" s="17" t="s">
        <v>12</v>
      </c>
      <c r="P7" s="18" t="s">
        <v>134</v>
      </c>
    </row>
    <row r="8" spans="3:16" ht="165" x14ac:dyDescent="0.25">
      <c r="C8" s="17" t="s">
        <v>24</v>
      </c>
      <c r="D8" s="17"/>
      <c r="E8" s="17"/>
      <c r="F8" s="17" t="s">
        <v>24</v>
      </c>
      <c r="G8" s="17" t="s">
        <v>202</v>
      </c>
      <c r="H8" s="18" t="s">
        <v>358</v>
      </c>
      <c r="I8" s="18"/>
      <c r="J8" s="18" t="s">
        <v>265</v>
      </c>
      <c r="K8" s="18" t="s">
        <v>249</v>
      </c>
      <c r="L8" s="17" t="s">
        <v>10</v>
      </c>
      <c r="M8" s="18" t="s">
        <v>140</v>
      </c>
      <c r="N8" s="18" t="s">
        <v>205</v>
      </c>
      <c r="O8" s="17" t="s">
        <v>11</v>
      </c>
      <c r="P8" s="18" t="s">
        <v>134</v>
      </c>
    </row>
    <row r="9" spans="3:16" ht="165" x14ac:dyDescent="0.25">
      <c r="C9" s="17" t="s">
        <v>26</v>
      </c>
      <c r="D9" s="17"/>
      <c r="E9" s="17"/>
      <c r="F9" s="17" t="s">
        <v>26</v>
      </c>
      <c r="G9" s="17" t="s">
        <v>202</v>
      </c>
      <c r="H9" s="18" t="s">
        <v>358</v>
      </c>
      <c r="I9" s="18"/>
      <c r="J9" s="18" t="s">
        <v>265</v>
      </c>
      <c r="K9" s="18" t="s">
        <v>249</v>
      </c>
      <c r="L9" s="17" t="s">
        <v>10</v>
      </c>
      <c r="M9" s="18" t="s">
        <v>140</v>
      </c>
      <c r="N9" s="18" t="s">
        <v>205</v>
      </c>
      <c r="O9" s="17" t="s">
        <v>11</v>
      </c>
      <c r="P9" s="18" t="s">
        <v>134</v>
      </c>
    </row>
    <row r="10" spans="3:16" ht="165" x14ac:dyDescent="0.25">
      <c r="C10" s="17" t="s">
        <v>27</v>
      </c>
      <c r="D10" s="17"/>
      <c r="E10" s="17"/>
      <c r="F10" s="17" t="s">
        <v>27</v>
      </c>
      <c r="G10" s="17" t="s">
        <v>202</v>
      </c>
      <c r="H10" s="18" t="s">
        <v>358</v>
      </c>
      <c r="I10" s="18"/>
      <c r="J10" s="18" t="s">
        <v>265</v>
      </c>
      <c r="K10" s="18" t="s">
        <v>249</v>
      </c>
      <c r="L10" s="17" t="s">
        <v>10</v>
      </c>
      <c r="M10" s="18" t="s">
        <v>140</v>
      </c>
      <c r="N10" s="18" t="s">
        <v>205</v>
      </c>
      <c r="O10" s="17" t="s">
        <v>11</v>
      </c>
      <c r="P10" s="18" t="s">
        <v>134</v>
      </c>
    </row>
    <row r="11" spans="3:16" ht="165" x14ac:dyDescent="0.25">
      <c r="C11" s="17" t="s">
        <v>28</v>
      </c>
      <c r="D11" s="17"/>
      <c r="E11" s="17"/>
      <c r="F11" s="17" t="s">
        <v>28</v>
      </c>
      <c r="G11" s="17" t="s">
        <v>202</v>
      </c>
      <c r="H11" s="18" t="s">
        <v>358</v>
      </c>
      <c r="I11" s="18"/>
      <c r="J11" s="18" t="s">
        <v>265</v>
      </c>
      <c r="K11" s="18" t="s">
        <v>249</v>
      </c>
      <c r="L11" s="17" t="s">
        <v>10</v>
      </c>
      <c r="M11" s="18" t="s">
        <v>140</v>
      </c>
      <c r="N11" s="18" t="s">
        <v>205</v>
      </c>
      <c r="O11" s="17" t="s">
        <v>11</v>
      </c>
      <c r="P11" s="18" t="s">
        <v>134</v>
      </c>
    </row>
    <row r="12" spans="3:16" ht="165" x14ac:dyDescent="0.25">
      <c r="C12" s="17" t="s">
        <v>29</v>
      </c>
      <c r="D12" s="17"/>
      <c r="E12" s="17"/>
      <c r="F12" s="17" t="s">
        <v>29</v>
      </c>
      <c r="G12" s="17" t="s">
        <v>202</v>
      </c>
      <c r="H12" s="18" t="s">
        <v>358</v>
      </c>
      <c r="I12" s="18"/>
      <c r="J12" s="18" t="s">
        <v>265</v>
      </c>
      <c r="K12" s="18" t="s">
        <v>249</v>
      </c>
      <c r="L12" s="17" t="s">
        <v>10</v>
      </c>
      <c r="M12" s="18" t="s">
        <v>140</v>
      </c>
      <c r="N12" s="18" t="s">
        <v>205</v>
      </c>
      <c r="O12" s="17" t="s">
        <v>11</v>
      </c>
      <c r="P12" s="18" t="s">
        <v>134</v>
      </c>
    </row>
    <row r="13" spans="3:16" ht="165" x14ac:dyDescent="0.25">
      <c r="C13" s="17" t="s">
        <v>30</v>
      </c>
      <c r="D13" s="17"/>
      <c r="E13" s="17"/>
      <c r="F13" s="17" t="s">
        <v>30</v>
      </c>
      <c r="G13" s="17" t="s">
        <v>202</v>
      </c>
      <c r="H13" s="18" t="s">
        <v>358</v>
      </c>
      <c r="I13" s="18"/>
      <c r="J13" s="18" t="s">
        <v>265</v>
      </c>
      <c r="K13" s="18" t="s">
        <v>249</v>
      </c>
      <c r="L13" s="17" t="s">
        <v>10</v>
      </c>
      <c r="M13" s="18" t="s">
        <v>140</v>
      </c>
      <c r="N13" s="18" t="s">
        <v>205</v>
      </c>
      <c r="O13" s="17" t="s">
        <v>11</v>
      </c>
      <c r="P13" s="18" t="s">
        <v>134</v>
      </c>
    </row>
    <row r="14" spans="3:16" ht="165" x14ac:dyDescent="0.25">
      <c r="C14" s="17" t="s">
        <v>31</v>
      </c>
      <c r="D14" s="17"/>
      <c r="E14" s="17"/>
      <c r="F14" s="17" t="s">
        <v>31</v>
      </c>
      <c r="G14" s="17" t="s">
        <v>202</v>
      </c>
      <c r="H14" s="18" t="s">
        <v>358</v>
      </c>
      <c r="I14" s="18"/>
      <c r="J14" s="18" t="s">
        <v>265</v>
      </c>
      <c r="K14" s="18" t="s">
        <v>249</v>
      </c>
      <c r="L14" s="17" t="s">
        <v>10</v>
      </c>
      <c r="M14" s="18" t="s">
        <v>140</v>
      </c>
      <c r="N14" s="18" t="s">
        <v>205</v>
      </c>
      <c r="O14" s="17" t="s">
        <v>11</v>
      </c>
      <c r="P14" s="18" t="s">
        <v>134</v>
      </c>
    </row>
    <row r="15" spans="3:16" ht="165" x14ac:dyDescent="0.25">
      <c r="C15" s="17" t="s">
        <v>32</v>
      </c>
      <c r="D15" s="17"/>
      <c r="E15" s="17"/>
      <c r="F15" s="17" t="s">
        <v>32</v>
      </c>
      <c r="G15" s="17" t="s">
        <v>202</v>
      </c>
      <c r="H15" s="18" t="s">
        <v>358</v>
      </c>
      <c r="I15" s="18"/>
      <c r="J15" s="18" t="s">
        <v>265</v>
      </c>
      <c r="K15" s="18" t="s">
        <v>249</v>
      </c>
      <c r="L15" s="17" t="s">
        <v>10</v>
      </c>
      <c r="M15" s="18" t="s">
        <v>140</v>
      </c>
      <c r="N15" s="18" t="s">
        <v>205</v>
      </c>
      <c r="O15" s="17" t="s">
        <v>11</v>
      </c>
      <c r="P15" s="18" t="s">
        <v>134</v>
      </c>
    </row>
    <row r="16" spans="3:16" ht="165" x14ac:dyDescent="0.25">
      <c r="C16" s="17" t="s">
        <v>33</v>
      </c>
      <c r="D16" s="17"/>
      <c r="E16" s="17"/>
      <c r="F16" s="17" t="s">
        <v>33</v>
      </c>
      <c r="G16" s="17" t="s">
        <v>202</v>
      </c>
      <c r="H16" s="18" t="s">
        <v>358</v>
      </c>
      <c r="I16" s="18"/>
      <c r="J16" s="18" t="s">
        <v>265</v>
      </c>
      <c r="K16" s="18" t="s">
        <v>251</v>
      </c>
      <c r="L16" s="17" t="s">
        <v>10</v>
      </c>
      <c r="M16" s="18" t="s">
        <v>140</v>
      </c>
      <c r="N16" s="18" t="s">
        <v>205</v>
      </c>
      <c r="O16" s="17" t="s">
        <v>11</v>
      </c>
      <c r="P16" s="18" t="s">
        <v>134</v>
      </c>
    </row>
    <row r="17" spans="3:16" ht="137.25" customHeight="1" x14ac:dyDescent="0.25">
      <c r="C17" s="17" t="s">
        <v>34</v>
      </c>
      <c r="D17" s="17"/>
      <c r="E17" s="17"/>
      <c r="F17" s="17" t="s">
        <v>34</v>
      </c>
      <c r="G17" s="17" t="s">
        <v>202</v>
      </c>
      <c r="H17" s="18" t="s">
        <v>358</v>
      </c>
      <c r="I17" s="18"/>
      <c r="J17" s="18" t="s">
        <v>265</v>
      </c>
      <c r="K17" s="18" t="s">
        <v>249</v>
      </c>
      <c r="L17" s="17" t="s">
        <v>10</v>
      </c>
      <c r="M17" s="18" t="s">
        <v>140</v>
      </c>
      <c r="N17" s="18" t="s">
        <v>205</v>
      </c>
      <c r="O17" s="17" t="s">
        <v>11</v>
      </c>
      <c r="P17" s="18" t="s">
        <v>134</v>
      </c>
    </row>
    <row r="18" spans="3:16" ht="165" x14ac:dyDescent="0.25">
      <c r="C18" s="17" t="s">
        <v>35</v>
      </c>
      <c r="D18" s="17"/>
      <c r="E18" s="17"/>
      <c r="F18" s="17" t="s">
        <v>35</v>
      </c>
      <c r="G18" s="17" t="s">
        <v>202</v>
      </c>
      <c r="H18" s="18" t="s">
        <v>358</v>
      </c>
      <c r="I18" s="18"/>
      <c r="J18" s="18" t="s">
        <v>265</v>
      </c>
      <c r="K18" s="18" t="s">
        <v>249</v>
      </c>
      <c r="L18" s="17" t="s">
        <v>10</v>
      </c>
      <c r="M18" s="18" t="s">
        <v>140</v>
      </c>
      <c r="N18" s="18" t="s">
        <v>205</v>
      </c>
      <c r="O18" s="17" t="s">
        <v>11</v>
      </c>
      <c r="P18" s="18" t="s">
        <v>134</v>
      </c>
    </row>
    <row r="19" spans="3:16" ht="165" x14ac:dyDescent="0.25">
      <c r="C19" s="17" t="s">
        <v>36</v>
      </c>
      <c r="D19" s="17"/>
      <c r="E19" s="17"/>
      <c r="F19" s="17" t="s">
        <v>36</v>
      </c>
      <c r="G19" s="17" t="s">
        <v>202</v>
      </c>
      <c r="H19" s="18" t="s">
        <v>358</v>
      </c>
      <c r="I19" s="18"/>
      <c r="J19" s="18" t="s">
        <v>265</v>
      </c>
      <c r="K19" s="18" t="s">
        <v>249</v>
      </c>
      <c r="L19" s="17" t="s">
        <v>10</v>
      </c>
      <c r="M19" s="18" t="s">
        <v>140</v>
      </c>
      <c r="N19" s="18" t="s">
        <v>205</v>
      </c>
      <c r="O19" s="17" t="s">
        <v>11</v>
      </c>
      <c r="P19" s="18" t="s">
        <v>134</v>
      </c>
    </row>
    <row r="20" spans="3:16" ht="165" x14ac:dyDescent="0.25">
      <c r="C20" s="17" t="s">
        <v>37</v>
      </c>
      <c r="D20" s="17"/>
      <c r="E20" s="17"/>
      <c r="F20" s="17" t="s">
        <v>37</v>
      </c>
      <c r="G20" s="17" t="s">
        <v>202</v>
      </c>
      <c r="H20" s="18" t="s">
        <v>358</v>
      </c>
      <c r="I20" s="18"/>
      <c r="J20" s="18" t="s">
        <v>265</v>
      </c>
      <c r="K20" s="18" t="s">
        <v>249</v>
      </c>
      <c r="L20" s="17" t="s">
        <v>10</v>
      </c>
      <c r="M20" s="18" t="s">
        <v>140</v>
      </c>
      <c r="N20" s="18" t="s">
        <v>205</v>
      </c>
      <c r="O20" s="17" t="s">
        <v>11</v>
      </c>
      <c r="P20" s="18" t="s">
        <v>134</v>
      </c>
    </row>
    <row r="21" spans="3:16" ht="210" x14ac:dyDescent="0.25">
      <c r="C21" s="17" t="s">
        <v>38</v>
      </c>
      <c r="D21" s="17"/>
      <c r="E21" s="17" t="s">
        <v>38</v>
      </c>
      <c r="F21" s="17" t="s">
        <v>38</v>
      </c>
      <c r="G21" s="17" t="s">
        <v>206</v>
      </c>
      <c r="H21" s="18" t="s">
        <v>358</v>
      </c>
      <c r="I21" s="18" t="s">
        <v>208</v>
      </c>
      <c r="J21" s="18" t="s">
        <v>265</v>
      </c>
      <c r="K21" s="18" t="s">
        <v>252</v>
      </c>
      <c r="L21" s="17" t="s">
        <v>10</v>
      </c>
      <c r="M21" s="18" t="s">
        <v>136</v>
      </c>
      <c r="N21" s="18" t="s">
        <v>287</v>
      </c>
      <c r="O21" s="17" t="s">
        <v>12</v>
      </c>
      <c r="P21" s="18" t="s">
        <v>134</v>
      </c>
    </row>
    <row r="22" spans="3:16" ht="165" x14ac:dyDescent="0.25">
      <c r="C22" s="17" t="s">
        <v>75</v>
      </c>
      <c r="D22" s="17" t="s">
        <v>75</v>
      </c>
      <c r="E22" s="17"/>
      <c r="F22" s="17" t="s">
        <v>75</v>
      </c>
      <c r="G22" s="17" t="s">
        <v>15</v>
      </c>
      <c r="H22" s="18" t="s">
        <v>357</v>
      </c>
      <c r="I22" s="18" t="s">
        <v>367</v>
      </c>
      <c r="J22" s="18" t="s">
        <v>265</v>
      </c>
      <c r="K22" s="18" t="s">
        <v>257</v>
      </c>
      <c r="L22" s="17" t="s">
        <v>17</v>
      </c>
      <c r="M22" s="18" t="s">
        <v>136</v>
      </c>
      <c r="N22" s="18" t="s">
        <v>216</v>
      </c>
      <c r="O22" s="17" t="s">
        <v>12</v>
      </c>
      <c r="P22" s="18" t="s">
        <v>191</v>
      </c>
    </row>
    <row r="23" spans="3:16" ht="210" x14ac:dyDescent="0.25">
      <c r="C23" s="17" t="s">
        <v>41</v>
      </c>
      <c r="D23" s="17"/>
      <c r="E23" s="17"/>
      <c r="F23" s="17" t="s">
        <v>41</v>
      </c>
      <c r="G23" s="17" t="s">
        <v>206</v>
      </c>
      <c r="H23" s="18" t="s">
        <v>358</v>
      </c>
      <c r="I23" s="18" t="s">
        <v>141</v>
      </c>
      <c r="J23" s="18" t="s">
        <v>265</v>
      </c>
      <c r="K23" s="18"/>
      <c r="L23" s="17" t="s">
        <v>10</v>
      </c>
      <c r="M23" s="18" t="s">
        <v>173</v>
      </c>
      <c r="N23" s="18" t="s">
        <v>288</v>
      </c>
      <c r="O23" s="17" t="s">
        <v>12</v>
      </c>
      <c r="P23" s="18" t="s">
        <v>134</v>
      </c>
    </row>
    <row r="24" spans="3:16" ht="336.75" customHeight="1" x14ac:dyDescent="0.25">
      <c r="C24" s="17" t="s">
        <v>42</v>
      </c>
      <c r="D24" s="17"/>
      <c r="E24" s="17"/>
      <c r="F24" s="17" t="s">
        <v>42</v>
      </c>
      <c r="G24" s="17" t="s">
        <v>9</v>
      </c>
      <c r="H24" s="18" t="s">
        <v>266</v>
      </c>
      <c r="I24" s="18" t="s">
        <v>180</v>
      </c>
      <c r="J24" s="18" t="s">
        <v>279</v>
      </c>
      <c r="K24" s="18" t="s">
        <v>253</v>
      </c>
      <c r="L24" s="17" t="s">
        <v>10</v>
      </c>
      <c r="M24" s="18" t="s">
        <v>209</v>
      </c>
      <c r="N24" s="18" t="s">
        <v>289</v>
      </c>
      <c r="O24" s="17" t="s">
        <v>11</v>
      </c>
      <c r="P24" s="18" t="s">
        <v>210</v>
      </c>
    </row>
    <row r="25" spans="3:16" ht="165" x14ac:dyDescent="0.25">
      <c r="C25" s="17" t="s">
        <v>76</v>
      </c>
      <c r="D25" s="17" t="s">
        <v>75</v>
      </c>
      <c r="E25" s="17"/>
      <c r="F25" s="17" t="s">
        <v>76</v>
      </c>
      <c r="G25" s="17" t="s">
        <v>15</v>
      </c>
      <c r="H25" s="18" t="s">
        <v>357</v>
      </c>
      <c r="I25" s="18" t="s">
        <v>367</v>
      </c>
      <c r="J25" s="18" t="s">
        <v>265</v>
      </c>
      <c r="K25" s="18" t="s">
        <v>257</v>
      </c>
      <c r="L25" s="17" t="s">
        <v>17</v>
      </c>
      <c r="M25" s="18" t="s">
        <v>136</v>
      </c>
      <c r="N25" s="18" t="s">
        <v>216</v>
      </c>
      <c r="O25" s="17" t="s">
        <v>12</v>
      </c>
      <c r="P25" s="18" t="s">
        <v>191</v>
      </c>
    </row>
    <row r="26" spans="3:16" ht="330" x14ac:dyDescent="0.25">
      <c r="C26" s="17" t="s">
        <v>45</v>
      </c>
      <c r="D26" s="17"/>
      <c r="E26" s="17" t="s">
        <v>46</v>
      </c>
      <c r="F26" s="17" t="s">
        <v>45</v>
      </c>
      <c r="G26" s="17" t="s">
        <v>184</v>
      </c>
      <c r="H26" s="18" t="s">
        <v>333</v>
      </c>
      <c r="I26" s="18" t="s">
        <v>174</v>
      </c>
      <c r="J26" s="18" t="s">
        <v>279</v>
      </c>
      <c r="K26" s="18" t="s">
        <v>183</v>
      </c>
      <c r="L26" s="17" t="s">
        <v>10</v>
      </c>
      <c r="M26" s="18" t="s">
        <v>142</v>
      </c>
      <c r="N26" s="18" t="s">
        <v>291</v>
      </c>
      <c r="O26" s="17" t="s">
        <v>47</v>
      </c>
      <c r="P26" s="18" t="s">
        <v>276</v>
      </c>
    </row>
    <row r="27" spans="3:16" ht="330" x14ac:dyDescent="0.25">
      <c r="C27" s="17" t="s">
        <v>48</v>
      </c>
      <c r="D27" s="17"/>
      <c r="E27" s="17" t="s">
        <v>49</v>
      </c>
      <c r="F27" s="17" t="s">
        <v>48</v>
      </c>
      <c r="G27" s="17" t="s">
        <v>9</v>
      </c>
      <c r="H27" s="18" t="s">
        <v>333</v>
      </c>
      <c r="I27" s="18"/>
      <c r="J27" s="18" t="s">
        <v>279</v>
      </c>
      <c r="K27" s="18" t="s">
        <v>255</v>
      </c>
      <c r="L27" s="17" t="s">
        <v>10</v>
      </c>
      <c r="M27" s="18" t="s">
        <v>143</v>
      </c>
      <c r="N27" s="18" t="s">
        <v>212</v>
      </c>
      <c r="O27" s="17" t="s">
        <v>11</v>
      </c>
      <c r="P27" s="18" t="s">
        <v>187</v>
      </c>
    </row>
    <row r="28" spans="3:16" ht="165" x14ac:dyDescent="0.25">
      <c r="C28" s="17" t="s">
        <v>50</v>
      </c>
      <c r="D28" s="17"/>
      <c r="E28" s="17"/>
      <c r="F28" s="17" t="s">
        <v>50</v>
      </c>
      <c r="G28" s="17" t="s">
        <v>202</v>
      </c>
      <c r="H28" s="18" t="s">
        <v>357</v>
      </c>
      <c r="I28" s="18"/>
      <c r="J28" s="18" t="s">
        <v>265</v>
      </c>
      <c r="K28" s="18" t="s">
        <v>175</v>
      </c>
      <c r="L28" s="17" t="s">
        <v>10</v>
      </c>
      <c r="M28" s="18" t="s">
        <v>136</v>
      </c>
      <c r="N28" s="18" t="s">
        <v>213</v>
      </c>
      <c r="O28" s="17" t="s">
        <v>11</v>
      </c>
      <c r="P28" s="18" t="s">
        <v>198</v>
      </c>
    </row>
    <row r="29" spans="3:16" ht="300" x14ac:dyDescent="0.25">
      <c r="C29" s="17" t="s">
        <v>51</v>
      </c>
      <c r="D29" s="17"/>
      <c r="E29" s="17" t="s">
        <v>52</v>
      </c>
      <c r="F29" s="17" t="s">
        <v>51</v>
      </c>
      <c r="G29" s="17" t="s">
        <v>9</v>
      </c>
      <c r="H29" s="18" t="s">
        <v>334</v>
      </c>
      <c r="I29" s="18"/>
      <c r="J29" s="18" t="s">
        <v>285</v>
      </c>
      <c r="K29" s="18" t="s">
        <v>256</v>
      </c>
      <c r="L29" s="17" t="s">
        <v>17</v>
      </c>
      <c r="M29" s="18" t="s">
        <v>144</v>
      </c>
      <c r="N29" s="18" t="s">
        <v>292</v>
      </c>
      <c r="O29" s="17" t="s">
        <v>11</v>
      </c>
      <c r="P29" s="18" t="s">
        <v>187</v>
      </c>
    </row>
    <row r="30" spans="3:16" ht="300" x14ac:dyDescent="0.25">
      <c r="C30" s="17" t="s">
        <v>53</v>
      </c>
      <c r="D30" s="17"/>
      <c r="E30" s="17" t="s">
        <v>54</v>
      </c>
      <c r="F30" s="17" t="s">
        <v>53</v>
      </c>
      <c r="G30" s="17" t="s">
        <v>9</v>
      </c>
      <c r="H30" s="18" t="s">
        <v>334</v>
      </c>
      <c r="I30" s="18"/>
      <c r="J30" s="18" t="s">
        <v>285</v>
      </c>
      <c r="K30" s="18" t="s">
        <v>241</v>
      </c>
      <c r="L30" s="17" t="s">
        <v>17</v>
      </c>
      <c r="M30" s="18" t="s">
        <v>144</v>
      </c>
      <c r="N30" s="18" t="s">
        <v>293</v>
      </c>
      <c r="O30" s="20" t="s">
        <v>11</v>
      </c>
      <c r="P30" s="18" t="s">
        <v>187</v>
      </c>
    </row>
    <row r="31" spans="3:16" ht="301.5" customHeight="1" x14ac:dyDescent="0.25">
      <c r="C31" s="17" t="s">
        <v>55</v>
      </c>
      <c r="D31" s="17"/>
      <c r="E31" s="17" t="s">
        <v>56</v>
      </c>
      <c r="F31" s="17" t="s">
        <v>55</v>
      </c>
      <c r="G31" s="17" t="s">
        <v>9</v>
      </c>
      <c r="H31" s="18" t="s">
        <v>335</v>
      </c>
      <c r="I31" s="18"/>
      <c r="J31" s="18" t="s">
        <v>280</v>
      </c>
      <c r="K31" s="18" t="s">
        <v>254</v>
      </c>
      <c r="L31" s="17" t="s">
        <v>17</v>
      </c>
      <c r="M31" s="18" t="s">
        <v>145</v>
      </c>
      <c r="N31" s="18" t="s">
        <v>294</v>
      </c>
      <c r="O31" s="17" t="s">
        <v>11</v>
      </c>
      <c r="P31" s="18" t="s">
        <v>187</v>
      </c>
    </row>
    <row r="32" spans="3:16" ht="302.25" customHeight="1" x14ac:dyDescent="0.25">
      <c r="C32" s="17" t="s">
        <v>57</v>
      </c>
      <c r="D32" s="17"/>
      <c r="E32" s="17" t="s">
        <v>58</v>
      </c>
      <c r="F32" s="17" t="s">
        <v>57</v>
      </c>
      <c r="G32" s="17" t="s">
        <v>9</v>
      </c>
      <c r="H32" s="18" t="s">
        <v>335</v>
      </c>
      <c r="I32" s="18" t="s">
        <v>8</v>
      </c>
      <c r="J32" s="18" t="s">
        <v>280</v>
      </c>
      <c r="K32" s="18" t="s">
        <v>254</v>
      </c>
      <c r="L32" s="17" t="s">
        <v>17</v>
      </c>
      <c r="M32" s="18" t="s">
        <v>177</v>
      </c>
      <c r="N32" s="18" t="s">
        <v>294</v>
      </c>
      <c r="O32" s="17" t="s">
        <v>11</v>
      </c>
      <c r="P32" s="18" t="s">
        <v>187</v>
      </c>
    </row>
    <row r="33" spans="3:16" ht="330" x14ac:dyDescent="0.25">
      <c r="C33" s="17" t="s">
        <v>59</v>
      </c>
      <c r="D33" s="17"/>
      <c r="E33" s="17" t="s">
        <v>60</v>
      </c>
      <c r="F33" s="17" t="s">
        <v>59</v>
      </c>
      <c r="G33" s="17" t="s">
        <v>184</v>
      </c>
      <c r="H33" s="18" t="s">
        <v>333</v>
      </c>
      <c r="I33" s="18" t="s">
        <v>179</v>
      </c>
      <c r="J33" s="18" t="s">
        <v>279</v>
      </c>
      <c r="K33" s="18" t="s">
        <v>242</v>
      </c>
      <c r="L33" s="17" t="s">
        <v>10</v>
      </c>
      <c r="M33" s="18" t="s">
        <v>178</v>
      </c>
      <c r="N33" s="18" t="s">
        <v>295</v>
      </c>
      <c r="O33" s="17" t="s">
        <v>47</v>
      </c>
      <c r="P33" s="18" t="s">
        <v>187</v>
      </c>
    </row>
    <row r="34" spans="3:16" ht="300" x14ac:dyDescent="0.25">
      <c r="C34" s="17" t="s">
        <v>61</v>
      </c>
      <c r="D34" s="17"/>
      <c r="E34" s="17"/>
      <c r="F34" s="17" t="s">
        <v>61</v>
      </c>
      <c r="G34" s="17" t="s">
        <v>202</v>
      </c>
      <c r="H34" s="18" t="s">
        <v>353</v>
      </c>
      <c r="I34" s="18"/>
      <c r="J34" s="18" t="s">
        <v>284</v>
      </c>
      <c r="K34" s="18"/>
      <c r="L34" s="17" t="s">
        <v>10</v>
      </c>
      <c r="M34" s="18" t="s">
        <v>354</v>
      </c>
      <c r="N34" s="18" t="s">
        <v>355</v>
      </c>
      <c r="O34" s="17" t="s">
        <v>11</v>
      </c>
      <c r="P34" s="18" t="s">
        <v>135</v>
      </c>
    </row>
    <row r="35" spans="3:16" ht="165" x14ac:dyDescent="0.25">
      <c r="C35" s="17" t="s">
        <v>62</v>
      </c>
      <c r="D35" s="17"/>
      <c r="E35" s="17"/>
      <c r="F35" s="17" t="s">
        <v>62</v>
      </c>
      <c r="G35" s="17" t="s">
        <v>202</v>
      </c>
      <c r="H35" s="18" t="s">
        <v>357</v>
      </c>
      <c r="I35" s="18"/>
      <c r="J35" s="18" t="s">
        <v>265</v>
      </c>
      <c r="K35" s="18" t="s">
        <v>175</v>
      </c>
      <c r="L35" s="17" t="s">
        <v>10</v>
      </c>
      <c r="M35" s="18" t="s">
        <v>136</v>
      </c>
      <c r="N35" s="18" t="s">
        <v>213</v>
      </c>
      <c r="O35" s="17" t="s">
        <v>11</v>
      </c>
      <c r="P35" s="18" t="s">
        <v>198</v>
      </c>
    </row>
    <row r="36" spans="3:16" ht="210" x14ac:dyDescent="0.25">
      <c r="C36" s="17" t="s">
        <v>39</v>
      </c>
      <c r="D36" s="17" t="s">
        <v>40</v>
      </c>
      <c r="E36" s="17" t="s">
        <v>39</v>
      </c>
      <c r="F36" s="17" t="s">
        <v>39</v>
      </c>
      <c r="G36" s="17" t="s">
        <v>206</v>
      </c>
      <c r="H36" s="18" t="s">
        <v>358</v>
      </c>
      <c r="I36" s="18" t="s">
        <v>207</v>
      </c>
      <c r="J36" s="18" t="s">
        <v>265</v>
      </c>
      <c r="K36" s="18" t="s">
        <v>249</v>
      </c>
      <c r="L36" s="17" t="s">
        <v>10</v>
      </c>
      <c r="M36" s="18" t="s">
        <v>136</v>
      </c>
      <c r="N36" s="18" t="s">
        <v>287</v>
      </c>
      <c r="O36" s="17" t="s">
        <v>12</v>
      </c>
      <c r="P36" s="18" t="s">
        <v>134</v>
      </c>
    </row>
    <row r="37" spans="3:16" ht="330" x14ac:dyDescent="0.25">
      <c r="C37" s="17" t="s">
        <v>65</v>
      </c>
      <c r="D37" s="17"/>
      <c r="E37" s="17" t="s">
        <v>65</v>
      </c>
      <c r="F37" s="17" t="s">
        <v>65</v>
      </c>
      <c r="G37" s="17" t="s">
        <v>9</v>
      </c>
      <c r="H37" s="18" t="s">
        <v>336</v>
      </c>
      <c r="I37" s="18"/>
      <c r="J37" s="18" t="s">
        <v>279</v>
      </c>
      <c r="K37" s="18" t="s">
        <v>242</v>
      </c>
      <c r="L37" s="17" t="s">
        <v>17</v>
      </c>
      <c r="M37" s="18" t="s">
        <v>143</v>
      </c>
      <c r="N37" s="18" t="s">
        <v>190</v>
      </c>
      <c r="O37" s="17" t="s">
        <v>11</v>
      </c>
      <c r="P37" s="18" t="s">
        <v>214</v>
      </c>
    </row>
    <row r="38" spans="3:16" ht="330" x14ac:dyDescent="0.25">
      <c r="C38" s="17" t="s">
        <v>66</v>
      </c>
      <c r="D38" s="17"/>
      <c r="E38" s="17" t="s">
        <v>67</v>
      </c>
      <c r="F38" s="17" t="s">
        <v>66</v>
      </c>
      <c r="G38" s="17" t="s">
        <v>9</v>
      </c>
      <c r="H38" s="18" t="s">
        <v>337</v>
      </c>
      <c r="I38" s="18"/>
      <c r="J38" s="18" t="s">
        <v>279</v>
      </c>
      <c r="K38" s="18" t="s">
        <v>257</v>
      </c>
      <c r="L38" s="17" t="s">
        <v>10</v>
      </c>
      <c r="M38" s="18" t="s">
        <v>143</v>
      </c>
      <c r="N38" s="18" t="s">
        <v>190</v>
      </c>
      <c r="O38" s="17" t="s">
        <v>11</v>
      </c>
      <c r="P38" s="18" t="s">
        <v>214</v>
      </c>
    </row>
    <row r="39" spans="3:16" ht="165" x14ac:dyDescent="0.25">
      <c r="C39" s="17" t="s">
        <v>13</v>
      </c>
      <c r="D39" s="17" t="s">
        <v>14</v>
      </c>
      <c r="E39" s="17" t="s">
        <v>13</v>
      </c>
      <c r="F39" s="17" t="s">
        <v>13</v>
      </c>
      <c r="G39" s="17" t="s">
        <v>15</v>
      </c>
      <c r="H39" s="18" t="s">
        <v>357</v>
      </c>
      <c r="I39" s="18" t="s">
        <v>200</v>
      </c>
      <c r="J39" s="18" t="s">
        <v>265</v>
      </c>
      <c r="K39" s="18" t="s">
        <v>249</v>
      </c>
      <c r="L39" s="17" t="s">
        <v>17</v>
      </c>
      <c r="M39" s="18" t="s">
        <v>136</v>
      </c>
      <c r="N39" s="18" t="s">
        <v>201</v>
      </c>
      <c r="O39" s="17" t="s">
        <v>12</v>
      </c>
      <c r="P39" s="18" t="s">
        <v>134</v>
      </c>
    </row>
    <row r="40" spans="3:16" ht="165" x14ac:dyDescent="0.25">
      <c r="C40" s="17" t="s">
        <v>89</v>
      </c>
      <c r="D40" s="17" t="s">
        <v>14</v>
      </c>
      <c r="E40" s="17"/>
      <c r="F40" s="17" t="s">
        <v>89</v>
      </c>
      <c r="G40" s="17" t="s">
        <v>219</v>
      </c>
      <c r="H40" s="18" t="s">
        <v>356</v>
      </c>
      <c r="I40" s="18" t="s">
        <v>221</v>
      </c>
      <c r="J40" s="18" t="s">
        <v>265</v>
      </c>
      <c r="K40" s="18" t="s">
        <v>257</v>
      </c>
      <c r="L40" s="17" t="s">
        <v>17</v>
      </c>
      <c r="M40" s="18" t="s">
        <v>136</v>
      </c>
      <c r="N40" s="18" t="s">
        <v>190</v>
      </c>
      <c r="O40" s="17" t="s">
        <v>12</v>
      </c>
      <c r="P40" s="18" t="s">
        <v>222</v>
      </c>
    </row>
    <row r="41" spans="3:16" ht="315" x14ac:dyDescent="0.25">
      <c r="C41" s="17" t="s">
        <v>73</v>
      </c>
      <c r="D41" s="17"/>
      <c r="E41" s="17" t="s">
        <v>73</v>
      </c>
      <c r="F41" s="17" t="s">
        <v>73</v>
      </c>
      <c r="G41" s="17" t="s">
        <v>9</v>
      </c>
      <c r="H41" s="18" t="s">
        <v>338</v>
      </c>
      <c r="I41" s="18"/>
      <c r="J41" s="18" t="s">
        <v>269</v>
      </c>
      <c r="K41" s="18" t="s">
        <v>257</v>
      </c>
      <c r="L41" s="17" t="s">
        <v>17</v>
      </c>
      <c r="M41" s="18" t="s">
        <v>143</v>
      </c>
      <c r="N41" s="18" t="s">
        <v>190</v>
      </c>
      <c r="O41" s="17" t="s">
        <v>11</v>
      </c>
      <c r="P41" s="18" t="s">
        <v>215</v>
      </c>
    </row>
    <row r="42" spans="3:16" ht="141.75" customHeight="1" x14ac:dyDescent="0.25">
      <c r="C42" s="17" t="s">
        <v>115</v>
      </c>
      <c r="D42" s="17" t="s">
        <v>14</v>
      </c>
      <c r="E42" s="17"/>
      <c r="F42" s="17" t="s">
        <v>115</v>
      </c>
      <c r="G42" s="17" t="s">
        <v>71</v>
      </c>
      <c r="H42" s="18"/>
      <c r="I42" s="18" t="s">
        <v>116</v>
      </c>
      <c r="J42" s="18"/>
      <c r="K42" s="18"/>
      <c r="L42" s="17" t="s">
        <v>17</v>
      </c>
      <c r="M42" s="18" t="s">
        <v>139</v>
      </c>
      <c r="N42" s="18"/>
      <c r="O42" s="17" t="s">
        <v>72</v>
      </c>
      <c r="P42" s="18"/>
    </row>
    <row r="43" spans="3:16" ht="285" x14ac:dyDescent="0.25">
      <c r="C43" s="17" t="s">
        <v>43</v>
      </c>
      <c r="D43" s="17" t="s">
        <v>44</v>
      </c>
      <c r="E43" s="17" t="s">
        <v>43</v>
      </c>
      <c r="F43" s="17" t="s">
        <v>43</v>
      </c>
      <c r="G43" s="17" t="s">
        <v>9</v>
      </c>
      <c r="H43" s="18" t="s">
        <v>339</v>
      </c>
      <c r="I43" s="18"/>
      <c r="J43" s="18" t="s">
        <v>275</v>
      </c>
      <c r="K43" s="18" t="s">
        <v>254</v>
      </c>
      <c r="L43" s="17" t="s">
        <v>17</v>
      </c>
      <c r="M43" s="18" t="s">
        <v>211</v>
      </c>
      <c r="N43" s="18" t="s">
        <v>290</v>
      </c>
      <c r="O43" s="17" t="s">
        <v>11</v>
      </c>
      <c r="P43" s="18" t="s">
        <v>277</v>
      </c>
    </row>
    <row r="44" spans="3:16" ht="210" x14ac:dyDescent="0.25">
      <c r="C44" s="17" t="s">
        <v>95</v>
      </c>
      <c r="D44" s="17" t="s">
        <v>44</v>
      </c>
      <c r="E44" s="17"/>
      <c r="F44" s="17" t="s">
        <v>95</v>
      </c>
      <c r="G44" s="17" t="s">
        <v>184</v>
      </c>
      <c r="H44" s="18" t="s">
        <v>356</v>
      </c>
      <c r="I44" s="18" t="s">
        <v>370</v>
      </c>
      <c r="J44" s="18" t="s">
        <v>265</v>
      </c>
      <c r="K44" s="18" t="s">
        <v>257</v>
      </c>
      <c r="L44" s="17" t="s">
        <v>17</v>
      </c>
      <c r="M44" s="18" t="s">
        <v>154</v>
      </c>
      <c r="N44" s="18" t="s">
        <v>303</v>
      </c>
      <c r="O44" s="17" t="s">
        <v>12</v>
      </c>
      <c r="P44" s="18" t="s">
        <v>195</v>
      </c>
    </row>
    <row r="45" spans="3:16" ht="180" x14ac:dyDescent="0.25">
      <c r="C45" s="17" t="s">
        <v>68</v>
      </c>
      <c r="D45" s="17" t="s">
        <v>69</v>
      </c>
      <c r="E45" s="17"/>
      <c r="F45" s="17" t="s">
        <v>68</v>
      </c>
      <c r="G45" s="17" t="s">
        <v>9</v>
      </c>
      <c r="H45" s="18" t="s">
        <v>357</v>
      </c>
      <c r="I45" s="18" t="s">
        <v>137</v>
      </c>
      <c r="J45" s="18" t="s">
        <v>265</v>
      </c>
      <c r="K45" s="18" t="s">
        <v>257</v>
      </c>
      <c r="L45" s="17" t="s">
        <v>17</v>
      </c>
      <c r="M45" s="18" t="s">
        <v>147</v>
      </c>
      <c r="N45" s="18" t="s">
        <v>190</v>
      </c>
      <c r="O45" s="17" t="s">
        <v>372</v>
      </c>
      <c r="P45" s="18" t="s">
        <v>374</v>
      </c>
    </row>
    <row r="46" spans="3:16" ht="75" x14ac:dyDescent="0.25">
      <c r="C46" s="17" t="s">
        <v>70</v>
      </c>
      <c r="D46" s="17" t="s">
        <v>69</v>
      </c>
      <c r="E46" s="17"/>
      <c r="F46" s="17" t="s">
        <v>70</v>
      </c>
      <c r="G46" s="17" t="s">
        <v>71</v>
      </c>
      <c r="H46" s="18"/>
      <c r="I46" s="18" t="s">
        <v>375</v>
      </c>
      <c r="J46" s="18"/>
      <c r="K46" s="18"/>
      <c r="L46" s="17" t="s">
        <v>17</v>
      </c>
      <c r="M46" s="18" t="s">
        <v>148</v>
      </c>
      <c r="N46" s="18" t="s">
        <v>371</v>
      </c>
      <c r="O46" s="17" t="s">
        <v>21</v>
      </c>
      <c r="P46" s="18" t="s">
        <v>373</v>
      </c>
    </row>
    <row r="47" spans="3:16" ht="345" x14ac:dyDescent="0.25">
      <c r="C47" s="17" t="s">
        <v>63</v>
      </c>
      <c r="D47" s="17" t="s">
        <v>64</v>
      </c>
      <c r="E47" s="17"/>
      <c r="F47" s="17" t="s">
        <v>63</v>
      </c>
      <c r="G47" s="17" t="s">
        <v>184</v>
      </c>
      <c r="H47" s="18" t="s">
        <v>337</v>
      </c>
      <c r="I47" s="18" t="s">
        <v>376</v>
      </c>
      <c r="J47" s="18" t="s">
        <v>279</v>
      </c>
      <c r="K47" s="18" t="s">
        <v>257</v>
      </c>
      <c r="L47" s="17" t="s">
        <v>17</v>
      </c>
      <c r="M47" s="18" t="s">
        <v>146</v>
      </c>
      <c r="N47" s="18" t="s">
        <v>188</v>
      </c>
      <c r="O47" s="17" t="s">
        <v>47</v>
      </c>
      <c r="P47" s="18" t="s">
        <v>189</v>
      </c>
    </row>
    <row r="48" spans="3:16" ht="210" x14ac:dyDescent="0.25">
      <c r="C48" s="17" t="s">
        <v>81</v>
      </c>
      <c r="D48" s="17"/>
      <c r="E48" s="17" t="s">
        <v>82</v>
      </c>
      <c r="F48" s="17" t="s">
        <v>81</v>
      </c>
      <c r="G48" s="17" t="s">
        <v>184</v>
      </c>
      <c r="H48" s="18" t="s">
        <v>359</v>
      </c>
      <c r="I48" s="18" t="s">
        <v>239</v>
      </c>
      <c r="J48" s="18" t="s">
        <v>265</v>
      </c>
      <c r="K48" s="18" t="s">
        <v>257</v>
      </c>
      <c r="L48" s="17" t="s">
        <v>10</v>
      </c>
      <c r="M48" s="18" t="s">
        <v>151</v>
      </c>
      <c r="N48" s="18" t="s">
        <v>296</v>
      </c>
      <c r="O48" s="17" t="s">
        <v>12</v>
      </c>
      <c r="P48" s="18" t="s">
        <v>191</v>
      </c>
    </row>
    <row r="49" spans="3:16" ht="345" x14ac:dyDescent="0.25">
      <c r="C49" s="17" t="s">
        <v>83</v>
      </c>
      <c r="D49" s="17"/>
      <c r="E49" s="17"/>
      <c r="F49" s="17" t="s">
        <v>83</v>
      </c>
      <c r="G49" s="17" t="s">
        <v>219</v>
      </c>
      <c r="H49" s="18" t="s">
        <v>340</v>
      </c>
      <c r="I49" s="18" t="s">
        <v>217</v>
      </c>
      <c r="J49" s="18" t="s">
        <v>268</v>
      </c>
      <c r="K49" s="18" t="s">
        <v>257</v>
      </c>
      <c r="L49" s="17" t="s">
        <v>10</v>
      </c>
      <c r="M49" s="18" t="s">
        <v>136</v>
      </c>
      <c r="N49" s="18" t="s">
        <v>297</v>
      </c>
      <c r="O49" s="17" t="s">
        <v>11</v>
      </c>
      <c r="P49" s="18" t="s">
        <v>218</v>
      </c>
    </row>
    <row r="50" spans="3:16" ht="165" x14ac:dyDescent="0.25">
      <c r="C50" s="17" t="s">
        <v>128</v>
      </c>
      <c r="D50" s="17" t="s">
        <v>64</v>
      </c>
      <c r="E50" s="17"/>
      <c r="F50" s="17" t="s">
        <v>128</v>
      </c>
      <c r="G50" s="17" t="s">
        <v>9</v>
      </c>
      <c r="H50" s="18" t="s">
        <v>357</v>
      </c>
      <c r="I50" s="18"/>
      <c r="J50" s="18" t="s">
        <v>265</v>
      </c>
      <c r="K50" s="18" t="s">
        <v>379</v>
      </c>
      <c r="L50" s="17" t="s">
        <v>17</v>
      </c>
      <c r="M50" s="18" t="s">
        <v>377</v>
      </c>
      <c r="N50" s="18" t="s">
        <v>378</v>
      </c>
      <c r="O50" s="17" t="s">
        <v>11</v>
      </c>
      <c r="P50" s="18" t="s">
        <v>234</v>
      </c>
    </row>
    <row r="51" spans="3:16" ht="174.75" customHeight="1" x14ac:dyDescent="0.25">
      <c r="C51" s="17" t="s">
        <v>129</v>
      </c>
      <c r="D51" s="17" t="s">
        <v>130</v>
      </c>
      <c r="E51" s="17"/>
      <c r="F51" s="17" t="s">
        <v>129</v>
      </c>
      <c r="G51" s="17" t="s">
        <v>9</v>
      </c>
      <c r="H51" s="18" t="s">
        <v>357</v>
      </c>
      <c r="I51" s="18"/>
      <c r="J51" s="18" t="s">
        <v>265</v>
      </c>
      <c r="K51" s="18" t="s">
        <v>379</v>
      </c>
      <c r="L51" s="17" t="s">
        <v>17</v>
      </c>
      <c r="M51" s="18" t="s">
        <v>377</v>
      </c>
      <c r="N51" s="18" t="s">
        <v>378</v>
      </c>
      <c r="O51" s="17" t="s">
        <v>11</v>
      </c>
      <c r="P51" s="18" t="s">
        <v>234</v>
      </c>
    </row>
    <row r="52" spans="3:16" ht="308.25" customHeight="1" x14ac:dyDescent="0.25">
      <c r="C52" s="17" t="s">
        <v>86</v>
      </c>
      <c r="D52" s="17"/>
      <c r="E52" s="17"/>
      <c r="F52" s="17" t="s">
        <v>86</v>
      </c>
      <c r="G52" s="17" t="s">
        <v>15</v>
      </c>
      <c r="H52" s="18" t="s">
        <v>341</v>
      </c>
      <c r="I52" s="18"/>
      <c r="J52" s="18" t="s">
        <v>283</v>
      </c>
      <c r="K52" s="18" t="s">
        <v>271</v>
      </c>
      <c r="L52" s="17" t="s">
        <v>10</v>
      </c>
      <c r="M52" s="18" t="s">
        <v>152</v>
      </c>
      <c r="N52" s="18" t="s">
        <v>298</v>
      </c>
      <c r="O52" s="17" t="s">
        <v>11</v>
      </c>
      <c r="P52" s="18" t="s">
        <v>220</v>
      </c>
    </row>
    <row r="53" spans="3:16" ht="300" x14ac:dyDescent="0.25">
      <c r="C53" s="17" t="s">
        <v>87</v>
      </c>
      <c r="D53" s="17"/>
      <c r="E53" s="17"/>
      <c r="F53" s="17" t="s">
        <v>87</v>
      </c>
      <c r="G53" s="17" t="s">
        <v>9</v>
      </c>
      <c r="H53" s="18" t="s">
        <v>342</v>
      </c>
      <c r="I53" s="18"/>
      <c r="J53" s="18" t="s">
        <v>282</v>
      </c>
      <c r="K53" s="18" t="s">
        <v>271</v>
      </c>
      <c r="L53" s="17" t="s">
        <v>10</v>
      </c>
      <c r="M53" s="18" t="s">
        <v>152</v>
      </c>
      <c r="N53" s="18" t="s">
        <v>299</v>
      </c>
      <c r="O53" s="17" t="s">
        <v>11</v>
      </c>
      <c r="P53" s="18" t="s">
        <v>220</v>
      </c>
    </row>
    <row r="54" spans="3:16" ht="300" x14ac:dyDescent="0.25">
      <c r="C54" s="17" t="s">
        <v>88</v>
      </c>
      <c r="D54" s="17"/>
      <c r="E54" s="17"/>
      <c r="F54" s="17" t="s">
        <v>88</v>
      </c>
      <c r="G54" s="17" t="s">
        <v>9</v>
      </c>
      <c r="H54" s="18" t="s">
        <v>341</v>
      </c>
      <c r="I54" s="18"/>
      <c r="J54" s="18" t="s">
        <v>281</v>
      </c>
      <c r="K54" s="18" t="s">
        <v>271</v>
      </c>
      <c r="L54" s="17" t="s">
        <v>10</v>
      </c>
      <c r="M54" s="18" t="s">
        <v>152</v>
      </c>
      <c r="N54" s="18" t="s">
        <v>299</v>
      </c>
      <c r="O54" s="17" t="s">
        <v>11</v>
      </c>
      <c r="P54" s="18" t="s">
        <v>220</v>
      </c>
    </row>
    <row r="55" spans="3:16" ht="165" x14ac:dyDescent="0.25">
      <c r="C55" s="17" t="s">
        <v>77</v>
      </c>
      <c r="D55" s="17" t="s">
        <v>78</v>
      </c>
      <c r="E55" s="17"/>
      <c r="F55" s="17" t="s">
        <v>77</v>
      </c>
      <c r="G55" s="17" t="s">
        <v>184</v>
      </c>
      <c r="H55" s="18" t="s">
        <v>357</v>
      </c>
      <c r="I55" s="18" t="s">
        <v>149</v>
      </c>
      <c r="J55" s="18" t="s">
        <v>265</v>
      </c>
      <c r="K55" s="18" t="s">
        <v>257</v>
      </c>
      <c r="L55" s="17" t="s">
        <v>17</v>
      </c>
      <c r="M55" s="18" t="s">
        <v>136</v>
      </c>
      <c r="N55" s="18" t="s">
        <v>190</v>
      </c>
      <c r="O55" s="17" t="s">
        <v>11</v>
      </c>
      <c r="P55" s="18" t="s">
        <v>191</v>
      </c>
    </row>
    <row r="56" spans="3:16" ht="345" x14ac:dyDescent="0.25">
      <c r="C56" s="17" t="s">
        <v>90</v>
      </c>
      <c r="D56" s="17"/>
      <c r="E56" s="17"/>
      <c r="F56" s="17" t="s">
        <v>90</v>
      </c>
      <c r="G56" s="17" t="s">
        <v>9</v>
      </c>
      <c r="H56" s="18" t="s">
        <v>364</v>
      </c>
      <c r="I56" s="18"/>
      <c r="J56" s="18" t="s">
        <v>352</v>
      </c>
      <c r="K56" s="18" t="s">
        <v>257</v>
      </c>
      <c r="L56" s="17" t="s">
        <v>17</v>
      </c>
      <c r="M56" s="18" t="s">
        <v>153</v>
      </c>
      <c r="N56" s="18" t="s">
        <v>300</v>
      </c>
      <c r="O56" s="17" t="s">
        <v>11</v>
      </c>
      <c r="P56" s="18" t="s">
        <v>273</v>
      </c>
    </row>
    <row r="57" spans="3:16" ht="345" x14ac:dyDescent="0.25">
      <c r="C57" s="17" t="s">
        <v>91</v>
      </c>
      <c r="D57" s="17"/>
      <c r="E57" s="17"/>
      <c r="F57" s="17" t="s">
        <v>91</v>
      </c>
      <c r="G57" s="17" t="s">
        <v>9</v>
      </c>
      <c r="H57" s="18" t="s">
        <v>364</v>
      </c>
      <c r="I57" s="18"/>
      <c r="J57" s="18" t="s">
        <v>352</v>
      </c>
      <c r="K57" s="18" t="s">
        <v>257</v>
      </c>
      <c r="L57" s="17" t="s">
        <v>17</v>
      </c>
      <c r="M57" s="18" t="s">
        <v>153</v>
      </c>
      <c r="N57" s="18" t="s">
        <v>301</v>
      </c>
      <c r="O57" s="17" t="s">
        <v>11</v>
      </c>
      <c r="P57" s="18" t="s">
        <v>274</v>
      </c>
    </row>
    <row r="58" spans="3:16" ht="345" x14ac:dyDescent="0.25">
      <c r="C58" s="17" t="s">
        <v>92</v>
      </c>
      <c r="D58" s="17"/>
      <c r="E58" s="17" t="s">
        <v>92</v>
      </c>
      <c r="F58" s="17" t="s">
        <v>92</v>
      </c>
      <c r="G58" s="17" t="s">
        <v>9</v>
      </c>
      <c r="H58" s="18" t="s">
        <v>343</v>
      </c>
      <c r="I58" s="18"/>
      <c r="J58" s="18" t="s">
        <v>272</v>
      </c>
      <c r="K58" s="18" t="s">
        <v>257</v>
      </c>
      <c r="L58" s="17" t="s">
        <v>17</v>
      </c>
      <c r="M58" s="18" t="s">
        <v>93</v>
      </c>
      <c r="N58" s="18" t="s">
        <v>192</v>
      </c>
      <c r="O58" s="17" t="s">
        <v>11</v>
      </c>
      <c r="P58" s="18" t="s">
        <v>223</v>
      </c>
    </row>
    <row r="59" spans="3:16" ht="315" x14ac:dyDescent="0.25">
      <c r="C59" s="17" t="s">
        <v>94</v>
      </c>
      <c r="D59" s="17"/>
      <c r="E59" s="17"/>
      <c r="F59" s="17" t="s">
        <v>94</v>
      </c>
      <c r="G59" s="17" t="s">
        <v>184</v>
      </c>
      <c r="H59" s="18" t="s">
        <v>344</v>
      </c>
      <c r="I59" s="18" t="s">
        <v>380</v>
      </c>
      <c r="J59" s="18" t="s">
        <v>280</v>
      </c>
      <c r="K59" s="18" t="s">
        <v>257</v>
      </c>
      <c r="L59" s="17" t="s">
        <v>17</v>
      </c>
      <c r="M59" s="18" t="s">
        <v>381</v>
      </c>
      <c r="N59" s="18" t="s">
        <v>302</v>
      </c>
      <c r="O59" s="17" t="s">
        <v>12</v>
      </c>
      <c r="P59" s="18" t="s">
        <v>194</v>
      </c>
    </row>
    <row r="60" spans="3:16" ht="165" x14ac:dyDescent="0.25">
      <c r="C60" s="17" t="s">
        <v>79</v>
      </c>
      <c r="D60" s="17" t="s">
        <v>78</v>
      </c>
      <c r="E60" s="17"/>
      <c r="F60" s="17" t="s">
        <v>79</v>
      </c>
      <c r="G60" s="17" t="s">
        <v>9</v>
      </c>
      <c r="H60" s="18" t="s">
        <v>357</v>
      </c>
      <c r="I60" s="18" t="s">
        <v>150</v>
      </c>
      <c r="J60" s="18" t="s">
        <v>265</v>
      </c>
      <c r="K60" s="18" t="s">
        <v>257</v>
      </c>
      <c r="L60" s="17" t="s">
        <v>17</v>
      </c>
      <c r="M60" s="18" t="s">
        <v>136</v>
      </c>
      <c r="N60" s="18" t="s">
        <v>190</v>
      </c>
      <c r="O60" s="17" t="s">
        <v>11</v>
      </c>
      <c r="P60" s="18" t="s">
        <v>191</v>
      </c>
    </row>
    <row r="61" spans="3:16" ht="300" x14ac:dyDescent="0.25">
      <c r="C61" s="17" t="s">
        <v>96</v>
      </c>
      <c r="D61" s="17"/>
      <c r="E61" s="17" t="s">
        <v>96</v>
      </c>
      <c r="F61" s="17" t="s">
        <v>96</v>
      </c>
      <c r="G61" s="17" t="s">
        <v>9</v>
      </c>
      <c r="H61" s="18" t="s">
        <v>345</v>
      </c>
      <c r="I61" s="18" t="s">
        <v>155</v>
      </c>
      <c r="J61" s="18" t="s">
        <v>280</v>
      </c>
      <c r="K61" s="18" t="s">
        <v>324</v>
      </c>
      <c r="L61" s="17" t="s">
        <v>157</v>
      </c>
      <c r="M61" s="18" t="s">
        <v>156</v>
      </c>
      <c r="N61" s="18" t="s">
        <v>304</v>
      </c>
      <c r="O61" s="17" t="s">
        <v>12</v>
      </c>
      <c r="P61" s="18" t="s">
        <v>224</v>
      </c>
    </row>
    <row r="62" spans="3:16" ht="135" x14ac:dyDescent="0.25">
      <c r="C62" s="17" t="s">
        <v>80</v>
      </c>
      <c r="D62" s="17" t="s">
        <v>78</v>
      </c>
      <c r="E62" s="17"/>
      <c r="F62" s="17" t="s">
        <v>80</v>
      </c>
      <c r="G62" s="17" t="s">
        <v>71</v>
      </c>
      <c r="H62" s="18"/>
      <c r="I62" s="18" t="s">
        <v>243</v>
      </c>
      <c r="J62" s="18"/>
      <c r="K62" s="18"/>
      <c r="L62" s="17" t="s">
        <v>17</v>
      </c>
      <c r="M62" s="18" t="s">
        <v>136</v>
      </c>
      <c r="N62" s="18"/>
      <c r="O62" s="17" t="s">
        <v>72</v>
      </c>
      <c r="P62" s="18"/>
    </row>
    <row r="63" spans="3:16" ht="165" x14ac:dyDescent="0.25">
      <c r="C63" s="17" t="s">
        <v>84</v>
      </c>
      <c r="D63" s="17" t="s">
        <v>84</v>
      </c>
      <c r="E63" s="17" t="s">
        <v>85</v>
      </c>
      <c r="F63" s="17" t="s">
        <v>84</v>
      </c>
      <c r="G63" s="17" t="s">
        <v>184</v>
      </c>
      <c r="H63" s="18" t="s">
        <v>359</v>
      </c>
      <c r="I63" s="18" t="s">
        <v>176</v>
      </c>
      <c r="J63" s="18" t="s">
        <v>265</v>
      </c>
      <c r="K63" s="18" t="s">
        <v>257</v>
      </c>
      <c r="L63" s="17" t="s">
        <v>10</v>
      </c>
      <c r="M63" s="18" t="s">
        <v>136</v>
      </c>
      <c r="N63" s="18" t="s">
        <v>192</v>
      </c>
      <c r="O63" s="17" t="s">
        <v>12</v>
      </c>
      <c r="P63" s="18" t="s">
        <v>193</v>
      </c>
    </row>
    <row r="64" spans="3:16" ht="195" x14ac:dyDescent="0.25">
      <c r="C64" s="17" t="s">
        <v>101</v>
      </c>
      <c r="D64" s="17"/>
      <c r="E64" s="17"/>
      <c r="F64" s="17" t="s">
        <v>101</v>
      </c>
      <c r="G64" s="17" t="s">
        <v>184</v>
      </c>
      <c r="H64" s="18" t="s">
        <v>359</v>
      </c>
      <c r="I64" s="18" t="s">
        <v>159</v>
      </c>
      <c r="J64" s="18" t="s">
        <v>265</v>
      </c>
      <c r="K64" s="18" t="s">
        <v>326</v>
      </c>
      <c r="L64" s="17" t="s">
        <v>17</v>
      </c>
      <c r="M64" s="18" t="s">
        <v>199</v>
      </c>
      <c r="N64" s="18" t="s">
        <v>307</v>
      </c>
      <c r="O64" s="17" t="s">
        <v>12</v>
      </c>
      <c r="P64" s="18" t="s">
        <v>264</v>
      </c>
    </row>
    <row r="65" spans="3:16" ht="210" x14ac:dyDescent="0.25">
      <c r="C65" s="17" t="s">
        <v>102</v>
      </c>
      <c r="D65" s="17"/>
      <c r="E65" s="17"/>
      <c r="F65" s="17" t="s">
        <v>102</v>
      </c>
      <c r="G65" s="17" t="s">
        <v>184</v>
      </c>
      <c r="H65" s="18" t="s">
        <v>359</v>
      </c>
      <c r="I65" s="18" t="s">
        <v>226</v>
      </c>
      <c r="J65" s="18" t="s">
        <v>265</v>
      </c>
      <c r="K65" s="18"/>
      <c r="L65" s="17" t="s">
        <v>10</v>
      </c>
      <c r="M65" s="18" t="s">
        <v>160</v>
      </c>
      <c r="N65" s="18" t="s">
        <v>308</v>
      </c>
      <c r="O65" s="17" t="s">
        <v>12</v>
      </c>
      <c r="P65" s="18" t="s">
        <v>198</v>
      </c>
    </row>
    <row r="66" spans="3:16" ht="165" x14ac:dyDescent="0.25">
      <c r="C66" s="17" t="s">
        <v>103</v>
      </c>
      <c r="D66" s="17" t="s">
        <v>103</v>
      </c>
      <c r="E66" s="17"/>
      <c r="F66" s="17" t="s">
        <v>103</v>
      </c>
      <c r="G66" s="17" t="s">
        <v>184</v>
      </c>
      <c r="H66" s="18" t="s">
        <v>359</v>
      </c>
      <c r="I66" s="18" t="s">
        <v>227</v>
      </c>
      <c r="J66" s="18" t="s">
        <v>265</v>
      </c>
      <c r="K66" s="18"/>
      <c r="L66" s="17" t="s">
        <v>10</v>
      </c>
      <c r="M66" s="18" t="s">
        <v>161</v>
      </c>
      <c r="N66" s="18" t="s">
        <v>190</v>
      </c>
      <c r="O66" s="17" t="s">
        <v>11</v>
      </c>
      <c r="P66" s="18" t="s">
        <v>198</v>
      </c>
    </row>
    <row r="67" spans="3:16" ht="165" x14ac:dyDescent="0.25">
      <c r="C67" s="17" t="s">
        <v>106</v>
      </c>
      <c r="D67" s="17"/>
      <c r="E67" s="17"/>
      <c r="F67" s="17" t="s">
        <v>106</v>
      </c>
      <c r="G67" s="17" t="s">
        <v>9</v>
      </c>
      <c r="H67" s="18" t="s">
        <v>357</v>
      </c>
      <c r="I67" s="18"/>
      <c r="J67" s="18" t="s">
        <v>265</v>
      </c>
      <c r="K67" s="18" t="s">
        <v>257</v>
      </c>
      <c r="L67" s="17" t="s">
        <v>10</v>
      </c>
      <c r="M67" s="18" t="s">
        <v>25</v>
      </c>
      <c r="N67" s="18" t="s">
        <v>190</v>
      </c>
      <c r="O67" s="17" t="s">
        <v>11</v>
      </c>
      <c r="P67" s="18" t="s">
        <v>198</v>
      </c>
    </row>
    <row r="68" spans="3:16" ht="165" x14ac:dyDescent="0.25">
      <c r="C68" s="17" t="s">
        <v>104</v>
      </c>
      <c r="D68" s="17" t="s">
        <v>105</v>
      </c>
      <c r="E68" s="17"/>
      <c r="F68" s="17" t="s">
        <v>104</v>
      </c>
      <c r="G68" s="17" t="s">
        <v>184</v>
      </c>
      <c r="H68" s="18" t="s">
        <v>359</v>
      </c>
      <c r="I68" s="18" t="s">
        <v>244</v>
      </c>
      <c r="J68" s="18" t="s">
        <v>265</v>
      </c>
      <c r="K68" s="18"/>
      <c r="L68" s="17" t="s">
        <v>10</v>
      </c>
      <c r="M68" s="18" t="s">
        <v>162</v>
      </c>
      <c r="N68" s="18" t="s">
        <v>190</v>
      </c>
      <c r="O68" s="17" t="s">
        <v>11</v>
      </c>
      <c r="P68" s="18" t="s">
        <v>198</v>
      </c>
    </row>
    <row r="69" spans="3:16" ht="300" x14ac:dyDescent="0.25">
      <c r="C69" s="17" t="s">
        <v>97</v>
      </c>
      <c r="D69" s="17" t="s">
        <v>98</v>
      </c>
      <c r="E69" s="17" t="s">
        <v>97</v>
      </c>
      <c r="F69" s="17" t="s">
        <v>97</v>
      </c>
      <c r="G69" s="17" t="s">
        <v>184</v>
      </c>
      <c r="H69" s="18" t="s">
        <v>346</v>
      </c>
      <c r="I69" s="18" t="s">
        <v>325</v>
      </c>
      <c r="J69" s="18" t="s">
        <v>280</v>
      </c>
      <c r="K69" s="18" t="s">
        <v>257</v>
      </c>
      <c r="L69" s="17" t="s">
        <v>17</v>
      </c>
      <c r="M69" s="18" t="s">
        <v>196</v>
      </c>
      <c r="N69" s="18" t="s">
        <v>305</v>
      </c>
      <c r="O69" s="17" t="s">
        <v>12</v>
      </c>
      <c r="P69" s="18" t="s">
        <v>197</v>
      </c>
    </row>
    <row r="70" spans="3:16" ht="248.25" customHeight="1" x14ac:dyDescent="0.25">
      <c r="C70" s="17" t="s">
        <v>111</v>
      </c>
      <c r="D70" s="17"/>
      <c r="E70" s="17" t="s">
        <v>112</v>
      </c>
      <c r="F70" s="17" t="s">
        <v>111</v>
      </c>
      <c r="G70" s="17" t="s">
        <v>202</v>
      </c>
      <c r="H70" s="18" t="s">
        <v>347</v>
      </c>
      <c r="I70" s="18"/>
      <c r="J70" s="18" t="s">
        <v>267</v>
      </c>
      <c r="K70" s="18" t="s">
        <v>245</v>
      </c>
      <c r="L70" s="17" t="s">
        <v>17</v>
      </c>
      <c r="M70" s="18" t="s">
        <v>165</v>
      </c>
      <c r="N70" s="18" t="s">
        <v>190</v>
      </c>
      <c r="O70" s="17" t="s">
        <v>11</v>
      </c>
      <c r="P70" s="18" t="s">
        <v>229</v>
      </c>
    </row>
    <row r="71" spans="3:16" ht="165" x14ac:dyDescent="0.25">
      <c r="C71" s="17" t="s">
        <v>107</v>
      </c>
      <c r="D71" s="17" t="s">
        <v>108</v>
      </c>
      <c r="E71" s="17"/>
      <c r="F71" s="17" t="s">
        <v>107</v>
      </c>
      <c r="G71" s="17" t="s">
        <v>184</v>
      </c>
      <c r="H71" s="18" t="s">
        <v>359</v>
      </c>
      <c r="I71" s="18" t="s">
        <v>228</v>
      </c>
      <c r="J71" s="18" t="s">
        <v>265</v>
      </c>
      <c r="K71" s="18" t="s">
        <v>257</v>
      </c>
      <c r="L71" s="17" t="s">
        <v>10</v>
      </c>
      <c r="M71" s="18" t="s">
        <v>163</v>
      </c>
      <c r="N71" s="18" t="s">
        <v>190</v>
      </c>
      <c r="O71" s="17" t="s">
        <v>11</v>
      </c>
      <c r="P71" s="18" t="s">
        <v>198</v>
      </c>
    </row>
    <row r="72" spans="3:16" ht="180" x14ac:dyDescent="0.25">
      <c r="C72" s="17" t="s">
        <v>109</v>
      </c>
      <c r="D72" s="17" t="s">
        <v>110</v>
      </c>
      <c r="E72" s="17"/>
      <c r="F72" s="17" t="s">
        <v>109</v>
      </c>
      <c r="G72" s="17" t="s">
        <v>184</v>
      </c>
      <c r="H72" s="18" t="s">
        <v>359</v>
      </c>
      <c r="I72" s="18" t="s">
        <v>246</v>
      </c>
      <c r="J72" s="18" t="s">
        <v>265</v>
      </c>
      <c r="K72" s="18" t="s">
        <v>258</v>
      </c>
      <c r="L72" s="17" t="s">
        <v>10</v>
      </c>
      <c r="M72" s="18" t="s">
        <v>164</v>
      </c>
      <c r="N72" s="18" t="s">
        <v>190</v>
      </c>
      <c r="O72" s="17" t="s">
        <v>11</v>
      </c>
      <c r="P72" s="18" t="s">
        <v>198</v>
      </c>
    </row>
    <row r="73" spans="3:16" ht="315" x14ac:dyDescent="0.25">
      <c r="C73" s="17" t="s">
        <v>99</v>
      </c>
      <c r="D73" s="17" t="s">
        <v>100</v>
      </c>
      <c r="E73" s="17" t="s">
        <v>99</v>
      </c>
      <c r="F73" s="17" t="s">
        <v>99</v>
      </c>
      <c r="G73" s="17" t="s">
        <v>9</v>
      </c>
      <c r="H73" s="18" t="s">
        <v>346</v>
      </c>
      <c r="I73" s="18" t="s">
        <v>327</v>
      </c>
      <c r="J73" s="18" t="s">
        <v>280</v>
      </c>
      <c r="K73" s="18" t="s">
        <v>257</v>
      </c>
      <c r="L73" s="17" t="s">
        <v>17</v>
      </c>
      <c r="M73" s="18" t="s">
        <v>158</v>
      </c>
      <c r="N73" s="18" t="s">
        <v>306</v>
      </c>
      <c r="O73" s="17" t="s">
        <v>12</v>
      </c>
      <c r="P73" s="18" t="s">
        <v>225</v>
      </c>
    </row>
    <row r="74" spans="3:16" ht="210" x14ac:dyDescent="0.25">
      <c r="C74" s="17" t="s">
        <v>113</v>
      </c>
      <c r="D74" s="17" t="s">
        <v>113</v>
      </c>
      <c r="E74" s="17"/>
      <c r="F74" s="17" t="s">
        <v>113</v>
      </c>
      <c r="G74" s="17" t="s">
        <v>9</v>
      </c>
      <c r="H74" s="18" t="s">
        <v>357</v>
      </c>
      <c r="I74" s="18"/>
      <c r="J74" s="18" t="s">
        <v>265</v>
      </c>
      <c r="K74" s="18" t="s">
        <v>328</v>
      </c>
      <c r="L74" s="17" t="s">
        <v>17</v>
      </c>
      <c r="M74" s="18" t="s">
        <v>166</v>
      </c>
      <c r="N74" s="18" t="s">
        <v>309</v>
      </c>
      <c r="O74" s="17" t="s">
        <v>11</v>
      </c>
      <c r="P74" s="18" t="s">
        <v>230</v>
      </c>
    </row>
    <row r="75" spans="3:16" ht="300" x14ac:dyDescent="0.25">
      <c r="C75" s="17" t="s">
        <v>114</v>
      </c>
      <c r="D75" s="17" t="s">
        <v>114</v>
      </c>
      <c r="E75" s="17"/>
      <c r="F75" s="17" t="s">
        <v>114</v>
      </c>
      <c r="G75" s="17" t="s">
        <v>9</v>
      </c>
      <c r="H75" s="18" t="s">
        <v>357</v>
      </c>
      <c r="I75" s="18"/>
      <c r="J75" s="18" t="s">
        <v>280</v>
      </c>
      <c r="K75" s="18" t="s">
        <v>247</v>
      </c>
      <c r="L75" s="17" t="s">
        <v>17</v>
      </c>
      <c r="M75" s="18" t="s">
        <v>232</v>
      </c>
      <c r="N75" s="18" t="s">
        <v>192</v>
      </c>
      <c r="O75" s="17" t="s">
        <v>12</v>
      </c>
      <c r="P75" s="18" t="s">
        <v>231</v>
      </c>
    </row>
    <row r="76" spans="3:16" ht="75" x14ac:dyDescent="0.25">
      <c r="C76" s="17" t="s">
        <v>117</v>
      </c>
      <c r="D76" s="17" t="s">
        <v>117</v>
      </c>
      <c r="E76" s="17"/>
      <c r="F76" s="17" t="s">
        <v>117</v>
      </c>
      <c r="G76" s="17" t="s">
        <v>71</v>
      </c>
      <c r="H76" s="18"/>
      <c r="I76" s="18" t="s">
        <v>167</v>
      </c>
      <c r="J76" s="18"/>
      <c r="K76" s="18"/>
      <c r="L76" s="17" t="s">
        <v>17</v>
      </c>
      <c r="M76" s="18" t="s">
        <v>168</v>
      </c>
      <c r="N76" s="18"/>
      <c r="O76" s="17" t="s">
        <v>72</v>
      </c>
      <c r="P76" s="18"/>
    </row>
    <row r="77" spans="3:16" ht="330" x14ac:dyDescent="0.25">
      <c r="C77" s="17" t="s">
        <v>122</v>
      </c>
      <c r="D77" s="17"/>
      <c r="E77" s="17" t="s">
        <v>123</v>
      </c>
      <c r="F77" s="17" t="s">
        <v>122</v>
      </c>
      <c r="G77" s="17" t="s">
        <v>9</v>
      </c>
      <c r="H77" s="18" t="s">
        <v>333</v>
      </c>
      <c r="I77" s="18"/>
      <c r="J77" s="18" t="s">
        <v>279</v>
      </c>
      <c r="K77" s="18" t="s">
        <v>248</v>
      </c>
      <c r="L77" s="17" t="s">
        <v>10</v>
      </c>
      <c r="M77" s="18" t="s">
        <v>143</v>
      </c>
      <c r="N77" s="18" t="s">
        <v>192</v>
      </c>
      <c r="O77" s="17" t="s">
        <v>11</v>
      </c>
      <c r="P77" s="18" t="s">
        <v>233</v>
      </c>
    </row>
    <row r="78" spans="3:16" ht="210" x14ac:dyDescent="0.25">
      <c r="C78" s="17" t="s">
        <v>124</v>
      </c>
      <c r="D78" s="17"/>
      <c r="E78" s="17"/>
      <c r="F78" s="17" t="s">
        <v>124</v>
      </c>
      <c r="G78" s="17" t="s">
        <v>9</v>
      </c>
      <c r="H78" s="18" t="s">
        <v>331</v>
      </c>
      <c r="I78" s="18"/>
      <c r="J78" s="18" t="s">
        <v>265</v>
      </c>
      <c r="K78" s="18" t="s">
        <v>328</v>
      </c>
      <c r="L78" s="17" t="s">
        <v>17</v>
      </c>
      <c r="M78" s="18" t="s">
        <v>172</v>
      </c>
      <c r="N78" s="18" t="s">
        <v>310</v>
      </c>
      <c r="O78" s="17" t="s">
        <v>11</v>
      </c>
      <c r="P78" s="18" t="s">
        <v>234</v>
      </c>
    </row>
    <row r="79" spans="3:16" ht="165" x14ac:dyDescent="0.25">
      <c r="C79" s="17" t="s">
        <v>125</v>
      </c>
      <c r="D79" s="17"/>
      <c r="E79" s="17"/>
      <c r="F79" s="17" t="s">
        <v>125</v>
      </c>
      <c r="G79" s="17" t="s">
        <v>9</v>
      </c>
      <c r="H79" s="18" t="s">
        <v>357</v>
      </c>
      <c r="I79" s="18"/>
      <c r="J79" s="18" t="s">
        <v>265</v>
      </c>
      <c r="K79" s="18" t="s">
        <v>259</v>
      </c>
      <c r="L79" s="17" t="s">
        <v>10</v>
      </c>
      <c r="M79" s="18" t="s">
        <v>139</v>
      </c>
      <c r="N79" s="18" t="s">
        <v>235</v>
      </c>
      <c r="O79" s="17" t="s">
        <v>11</v>
      </c>
      <c r="P79" s="18" t="s">
        <v>234</v>
      </c>
    </row>
    <row r="80" spans="3:16" ht="300" x14ac:dyDescent="0.25">
      <c r="C80" s="17" t="s">
        <v>126</v>
      </c>
      <c r="D80" s="17"/>
      <c r="E80" s="17" t="s">
        <v>127</v>
      </c>
      <c r="F80" s="17" t="s">
        <v>126</v>
      </c>
      <c r="G80" s="17" t="s">
        <v>9</v>
      </c>
      <c r="H80" s="18" t="s">
        <v>348</v>
      </c>
      <c r="I80" s="18"/>
      <c r="J80" s="18" t="s">
        <v>278</v>
      </c>
      <c r="K80" s="18" t="s">
        <v>260</v>
      </c>
      <c r="L80" s="17" t="s">
        <v>17</v>
      </c>
      <c r="M80" s="18" t="s">
        <v>144</v>
      </c>
      <c r="N80" s="18" t="s">
        <v>311</v>
      </c>
      <c r="O80" s="17" t="s">
        <v>11</v>
      </c>
      <c r="P80" s="18" t="s">
        <v>236</v>
      </c>
    </row>
    <row r="81" spans="3:16" ht="90" x14ac:dyDescent="0.25">
      <c r="C81" s="17" t="s">
        <v>118</v>
      </c>
      <c r="D81" s="17" t="s">
        <v>118</v>
      </c>
      <c r="E81" s="17"/>
      <c r="F81" s="17" t="s">
        <v>118</v>
      </c>
      <c r="G81" s="17" t="s">
        <v>71</v>
      </c>
      <c r="H81" s="18"/>
      <c r="I81" s="18" t="s">
        <v>169</v>
      </c>
      <c r="J81" s="18"/>
      <c r="K81" s="18"/>
      <c r="L81" s="17" t="s">
        <v>17</v>
      </c>
      <c r="M81" s="18" t="s">
        <v>168</v>
      </c>
      <c r="N81" s="18"/>
      <c r="O81" s="17" t="s">
        <v>72</v>
      </c>
      <c r="P81" s="18"/>
    </row>
    <row r="82" spans="3:16" ht="45" x14ac:dyDescent="0.25">
      <c r="C82" s="17" t="s">
        <v>119</v>
      </c>
      <c r="D82" s="17" t="s">
        <v>120</v>
      </c>
      <c r="E82" s="17"/>
      <c r="F82" s="17" t="s">
        <v>119</v>
      </c>
      <c r="G82" s="17" t="s">
        <v>121</v>
      </c>
      <c r="H82" s="18"/>
      <c r="I82" s="18" t="s">
        <v>170</v>
      </c>
      <c r="J82" s="18"/>
      <c r="K82" s="18"/>
      <c r="L82" s="17" t="s">
        <v>17</v>
      </c>
      <c r="M82" s="18" t="s">
        <v>171</v>
      </c>
      <c r="N82" s="18"/>
      <c r="O82" s="17" t="s">
        <v>72</v>
      </c>
      <c r="P82" s="18"/>
    </row>
    <row r="83" spans="3:16" ht="210" x14ac:dyDescent="0.25">
      <c r="C83" s="17" t="s">
        <v>261</v>
      </c>
      <c r="D83" s="17"/>
      <c r="E83" s="18"/>
      <c r="F83" s="17" t="s">
        <v>261</v>
      </c>
      <c r="G83" s="17" t="s">
        <v>184</v>
      </c>
      <c r="H83" s="18" t="s">
        <v>387</v>
      </c>
      <c r="I83" s="23" t="s">
        <v>388</v>
      </c>
      <c r="J83" s="18" t="s">
        <v>265</v>
      </c>
      <c r="K83" s="18" t="s">
        <v>323</v>
      </c>
      <c r="L83" s="17" t="s">
        <v>17</v>
      </c>
      <c r="M83" s="18" t="s">
        <v>262</v>
      </c>
      <c r="N83" s="18" t="s">
        <v>312</v>
      </c>
      <c r="O83" s="17" t="s">
        <v>12</v>
      </c>
      <c r="P83" s="18" t="s">
        <v>263</v>
      </c>
    </row>
    <row r="84" spans="3:16" ht="225" x14ac:dyDescent="0.25">
      <c r="C84" s="17" t="s">
        <v>313</v>
      </c>
      <c r="D84" s="17"/>
      <c r="E84" s="18"/>
      <c r="F84" s="17" t="s">
        <v>313</v>
      </c>
      <c r="G84" s="17" t="s">
        <v>184</v>
      </c>
      <c r="H84" s="18" t="s">
        <v>349</v>
      </c>
      <c r="I84" s="17" t="s">
        <v>318</v>
      </c>
      <c r="J84" s="18" t="s">
        <v>265</v>
      </c>
      <c r="K84" s="18" t="s">
        <v>315</v>
      </c>
      <c r="L84" s="17" t="s">
        <v>10</v>
      </c>
      <c r="M84" s="18" t="s">
        <v>314</v>
      </c>
      <c r="N84" s="18" t="s">
        <v>316</v>
      </c>
      <c r="O84" s="17" t="s">
        <v>12</v>
      </c>
      <c r="P84" s="18" t="s">
        <v>317</v>
      </c>
    </row>
    <row r="85" spans="3:16" ht="225" x14ac:dyDescent="0.25">
      <c r="C85" s="17" t="s">
        <v>319</v>
      </c>
      <c r="D85" s="17"/>
      <c r="E85" s="18"/>
      <c r="F85" s="17" t="s">
        <v>319</v>
      </c>
      <c r="G85" s="17" t="s">
        <v>184</v>
      </c>
      <c r="H85" s="18" t="s">
        <v>350</v>
      </c>
      <c r="I85" s="17" t="s">
        <v>318</v>
      </c>
      <c r="J85" s="18" t="s">
        <v>265</v>
      </c>
      <c r="K85" s="18" t="s">
        <v>320</v>
      </c>
      <c r="L85" s="17" t="s">
        <v>10</v>
      </c>
      <c r="M85" s="18" t="s">
        <v>321</v>
      </c>
      <c r="N85" s="18" t="s">
        <v>316</v>
      </c>
      <c r="O85" s="17" t="s">
        <v>12</v>
      </c>
      <c r="P85" s="18" t="s">
        <v>322</v>
      </c>
    </row>
    <row r="86" spans="3:16" ht="165" x14ac:dyDescent="0.25">
      <c r="C86" s="17" t="s">
        <v>329</v>
      </c>
      <c r="D86" s="17"/>
      <c r="E86" s="18"/>
      <c r="F86" s="17" t="s">
        <v>329</v>
      </c>
      <c r="G86" s="17" t="s">
        <v>9</v>
      </c>
      <c r="H86" s="18" t="s">
        <v>357</v>
      </c>
      <c r="I86" s="17" t="s">
        <v>360</v>
      </c>
      <c r="J86" s="18" t="s">
        <v>265</v>
      </c>
      <c r="K86" s="18"/>
      <c r="L86" s="17" t="s">
        <v>10</v>
      </c>
      <c r="M86" s="18" t="s">
        <v>351</v>
      </c>
      <c r="N86" s="18" t="s">
        <v>316</v>
      </c>
      <c r="O86" s="17" t="s">
        <v>12</v>
      </c>
      <c r="P86" s="18" t="s">
        <v>330</v>
      </c>
    </row>
    <row r="87" spans="3:16" ht="165" x14ac:dyDescent="0.25">
      <c r="C87" s="17" t="s">
        <v>361</v>
      </c>
      <c r="D87" s="17"/>
      <c r="E87" s="18"/>
      <c r="F87" s="17" t="s">
        <v>361</v>
      </c>
      <c r="G87" s="17" t="s">
        <v>9</v>
      </c>
      <c r="H87" s="18" t="s">
        <v>357</v>
      </c>
      <c r="I87" s="17" t="s">
        <v>362</v>
      </c>
      <c r="J87" s="18" t="s">
        <v>265</v>
      </c>
      <c r="K87" s="18"/>
      <c r="L87" s="17" t="s">
        <v>10</v>
      </c>
      <c r="M87" s="18" t="s">
        <v>363</v>
      </c>
      <c r="N87" s="18" t="s">
        <v>316</v>
      </c>
      <c r="O87" s="17" t="s">
        <v>12</v>
      </c>
      <c r="P87" s="18" t="s">
        <v>231</v>
      </c>
    </row>
    <row r="88" spans="3:16" ht="195" x14ac:dyDescent="0.25">
      <c r="C88" s="22" t="s">
        <v>386</v>
      </c>
      <c r="D88" s="22"/>
      <c r="E88" s="22"/>
      <c r="F88" s="22" t="s">
        <v>386</v>
      </c>
      <c r="G88" s="22" t="s">
        <v>184</v>
      </c>
      <c r="H88" s="21" t="s">
        <v>331</v>
      </c>
      <c r="I88" s="21" t="s">
        <v>392</v>
      </c>
      <c r="J88" s="21" t="s">
        <v>265</v>
      </c>
      <c r="K88" s="21"/>
      <c r="L88" s="22" t="s">
        <v>17</v>
      </c>
      <c r="M88" s="21" t="s">
        <v>389</v>
      </c>
      <c r="N88" s="21" t="s">
        <v>390</v>
      </c>
      <c r="O88" s="22" t="s">
        <v>12</v>
      </c>
      <c r="P88" s="21" t="s">
        <v>391</v>
      </c>
    </row>
  </sheetData>
  <sheetProtection password="CFBD" sheet="1" objects="1" scenarios="1"/>
  <autoFilter ref="C1:Q86">
    <sortState ref="C3:P82">
      <sortCondition ref="D1:D8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101"/>
  <sheetViews>
    <sheetView topLeftCell="A37" workbookViewId="0">
      <selection activeCell="D58" sqref="D58"/>
    </sheetView>
  </sheetViews>
  <sheetFormatPr baseColWidth="10" defaultRowHeight="15" x14ac:dyDescent="0.25"/>
  <cols>
    <col min="1" max="2" width="45.7109375" bestFit="1" customWidth="1"/>
  </cols>
  <sheetData>
    <row r="1" spans="1:2" x14ac:dyDescent="0.25">
      <c r="A1" t="s">
        <v>13</v>
      </c>
      <c r="B1" t="s">
        <v>13</v>
      </c>
    </row>
    <row r="2" spans="1:2" x14ac:dyDescent="0.25">
      <c r="A2" t="s">
        <v>16</v>
      </c>
      <c r="B2" t="s">
        <v>16</v>
      </c>
    </row>
    <row r="3" spans="1:2" x14ac:dyDescent="0.25">
      <c r="A3" t="s">
        <v>18</v>
      </c>
      <c r="B3" t="s">
        <v>18</v>
      </c>
    </row>
    <row r="4" spans="1:2" x14ac:dyDescent="0.25">
      <c r="A4" t="s">
        <v>19</v>
      </c>
      <c r="B4" t="s">
        <v>19</v>
      </c>
    </row>
    <row r="5" spans="1:2" x14ac:dyDescent="0.25">
      <c r="A5" t="s">
        <v>22</v>
      </c>
      <c r="B5" t="s">
        <v>22</v>
      </c>
    </row>
    <row r="6" spans="1:2" x14ac:dyDescent="0.25">
      <c r="A6" t="s">
        <v>23</v>
      </c>
      <c r="B6" t="s">
        <v>23</v>
      </c>
    </row>
    <row r="7" spans="1:2" x14ac:dyDescent="0.25">
      <c r="A7" t="s">
        <v>24</v>
      </c>
      <c r="B7" t="s">
        <v>24</v>
      </c>
    </row>
    <row r="8" spans="1:2" x14ac:dyDescent="0.25">
      <c r="A8" t="s">
        <v>26</v>
      </c>
      <c r="B8" t="s">
        <v>26</v>
      </c>
    </row>
    <row r="9" spans="1:2" x14ac:dyDescent="0.25">
      <c r="A9" t="s">
        <v>27</v>
      </c>
      <c r="B9" t="s">
        <v>27</v>
      </c>
    </row>
    <row r="10" spans="1:2" x14ac:dyDescent="0.25">
      <c r="A10" t="s">
        <v>28</v>
      </c>
      <c r="B10" t="s">
        <v>28</v>
      </c>
    </row>
    <row r="11" spans="1:2" x14ac:dyDescent="0.25">
      <c r="A11" t="s">
        <v>29</v>
      </c>
      <c r="B11" t="s">
        <v>29</v>
      </c>
    </row>
    <row r="12" spans="1:2" x14ac:dyDescent="0.25">
      <c r="A12" t="s">
        <v>30</v>
      </c>
      <c r="B12" t="s">
        <v>30</v>
      </c>
    </row>
    <row r="13" spans="1:2" x14ac:dyDescent="0.25">
      <c r="A13" t="s">
        <v>31</v>
      </c>
      <c r="B13" t="s">
        <v>31</v>
      </c>
    </row>
    <row r="14" spans="1:2" x14ac:dyDescent="0.25">
      <c r="A14" t="s">
        <v>32</v>
      </c>
      <c r="B14" t="s">
        <v>32</v>
      </c>
    </row>
    <row r="15" spans="1:2" x14ac:dyDescent="0.25">
      <c r="A15" t="s">
        <v>33</v>
      </c>
      <c r="B15" t="s">
        <v>33</v>
      </c>
    </row>
    <row r="16" spans="1:2" x14ac:dyDescent="0.25">
      <c r="A16" t="s">
        <v>34</v>
      </c>
      <c r="B16" t="s">
        <v>34</v>
      </c>
    </row>
    <row r="17" spans="1:2" x14ac:dyDescent="0.25">
      <c r="A17" t="s">
        <v>35</v>
      </c>
      <c r="B17" t="s">
        <v>35</v>
      </c>
    </row>
    <row r="18" spans="1:2" x14ac:dyDescent="0.25">
      <c r="A18" t="s">
        <v>36</v>
      </c>
      <c r="B18" t="s">
        <v>36</v>
      </c>
    </row>
    <row r="19" spans="1:2" x14ac:dyDescent="0.25">
      <c r="A19" t="s">
        <v>37</v>
      </c>
      <c r="B19" t="s">
        <v>37</v>
      </c>
    </row>
    <row r="20" spans="1:2" x14ac:dyDescent="0.25">
      <c r="A20" t="s">
        <v>313</v>
      </c>
      <c r="B20" t="s">
        <v>382</v>
      </c>
    </row>
    <row r="21" spans="1:2" x14ac:dyDescent="0.25">
      <c r="A21" t="s">
        <v>38</v>
      </c>
      <c r="B21" t="s">
        <v>38</v>
      </c>
    </row>
    <row r="22" spans="1:2" x14ac:dyDescent="0.25">
      <c r="A22" t="s">
        <v>39</v>
      </c>
      <c r="B22" t="s">
        <v>39</v>
      </c>
    </row>
    <row r="23" spans="1:2" x14ac:dyDescent="0.25">
      <c r="A23" t="s">
        <v>41</v>
      </c>
      <c r="B23" t="s">
        <v>41</v>
      </c>
    </row>
    <row r="24" spans="1:2" x14ac:dyDescent="0.25">
      <c r="A24" t="s">
        <v>42</v>
      </c>
      <c r="B24" t="s">
        <v>42</v>
      </c>
    </row>
    <row r="25" spans="1:2" x14ac:dyDescent="0.25">
      <c r="A25" t="s">
        <v>43</v>
      </c>
      <c r="B25" t="s">
        <v>43</v>
      </c>
    </row>
    <row r="26" spans="1:2" x14ac:dyDescent="0.25">
      <c r="A26" t="s">
        <v>45</v>
      </c>
      <c r="B26" t="s">
        <v>45</v>
      </c>
    </row>
    <row r="27" spans="1:2" x14ac:dyDescent="0.25">
      <c r="A27" t="s">
        <v>48</v>
      </c>
      <c r="B27" t="s">
        <v>48</v>
      </c>
    </row>
    <row r="28" spans="1:2" x14ac:dyDescent="0.25">
      <c r="A28" t="s">
        <v>50</v>
      </c>
      <c r="B28" t="s">
        <v>50</v>
      </c>
    </row>
    <row r="29" spans="1:2" x14ac:dyDescent="0.25">
      <c r="A29" t="s">
        <v>51</v>
      </c>
      <c r="B29" t="s">
        <v>51</v>
      </c>
    </row>
    <row r="30" spans="1:2" x14ac:dyDescent="0.25">
      <c r="A30" t="s">
        <v>53</v>
      </c>
      <c r="B30" t="s">
        <v>53</v>
      </c>
    </row>
    <row r="31" spans="1:2" x14ac:dyDescent="0.25">
      <c r="A31" t="s">
        <v>55</v>
      </c>
      <c r="B31" t="s">
        <v>55</v>
      </c>
    </row>
    <row r="32" spans="1:2" x14ac:dyDescent="0.25">
      <c r="A32" t="s">
        <v>57</v>
      </c>
      <c r="B32" t="s">
        <v>57</v>
      </c>
    </row>
    <row r="33" spans="1:2" x14ac:dyDescent="0.25">
      <c r="A33" t="s">
        <v>59</v>
      </c>
      <c r="B33" t="s">
        <v>59</v>
      </c>
    </row>
    <row r="34" spans="1:2" x14ac:dyDescent="0.25">
      <c r="A34" t="s">
        <v>61</v>
      </c>
      <c r="B34" t="s">
        <v>61</v>
      </c>
    </row>
    <row r="35" spans="1:2" x14ac:dyDescent="0.25">
      <c r="A35" t="s">
        <v>62</v>
      </c>
      <c r="B35" t="s">
        <v>62</v>
      </c>
    </row>
    <row r="36" spans="1:2" x14ac:dyDescent="0.25">
      <c r="A36" t="s">
        <v>63</v>
      </c>
      <c r="B36" t="s">
        <v>63</v>
      </c>
    </row>
    <row r="37" spans="1:2" x14ac:dyDescent="0.25">
      <c r="A37" t="s">
        <v>65</v>
      </c>
      <c r="B37" t="s">
        <v>65</v>
      </c>
    </row>
    <row r="38" spans="1:2" x14ac:dyDescent="0.25">
      <c r="A38" t="s">
        <v>66</v>
      </c>
      <c r="B38" t="s">
        <v>66</v>
      </c>
    </row>
    <row r="39" spans="1:2" x14ac:dyDescent="0.25">
      <c r="A39" t="s">
        <v>68</v>
      </c>
      <c r="B39" t="s">
        <v>68</v>
      </c>
    </row>
    <row r="40" spans="1:2" x14ac:dyDescent="0.25">
      <c r="A40" t="s">
        <v>70</v>
      </c>
      <c r="B40" t="s">
        <v>70</v>
      </c>
    </row>
    <row r="41" spans="1:2" x14ac:dyDescent="0.25">
      <c r="A41" t="s">
        <v>73</v>
      </c>
      <c r="B41" t="s">
        <v>73</v>
      </c>
    </row>
    <row r="42" spans="1:2" x14ac:dyDescent="0.25">
      <c r="A42" t="s">
        <v>74</v>
      </c>
      <c r="B42" t="s">
        <v>74</v>
      </c>
    </row>
    <row r="43" spans="1:2" x14ac:dyDescent="0.25">
      <c r="A43" t="s">
        <v>75</v>
      </c>
      <c r="B43" t="s">
        <v>75</v>
      </c>
    </row>
    <row r="44" spans="1:2" x14ac:dyDescent="0.25">
      <c r="A44" t="s">
        <v>76</v>
      </c>
      <c r="B44" t="s">
        <v>76</v>
      </c>
    </row>
    <row r="45" spans="1:2" x14ac:dyDescent="0.25">
      <c r="A45" t="s">
        <v>77</v>
      </c>
      <c r="B45" t="s">
        <v>77</v>
      </c>
    </row>
    <row r="46" spans="1:2" x14ac:dyDescent="0.25">
      <c r="A46" t="s">
        <v>79</v>
      </c>
      <c r="B46" t="s">
        <v>79</v>
      </c>
    </row>
    <row r="47" spans="1:2" x14ac:dyDescent="0.25">
      <c r="A47" t="s">
        <v>80</v>
      </c>
      <c r="B47" t="s">
        <v>80</v>
      </c>
    </row>
    <row r="48" spans="1:2" x14ac:dyDescent="0.25">
      <c r="A48" t="s">
        <v>81</v>
      </c>
      <c r="B48" t="s">
        <v>81</v>
      </c>
    </row>
    <row r="49" spans="1:2" x14ac:dyDescent="0.25">
      <c r="A49" t="s">
        <v>83</v>
      </c>
      <c r="B49" t="s">
        <v>83</v>
      </c>
    </row>
    <row r="50" spans="1:2" x14ac:dyDescent="0.25">
      <c r="A50" t="s">
        <v>361</v>
      </c>
      <c r="B50" t="s">
        <v>383</v>
      </c>
    </row>
    <row r="51" spans="1:2" x14ac:dyDescent="0.25">
      <c r="A51" t="s">
        <v>84</v>
      </c>
      <c r="B51" t="s">
        <v>84</v>
      </c>
    </row>
    <row r="52" spans="1:2" x14ac:dyDescent="0.25">
      <c r="A52" t="s">
        <v>86</v>
      </c>
      <c r="B52" t="s">
        <v>86</v>
      </c>
    </row>
    <row r="53" spans="1:2" x14ac:dyDescent="0.25">
      <c r="A53" t="s">
        <v>87</v>
      </c>
      <c r="B53" t="s">
        <v>87</v>
      </c>
    </row>
    <row r="54" spans="1:2" x14ac:dyDescent="0.25">
      <c r="A54" t="s">
        <v>88</v>
      </c>
      <c r="B54" t="s">
        <v>88</v>
      </c>
    </row>
    <row r="55" spans="1:2" x14ac:dyDescent="0.25">
      <c r="A55" t="s">
        <v>89</v>
      </c>
      <c r="B55" t="s">
        <v>89</v>
      </c>
    </row>
    <row r="56" spans="1:2" x14ac:dyDescent="0.25">
      <c r="A56" t="s">
        <v>90</v>
      </c>
      <c r="B56" t="s">
        <v>90</v>
      </c>
    </row>
    <row r="57" spans="1:2" x14ac:dyDescent="0.25">
      <c r="A57" t="s">
        <v>91</v>
      </c>
      <c r="B57" t="s">
        <v>91</v>
      </c>
    </row>
    <row r="58" spans="1:2" x14ac:dyDescent="0.25">
      <c r="A58" t="s">
        <v>92</v>
      </c>
      <c r="B58" t="s">
        <v>92</v>
      </c>
    </row>
    <row r="59" spans="1:2" x14ac:dyDescent="0.25">
      <c r="A59" t="s">
        <v>261</v>
      </c>
      <c r="B59" t="s">
        <v>261</v>
      </c>
    </row>
    <row r="60" spans="1:2" x14ac:dyDescent="0.25">
      <c r="A60" t="s">
        <v>94</v>
      </c>
      <c r="B60" t="s">
        <v>94</v>
      </c>
    </row>
    <row r="61" spans="1:2" x14ac:dyDescent="0.25">
      <c r="A61" t="s">
        <v>386</v>
      </c>
      <c r="B61" t="s">
        <v>386</v>
      </c>
    </row>
    <row r="62" spans="1:2" x14ac:dyDescent="0.25">
      <c r="A62" t="s">
        <v>95</v>
      </c>
      <c r="B62" t="s">
        <v>95</v>
      </c>
    </row>
    <row r="63" spans="1:2" x14ac:dyDescent="0.25">
      <c r="A63" t="s">
        <v>96</v>
      </c>
      <c r="B63" t="s">
        <v>96</v>
      </c>
    </row>
    <row r="64" spans="1:2" x14ac:dyDescent="0.25">
      <c r="A64" t="s">
        <v>97</v>
      </c>
      <c r="B64" t="s">
        <v>97</v>
      </c>
    </row>
    <row r="65" spans="1:2" x14ac:dyDescent="0.25">
      <c r="A65" t="s">
        <v>99</v>
      </c>
      <c r="B65" t="s">
        <v>99</v>
      </c>
    </row>
    <row r="66" spans="1:2" x14ac:dyDescent="0.25">
      <c r="A66" t="s">
        <v>101</v>
      </c>
      <c r="B66" t="s">
        <v>101</v>
      </c>
    </row>
    <row r="67" spans="1:2" x14ac:dyDescent="0.25">
      <c r="A67" t="s">
        <v>102</v>
      </c>
      <c r="B67" t="s">
        <v>384</v>
      </c>
    </row>
    <row r="68" spans="1:2" x14ac:dyDescent="0.25">
      <c r="A68" t="s">
        <v>103</v>
      </c>
      <c r="B68" t="s">
        <v>103</v>
      </c>
    </row>
    <row r="69" spans="1:2" x14ac:dyDescent="0.25">
      <c r="A69" t="s">
        <v>104</v>
      </c>
      <c r="B69" t="s">
        <v>104</v>
      </c>
    </row>
    <row r="70" spans="1:2" x14ac:dyDescent="0.25">
      <c r="A70" t="s">
        <v>319</v>
      </c>
      <c r="B70" t="s">
        <v>385</v>
      </c>
    </row>
    <row r="71" spans="1:2" x14ac:dyDescent="0.25">
      <c r="A71" t="s">
        <v>106</v>
      </c>
      <c r="B71" t="s">
        <v>106</v>
      </c>
    </row>
    <row r="72" spans="1:2" x14ac:dyDescent="0.25">
      <c r="A72" t="s">
        <v>107</v>
      </c>
      <c r="B72" t="s">
        <v>107</v>
      </c>
    </row>
    <row r="73" spans="1:2" x14ac:dyDescent="0.25">
      <c r="A73" t="s">
        <v>109</v>
      </c>
      <c r="B73" t="s">
        <v>109</v>
      </c>
    </row>
    <row r="74" spans="1:2" x14ac:dyDescent="0.25">
      <c r="A74" t="s">
        <v>111</v>
      </c>
      <c r="B74" t="s">
        <v>111</v>
      </c>
    </row>
    <row r="75" spans="1:2" x14ac:dyDescent="0.25">
      <c r="A75" t="s">
        <v>111</v>
      </c>
      <c r="B75" t="s">
        <v>111</v>
      </c>
    </row>
    <row r="76" spans="1:2" x14ac:dyDescent="0.25">
      <c r="A76" t="s">
        <v>113</v>
      </c>
      <c r="B76" t="s">
        <v>113</v>
      </c>
    </row>
    <row r="77" spans="1:2" x14ac:dyDescent="0.25">
      <c r="A77" t="s">
        <v>113</v>
      </c>
      <c r="B77" t="s">
        <v>113</v>
      </c>
    </row>
    <row r="78" spans="1:2" x14ac:dyDescent="0.25">
      <c r="A78" t="s">
        <v>114</v>
      </c>
      <c r="B78" t="s">
        <v>114</v>
      </c>
    </row>
    <row r="79" spans="1:2" x14ac:dyDescent="0.25">
      <c r="A79" t="s">
        <v>114</v>
      </c>
      <c r="B79" t="s">
        <v>114</v>
      </c>
    </row>
    <row r="80" spans="1:2" x14ac:dyDescent="0.25">
      <c r="A80" t="s">
        <v>115</v>
      </c>
      <c r="B80" t="s">
        <v>115</v>
      </c>
    </row>
    <row r="81" spans="1:2" x14ac:dyDescent="0.25">
      <c r="A81" t="s">
        <v>115</v>
      </c>
      <c r="B81" t="s">
        <v>115</v>
      </c>
    </row>
    <row r="82" spans="1:2" x14ac:dyDescent="0.25">
      <c r="A82" t="s">
        <v>117</v>
      </c>
      <c r="B82" t="s">
        <v>117</v>
      </c>
    </row>
    <row r="83" spans="1:2" x14ac:dyDescent="0.25">
      <c r="A83" t="s">
        <v>117</v>
      </c>
      <c r="B83" t="s">
        <v>117</v>
      </c>
    </row>
    <row r="84" spans="1:2" x14ac:dyDescent="0.25">
      <c r="A84" t="s">
        <v>118</v>
      </c>
      <c r="B84" t="s">
        <v>118</v>
      </c>
    </row>
    <row r="85" spans="1:2" x14ac:dyDescent="0.25">
      <c r="A85" t="s">
        <v>118</v>
      </c>
      <c r="B85" t="s">
        <v>118</v>
      </c>
    </row>
    <row r="86" spans="1:2" x14ac:dyDescent="0.25">
      <c r="A86" t="s">
        <v>119</v>
      </c>
      <c r="B86" t="s">
        <v>119</v>
      </c>
    </row>
    <row r="87" spans="1:2" x14ac:dyDescent="0.25">
      <c r="A87" t="s">
        <v>119</v>
      </c>
      <c r="B87" t="s">
        <v>119</v>
      </c>
    </row>
    <row r="88" spans="1:2" x14ac:dyDescent="0.25">
      <c r="A88" t="s">
        <v>122</v>
      </c>
      <c r="B88" t="s">
        <v>122</v>
      </c>
    </row>
    <row r="89" spans="1:2" x14ac:dyDescent="0.25">
      <c r="A89" t="s">
        <v>122</v>
      </c>
      <c r="B89" t="s">
        <v>122</v>
      </c>
    </row>
    <row r="90" spans="1:2" x14ac:dyDescent="0.25">
      <c r="A90" t="s">
        <v>124</v>
      </c>
      <c r="B90" t="s">
        <v>124</v>
      </c>
    </row>
    <row r="91" spans="1:2" x14ac:dyDescent="0.25">
      <c r="A91" t="s">
        <v>124</v>
      </c>
      <c r="B91" t="s">
        <v>124</v>
      </c>
    </row>
    <row r="92" spans="1:2" x14ac:dyDescent="0.25">
      <c r="A92" t="s">
        <v>125</v>
      </c>
      <c r="B92" t="s">
        <v>125</v>
      </c>
    </row>
    <row r="93" spans="1:2" x14ac:dyDescent="0.25">
      <c r="A93" t="s">
        <v>125</v>
      </c>
      <c r="B93" t="s">
        <v>125</v>
      </c>
    </row>
    <row r="94" spans="1:2" x14ac:dyDescent="0.25">
      <c r="A94" t="s">
        <v>126</v>
      </c>
      <c r="B94" t="s">
        <v>126</v>
      </c>
    </row>
    <row r="95" spans="1:2" x14ac:dyDescent="0.25">
      <c r="A95" t="s">
        <v>126</v>
      </c>
      <c r="B95" t="s">
        <v>126</v>
      </c>
    </row>
    <row r="96" spans="1:2" x14ac:dyDescent="0.25">
      <c r="A96" t="s">
        <v>329</v>
      </c>
      <c r="B96" t="s">
        <v>329</v>
      </c>
    </row>
    <row r="97" spans="1:2" x14ac:dyDescent="0.25">
      <c r="A97" t="s">
        <v>329</v>
      </c>
      <c r="B97" t="s">
        <v>329</v>
      </c>
    </row>
    <row r="98" spans="1:2" x14ac:dyDescent="0.25">
      <c r="A98" t="s">
        <v>128</v>
      </c>
      <c r="B98" t="s">
        <v>128</v>
      </c>
    </row>
    <row r="99" spans="1:2" x14ac:dyDescent="0.25">
      <c r="A99" t="s">
        <v>128</v>
      </c>
      <c r="B99" t="s">
        <v>128</v>
      </c>
    </row>
    <row r="100" spans="1:2" x14ac:dyDescent="0.25">
      <c r="A100" t="s">
        <v>129</v>
      </c>
      <c r="B100" t="s">
        <v>129</v>
      </c>
    </row>
    <row r="101" spans="1:2" x14ac:dyDescent="0.25">
      <c r="A101" t="s">
        <v>129</v>
      </c>
      <c r="B101" t="s">
        <v>129</v>
      </c>
    </row>
  </sheetData>
  <sheetProtection password="CFBD" sheet="1" objects="1" scenarios="1"/>
  <sortState ref="A1:A101">
    <sortCondition ref="A1:A101"/>
  </sortState>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PORTADA</vt:lpstr>
      <vt:lpstr>PRINCIPAL</vt:lpstr>
      <vt:lpstr>BBDD</vt:lpstr>
      <vt:lpstr>Lista</vt:lpstr>
      <vt:lpstr>NOMBRES</vt:lpstr>
      <vt:lpstr>TABLA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fabiola isabel gamarra trujillo</dc:creator>
  <cp:lastModifiedBy>Fabiola Isabel Gamarra Trujillo</cp:lastModifiedBy>
  <dcterms:created xsi:type="dcterms:W3CDTF">2022-11-16T13:52:13Z</dcterms:created>
  <dcterms:modified xsi:type="dcterms:W3CDTF">2023-04-11T15:50:37Z</dcterms:modified>
</cp:coreProperties>
</file>